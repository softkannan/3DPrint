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9af78f27a6994448"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3r_Generator\"/>
    </mc:Choice>
  </mc:AlternateContent>
  <xr:revisionPtr revIDLastSave="0" documentId="13_ncr:1_{A40646B1-876B-464A-A7B8-CF9035F7647D}" xr6:coauthVersionLast="43" xr6:coauthVersionMax="43" xr10:uidLastSave="{00000000-0000-0000-0000-000000000000}"/>
  <bookViews>
    <workbookView xWindow="-120" yWindow="-120" windowWidth="29040" windowHeight="15840"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spec!$B$9</definedName>
    <definedName name="Generate_Filament_Specific">spec!$B$8</definedName>
    <definedName name="Max_Layer_Height">spec!$B$7</definedName>
    <definedName name="Min_Layer_Height">spec!$B$6</definedName>
    <definedName name="Nozzle_Diameter">spec!$B$2</definedName>
    <definedName name="Printer_Name">spec!$B$5</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3" i="5" l="1"/>
  <c r="C57" i="5" s="1"/>
  <c r="C32" i="2"/>
  <c r="C71" i="5" l="1"/>
  <c r="E116" i="2"/>
  <c r="F116" i="2"/>
  <c r="G116" i="2"/>
  <c r="H116" i="2"/>
  <c r="I116" i="2"/>
  <c r="J116" i="2"/>
  <c r="K116" i="2"/>
  <c r="L116" i="2"/>
  <c r="E115" i="2"/>
  <c r="F115" i="2"/>
  <c r="G115" i="2"/>
  <c r="H115" i="2"/>
  <c r="I115" i="2"/>
  <c r="J115" i="2"/>
  <c r="K115" i="2"/>
  <c r="L115" i="2"/>
  <c r="E114" i="2"/>
  <c r="F114" i="2"/>
  <c r="G114" i="2"/>
  <c r="H114" i="2"/>
  <c r="I114" i="2"/>
  <c r="J114" i="2"/>
  <c r="K114" i="2"/>
  <c r="L114" i="2"/>
  <c r="E113" i="2"/>
  <c r="F113" i="2"/>
  <c r="G113" i="2"/>
  <c r="H113" i="2"/>
  <c r="I113" i="2"/>
  <c r="J113" i="2"/>
  <c r="K113" i="2"/>
  <c r="L113" i="2"/>
  <c r="E112" i="2"/>
  <c r="F112" i="2"/>
  <c r="G112" i="2"/>
  <c r="H112" i="2"/>
  <c r="I112" i="2"/>
  <c r="J112" i="2"/>
  <c r="K112" i="2"/>
  <c r="L112" i="2"/>
  <c r="E111" i="2"/>
  <c r="F111" i="2"/>
  <c r="G111" i="2"/>
  <c r="H111" i="2"/>
  <c r="I111" i="2"/>
  <c r="J111" i="2"/>
  <c r="K111" i="2"/>
  <c r="L111" i="2"/>
  <c r="E110" i="2"/>
  <c r="F110" i="2"/>
  <c r="G110" i="2"/>
  <c r="H110" i="2"/>
  <c r="I110" i="2"/>
  <c r="J110" i="2"/>
  <c r="K110" i="2"/>
  <c r="L110" i="2"/>
  <c r="E109" i="2"/>
  <c r="F109" i="2"/>
  <c r="G109" i="2"/>
  <c r="H109" i="2"/>
  <c r="I109" i="2"/>
  <c r="J109" i="2"/>
  <c r="K109" i="2"/>
  <c r="L109" i="2"/>
  <c r="D116" i="2"/>
  <c r="D115" i="2"/>
  <c r="D114" i="2"/>
  <c r="D113" i="2"/>
  <c r="D112" i="2"/>
  <c r="D111" i="2"/>
  <c r="D110" i="2"/>
  <c r="D109" i="2"/>
  <c r="D73" i="2"/>
  <c r="E73" i="2" s="1"/>
  <c r="F73" i="2" s="1"/>
  <c r="G73" i="2" s="1"/>
  <c r="H73" i="2" s="1"/>
  <c r="I73" i="2" s="1"/>
  <c r="J73" i="2" s="1"/>
  <c r="K73" i="2" s="1"/>
  <c r="L73" i="2" s="1"/>
  <c r="D72" i="2"/>
  <c r="E72" i="2" s="1"/>
  <c r="F72" i="2" s="1"/>
  <c r="G72" i="2" s="1"/>
  <c r="H72" i="2" s="1"/>
  <c r="I72" i="2" s="1"/>
  <c r="J72" i="2" s="1"/>
  <c r="K72" i="2" s="1"/>
  <c r="L72" i="2" s="1"/>
  <c r="D70" i="2"/>
  <c r="E70" i="2" s="1"/>
  <c r="F70" i="2" s="1"/>
  <c r="G70" i="2" s="1"/>
  <c r="H70" i="2" s="1"/>
  <c r="I70" i="2" s="1"/>
  <c r="J70" i="2" s="1"/>
  <c r="K70" i="2" s="1"/>
  <c r="L70" i="2" s="1"/>
  <c r="D69" i="2"/>
  <c r="E69" i="2" s="1"/>
  <c r="F69" i="2" s="1"/>
  <c r="G69" i="2" s="1"/>
  <c r="H69" i="2" s="1"/>
  <c r="I69" i="2" s="1"/>
  <c r="J69" i="2" s="1"/>
  <c r="K69" i="2" s="1"/>
  <c r="L69" i="2" s="1"/>
  <c r="D68" i="2"/>
  <c r="E68" i="2" s="1"/>
  <c r="F68" i="2" s="1"/>
  <c r="G68" i="2" s="1"/>
  <c r="H68" i="2" s="1"/>
  <c r="I68" i="2" s="1"/>
  <c r="J68" i="2" s="1"/>
  <c r="K68" i="2" s="1"/>
  <c r="L68" i="2" s="1"/>
  <c r="D66" i="2"/>
  <c r="E66" i="2" s="1"/>
  <c r="F66" i="2" s="1"/>
  <c r="G66" i="2" s="1"/>
  <c r="H66" i="2" s="1"/>
  <c r="I66" i="2" s="1"/>
  <c r="J66" i="2" s="1"/>
  <c r="K66" i="2" s="1"/>
  <c r="L66" i="2" s="1"/>
  <c r="D65" i="2"/>
  <c r="E65" i="2" s="1"/>
  <c r="F65" i="2" s="1"/>
  <c r="G65" i="2" s="1"/>
  <c r="H65" i="2" s="1"/>
  <c r="I65" i="2" s="1"/>
  <c r="J65" i="2" s="1"/>
  <c r="K65" i="2" s="1"/>
  <c r="L65" i="2" s="1"/>
  <c r="D64" i="2"/>
  <c r="E64" i="2" s="1"/>
  <c r="F64" i="2" s="1"/>
  <c r="G64" i="2" s="1"/>
  <c r="H64" i="2" s="1"/>
  <c r="I64" i="2" s="1"/>
  <c r="J64" i="2" s="1"/>
  <c r="K64" i="2" s="1"/>
  <c r="L64" i="2" s="1"/>
  <c r="D67" i="2"/>
  <c r="E67" i="2"/>
  <c r="F67" i="2"/>
  <c r="G67" i="2"/>
  <c r="H67" i="2"/>
  <c r="I67" i="2"/>
  <c r="J67" i="2"/>
  <c r="K67" i="2"/>
  <c r="L67" i="2"/>
  <c r="C67" i="2"/>
  <c r="B5" i="6" l="1"/>
  <c r="C138" i="2" s="1"/>
  <c r="B6" i="6"/>
  <c r="B7" i="6"/>
  <c r="C46" i="5" s="1"/>
  <c r="C6" i="2" l="1"/>
  <c r="C45" i="5"/>
  <c r="C5" i="2"/>
  <c r="C49" i="3"/>
</calcChain>
</file>

<file path=xl/sharedStrings.xml><?xml version="1.0" encoding="utf-8"?>
<sst xmlns="http://schemas.openxmlformats.org/spreadsheetml/2006/main" count="404" uniqueCount="372">
  <si>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</si>
  <si>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</si>
  <si>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</si>
  <si>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</si>
  <si>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</si>
  <si>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</si>
  <si>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</si>
  <si>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</si>
  <si>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</si>
  <si>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</si>
  <si>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</si>
  <si>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</si>
  <si>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</si>
  <si>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</si>
  <si>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</si>
  <si>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</si>
  <si>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</si>
  <si>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</si>
  <si>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</si>
  <si>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</si>
  <si>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</si>
  <si>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</si>
  <si>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</si>
  <si>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</si>
  <si>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</si>
  <si>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</si>
  <si>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</si>
  <si>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</si>
  <si>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</si>
  <si>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</si>
  <si>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</si>
  <si>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</si>
  <si>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</si>
  <si>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</si>
  <si>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</si>
  <si>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</si>
  <si>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</si>
  <si>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</si>
  <si>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</si>
  <si>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</si>
  <si>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</si>
  <si>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</si>
  <si>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</si>
  <si>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</si>
  <si>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</si>
  <si>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</si>
  <si>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</si>
  <si>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</si>
  <si>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</si>
  <si>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</si>
  <si>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</si>
  <si>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</si>
  <si>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</si>
  <si>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</si>
  <si>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</si>
  <si>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</si>
  <si>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</si>
  <si>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</si>
  <si>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</si>
  <si>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</si>
  <si>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</si>
  <si>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</si>
  <si>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</si>
  <si>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</si>
  <si>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</si>
  <si>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</si>
  <si>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</si>
  <si>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</si>
  <si>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</si>
  <si>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</si>
  <si>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</si>
  <si>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</si>
  <si>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</si>
  <si>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</si>
  <si>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</si>
  <si>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</si>
  <si>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</si>
  <si>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</si>
  <si>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</si>
  <si>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</si>
  <si>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</si>
  <si>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</si>
  <si>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</si>
  <si>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</si>
  <si>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</si>
  <si>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</si>
  <si>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</si>
  <si>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</si>
  <si>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</si>
  <si>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</si>
  <si>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</si>
  <si>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</si>
  <si>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</si>
  <si>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</si>
  <si>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</si>
  <si>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</si>
  <si>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</si>
  <si>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</si>
  <si>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</si>
  <si>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</si>
  <si>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</si>
  <si>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</si>
  <si>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</si>
  <si>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</si>
  <si>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</si>
  <si>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</si>
  <si>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</si>
  <si>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</si>
  <si>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</si>
  <si>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</si>
  <si>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</si>
  <si>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</si>
  <si>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</si>
  <si>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</si>
  <si>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</si>
  <si>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</si>
  <si>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</si>
  <si>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</si>
  <si>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</si>
  <si>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</si>
  <si>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</si>
  <si>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</si>
  <si>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</si>
  <si>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</si>
  <si>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</si>
  <si>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</si>
  <si>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</si>
  <si>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</si>
  <si>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</si>
  <si>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</si>
  <si>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</si>
  <si>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</si>
  <si>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</si>
  <si>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</si>
  <si>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</si>
  <si>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</si>
  <si>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</si>
  <si>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</si>
  <si>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</si>
  <si>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</si>
  <si>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</si>
  <si>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</si>
  <si>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</si>
  <si>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</si>
  <si>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</si>
  <si>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</si>
  <si>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</si>
  <si>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</si>
  <si>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</si>
  <si>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</si>
  <si>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</si>
  <si>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</si>
  <si>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</si>
  <si>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</si>
  <si>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</si>
  <si>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</si>
  <si>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</si>
  <si>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</si>
  <si>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</si>
  <si>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</si>
  <si>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</si>
  <si>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</si>
  <si>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</si>
  <si>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</si>
  <si>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</si>
  <si>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</si>
  <si>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</si>
  <si>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</si>
  <si>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</si>
  <si>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</si>
  <si>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</si>
  <si>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</si>
  <si>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</si>
  <si>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</si>
  <si>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</si>
  <si>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</si>
  <si>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</si>
  <si>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</si>
  <si>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</si>
  <si>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</si>
  <si>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</si>
  <si>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</si>
  <si>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</si>
  <si>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</si>
  <si>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</si>
  <si>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</si>
  <si>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</si>
  <si>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</si>
  <si>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</si>
  <si>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</si>
  <si>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</si>
  <si>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</si>
  <si>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</si>
  <si>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</si>
  <si>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</si>
  <si>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</si>
  <si>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</si>
  <si>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</si>
  <si>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</si>
  <si>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</si>
  <si>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</si>
  <si>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</si>
  <si>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</si>
  <si>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</si>
  <si>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</si>
  <si>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</si>
  <si>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</si>
  <si>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</si>
  <si>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</si>
  <si>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</si>
  <si>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</si>
  <si>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</si>
  <si>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</si>
  <si>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</si>
  <si>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</si>
  <si>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</si>
  <si>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</si>
  <si>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</si>
  <si>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</si>
  <si>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</si>
  <si>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</si>
  <si>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</si>
  <si>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</si>
  <si>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</si>
  <si>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</si>
  <si>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</si>
  <si>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</si>
  <si>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</si>
  <si>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</si>
  <si>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</si>
  <si>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</si>
  <si>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</si>
  <si>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</si>
  <si>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</si>
  <si>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</si>
  <si>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</si>
  <si>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</si>
  <si>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</si>
  <si>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</si>
  <si>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</si>
  <si>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</si>
  <si>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</si>
  <si>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</si>
  <si>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</si>
  <si>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</si>
  <si>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</si>
  <si>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</si>
  <si>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C:\Users\krishnkr\AppData\Roaming\Slic3rPE</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</si>
  <si>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</si>
  <si>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</si>
  <si>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</si>
  <si>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</si>
  <si>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</si>
  <si>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</si>
  <si>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</si>
  <si>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</si>
  <si>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</si>
  <si>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</si>
  <si>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</si>
  <si>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</si>
  <si>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</si>
  <si>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</si>
  <si>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</si>
  <si>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</si>
  <si>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</si>
  <si>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</si>
  <si>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</si>
  <si>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</si>
  <si>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</si>
  <si>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</si>
  <si>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</si>
  <si>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</si>
  <si>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</si>
  <si>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</si>
  <si>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</si>
  <si>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</si>
  <si>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</si>
  <si>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</si>
  <si>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</si>
  <si>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</si>
  <si>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</si>
  <si>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</si>
  <si>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</si>
  <si>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</si>
  <si>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</si>
  <si>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</si>
  <si>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</si>
  <si>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</si>
  <si>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</si>
  <si>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</si>
  <si>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</si>
  <si>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</si>
  <si>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</si>
  <si>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</si>
  <si>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</si>
  <si>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</si>
  <si>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</si>
  <si>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</si>
  <si>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</si>
  <si>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</si>
  <si>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</si>
  <si>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</si>
  <si>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</si>
  <si>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</si>
  <si>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</si>
  <si>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</si>
  <si>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</si>
  <si>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</si>
  <si>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</si>
  <si>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</si>
  <si>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</si>
  <si>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</si>
  <si>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</si>
  <si>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</si>
  <si>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</si>
  <si>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</si>
  <si>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</si>
  <si>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</si>
  <si>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</si>
  <si>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</si>
  <si>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</si>
  <si>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</si>
  <si>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</si>
  <si>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</si>
  <si>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</si>
  <si>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</si>
  <si>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</si>
  <si>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</si>
  <si>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</si>
  <si>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</si>
  <si>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</si>
  <si>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</si>
  <si>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</si>
  <si>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</si>
  <si>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</si>
  <si>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</si>
  <si>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</si>
  <si>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</si>
  <si>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</si>
  <si>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</si>
  <si>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</si>
  <si>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</si>
  <si>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</si>
  <si>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</si>
  <si>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</si>
  <si>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</si>
  <si>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</si>
  <si>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</si>
  <si>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</si>
  <si>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</si>
  <si>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</si>
  <si>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</si>
  <si>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</si>
  <si>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</si>
  <si>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</si>
  <si>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</si>
  <si>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</si>
  <si>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</si>
  <si>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</si>
  <si>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</si>
  <si>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</si>
  <si>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</si>
  <si>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</si>
  <si>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</si>
  <si>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</si>
  <si>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</si>
  <si>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</si>
  <si>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</si>
  <si>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</si>
  <si>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</si>
  <si>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</si>
  <si>
    <t>Active Filament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</si>
</sst>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9">
    <xf numFmtId="0" fontId="0" fillId="0" borderId="0" xfId="0"/>
    <xf numFmtId="9" fontId="0" fillId="0" borderId="0" xfId="0" applyNumberFormat="1"/>
    <xf numFmtId="0" fontId="0" fillId="2" borderId="0" xfId="0" applyFill="1"/>
    <xf numFmtId="0" fontId="0" fillId="0" borderId="0" xfId="0" applyAlignment="1">
      <alignment wrapText="1"/>
    </xf>
    <xf numFmtId="0" fontId="0" fillId="3" borderId="0" xfId="0" applyFill="1"/>
    <xf numFmtId="0" fontId="0" fillId="2" borderId="0" xfId="0" applyFill="1" applyAlignment="1">
      <alignment horizontal="right"/>
    </xf>
    <xf numFmtId="0" fontId="0" fillId="0" borderId="0" xfId="0" applyAlignment="1">
      <alignment horizontal="right"/>
    </xf>
    <xf numFmtId="0" fontId="0" fillId="0" borderId="0" xfId="0" applyAlignment="1">
      <alignment horizontal="right" wrapText="1"/>
    </xf>
    <xf numFmtId="9" fontId="0" fillId="0" borderId="0" xfId="0" applyNumberFormat="1" applyAlignment="1">
      <alignment horizontal="right"/>
    </xf>
    <xf numFmtId="2" fontId="0" fillId="0" borderId="0" xfId="0" applyNumberFormat="1" applyAlignment="1">
      <alignment horizontal="right"/>
    </xf>
    <xf numFmtId="2" fontId="0" fillId="0" borderId="0" xfId="0" applyNumberFormat="1"/>
    <xf numFmtId="0" fontId="0" fillId="4" borderId="0" xfId="0" applyFill="1"/>
    <xf numFmtId="0" fontId="1" fillId="4" borderId="0" xfId="0" applyFont="1" applyFill="1"/>
    <xf numFmtId="11" fontId="0" fillId="0" borderId="0" xfId="0" applyNumberFormat="1" applyAlignment="1">
      <alignment horizontal="right"/>
    </xf>
    <xf numFmtId="0" fontId="1" fillId="2" borderId="0" xfId="0" applyFont="1" applyFill="1"/>
    <xf numFmtId="0" fontId="1" fillId="2" borderId="0" xfId="0" applyFont="1" applyFill="1" applyAlignment="1">
      <alignment horizontal="right"/>
    </xf>
    <xf numFmtId="0" fontId="0" fillId="0" borderId="0" xfId="0" applyAlignment="1">
      <alignment horizontal="left" vertical="top" wrapText="1"/>
    </xf>
    <xf numFmtId="0" fontId="0" fillId="0" borderId="0" xfId="0" applyAlignment="1">
      <alignment horizontal="left" wrapText="1"/>
    </xf>
    <xf numFmtId="0" fontId="0" fillId="5" borderId="0" xfId="0" applyFill="1"/>
  </cellXfs>
  <cellStyles count="1">
    <cellStyle name="Normal" xfId="0" builtinId="0"/>
  </cellStyles>
  <dxfs count="21">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fill>
        <patternFill patternType="solid">
          <fgColor indexed="64"/>
          <bgColor theme="9" tint="0.39997558519241921"/>
        </patternFill>
      </fill>
    </dxf>
    <dxf>
      <alignment horizontal="right" vertical="bottom" textRotation="0" wrapText="0" indent="0" justifyLastLine="0" shrinkToFit="0" readingOrder="0"/>
    </dxf>
    <dxf>
      <fill>
        <patternFill patternType="solid">
          <fgColor indexed="64"/>
          <bgColor theme="9" tint="0.39997558519241921"/>
        </patternFill>
      </fill>
    </dxf>
    <dxf>
      <fill>
        <patternFill patternType="solid">
          <fgColor indexed="64"/>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02602-81D1-4366-9048-E44B2FCA05A6}" name="Table4" displayName="Table4" ref="A1:C17" totalsRowShown="0" headerRowDxfId="20">
  <autoFilter ref="A1:C17" xr:uid="{BBAFC0DF-B81B-4671-8854-21196587653A}">
    <filterColumn colId="0" hiddenButton="1"/>
    <filterColumn colId="1" hiddenButton="1"/>
    <filterColumn colId="2" hiddenButton="1"/>
  </autoFilter>
  <tableColumns count="3">
    <tableColumn id="1" xr3:uid="{18A8F7FC-F03A-432B-823A-E205380CFA03}" name="Spec"/>
    <tableColumn id="2" xr3:uid="{0326ABC6-32C1-4F06-A3CE-C07747640776}" name="Value"/>
    <tableColumn id="3" xr3:uid="{76CB9939-451F-47A4-8D66-F417230491EF}" name="Re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E628D8-AEDB-41B2-8BBB-60369889EC5C}" name="Table1" displayName="Table1" ref="A1:M139" totalsRowShown="0" headerRowDxfId="19">
  <autoFilter ref="A1:M139" xr:uid="{2D889ED8-B5DC-437E-83E5-BAC287A693F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6C30D86-E191-4D28-B56A-D3F72EC78EF9}" name="Tree"/>
    <tableColumn id="2" xr3:uid="{1BD2EC6A-99B8-45F7-8B84-9A820D720E71}" name="Parameters"/>
    <tableColumn id="3" xr3:uid="{0416E0A0-48B4-4E74-BFF4-2449CFE683FB}" name="Common" dataDxfId="18"/>
    <tableColumn id="4" xr3:uid="{09D75126-E8DD-44A6-8A23-AED012CEA682}" name="0.12"/>
    <tableColumn id="5" xr3:uid="{B0AD1A5B-F411-4E3B-9517-3970443D0AF8}" name="0.2"/>
    <tableColumn id="6" xr3:uid="{57B160D5-81C4-4EF6-9B78-2DE026265605}" name="0.32"/>
    <tableColumn id="7" xr3:uid="{A7831AC5-B67F-4960-B595-EB467190E6AC}" name="0.4"/>
    <tableColumn id="8" xr3:uid="{E7891CD6-7CFB-4221-80B9-2671123F69C7}" name="0.48"/>
    <tableColumn id="9" xr3:uid="{36CD8881-A4E9-483D-9F34-FDF377AD3474}" name="0.56"/>
    <tableColumn id="10" xr3:uid="{FC04B895-76F9-4B3B-AD93-12E865063CFC}" name="0.64"/>
    <tableColumn id="11" xr3:uid="{21A5D350-6B9A-4C0C-9E45-A7669E31BC99}" name="0.72"/>
    <tableColumn id="12" xr3:uid="{3143B4EC-6B77-4ADF-924E-9E1C93BDFD1C}" name="0.8"/>
    <tableColumn id="13" xr3:uid="{9960A240-648E-4D79-9EE7-1868C06D573C}" name="Remarks"/>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CA7707-AC80-4DE1-8BC6-C8E00C371F1B}" name="Table2" displayName="Table2" ref="A1:J49" totalsRowShown="0" headerRowDxfId="17" dataDxfId="16">
  <autoFilter ref="A1:J49" xr:uid="{F4771A3E-8932-4000-B5A2-FDE80F6499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B91B291-A8BF-47A1-A16B-72AE031BE839}" name="Tree" dataDxfId="15"/>
    <tableColumn id="2" xr3:uid="{76067E3B-04D3-46BB-BB4F-C40465334CA2}" name="Parameters" dataDxfId="14"/>
    <tableColumn id="3" xr3:uid="{5D0FB8C2-4417-4C7B-866A-1A8F6569DD65}" name="Common" dataDxfId="13"/>
    <tableColumn id="4" xr3:uid="{74CACC47-92AF-4A73-83DA-91D8881F4818}" name="PLA" dataDxfId="12"/>
    <tableColumn id="5" xr3:uid="{CBB68097-F1E6-409D-AFF6-476949720C6B}" name="PET" dataDxfId="11"/>
    <tableColumn id="6" xr3:uid="{5AACDFE9-2EDE-49FD-85A6-2B23E9C1491A}" name="ABS" dataDxfId="10"/>
    <tableColumn id="9" xr3:uid="{E8C1007C-36AC-458A-8CC8-36DE793ED222}" name="Nylon" dataDxfId="9"/>
    <tableColumn id="10" xr3:uid="{49300F7D-E2FD-40CF-9167-4E1457AA5C8A}" name="PP" dataDxfId="8"/>
    <tableColumn id="7" xr3:uid="{21398260-526B-47A6-B918-C7AFCF818FAD}" name="TPU" dataDxfId="7"/>
    <tableColumn id="8" xr3:uid="{E8317A53-68E8-4A4E-B223-E6A71EE1DDD6}" name="Remarks"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F7B5AA-F84F-42DC-9B29-71A6BA34B1AD}" name="Table3" displayName="Table3" ref="A1:D83" totalsRowShown="0" headerRowDxfId="5" dataDxfId="4">
  <autoFilter ref="A1:D83" xr:uid="{FFDC44FE-3714-4288-B8E5-067EA2794FD3}">
    <filterColumn colId="0" hiddenButton="1"/>
    <filterColumn colId="1" hiddenButton="1"/>
    <filterColumn colId="2" hiddenButton="1"/>
    <filterColumn colId="3" hiddenButton="1"/>
  </autoFilter>
  <tableColumns count="4">
    <tableColumn id="1" xr3:uid="{FC7D779B-8EFF-426C-8BA6-52FD26C2B4F3}" name="Tree" dataDxfId="3"/>
    <tableColumn id="2" xr3:uid="{0BCD1FFC-D050-49A5-8783-5F73BC9DEDAC}" name="Parameters" dataDxfId="2"/>
    <tableColumn id="3" xr3:uid="{90B21EA3-F279-4A7E-A957-6F1826446093}" name="Ender 3" dataDxfId="1"/>
    <tableColumn id="4" xr3:uid="{7EF1559F-C3BE-4937-AE3C-C51336D491FF}" name="Remark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9"/>
  <sheetViews>
    <sheetView tabSelected="1" workbookViewId="0">
      <selection activeCell="B24" sqref="B24"/>
    </sheetView>
  </sheetViews>
  <sheetFormatPr defaultRowHeight="15" x14ac:dyDescent="0.25"/>
  <cols>
    <col min="1" max="1" width="23" bestFit="1" customWidth="1"/>
    <col min="2" max="2" width="38.7109375" bestFit="1" customWidth="1"/>
    <col min="3" max="3" width="9.85546875" customWidth="1"/>
    <col min="8" max="8" width="17.28515625" bestFit="1" customWidth="1"/>
  </cols>
  <sheetData>
    <row r="1" spans="1:3" x14ac:dyDescent="0.25">
      <c r="A1" s="2" t="s">
        <v>223</v>
      </c>
      <c r="B1" s="2" t="s">
        <v>224</v>
      </c>
      <c r="C1" s="2" t="s">
        <v>236</v>
      </c>
    </row>
    <row r="2" spans="1:3" x14ac:dyDescent="0.25">
      <c r="A2" t="s">
        <v>222</v>
      </c>
      <c r="B2" s="18">
        <v>0.5</v>
      </c>
    </row>
    <row r="3" spans="1:3" x14ac:dyDescent="0.25">
      <c r="A3" t="s">
        <v>371</v>
      </c>
      <c r="B3" s="18" t="s">
        <v>154</v>
      </c>
    </row>
    <row r="4" spans="1:3" x14ac:dyDescent="0.25">
      <c r="A4" t="s">
        <v>225</v>
      </c>
      <c r="B4" t="s">
        <v>226</v>
      </c>
    </row>
    <row r="5" spans="1:3" x14ac:dyDescent="0.25">
      <c r="A5" t="s">
        <v>230</v>
      </c>
      <c r="B5" s="4" t="str">
        <f>B4 &amp; " " &amp; Nozzle_Diameter &amp; " nozzle"</f>
        <v>Ender3 Speed 0.5 nozzle</v>
      </c>
    </row>
    <row r="6" spans="1:3" x14ac:dyDescent="0.25">
      <c r="A6" t="s">
        <v>227</v>
      </c>
      <c r="B6">
        <f>Nozzle_Diameter*0.2</f>
        <v>0.1</v>
      </c>
    </row>
    <row r="7" spans="1:3" x14ac:dyDescent="0.25">
      <c r="A7" t="s">
        <v>228</v>
      </c>
      <c r="B7">
        <f>Nozzle_Diameter*0.8</f>
        <v>0.4</v>
      </c>
    </row>
    <row r="8" spans="1:3" x14ac:dyDescent="0.25">
      <c r="A8" t="s">
        <v>229</v>
      </c>
      <c r="B8">
        <v>0</v>
      </c>
    </row>
    <row r="9" spans="1:3" x14ac:dyDescent="0.25">
      <c r="A9" t="s">
        <v>246</v>
      </c>
      <c r="B9" t="s">
        <v>247</v>
      </c>
    </row>
  </sheetData>
  <dataValidations count="1">
    <dataValidation type="list" allowBlank="1" showInputMessage="1" showErrorMessage="1" sqref="B2" xr:uid="{E3E925ED-0E0D-40C2-A029-5018B37F33A7}">
      <formula1>"0.4,0.5,0.6,0.8,1.0"</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8FF72284-FD9A-46A1-965F-E3CAD8F0DA65}">
          <x14:formula1>
            <xm:f>filament!$D$1:$I$1</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39"/>
  <sheetViews>
    <sheetView workbookViewId="0">
      <pane ySplit="1" topLeftCell="A47" activePane="bottomLeft" state="frozen"/>
      <selection pane="bottomLeft" activeCell="E35" sqref="E35"/>
    </sheetView>
  </sheetViews>
  <sheetFormatPr defaultRowHeight="15" x14ac:dyDescent="0.25"/>
  <cols>
    <col min="1" max="1" width="19.140625" bestFit="1" customWidth="1"/>
    <col min="2" max="2" width="39.7109375" customWidth="1"/>
    <col min="3" max="3" width="38.42578125" style="6"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2" t="s">
        <v>253</v>
      </c>
      <c r="B1" s="2" t="s">
        <v>220</v>
      </c>
      <c r="C1" s="5" t="s">
        <v>109</v>
      </c>
      <c r="D1" s="2" t="s">
        <v>294</v>
      </c>
      <c r="E1" s="2" t="s">
        <v>295</v>
      </c>
      <c r="F1" s="2" t="s">
        <v>296</v>
      </c>
      <c r="G1" s="2" t="s">
        <v>297</v>
      </c>
      <c r="H1" s="2" t="s">
        <v>298</v>
      </c>
      <c r="I1" s="2" t="s">
        <v>299</v>
      </c>
      <c r="J1" s="2" t="s">
        <v>300</v>
      </c>
      <c r="K1" s="2" t="s">
        <v>301</v>
      </c>
      <c r="L1" s="2" t="s">
        <v>302</v>
      </c>
      <c r="M1" s="2" t="s">
        <v>236</v>
      </c>
    </row>
    <row r="2" spans="1:13" x14ac:dyDescent="0.25">
      <c r="D2" t="s">
        <v>237</v>
      </c>
      <c r="E2" t="s">
        <v>238</v>
      </c>
      <c r="F2" t="s">
        <v>239</v>
      </c>
      <c r="G2" t="s">
        <v>240</v>
      </c>
      <c r="H2" t="s">
        <v>241</v>
      </c>
      <c r="I2" t="s">
        <v>242</v>
      </c>
      <c r="J2" t="s">
        <v>243</v>
      </c>
      <c r="K2" t="s">
        <v>244</v>
      </c>
      <c r="L2" t="s">
        <v>245</v>
      </c>
    </row>
    <row r="3" spans="1:13" x14ac:dyDescent="0.25">
      <c r="B3" t="s">
        <v>0</v>
      </c>
      <c r="C3" s="6">
        <v>4</v>
      </c>
    </row>
    <row r="4" spans="1:13" x14ac:dyDescent="0.25">
      <c r="A4" s="12" t="s">
        <v>254</v>
      </c>
      <c r="B4" s="11" t="s">
        <v>248</v>
      </c>
    </row>
    <row r="5" spans="1:13" x14ac:dyDescent="0.25">
      <c r="B5" t="s">
        <v>1</v>
      </c>
      <c r="C5" s="6">
        <f>MAX(0.2,Min_Layer_Height)</f>
        <v>0.2</v>
      </c>
      <c r="D5">
        <v>0.12</v>
      </c>
      <c r="E5">
        <v>0.2</v>
      </c>
      <c r="F5">
        <v>0.32</v>
      </c>
      <c r="G5">
        <v>0.4</v>
      </c>
      <c r="H5">
        <v>0.48</v>
      </c>
      <c r="I5">
        <v>0.56000000000000005</v>
      </c>
      <c r="J5">
        <v>0.64</v>
      </c>
      <c r="K5">
        <v>0.72</v>
      </c>
      <c r="L5">
        <v>0.8</v>
      </c>
    </row>
    <row r="6" spans="1:13" x14ac:dyDescent="0.25">
      <c r="B6" t="s">
        <v>2</v>
      </c>
      <c r="C6" s="6">
        <f>MAX(0.2,Min_Layer_Height)</f>
        <v>0.2</v>
      </c>
    </row>
    <row r="7" spans="1:13" x14ac:dyDescent="0.25">
      <c r="B7" s="11" t="s">
        <v>249</v>
      </c>
    </row>
    <row r="8" spans="1:13" x14ac:dyDescent="0.25">
      <c r="B8" t="s">
        <v>3</v>
      </c>
      <c r="C8" s="6">
        <v>3</v>
      </c>
      <c r="D8">
        <v>4</v>
      </c>
    </row>
    <row r="9" spans="1:13" x14ac:dyDescent="0.25">
      <c r="B9" t="s">
        <v>4</v>
      </c>
      <c r="C9" s="6">
        <v>0</v>
      </c>
    </row>
    <row r="10" spans="1:13" x14ac:dyDescent="0.25">
      <c r="B10" s="11" t="s">
        <v>250</v>
      </c>
    </row>
    <row r="11" spans="1:13" x14ac:dyDescent="0.25">
      <c r="B11" t="s">
        <v>5</v>
      </c>
      <c r="C11" s="6">
        <v>3</v>
      </c>
      <c r="D11">
        <v>6</v>
      </c>
      <c r="E11">
        <v>4</v>
      </c>
    </row>
    <row r="12" spans="1:13" x14ac:dyDescent="0.25">
      <c r="B12" t="s">
        <v>6</v>
      </c>
      <c r="C12" s="6">
        <v>3</v>
      </c>
      <c r="D12">
        <v>5</v>
      </c>
      <c r="E12">
        <v>4</v>
      </c>
    </row>
    <row r="13" spans="1:13" x14ac:dyDescent="0.25">
      <c r="B13" s="11" t="s">
        <v>251</v>
      </c>
    </row>
    <row r="14" spans="1:13" x14ac:dyDescent="0.25">
      <c r="B14" t="s">
        <v>7</v>
      </c>
      <c r="C14" s="6">
        <v>1</v>
      </c>
      <c r="M14" t="s">
        <v>286</v>
      </c>
    </row>
    <row r="15" spans="1:13" x14ac:dyDescent="0.25">
      <c r="B15" t="s">
        <v>8</v>
      </c>
      <c r="C15" s="6">
        <v>1</v>
      </c>
      <c r="M15" t="s">
        <v>287</v>
      </c>
    </row>
    <row r="16" spans="1:13" x14ac:dyDescent="0.25">
      <c r="B16" t="s">
        <v>9</v>
      </c>
      <c r="C16" s="6">
        <v>1</v>
      </c>
    </row>
    <row r="17" spans="1:13" x14ac:dyDescent="0.25">
      <c r="B17" t="s">
        <v>10</v>
      </c>
      <c r="C17" s="6">
        <v>1</v>
      </c>
      <c r="M17" t="s">
        <v>288</v>
      </c>
    </row>
    <row r="18" spans="1:13" x14ac:dyDescent="0.25">
      <c r="B18" t="s">
        <v>315</v>
      </c>
      <c r="C18" s="6">
        <v>1</v>
      </c>
      <c r="M18" t="s">
        <v>316</v>
      </c>
    </row>
    <row r="19" spans="1:13" x14ac:dyDescent="0.25">
      <c r="B19" s="11" t="s">
        <v>252</v>
      </c>
      <c r="M19" t="s">
        <v>289</v>
      </c>
    </row>
    <row r="20" spans="1:13" x14ac:dyDescent="0.25">
      <c r="B20" t="s">
        <v>12</v>
      </c>
      <c r="C20" s="6" t="s">
        <v>13</v>
      </c>
    </row>
    <row r="21" spans="1:13" x14ac:dyDescent="0.25">
      <c r="B21" t="s">
        <v>14</v>
      </c>
      <c r="C21" s="6">
        <v>0</v>
      </c>
    </row>
    <row r="22" spans="1:13" x14ac:dyDescent="0.25">
      <c r="A22" s="11" t="s">
        <v>255</v>
      </c>
      <c r="B22" s="11" t="s">
        <v>256</v>
      </c>
    </row>
    <row r="23" spans="1:13" x14ac:dyDescent="0.25">
      <c r="B23" t="s">
        <v>15</v>
      </c>
      <c r="C23" s="8">
        <v>0.2</v>
      </c>
    </row>
    <row r="24" spans="1:13" x14ac:dyDescent="0.25">
      <c r="B24" t="s">
        <v>16</v>
      </c>
      <c r="C24" s="6" t="s">
        <v>17</v>
      </c>
      <c r="M24" t="s">
        <v>290</v>
      </c>
    </row>
    <row r="25" spans="1:13" x14ac:dyDescent="0.25">
      <c r="B25" t="s">
        <v>18</v>
      </c>
      <c r="C25" s="6" t="s">
        <v>17</v>
      </c>
    </row>
    <row r="26" spans="1:13" x14ac:dyDescent="0.25">
      <c r="B26" s="11" t="s">
        <v>257</v>
      </c>
      <c r="M26" t="s">
        <v>291</v>
      </c>
    </row>
    <row r="27" spans="1:13" x14ac:dyDescent="0.25">
      <c r="B27" t="s">
        <v>19</v>
      </c>
      <c r="C27" s="6">
        <v>1</v>
      </c>
      <c r="M27" t="s">
        <v>292</v>
      </c>
    </row>
    <row r="28" spans="1:13" x14ac:dyDescent="0.25">
      <c r="B28" t="s">
        <v>20</v>
      </c>
      <c r="C28" s="6">
        <v>0</v>
      </c>
    </row>
    <row r="29" spans="1:13" x14ac:dyDescent="0.25">
      <c r="B29" s="11" t="s">
        <v>252</v>
      </c>
    </row>
    <row r="30" spans="1:13" x14ac:dyDescent="0.25">
      <c r="B30" t="s">
        <v>21</v>
      </c>
      <c r="C30" s="6">
        <v>0</v>
      </c>
    </row>
    <row r="31" spans="1:13" x14ac:dyDescent="0.25">
      <c r="B31" t="s">
        <v>22</v>
      </c>
      <c r="C31" s="6">
        <v>45</v>
      </c>
    </row>
    <row r="32" spans="1:13" x14ac:dyDescent="0.25">
      <c r="B32" t="s">
        <v>23</v>
      </c>
      <c r="C32" s="6">
        <f>(Nozzle_Diameter*Nozzle_Diameter)*100</f>
        <v>25</v>
      </c>
      <c r="M32" t="s">
        <v>293</v>
      </c>
    </row>
    <row r="33" spans="1:13" x14ac:dyDescent="0.25">
      <c r="B33" t="s">
        <v>24</v>
      </c>
      <c r="C33" s="6">
        <v>0</v>
      </c>
    </row>
    <row r="34" spans="1:13" x14ac:dyDescent="0.25">
      <c r="B34" t="s">
        <v>25</v>
      </c>
      <c r="C34" s="6">
        <v>1</v>
      </c>
    </row>
    <row r="35" spans="1:13" x14ac:dyDescent="0.25">
      <c r="B35" t="s">
        <v>26</v>
      </c>
      <c r="C35" s="6">
        <v>0</v>
      </c>
    </row>
    <row r="36" spans="1:13" x14ac:dyDescent="0.25">
      <c r="A36" s="11" t="s">
        <v>258</v>
      </c>
      <c r="B36" s="11" t="s">
        <v>259</v>
      </c>
    </row>
    <row r="37" spans="1:13" x14ac:dyDescent="0.25">
      <c r="B37" t="s">
        <v>27</v>
      </c>
      <c r="C37" s="6">
        <v>3</v>
      </c>
      <c r="M37" t="s">
        <v>303</v>
      </c>
    </row>
    <row r="38" spans="1:13" x14ac:dyDescent="0.25">
      <c r="B38" t="s">
        <v>28</v>
      </c>
      <c r="C38" s="6">
        <v>2</v>
      </c>
      <c r="M38" t="s">
        <v>306</v>
      </c>
    </row>
    <row r="39" spans="1:13" x14ac:dyDescent="0.25">
      <c r="B39" t="s">
        <v>29</v>
      </c>
      <c r="C39" s="6">
        <v>1</v>
      </c>
      <c r="M39" t="s">
        <v>304</v>
      </c>
    </row>
    <row r="40" spans="1:13" x14ac:dyDescent="0.25">
      <c r="B40" t="s">
        <v>30</v>
      </c>
      <c r="C40" s="6">
        <v>4</v>
      </c>
      <c r="M40" t="s">
        <v>307</v>
      </c>
    </row>
    <row r="41" spans="1:13" x14ac:dyDescent="0.25">
      <c r="B41" s="11" t="s">
        <v>260</v>
      </c>
      <c r="M41" t="s">
        <v>305</v>
      </c>
    </row>
    <row r="42" spans="1:13" x14ac:dyDescent="0.25">
      <c r="B42" t="s">
        <v>31</v>
      </c>
      <c r="C42" s="6">
        <v>3</v>
      </c>
    </row>
    <row r="43" spans="1:13" x14ac:dyDescent="0.25">
      <c r="A43" s="11" t="s">
        <v>261</v>
      </c>
      <c r="B43" s="11" t="s">
        <v>262</v>
      </c>
    </row>
    <row r="44" spans="1:13" x14ac:dyDescent="0.25">
      <c r="B44" t="s">
        <v>32</v>
      </c>
      <c r="C44" s="6">
        <v>0</v>
      </c>
    </row>
    <row r="45" spans="1:13" ht="30" x14ac:dyDescent="0.25">
      <c r="B45" t="s">
        <v>33</v>
      </c>
      <c r="C45" s="6">
        <v>1</v>
      </c>
      <c r="M45" s="3" t="s">
        <v>308</v>
      </c>
    </row>
    <row r="46" spans="1:13" x14ac:dyDescent="0.25">
      <c r="B46" t="s">
        <v>34</v>
      </c>
      <c r="C46" s="6">
        <v>75</v>
      </c>
      <c r="M46" t="s">
        <v>309</v>
      </c>
    </row>
    <row r="47" spans="1:13" x14ac:dyDescent="0.25">
      <c r="B47" t="s">
        <v>35</v>
      </c>
      <c r="C47" s="6">
        <v>0</v>
      </c>
    </row>
    <row r="48" spans="1:13" x14ac:dyDescent="0.25">
      <c r="B48" s="11" t="s">
        <v>263</v>
      </c>
    </row>
    <row r="49" spans="1:13" x14ac:dyDescent="0.25">
      <c r="B49" t="s">
        <v>36</v>
      </c>
      <c r="C49" s="6">
        <v>0</v>
      </c>
    </row>
    <row r="50" spans="1:13" x14ac:dyDescent="0.25">
      <c r="B50" s="11" t="s">
        <v>264</v>
      </c>
    </row>
    <row r="51" spans="1:13" x14ac:dyDescent="0.25">
      <c r="B51" t="s">
        <v>37</v>
      </c>
      <c r="C51" s="6">
        <v>0.2</v>
      </c>
      <c r="M51" t="s">
        <v>311</v>
      </c>
    </row>
    <row r="52" spans="1:13" x14ac:dyDescent="0.25">
      <c r="B52" t="s">
        <v>38</v>
      </c>
      <c r="C52" s="6" t="s">
        <v>17</v>
      </c>
    </row>
    <row r="53" spans="1:13" x14ac:dyDescent="0.25">
      <c r="B53" t="s">
        <v>39</v>
      </c>
      <c r="C53" s="6">
        <v>0</v>
      </c>
    </row>
    <row r="54" spans="1:13" x14ac:dyDescent="0.25">
      <c r="B54" t="s">
        <v>40</v>
      </c>
      <c r="C54" s="6">
        <v>2</v>
      </c>
      <c r="M54" t="s">
        <v>310</v>
      </c>
    </row>
    <row r="55" spans="1:13" x14ac:dyDescent="0.25">
      <c r="B55" t="s">
        <v>41</v>
      </c>
      <c r="C55" s="6">
        <v>0</v>
      </c>
    </row>
    <row r="56" spans="1:13" x14ac:dyDescent="0.25">
      <c r="B56" t="s">
        <v>42</v>
      </c>
      <c r="C56" s="6">
        <v>2</v>
      </c>
      <c r="M56" t="s">
        <v>312</v>
      </c>
    </row>
    <row r="57" spans="1:13" x14ac:dyDescent="0.25">
      <c r="B57" t="s">
        <v>43</v>
      </c>
      <c r="C57" s="6">
        <v>0.2</v>
      </c>
      <c r="M57" t="s">
        <v>313</v>
      </c>
    </row>
    <row r="58" spans="1:13" x14ac:dyDescent="0.25">
      <c r="B58" t="s">
        <v>44</v>
      </c>
      <c r="C58" s="6">
        <v>0</v>
      </c>
      <c r="M58" t="s">
        <v>314</v>
      </c>
    </row>
    <row r="59" spans="1:13" x14ac:dyDescent="0.25">
      <c r="B59" t="s">
        <v>45</v>
      </c>
      <c r="C59" s="6">
        <v>1</v>
      </c>
    </row>
    <row r="60" spans="1:13" x14ac:dyDescent="0.25">
      <c r="B60" t="s">
        <v>46</v>
      </c>
      <c r="C60" s="8">
        <v>0.6</v>
      </c>
    </row>
    <row r="61" spans="1:13" x14ac:dyDescent="0.25">
      <c r="B61" t="s">
        <v>11</v>
      </c>
      <c r="C61" s="6">
        <v>1</v>
      </c>
      <c r="M61" t="s">
        <v>317</v>
      </c>
    </row>
    <row r="62" spans="1:13" x14ac:dyDescent="0.25">
      <c r="B62" t="s">
        <v>47</v>
      </c>
      <c r="C62" s="6">
        <v>0</v>
      </c>
    </row>
    <row r="63" spans="1:13" x14ac:dyDescent="0.25">
      <c r="A63" s="11" t="s">
        <v>265</v>
      </c>
      <c r="B63" s="11" t="s">
        <v>266</v>
      </c>
    </row>
    <row r="64" spans="1:13" x14ac:dyDescent="0.25">
      <c r="B64" t="s">
        <v>48</v>
      </c>
      <c r="C64" s="6">
        <v>45</v>
      </c>
      <c r="D64">
        <f>MIN(D85,C64)</f>
        <v>45</v>
      </c>
      <c r="E64">
        <f t="shared" ref="E64:L64" si="0">MIN(E85,D64)</f>
        <v>45</v>
      </c>
      <c r="F64">
        <f t="shared" si="0"/>
        <v>45</v>
      </c>
      <c r="G64">
        <f t="shared" si="0"/>
        <v>45</v>
      </c>
      <c r="H64">
        <f t="shared" si="0"/>
        <v>40</v>
      </c>
      <c r="I64">
        <f t="shared" si="0"/>
        <v>35</v>
      </c>
      <c r="J64">
        <f t="shared" si="0"/>
        <v>30</v>
      </c>
      <c r="K64">
        <f t="shared" si="0"/>
        <v>30</v>
      </c>
      <c r="L64">
        <f t="shared" si="0"/>
        <v>25</v>
      </c>
    </row>
    <row r="65" spans="2:12" x14ac:dyDescent="0.25">
      <c r="B65" t="s">
        <v>49</v>
      </c>
      <c r="C65" s="6">
        <v>25</v>
      </c>
      <c r="D65">
        <f>MIN(C65,D85)</f>
        <v>25</v>
      </c>
      <c r="E65">
        <f t="shared" ref="E65:L65" si="1">MIN(D65,E85)</f>
        <v>25</v>
      </c>
      <c r="F65">
        <f t="shared" si="1"/>
        <v>25</v>
      </c>
      <c r="G65">
        <f t="shared" si="1"/>
        <v>25</v>
      </c>
      <c r="H65">
        <f t="shared" si="1"/>
        <v>25</v>
      </c>
      <c r="I65">
        <f t="shared" si="1"/>
        <v>25</v>
      </c>
      <c r="J65">
        <f t="shared" si="1"/>
        <v>25</v>
      </c>
      <c r="K65">
        <f t="shared" si="1"/>
        <v>25</v>
      </c>
      <c r="L65">
        <f t="shared" si="1"/>
        <v>25</v>
      </c>
    </row>
    <row r="66" spans="2:12" x14ac:dyDescent="0.25">
      <c r="B66" t="s">
        <v>50</v>
      </c>
      <c r="C66" s="6">
        <v>35</v>
      </c>
      <c r="D66">
        <f>MIN(C66,D85)</f>
        <v>35</v>
      </c>
      <c r="E66">
        <f t="shared" ref="E66:L66" si="2">MIN(D66,E85)</f>
        <v>35</v>
      </c>
      <c r="F66">
        <f t="shared" si="2"/>
        <v>35</v>
      </c>
      <c r="G66">
        <f t="shared" si="2"/>
        <v>35</v>
      </c>
      <c r="H66">
        <f t="shared" si="2"/>
        <v>35</v>
      </c>
      <c r="I66">
        <f t="shared" si="2"/>
        <v>35</v>
      </c>
      <c r="J66">
        <f t="shared" si="2"/>
        <v>30</v>
      </c>
      <c r="K66">
        <f t="shared" si="2"/>
        <v>30</v>
      </c>
      <c r="L66">
        <f t="shared" si="2"/>
        <v>25</v>
      </c>
    </row>
    <row r="67" spans="2:12" x14ac:dyDescent="0.25">
      <c r="B67" t="s">
        <v>51</v>
      </c>
      <c r="C67" s="6">
        <f>C85</f>
        <v>60</v>
      </c>
      <c r="D67" s="6">
        <f t="shared" ref="D67:L67" si="3">D85</f>
        <v>60</v>
      </c>
      <c r="E67" s="6">
        <f t="shared" si="3"/>
        <v>55</v>
      </c>
      <c r="F67" s="6">
        <f t="shared" si="3"/>
        <v>50</v>
      </c>
      <c r="G67" s="6">
        <f t="shared" si="3"/>
        <v>45</v>
      </c>
      <c r="H67" s="6">
        <f t="shared" si="3"/>
        <v>40</v>
      </c>
      <c r="I67" s="6">
        <f t="shared" si="3"/>
        <v>35</v>
      </c>
      <c r="J67" s="6">
        <f t="shared" si="3"/>
        <v>30</v>
      </c>
      <c r="K67" s="6">
        <f t="shared" si="3"/>
        <v>30</v>
      </c>
      <c r="L67" s="6">
        <f t="shared" si="3"/>
        <v>25</v>
      </c>
    </row>
    <row r="68" spans="2:12" x14ac:dyDescent="0.25">
      <c r="B68" t="s">
        <v>52</v>
      </c>
      <c r="C68" s="6">
        <v>45</v>
      </c>
      <c r="D68">
        <f>MIN(C68,D85)</f>
        <v>45</v>
      </c>
      <c r="E68">
        <f t="shared" ref="E68:L68" si="4">MIN(D68,E85)</f>
        <v>45</v>
      </c>
      <c r="F68">
        <f t="shared" si="4"/>
        <v>45</v>
      </c>
      <c r="G68">
        <f t="shared" si="4"/>
        <v>45</v>
      </c>
      <c r="H68">
        <f t="shared" si="4"/>
        <v>40</v>
      </c>
      <c r="I68">
        <f t="shared" si="4"/>
        <v>35</v>
      </c>
      <c r="J68">
        <f t="shared" si="4"/>
        <v>30</v>
      </c>
      <c r="K68">
        <f t="shared" si="4"/>
        <v>30</v>
      </c>
      <c r="L68">
        <f t="shared" si="4"/>
        <v>25</v>
      </c>
    </row>
    <row r="69" spans="2:12" x14ac:dyDescent="0.25">
      <c r="B69" t="s">
        <v>53</v>
      </c>
      <c r="C69" s="6">
        <v>35</v>
      </c>
      <c r="D69">
        <f>MIN(C69,D85)</f>
        <v>35</v>
      </c>
      <c r="E69">
        <f t="shared" ref="E69:L69" si="5">MIN(D69,E85)</f>
        <v>35</v>
      </c>
      <c r="F69">
        <f t="shared" si="5"/>
        <v>35</v>
      </c>
      <c r="G69">
        <f t="shared" si="5"/>
        <v>35</v>
      </c>
      <c r="H69">
        <f t="shared" si="5"/>
        <v>35</v>
      </c>
      <c r="I69">
        <f t="shared" si="5"/>
        <v>35</v>
      </c>
      <c r="J69">
        <f t="shared" si="5"/>
        <v>30</v>
      </c>
      <c r="K69">
        <f t="shared" si="5"/>
        <v>30</v>
      </c>
      <c r="L69">
        <f t="shared" si="5"/>
        <v>25</v>
      </c>
    </row>
    <row r="70" spans="2:12" x14ac:dyDescent="0.25">
      <c r="B70" t="s">
        <v>54</v>
      </c>
      <c r="C70" s="6">
        <v>45</v>
      </c>
      <c r="D70">
        <f>MIN(C70,D85)</f>
        <v>45</v>
      </c>
      <c r="E70">
        <f t="shared" ref="E70:L70" si="6">MIN(D70,E85)</f>
        <v>45</v>
      </c>
      <c r="F70">
        <f t="shared" si="6"/>
        <v>45</v>
      </c>
      <c r="G70">
        <f t="shared" si="6"/>
        <v>45</v>
      </c>
      <c r="H70">
        <f t="shared" si="6"/>
        <v>40</v>
      </c>
      <c r="I70">
        <f t="shared" si="6"/>
        <v>35</v>
      </c>
      <c r="J70">
        <f t="shared" si="6"/>
        <v>30</v>
      </c>
      <c r="K70">
        <f t="shared" si="6"/>
        <v>30</v>
      </c>
      <c r="L70">
        <f t="shared" si="6"/>
        <v>25</v>
      </c>
    </row>
    <row r="71" spans="2:12" x14ac:dyDescent="0.25">
      <c r="B71" t="s">
        <v>55</v>
      </c>
      <c r="C71" s="8">
        <v>1</v>
      </c>
    </row>
    <row r="72" spans="2:12" x14ac:dyDescent="0.25">
      <c r="B72" t="s">
        <v>56</v>
      </c>
      <c r="C72" s="6">
        <v>30</v>
      </c>
      <c r="D72">
        <f>MIN(C72,D85)</f>
        <v>30</v>
      </c>
      <c r="E72">
        <f t="shared" ref="E72:L72" si="7">MIN(D72,E85)</f>
        <v>30</v>
      </c>
      <c r="F72">
        <f t="shared" si="7"/>
        <v>30</v>
      </c>
      <c r="G72">
        <f t="shared" si="7"/>
        <v>30</v>
      </c>
      <c r="H72">
        <f t="shared" si="7"/>
        <v>30</v>
      </c>
      <c r="I72">
        <f t="shared" si="7"/>
        <v>30</v>
      </c>
      <c r="J72">
        <f t="shared" si="7"/>
        <v>30</v>
      </c>
      <c r="K72">
        <f t="shared" si="7"/>
        <v>30</v>
      </c>
      <c r="L72">
        <f t="shared" si="7"/>
        <v>25</v>
      </c>
    </row>
    <row r="73" spans="2:12" x14ac:dyDescent="0.25">
      <c r="B73" t="s">
        <v>57</v>
      </c>
      <c r="C73" s="6">
        <v>20</v>
      </c>
      <c r="D73">
        <f>MIN(C73,D85)</f>
        <v>20</v>
      </c>
      <c r="E73">
        <f t="shared" ref="E73:L73" si="8">MIN(D73,E85)</f>
        <v>20</v>
      </c>
      <c r="F73">
        <f t="shared" si="8"/>
        <v>20</v>
      </c>
      <c r="G73">
        <f t="shared" si="8"/>
        <v>20</v>
      </c>
      <c r="H73">
        <f t="shared" si="8"/>
        <v>20</v>
      </c>
      <c r="I73">
        <f t="shared" si="8"/>
        <v>20</v>
      </c>
      <c r="J73">
        <f t="shared" si="8"/>
        <v>20</v>
      </c>
      <c r="K73">
        <f t="shared" si="8"/>
        <v>20</v>
      </c>
      <c r="L73">
        <f t="shared" si="8"/>
        <v>20</v>
      </c>
    </row>
    <row r="74" spans="2:12" x14ac:dyDescent="0.25">
      <c r="B74" s="11" t="s">
        <v>267</v>
      </c>
    </row>
    <row r="75" spans="2:12" x14ac:dyDescent="0.25">
      <c r="B75" t="s">
        <v>58</v>
      </c>
      <c r="C75" s="6">
        <v>120</v>
      </c>
    </row>
    <row r="76" spans="2:12" x14ac:dyDescent="0.25">
      <c r="B76" s="11" t="s">
        <v>268</v>
      </c>
    </row>
    <row r="77" spans="2:12" x14ac:dyDescent="0.25">
      <c r="B77" t="s">
        <v>59</v>
      </c>
      <c r="C77" s="6">
        <v>30</v>
      </c>
    </row>
    <row r="78" spans="2:12" x14ac:dyDescent="0.25">
      <c r="B78" s="11" t="s">
        <v>269</v>
      </c>
    </row>
    <row r="79" spans="2:12" x14ac:dyDescent="0.25">
      <c r="B79" t="s">
        <v>60</v>
      </c>
      <c r="C79" s="6">
        <v>500</v>
      </c>
    </row>
    <row r="80" spans="2:12" x14ac:dyDescent="0.25">
      <c r="B80" t="s">
        <v>61</v>
      </c>
      <c r="C80" s="6">
        <v>500</v>
      </c>
    </row>
    <row r="81" spans="1:12" x14ac:dyDescent="0.25">
      <c r="B81" t="s">
        <v>62</v>
      </c>
      <c r="C81" s="6">
        <v>500</v>
      </c>
    </row>
    <row r="82" spans="1:12" x14ac:dyDescent="0.25">
      <c r="B82" t="s">
        <v>63</v>
      </c>
      <c r="C82" s="6">
        <v>500</v>
      </c>
    </row>
    <row r="83" spans="1:12" x14ac:dyDescent="0.25">
      <c r="B83" t="s">
        <v>64</v>
      </c>
      <c r="C83" s="6">
        <v>500</v>
      </c>
    </row>
    <row r="84" spans="1:12" x14ac:dyDescent="0.25">
      <c r="B84" s="11" t="s">
        <v>270</v>
      </c>
    </row>
    <row r="85" spans="1:12" x14ac:dyDescent="0.25">
      <c r="B85" t="s">
        <v>65</v>
      </c>
      <c r="C85" s="6">
        <v>60</v>
      </c>
      <c r="D85">
        <v>60</v>
      </c>
      <c r="E85">
        <v>55</v>
      </c>
      <c r="F85">
        <v>50</v>
      </c>
      <c r="G85">
        <v>45</v>
      </c>
      <c r="H85">
        <v>40</v>
      </c>
      <c r="I85">
        <v>35</v>
      </c>
      <c r="J85">
        <v>30</v>
      </c>
      <c r="K85">
        <v>30</v>
      </c>
      <c r="L85">
        <v>25</v>
      </c>
    </row>
    <row r="86" spans="1:12" x14ac:dyDescent="0.25">
      <c r="B86" t="s">
        <v>66</v>
      </c>
      <c r="C86" s="6">
        <v>0</v>
      </c>
    </row>
    <row r="87" spans="1:12" x14ac:dyDescent="0.25">
      <c r="B87" t="s">
        <v>67</v>
      </c>
      <c r="C87" s="6">
        <v>0</v>
      </c>
    </row>
    <row r="88" spans="1:12" x14ac:dyDescent="0.25">
      <c r="B88" t="s">
        <v>68</v>
      </c>
      <c r="C88" s="6">
        <v>0</v>
      </c>
    </row>
    <row r="89" spans="1:12" x14ac:dyDescent="0.25">
      <c r="A89" s="11" t="s">
        <v>271</v>
      </c>
      <c r="B89" s="11" t="s">
        <v>272</v>
      </c>
    </row>
    <row r="90" spans="1:12" x14ac:dyDescent="0.25">
      <c r="B90" t="s">
        <v>69</v>
      </c>
      <c r="C90" s="6">
        <v>1</v>
      </c>
    </row>
    <row r="91" spans="1:12" x14ac:dyDescent="0.25">
      <c r="B91" t="s">
        <v>70</v>
      </c>
      <c r="C91" s="6">
        <v>1</v>
      </c>
    </row>
    <row r="92" spans="1:12" x14ac:dyDescent="0.25">
      <c r="B92" t="s">
        <v>71</v>
      </c>
      <c r="C92" s="6">
        <v>1</v>
      </c>
    </row>
    <row r="93" spans="1:12" x14ac:dyDescent="0.25">
      <c r="B93" t="s">
        <v>72</v>
      </c>
      <c r="C93" s="6">
        <v>1</v>
      </c>
    </row>
    <row r="94" spans="1:12" x14ac:dyDescent="0.25">
      <c r="B94" t="s">
        <v>73</v>
      </c>
      <c r="C94" s="6">
        <v>1</v>
      </c>
    </row>
    <row r="95" spans="1:12" x14ac:dyDescent="0.25">
      <c r="B95" s="11" t="s">
        <v>273</v>
      </c>
    </row>
    <row r="96" spans="1:12" x14ac:dyDescent="0.25">
      <c r="B96" t="s">
        <v>74</v>
      </c>
      <c r="C96" s="6">
        <v>0</v>
      </c>
    </row>
    <row r="97" spans="1:12" x14ac:dyDescent="0.25">
      <c r="B97" t="s">
        <v>75</v>
      </c>
      <c r="C97" s="6">
        <v>-5</v>
      </c>
    </row>
    <row r="98" spans="1:12" x14ac:dyDescent="0.25">
      <c r="B98" s="11" t="s">
        <v>274</v>
      </c>
    </row>
    <row r="99" spans="1:12" x14ac:dyDescent="0.25">
      <c r="B99" t="s">
        <v>76</v>
      </c>
      <c r="C99" s="6">
        <v>0</v>
      </c>
    </row>
    <row r="100" spans="1:12" x14ac:dyDescent="0.25">
      <c r="B100" t="s">
        <v>77</v>
      </c>
      <c r="C100" s="6">
        <v>180</v>
      </c>
    </row>
    <row r="101" spans="1:12" x14ac:dyDescent="0.25">
      <c r="B101" t="s">
        <v>78</v>
      </c>
      <c r="C101" s="6">
        <v>140</v>
      </c>
    </row>
    <row r="102" spans="1:12" x14ac:dyDescent="0.25">
      <c r="B102" t="s">
        <v>79</v>
      </c>
      <c r="C102" s="6">
        <v>60</v>
      </c>
    </row>
    <row r="103" spans="1:12" x14ac:dyDescent="0.25">
      <c r="B103" t="s">
        <v>80</v>
      </c>
      <c r="C103" s="6">
        <v>0</v>
      </c>
    </row>
    <row r="104" spans="1:12" x14ac:dyDescent="0.25">
      <c r="B104" t="s">
        <v>81</v>
      </c>
      <c r="C104" s="6">
        <v>10</v>
      </c>
    </row>
    <row r="105" spans="1:12" x14ac:dyDescent="0.25">
      <c r="B105" t="s">
        <v>82</v>
      </c>
      <c r="C105" s="6">
        <v>0</v>
      </c>
    </row>
    <row r="106" spans="1:12" x14ac:dyDescent="0.25">
      <c r="B106" s="11" t="s">
        <v>252</v>
      </c>
    </row>
    <row r="107" spans="1:12" x14ac:dyDescent="0.25">
      <c r="B107" t="s">
        <v>83</v>
      </c>
      <c r="C107" s="6">
        <v>0</v>
      </c>
    </row>
    <row r="108" spans="1:12" x14ac:dyDescent="0.25">
      <c r="A108" s="11" t="s">
        <v>275</v>
      </c>
      <c r="B108" s="11" t="s">
        <v>276</v>
      </c>
    </row>
    <row r="109" spans="1:12" x14ac:dyDescent="0.25">
      <c r="B109" t="s">
        <v>84</v>
      </c>
      <c r="C109" s="9">
        <v>0</v>
      </c>
      <c r="D109" s="10">
        <f t="shared" ref="D109:L109" si="9">Nozzle_Diameter*0.98</f>
        <v>0.49</v>
      </c>
      <c r="E109" s="10">
        <f t="shared" si="9"/>
        <v>0.49</v>
      </c>
      <c r="F109" s="10">
        <f t="shared" si="9"/>
        <v>0.49</v>
      </c>
      <c r="G109" s="10">
        <f t="shared" si="9"/>
        <v>0.49</v>
      </c>
      <c r="H109" s="10">
        <f t="shared" si="9"/>
        <v>0.49</v>
      </c>
      <c r="I109" s="10">
        <f t="shared" si="9"/>
        <v>0.49</v>
      </c>
      <c r="J109" s="10">
        <f t="shared" si="9"/>
        <v>0.49</v>
      </c>
      <c r="K109" s="10">
        <f t="shared" si="9"/>
        <v>0.49</v>
      </c>
      <c r="L109" s="10">
        <f t="shared" si="9"/>
        <v>0.49</v>
      </c>
    </row>
    <row r="110" spans="1:12" x14ac:dyDescent="0.25">
      <c r="B110" t="s">
        <v>85</v>
      </c>
      <c r="C110" s="9">
        <v>0</v>
      </c>
      <c r="D110" s="10">
        <f t="shared" ref="D110:L110" si="10">Nozzle_Diameter</f>
        <v>0.5</v>
      </c>
      <c r="E110" s="10">
        <f t="shared" si="10"/>
        <v>0.5</v>
      </c>
      <c r="F110" s="10">
        <f t="shared" si="10"/>
        <v>0.5</v>
      </c>
      <c r="G110" s="10">
        <f t="shared" si="10"/>
        <v>0.5</v>
      </c>
      <c r="H110" s="10">
        <f t="shared" si="10"/>
        <v>0.5</v>
      </c>
      <c r="I110" s="10">
        <f t="shared" si="10"/>
        <v>0.5</v>
      </c>
      <c r="J110" s="10">
        <f t="shared" si="10"/>
        <v>0.5</v>
      </c>
      <c r="K110" s="10">
        <f t="shared" si="10"/>
        <v>0.5</v>
      </c>
      <c r="L110" s="10">
        <f t="shared" si="10"/>
        <v>0.5</v>
      </c>
    </row>
    <row r="111" spans="1:12" x14ac:dyDescent="0.25">
      <c r="B111" t="s">
        <v>86</v>
      </c>
      <c r="C111" s="9">
        <v>0</v>
      </c>
      <c r="D111" s="10">
        <f t="shared" ref="D111:L112" si="11">Nozzle_Diameter*0.98</f>
        <v>0.49</v>
      </c>
      <c r="E111" s="10">
        <f t="shared" si="11"/>
        <v>0.49</v>
      </c>
      <c r="F111" s="10">
        <f t="shared" si="11"/>
        <v>0.49</v>
      </c>
      <c r="G111" s="10">
        <f t="shared" si="11"/>
        <v>0.49</v>
      </c>
      <c r="H111" s="10">
        <f t="shared" si="11"/>
        <v>0.49</v>
      </c>
      <c r="I111" s="10">
        <f t="shared" si="11"/>
        <v>0.49</v>
      </c>
      <c r="J111" s="10">
        <f t="shared" si="11"/>
        <v>0.49</v>
      </c>
      <c r="K111" s="10">
        <f t="shared" si="11"/>
        <v>0.49</v>
      </c>
      <c r="L111" s="10">
        <f t="shared" si="11"/>
        <v>0.49</v>
      </c>
    </row>
    <row r="112" spans="1:12" x14ac:dyDescent="0.25">
      <c r="B112" t="s">
        <v>87</v>
      </c>
      <c r="C112" s="9">
        <v>0</v>
      </c>
      <c r="D112" s="10">
        <f t="shared" si="11"/>
        <v>0.49</v>
      </c>
      <c r="E112" s="10">
        <f t="shared" si="11"/>
        <v>0.49</v>
      </c>
      <c r="F112" s="10">
        <f t="shared" si="11"/>
        <v>0.49</v>
      </c>
      <c r="G112" s="10">
        <f t="shared" si="11"/>
        <v>0.49</v>
      </c>
      <c r="H112" s="10">
        <f t="shared" si="11"/>
        <v>0.49</v>
      </c>
      <c r="I112" s="10">
        <f t="shared" si="11"/>
        <v>0.49</v>
      </c>
      <c r="J112" s="10">
        <f t="shared" si="11"/>
        <v>0.49</v>
      </c>
      <c r="K112" s="10">
        <f t="shared" si="11"/>
        <v>0.49</v>
      </c>
      <c r="L112" s="10">
        <f t="shared" si="11"/>
        <v>0.49</v>
      </c>
    </row>
    <row r="113" spans="1:12" x14ac:dyDescent="0.25">
      <c r="B113" t="s">
        <v>88</v>
      </c>
      <c r="C113" s="9">
        <v>0</v>
      </c>
      <c r="D113" s="10">
        <f t="shared" ref="D113:L113" si="12">Nozzle_Diameter*1.125</f>
        <v>0.5625</v>
      </c>
      <c r="E113" s="10">
        <f t="shared" si="12"/>
        <v>0.5625</v>
      </c>
      <c r="F113" s="10">
        <f t="shared" si="12"/>
        <v>0.5625</v>
      </c>
      <c r="G113" s="10">
        <f t="shared" si="12"/>
        <v>0.5625</v>
      </c>
      <c r="H113" s="10">
        <f t="shared" si="12"/>
        <v>0.5625</v>
      </c>
      <c r="I113" s="10">
        <f t="shared" si="12"/>
        <v>0.5625</v>
      </c>
      <c r="J113" s="10">
        <f t="shared" si="12"/>
        <v>0.5625</v>
      </c>
      <c r="K113" s="10">
        <f t="shared" si="12"/>
        <v>0.5625</v>
      </c>
      <c r="L113" s="10">
        <f t="shared" si="12"/>
        <v>0.5625</v>
      </c>
    </row>
    <row r="114" spans="1:12" x14ac:dyDescent="0.25">
      <c r="B114" t="s">
        <v>89</v>
      </c>
      <c r="C114" s="9">
        <v>0</v>
      </c>
      <c r="D114" s="10">
        <f t="shared" ref="D114:L115" si="13">Nozzle_Diameter*0.98</f>
        <v>0.49</v>
      </c>
      <c r="E114" s="10">
        <f t="shared" si="13"/>
        <v>0.49</v>
      </c>
      <c r="F114" s="10">
        <f t="shared" si="13"/>
        <v>0.49</v>
      </c>
      <c r="G114" s="10">
        <f t="shared" si="13"/>
        <v>0.49</v>
      </c>
      <c r="H114" s="10">
        <f t="shared" si="13"/>
        <v>0.49</v>
      </c>
      <c r="I114" s="10">
        <f t="shared" si="13"/>
        <v>0.49</v>
      </c>
      <c r="J114" s="10">
        <f t="shared" si="13"/>
        <v>0.49</v>
      </c>
      <c r="K114" s="10">
        <f t="shared" si="13"/>
        <v>0.49</v>
      </c>
      <c r="L114" s="10">
        <f t="shared" si="13"/>
        <v>0.49</v>
      </c>
    </row>
    <row r="115" spans="1:12" x14ac:dyDescent="0.25">
      <c r="B115" t="s">
        <v>90</v>
      </c>
      <c r="C115" s="9">
        <v>0</v>
      </c>
      <c r="D115" s="10">
        <f t="shared" si="13"/>
        <v>0.49</v>
      </c>
      <c r="E115" s="10">
        <f t="shared" si="13"/>
        <v>0.49</v>
      </c>
      <c r="F115" s="10">
        <f t="shared" si="13"/>
        <v>0.49</v>
      </c>
      <c r="G115" s="10">
        <f t="shared" si="13"/>
        <v>0.49</v>
      </c>
      <c r="H115" s="10">
        <f t="shared" si="13"/>
        <v>0.49</v>
      </c>
      <c r="I115" s="10">
        <f t="shared" si="13"/>
        <v>0.49</v>
      </c>
      <c r="J115" s="10">
        <f t="shared" si="13"/>
        <v>0.49</v>
      </c>
      <c r="K115" s="10">
        <f t="shared" si="13"/>
        <v>0.49</v>
      </c>
      <c r="L115" s="10">
        <f t="shared" si="13"/>
        <v>0.49</v>
      </c>
    </row>
    <row r="116" spans="1:12" x14ac:dyDescent="0.25">
      <c r="B116" t="s">
        <v>91</v>
      </c>
      <c r="C116" s="9">
        <v>0</v>
      </c>
      <c r="D116" s="10">
        <f t="shared" ref="D116:L116" si="14">Nozzle_Diameter*1.125</f>
        <v>0.5625</v>
      </c>
      <c r="E116" s="10">
        <f t="shared" si="14"/>
        <v>0.5625</v>
      </c>
      <c r="F116" s="10">
        <f t="shared" si="14"/>
        <v>0.5625</v>
      </c>
      <c r="G116" s="10">
        <f t="shared" si="14"/>
        <v>0.5625</v>
      </c>
      <c r="H116" s="10">
        <f t="shared" si="14"/>
        <v>0.5625</v>
      </c>
      <c r="I116" s="10">
        <f t="shared" si="14"/>
        <v>0.5625</v>
      </c>
      <c r="J116" s="10">
        <f t="shared" si="14"/>
        <v>0.5625</v>
      </c>
      <c r="K116" s="10">
        <f t="shared" si="14"/>
        <v>0.5625</v>
      </c>
      <c r="L116" s="10">
        <f t="shared" si="14"/>
        <v>0.5625</v>
      </c>
    </row>
    <row r="117" spans="1:12" x14ac:dyDescent="0.25">
      <c r="B117" s="11" t="s">
        <v>277</v>
      </c>
    </row>
    <row r="118" spans="1:12" x14ac:dyDescent="0.25">
      <c r="B118" t="s">
        <v>92</v>
      </c>
      <c r="C118" s="8">
        <v>0.1</v>
      </c>
    </row>
    <row r="119" spans="1:12" x14ac:dyDescent="0.25">
      <c r="B119" s="11" t="s">
        <v>278</v>
      </c>
    </row>
    <row r="120" spans="1:12" x14ac:dyDescent="0.25">
      <c r="B120" t="s">
        <v>93</v>
      </c>
      <c r="C120" s="6">
        <v>0.8</v>
      </c>
    </row>
    <row r="121" spans="1:12" x14ac:dyDescent="0.25">
      <c r="B121" s="11" t="s">
        <v>279</v>
      </c>
    </row>
    <row r="122" spans="1:12" x14ac:dyDescent="0.25">
      <c r="B122" t="s">
        <v>94</v>
      </c>
      <c r="C122" s="6">
        <v>1</v>
      </c>
    </row>
    <row r="123" spans="1:12" x14ac:dyDescent="0.25">
      <c r="B123" t="s">
        <v>95</v>
      </c>
      <c r="C123" s="6">
        <v>0</v>
      </c>
    </row>
    <row r="124" spans="1:12" x14ac:dyDescent="0.25">
      <c r="B124" t="s">
        <v>96</v>
      </c>
      <c r="C124" s="6">
        <v>0</v>
      </c>
    </row>
    <row r="125" spans="1:12" x14ac:dyDescent="0.25">
      <c r="B125" t="s">
        <v>97</v>
      </c>
      <c r="C125" s="6">
        <v>0</v>
      </c>
    </row>
    <row r="126" spans="1:12" x14ac:dyDescent="0.25">
      <c r="A126" s="11" t="s">
        <v>280</v>
      </c>
      <c r="B126" s="11" t="s">
        <v>283</v>
      </c>
    </row>
    <row r="127" spans="1:12" x14ac:dyDescent="0.25">
      <c r="B127" t="s">
        <v>98</v>
      </c>
      <c r="C127" s="6">
        <v>0</v>
      </c>
    </row>
    <row r="128" spans="1:12" x14ac:dyDescent="0.25">
      <c r="B128" t="s">
        <v>99</v>
      </c>
      <c r="C128" s="6">
        <v>20</v>
      </c>
    </row>
    <row r="129" spans="1:3" x14ac:dyDescent="0.25">
      <c r="B129" t="s">
        <v>100</v>
      </c>
      <c r="C129" s="6">
        <v>20</v>
      </c>
    </row>
    <row r="130" spans="1:3" x14ac:dyDescent="0.25">
      <c r="B130" s="11" t="s">
        <v>284</v>
      </c>
    </row>
    <row r="131" spans="1:3" x14ac:dyDescent="0.25">
      <c r="B131" t="s">
        <v>101</v>
      </c>
      <c r="C131" s="6">
        <v>1</v>
      </c>
    </row>
    <row r="132" spans="1:3" ht="30" x14ac:dyDescent="0.25">
      <c r="B132" t="s">
        <v>102</v>
      </c>
      <c r="C132" s="7" t="s">
        <v>103</v>
      </c>
    </row>
    <row r="133" spans="1:3" x14ac:dyDescent="0.25">
      <c r="B133" s="11" t="s">
        <v>104</v>
      </c>
    </row>
    <row r="134" spans="1:3" x14ac:dyDescent="0.25">
      <c r="B134" t="s">
        <v>105</v>
      </c>
    </row>
    <row r="135" spans="1:3" x14ac:dyDescent="0.25">
      <c r="A135" s="11" t="s">
        <v>281</v>
      </c>
      <c r="B135" s="11" t="s">
        <v>106</v>
      </c>
    </row>
    <row r="136" spans="1:3" x14ac:dyDescent="0.25">
      <c r="B136" t="s">
        <v>107</v>
      </c>
    </row>
    <row r="137" spans="1:3" x14ac:dyDescent="0.25">
      <c r="A137" s="11" t="s">
        <v>282</v>
      </c>
      <c r="B137" s="11" t="s">
        <v>285</v>
      </c>
    </row>
    <row r="138" spans="1:3" x14ac:dyDescent="0.25">
      <c r="B138" t="s">
        <v>151</v>
      </c>
      <c r="C138" s="6" t="str">
        <f>Printer_Name</f>
        <v>Ender3 Speed 0.5 nozzle</v>
      </c>
    </row>
    <row r="139" spans="1:3" x14ac:dyDescent="0.25">
      <c r="B139" t="s">
        <v>152</v>
      </c>
    </row>
  </sheetData>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49"/>
  <sheetViews>
    <sheetView workbookViewId="0">
      <pane ySplit="1" topLeftCell="A2" activePane="bottomLeft" state="frozen"/>
      <selection pane="bottomLeft" activeCell="B53" sqref="B53"/>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x14ac:dyDescent="0.25">
      <c r="A1" s="14" t="s">
        <v>253</v>
      </c>
      <c r="B1" s="14" t="s">
        <v>220</v>
      </c>
      <c r="C1" s="14" t="s">
        <v>109</v>
      </c>
      <c r="D1" s="14" t="s">
        <v>154</v>
      </c>
      <c r="E1" s="14" t="s">
        <v>153</v>
      </c>
      <c r="F1" s="14" t="s">
        <v>155</v>
      </c>
      <c r="G1" s="14" t="s">
        <v>361</v>
      </c>
      <c r="H1" s="14" t="s">
        <v>363</v>
      </c>
      <c r="I1" s="14" t="s">
        <v>156</v>
      </c>
      <c r="J1" s="14" t="s">
        <v>236</v>
      </c>
    </row>
    <row r="2" spans="1:10" x14ac:dyDescent="0.25">
      <c r="A2" s="11" t="s">
        <v>319</v>
      </c>
      <c r="B2" s="11" t="s">
        <v>318</v>
      </c>
    </row>
    <row r="3" spans="1:10" x14ac:dyDescent="0.25">
      <c r="B3" t="s">
        <v>110</v>
      </c>
      <c r="C3" s="6" t="s">
        <v>111</v>
      </c>
      <c r="D3" t="s">
        <v>364</v>
      </c>
      <c r="E3" t="s">
        <v>365</v>
      </c>
      <c r="F3" t="s">
        <v>366</v>
      </c>
      <c r="G3" t="s">
        <v>362</v>
      </c>
      <c r="H3" t="s">
        <v>367</v>
      </c>
      <c r="I3" t="s">
        <v>368</v>
      </c>
    </row>
    <row r="4" spans="1:10" x14ac:dyDescent="0.25">
      <c r="B4" t="s">
        <v>112</v>
      </c>
      <c r="C4">
        <v>1.75</v>
      </c>
    </row>
    <row r="5" spans="1:10" x14ac:dyDescent="0.25">
      <c r="B5" t="s">
        <v>113</v>
      </c>
      <c r="C5">
        <v>1</v>
      </c>
      <c r="D5">
        <v>0.93</v>
      </c>
      <c r="E5">
        <v>0.9</v>
      </c>
    </row>
    <row r="6" spans="1:10" x14ac:dyDescent="0.25">
      <c r="B6" t="s">
        <v>114</v>
      </c>
      <c r="C6">
        <v>0</v>
      </c>
      <c r="D6">
        <v>1.24</v>
      </c>
      <c r="E6">
        <v>1.38</v>
      </c>
      <c r="F6">
        <v>1.1000000000000001</v>
      </c>
      <c r="G6">
        <v>1.1399999999999999</v>
      </c>
      <c r="H6">
        <v>0.89</v>
      </c>
      <c r="I6">
        <v>1.22</v>
      </c>
    </row>
    <row r="7" spans="1:10" x14ac:dyDescent="0.25">
      <c r="B7" t="s">
        <v>115</v>
      </c>
      <c r="C7">
        <v>0</v>
      </c>
      <c r="D7">
        <v>17</v>
      </c>
      <c r="E7">
        <v>18</v>
      </c>
      <c r="F7">
        <v>15</v>
      </c>
      <c r="G7">
        <v>25</v>
      </c>
      <c r="H7">
        <v>25</v>
      </c>
      <c r="I7">
        <v>25</v>
      </c>
      <c r="J7" t="s">
        <v>370</v>
      </c>
    </row>
    <row r="8" spans="1:10" x14ac:dyDescent="0.25">
      <c r="B8" s="11" t="s">
        <v>322</v>
      </c>
    </row>
    <row r="9" spans="1:10" x14ac:dyDescent="0.25">
      <c r="B9" t="s">
        <v>116</v>
      </c>
      <c r="C9">
        <v>215</v>
      </c>
      <c r="E9">
        <v>235</v>
      </c>
      <c r="F9">
        <v>230</v>
      </c>
      <c r="G9">
        <v>245</v>
      </c>
      <c r="H9">
        <v>220</v>
      </c>
      <c r="I9">
        <v>230</v>
      </c>
    </row>
    <row r="10" spans="1:10" x14ac:dyDescent="0.25">
      <c r="B10" t="s">
        <v>117</v>
      </c>
      <c r="C10">
        <v>210</v>
      </c>
      <c r="E10">
        <v>235</v>
      </c>
      <c r="F10">
        <v>230</v>
      </c>
      <c r="G10">
        <v>245</v>
      </c>
      <c r="H10">
        <v>220</v>
      </c>
      <c r="I10">
        <v>230</v>
      </c>
    </row>
    <row r="11" spans="1:10" x14ac:dyDescent="0.25">
      <c r="B11" t="s">
        <v>118</v>
      </c>
      <c r="C11">
        <v>60</v>
      </c>
      <c r="E11">
        <v>70</v>
      </c>
      <c r="F11">
        <v>80</v>
      </c>
      <c r="G11">
        <v>60</v>
      </c>
      <c r="H11">
        <v>100</v>
      </c>
      <c r="I11">
        <v>0</v>
      </c>
    </row>
    <row r="12" spans="1:10" x14ac:dyDescent="0.25">
      <c r="B12" t="s">
        <v>119</v>
      </c>
      <c r="C12">
        <v>60</v>
      </c>
      <c r="E12">
        <v>70</v>
      </c>
      <c r="F12">
        <v>80</v>
      </c>
      <c r="G12">
        <v>60</v>
      </c>
      <c r="H12">
        <v>100</v>
      </c>
      <c r="I12">
        <v>0</v>
      </c>
    </row>
    <row r="13" spans="1:10" x14ac:dyDescent="0.25">
      <c r="A13" s="11" t="s">
        <v>323</v>
      </c>
      <c r="B13" s="11" t="s">
        <v>324</v>
      </c>
    </row>
    <row r="14" spans="1:10" x14ac:dyDescent="0.25">
      <c r="B14" t="s">
        <v>120</v>
      </c>
      <c r="C14">
        <v>0</v>
      </c>
    </row>
    <row r="15" spans="1:10" x14ac:dyDescent="0.25">
      <c r="B15" t="s">
        <v>121</v>
      </c>
      <c r="C15">
        <v>1</v>
      </c>
      <c r="F15">
        <v>0</v>
      </c>
      <c r="G15">
        <v>0</v>
      </c>
    </row>
    <row r="16" spans="1:10" x14ac:dyDescent="0.25">
      <c r="B16" s="11" t="s">
        <v>122</v>
      </c>
    </row>
    <row r="17" spans="1:10" x14ac:dyDescent="0.25">
      <c r="B17" t="s">
        <v>123</v>
      </c>
      <c r="C17">
        <v>0</v>
      </c>
      <c r="E17">
        <v>30</v>
      </c>
    </row>
    <row r="18" spans="1:10" x14ac:dyDescent="0.25">
      <c r="B18" t="s">
        <v>124</v>
      </c>
      <c r="C18">
        <v>100</v>
      </c>
      <c r="E18">
        <v>50</v>
      </c>
    </row>
    <row r="19" spans="1:10" x14ac:dyDescent="0.25">
      <c r="B19" t="s">
        <v>125</v>
      </c>
      <c r="C19" s="1">
        <v>1</v>
      </c>
      <c r="D19" s="1"/>
    </row>
    <row r="20" spans="1:10" x14ac:dyDescent="0.25">
      <c r="B20" t="s">
        <v>126</v>
      </c>
      <c r="C20">
        <v>1</v>
      </c>
      <c r="E20">
        <v>2</v>
      </c>
    </row>
    <row r="21" spans="1:10" x14ac:dyDescent="0.25">
      <c r="B21" s="11" t="s">
        <v>127</v>
      </c>
    </row>
    <row r="22" spans="1:10" x14ac:dyDescent="0.25">
      <c r="B22" t="s">
        <v>128</v>
      </c>
      <c r="C22">
        <v>20</v>
      </c>
      <c r="J22" t="s">
        <v>320</v>
      </c>
    </row>
    <row r="23" spans="1:10" ht="30" x14ac:dyDescent="0.25">
      <c r="B23" t="s">
        <v>129</v>
      </c>
      <c r="C23">
        <v>5</v>
      </c>
      <c r="J23" s="3" t="s">
        <v>325</v>
      </c>
    </row>
    <row r="24" spans="1:10" x14ac:dyDescent="0.25">
      <c r="B24" t="s">
        <v>130</v>
      </c>
      <c r="C24">
        <v>10</v>
      </c>
    </row>
    <row r="25" spans="1:10" x14ac:dyDescent="0.25">
      <c r="A25" s="11" t="s">
        <v>275</v>
      </c>
      <c r="B25" s="11" t="s">
        <v>326</v>
      </c>
    </row>
    <row r="26" spans="1:10" x14ac:dyDescent="0.25">
      <c r="B26" t="s">
        <v>131</v>
      </c>
      <c r="C26" s="6" t="s">
        <v>154</v>
      </c>
      <c r="D26" t="s">
        <v>154</v>
      </c>
      <c r="E26" t="s">
        <v>153</v>
      </c>
      <c r="F26" t="s">
        <v>155</v>
      </c>
      <c r="G26" t="s">
        <v>231</v>
      </c>
      <c r="H26" t="s">
        <v>231</v>
      </c>
      <c r="I26" t="s">
        <v>231</v>
      </c>
    </row>
    <row r="27" spans="1:10" x14ac:dyDescent="0.25">
      <c r="B27" t="s">
        <v>132</v>
      </c>
      <c r="C27" s="6">
        <v>0</v>
      </c>
    </row>
    <row r="28" spans="1:10" x14ac:dyDescent="0.25">
      <c r="B28" s="11" t="s">
        <v>327</v>
      </c>
      <c r="C28" s="6"/>
    </row>
    <row r="29" spans="1:10" x14ac:dyDescent="0.25">
      <c r="B29" t="s">
        <v>133</v>
      </c>
      <c r="C29">
        <v>15</v>
      </c>
      <c r="D29">
        <v>11.5</v>
      </c>
      <c r="E29">
        <v>8</v>
      </c>
      <c r="F29">
        <v>10</v>
      </c>
      <c r="G29">
        <v>1.5</v>
      </c>
      <c r="H29">
        <v>1.5</v>
      </c>
      <c r="I29">
        <v>1.5</v>
      </c>
      <c r="J29" t="s">
        <v>328</v>
      </c>
    </row>
    <row r="30" spans="1:10" x14ac:dyDescent="0.25">
      <c r="B30" s="11" t="s">
        <v>329</v>
      </c>
    </row>
    <row r="31" spans="1:10" x14ac:dyDescent="0.25">
      <c r="B31" t="s">
        <v>134</v>
      </c>
      <c r="C31">
        <v>3</v>
      </c>
    </row>
    <row r="32" spans="1:10" x14ac:dyDescent="0.25">
      <c r="B32" t="s">
        <v>135</v>
      </c>
      <c r="C32">
        <v>28</v>
      </c>
    </row>
    <row r="33" spans="1:10" x14ac:dyDescent="0.25">
      <c r="B33" t="s">
        <v>136</v>
      </c>
      <c r="C33">
        <v>100</v>
      </c>
    </row>
    <row r="34" spans="1:10" x14ac:dyDescent="0.25">
      <c r="B34" t="s">
        <v>137</v>
      </c>
      <c r="C34">
        <v>90</v>
      </c>
    </row>
    <row r="35" spans="1:10" x14ac:dyDescent="0.25">
      <c r="B35" t="s">
        <v>138</v>
      </c>
      <c r="C35">
        <v>0</v>
      </c>
    </row>
    <row r="36" spans="1:10" x14ac:dyDescent="0.25">
      <c r="B36" t="s">
        <v>139</v>
      </c>
      <c r="C36">
        <v>0</v>
      </c>
    </row>
    <row r="37" spans="1:10" x14ac:dyDescent="0.25">
      <c r="B37" t="s">
        <v>140</v>
      </c>
      <c r="C37">
        <v>0</v>
      </c>
      <c r="J37" t="s">
        <v>321</v>
      </c>
    </row>
    <row r="38" spans="1:10" x14ac:dyDescent="0.25">
      <c r="B38" t="s">
        <v>141</v>
      </c>
      <c r="C38">
        <v>4</v>
      </c>
      <c r="J38" t="s">
        <v>330</v>
      </c>
    </row>
    <row r="39" spans="1:10" x14ac:dyDescent="0.25">
      <c r="B39" t="s">
        <v>142</v>
      </c>
      <c r="C39">
        <v>2.2000000000000002</v>
      </c>
      <c r="J39" t="s">
        <v>331</v>
      </c>
    </row>
    <row r="40" spans="1:10" x14ac:dyDescent="0.25">
      <c r="B40" t="s">
        <v>143</v>
      </c>
      <c r="C40">
        <v>3.4</v>
      </c>
      <c r="J40" t="s">
        <v>332</v>
      </c>
    </row>
    <row r="41" spans="1:10" x14ac:dyDescent="0.25">
      <c r="B41" t="s">
        <v>144</v>
      </c>
      <c r="C41">
        <v>15</v>
      </c>
      <c r="J41" t="s">
        <v>333</v>
      </c>
    </row>
    <row r="42" spans="1:10" x14ac:dyDescent="0.25">
      <c r="B42" t="s">
        <v>145</v>
      </c>
      <c r="C42" s="3"/>
      <c r="J42" t="s">
        <v>334</v>
      </c>
    </row>
    <row r="43" spans="1:10" x14ac:dyDescent="0.25">
      <c r="A43" s="11" t="s">
        <v>335</v>
      </c>
      <c r="B43" s="11" t="s">
        <v>336</v>
      </c>
    </row>
    <row r="44" spans="1:10" x14ac:dyDescent="0.25">
      <c r="B44" t="s">
        <v>146</v>
      </c>
      <c r="C44" t="s">
        <v>147</v>
      </c>
    </row>
    <row r="45" spans="1:10" x14ac:dyDescent="0.25">
      <c r="B45" t="s">
        <v>148</v>
      </c>
      <c r="C45" t="s">
        <v>149</v>
      </c>
    </row>
    <row r="46" spans="1:10" x14ac:dyDescent="0.25">
      <c r="A46" s="11" t="s">
        <v>281</v>
      </c>
      <c r="B46" s="11" t="s">
        <v>106</v>
      </c>
    </row>
    <row r="47" spans="1:10" x14ac:dyDescent="0.25">
      <c r="B47" t="s">
        <v>150</v>
      </c>
    </row>
    <row r="48" spans="1:10" x14ac:dyDescent="0.25">
      <c r="A48" s="11" t="s">
        <v>282</v>
      </c>
      <c r="B48" s="11" t="s">
        <v>108</v>
      </c>
    </row>
    <row r="49" spans="2:3" x14ac:dyDescent="0.25">
      <c r="B49" t="s">
        <v>151</v>
      </c>
      <c r="C49" t="str">
        <f>Printer_Name</f>
        <v>Ender3 Speed 0.5 nozzle</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83"/>
  <sheetViews>
    <sheetView workbookViewId="0">
      <pane ySplit="1" topLeftCell="A2" activePane="bottomLeft" state="frozen"/>
      <selection pane="bottomLeft" activeCell="C2" sqref="C2"/>
    </sheetView>
  </sheetViews>
  <sheetFormatPr defaultRowHeight="15" x14ac:dyDescent="0.25"/>
  <cols>
    <col min="1" max="1" width="13.7109375" bestFit="1" customWidth="1"/>
    <col min="2" max="2" width="32.85546875" bestFit="1" customWidth="1"/>
    <col min="3" max="3" width="61.28515625" style="6" customWidth="1"/>
    <col min="4" max="4" width="82.28515625" customWidth="1"/>
  </cols>
  <sheetData>
    <row r="1" spans="1:4" x14ac:dyDescent="0.25">
      <c r="A1" s="14" t="s">
        <v>253</v>
      </c>
      <c r="B1" s="14" t="s">
        <v>220</v>
      </c>
      <c r="C1" s="15" t="s">
        <v>360</v>
      </c>
      <c r="D1" s="15" t="s">
        <v>236</v>
      </c>
    </row>
    <row r="2" spans="1:4" x14ac:dyDescent="0.25">
      <c r="A2" s="11" t="s">
        <v>337</v>
      </c>
      <c r="B2" s="11" t="s">
        <v>338</v>
      </c>
    </row>
    <row r="3" spans="1:4" x14ac:dyDescent="0.25">
      <c r="B3" t="s">
        <v>157</v>
      </c>
      <c r="C3" s="6" t="s">
        <v>158</v>
      </c>
    </row>
    <row r="4" spans="1:4" x14ac:dyDescent="0.25">
      <c r="B4" t="s">
        <v>159</v>
      </c>
      <c r="C4" s="6">
        <v>250</v>
      </c>
    </row>
    <row r="5" spans="1:4" x14ac:dyDescent="0.25">
      <c r="B5" t="s">
        <v>160</v>
      </c>
      <c r="C5" s="6">
        <v>0.08</v>
      </c>
    </row>
    <row r="6" spans="1:4" x14ac:dyDescent="0.25">
      <c r="B6" s="11" t="s">
        <v>339</v>
      </c>
    </row>
    <row r="7" spans="1:4" x14ac:dyDescent="0.25">
      <c r="B7" t="s">
        <v>272</v>
      </c>
      <c r="C7" s="6">
        <v>1</v>
      </c>
    </row>
    <row r="8" spans="1:4" x14ac:dyDescent="0.25">
      <c r="B8" t="s">
        <v>162</v>
      </c>
      <c r="C8" s="6">
        <v>0</v>
      </c>
    </row>
    <row r="9" spans="1:4" x14ac:dyDescent="0.25">
      <c r="B9" s="11" t="s">
        <v>340</v>
      </c>
    </row>
    <row r="10" spans="1:4" x14ac:dyDescent="0.25">
      <c r="B10" t="s">
        <v>163</v>
      </c>
      <c r="C10" s="6" t="s">
        <v>164</v>
      </c>
    </row>
    <row r="11" spans="1:4" x14ac:dyDescent="0.25">
      <c r="B11" t="s">
        <v>355</v>
      </c>
      <c r="C11" s="6" t="s">
        <v>165</v>
      </c>
    </row>
    <row r="12" spans="1:4" x14ac:dyDescent="0.25">
      <c r="B12" t="s">
        <v>354</v>
      </c>
      <c r="C12" s="13" t="s">
        <v>166</v>
      </c>
    </row>
    <row r="13" spans="1:4" x14ac:dyDescent="0.25">
      <c r="B13" s="11" t="s">
        <v>341</v>
      </c>
      <c r="C13" s="13"/>
    </row>
    <row r="14" spans="1:4" x14ac:dyDescent="0.25">
      <c r="B14" t="s">
        <v>167</v>
      </c>
      <c r="C14" s="6" t="s">
        <v>168</v>
      </c>
    </row>
    <row r="15" spans="1:4" x14ac:dyDescent="0.25">
      <c r="B15" t="s">
        <v>169</v>
      </c>
      <c r="C15" s="6">
        <v>0</v>
      </c>
    </row>
    <row r="16" spans="1:4" x14ac:dyDescent="0.25">
      <c r="B16" t="s">
        <v>170</v>
      </c>
      <c r="C16" s="6">
        <v>0</v>
      </c>
    </row>
    <row r="17" spans="1:3" x14ac:dyDescent="0.25">
      <c r="B17" s="11" t="s">
        <v>252</v>
      </c>
    </row>
    <row r="18" spans="1:3" x14ac:dyDescent="0.25">
      <c r="B18" t="s">
        <v>171</v>
      </c>
      <c r="C18" s="6">
        <v>1</v>
      </c>
    </row>
    <row r="19" spans="1:3" x14ac:dyDescent="0.25">
      <c r="B19" t="s">
        <v>172</v>
      </c>
      <c r="C19" s="6">
        <v>0</v>
      </c>
    </row>
    <row r="20" spans="1:3" x14ac:dyDescent="0.25">
      <c r="B20" t="s">
        <v>173</v>
      </c>
      <c r="C20" s="6">
        <v>0</v>
      </c>
    </row>
    <row r="21" spans="1:3" x14ac:dyDescent="0.25">
      <c r="B21" t="s">
        <v>174</v>
      </c>
      <c r="C21" s="6">
        <v>1</v>
      </c>
    </row>
    <row r="22" spans="1:3" x14ac:dyDescent="0.25">
      <c r="A22" s="11" t="s">
        <v>342</v>
      </c>
      <c r="B22" s="11" t="s">
        <v>344</v>
      </c>
    </row>
    <row r="23" spans="1:3" x14ac:dyDescent="0.25">
      <c r="B23" t="s">
        <v>180</v>
      </c>
      <c r="C23" s="6">
        <v>150</v>
      </c>
    </row>
    <row r="24" spans="1:3" x14ac:dyDescent="0.25">
      <c r="B24" t="s">
        <v>181</v>
      </c>
      <c r="C24" s="6">
        <v>150</v>
      </c>
    </row>
    <row r="25" spans="1:3" x14ac:dyDescent="0.25">
      <c r="B25" t="s">
        <v>182</v>
      </c>
      <c r="C25" s="6">
        <v>5</v>
      </c>
    </row>
    <row r="26" spans="1:3" x14ac:dyDescent="0.25">
      <c r="B26" t="s">
        <v>183</v>
      </c>
      <c r="C26" s="6">
        <v>100</v>
      </c>
    </row>
    <row r="27" spans="1:3" x14ac:dyDescent="0.25">
      <c r="B27" s="11" t="s">
        <v>345</v>
      </c>
    </row>
    <row r="28" spans="1:3" x14ac:dyDescent="0.25">
      <c r="B28" t="s">
        <v>184</v>
      </c>
      <c r="C28" s="6">
        <v>500</v>
      </c>
    </row>
    <row r="29" spans="1:3" x14ac:dyDescent="0.25">
      <c r="B29" t="s">
        <v>185</v>
      </c>
      <c r="C29" s="6">
        <v>500</v>
      </c>
    </row>
    <row r="30" spans="1:3" x14ac:dyDescent="0.25">
      <c r="B30" t="s">
        <v>186</v>
      </c>
      <c r="C30" s="6">
        <v>100</v>
      </c>
    </row>
    <row r="31" spans="1:3" x14ac:dyDescent="0.25">
      <c r="B31" t="s">
        <v>187</v>
      </c>
      <c r="C31" s="6">
        <v>500</v>
      </c>
    </row>
    <row r="32" spans="1:3" x14ac:dyDescent="0.25">
      <c r="B32" t="s">
        <v>188</v>
      </c>
      <c r="C32" s="6">
        <v>500</v>
      </c>
    </row>
    <row r="33" spans="1:3" x14ac:dyDescent="0.25">
      <c r="B33" t="s">
        <v>189</v>
      </c>
      <c r="C33" s="6">
        <v>500</v>
      </c>
    </row>
    <row r="34" spans="1:3" x14ac:dyDescent="0.25">
      <c r="B34" s="11" t="s">
        <v>346</v>
      </c>
    </row>
    <row r="35" spans="1:3" x14ac:dyDescent="0.25">
      <c r="B35" t="s">
        <v>190</v>
      </c>
      <c r="C35" s="6">
        <v>10</v>
      </c>
    </row>
    <row r="36" spans="1:3" x14ac:dyDescent="0.25">
      <c r="B36" t="s">
        <v>191</v>
      </c>
      <c r="C36" s="6">
        <v>10</v>
      </c>
    </row>
    <row r="37" spans="1:3" x14ac:dyDescent="0.25">
      <c r="B37" t="s">
        <v>192</v>
      </c>
      <c r="C37" s="6">
        <v>0.2</v>
      </c>
    </row>
    <row r="38" spans="1:3" x14ac:dyDescent="0.25">
      <c r="B38" t="s">
        <v>193</v>
      </c>
      <c r="C38" s="6">
        <v>2.5</v>
      </c>
    </row>
    <row r="39" spans="1:3" x14ac:dyDescent="0.25">
      <c r="B39" s="11" t="s">
        <v>347</v>
      </c>
    </row>
    <row r="40" spans="1:3" x14ac:dyDescent="0.25">
      <c r="B40" t="s">
        <v>194</v>
      </c>
      <c r="C40" s="6">
        <v>0</v>
      </c>
    </row>
    <row r="41" spans="1:3" x14ac:dyDescent="0.25">
      <c r="B41" t="s">
        <v>195</v>
      </c>
      <c r="C41" s="6">
        <v>0</v>
      </c>
    </row>
    <row r="42" spans="1:3" x14ac:dyDescent="0.25">
      <c r="A42" s="11" t="s">
        <v>343</v>
      </c>
      <c r="B42" s="11" t="s">
        <v>348</v>
      </c>
    </row>
    <row r="43" spans="1:3" x14ac:dyDescent="0.25">
      <c r="B43" t="s">
        <v>161</v>
      </c>
      <c r="C43" s="6">
        <f>Nozzle_Diameter</f>
        <v>0.5</v>
      </c>
    </row>
    <row r="44" spans="1:3" x14ac:dyDescent="0.25">
      <c r="B44" s="11" t="s">
        <v>349</v>
      </c>
    </row>
    <row r="45" spans="1:3" x14ac:dyDescent="0.25">
      <c r="B45" t="s">
        <v>196</v>
      </c>
      <c r="C45" s="6">
        <f>Min_Layer_Height</f>
        <v>0.1</v>
      </c>
    </row>
    <row r="46" spans="1:3" x14ac:dyDescent="0.25">
      <c r="B46" t="s">
        <v>197</v>
      </c>
      <c r="C46" s="6">
        <f>Max_Layer_Height</f>
        <v>0.4</v>
      </c>
    </row>
    <row r="47" spans="1:3" x14ac:dyDescent="0.25">
      <c r="B47" s="11" t="s">
        <v>350</v>
      </c>
    </row>
    <row r="48" spans="1:3" x14ac:dyDescent="0.25">
      <c r="B48" t="s">
        <v>198</v>
      </c>
      <c r="C48" s="6" t="s">
        <v>199</v>
      </c>
    </row>
    <row r="49" spans="2:3" x14ac:dyDescent="0.25">
      <c r="B49" s="11" t="s">
        <v>351</v>
      </c>
    </row>
    <row r="50" spans="2:3" x14ac:dyDescent="0.25">
      <c r="B50" t="s">
        <v>200</v>
      </c>
      <c r="C50" s="6">
        <v>4</v>
      </c>
    </row>
    <row r="51" spans="2:3" x14ac:dyDescent="0.25">
      <c r="B51" t="s">
        <v>201</v>
      </c>
      <c r="C51" s="6">
        <v>0.2</v>
      </c>
    </row>
    <row r="52" spans="2:3" x14ac:dyDescent="0.25">
      <c r="B52" t="s">
        <v>202</v>
      </c>
      <c r="C52" s="6">
        <v>0</v>
      </c>
    </row>
    <row r="53" spans="2:3" x14ac:dyDescent="0.25">
      <c r="B53" t="s">
        <v>203</v>
      </c>
      <c r="C53" s="6">
        <v>239</v>
      </c>
    </row>
    <row r="54" spans="2:3" x14ac:dyDescent="0.25">
      <c r="B54" t="s">
        <v>204</v>
      </c>
      <c r="C54" s="6">
        <v>25</v>
      </c>
    </row>
    <row r="55" spans="2:3" x14ac:dyDescent="0.25">
      <c r="B55" t="s">
        <v>205</v>
      </c>
      <c r="C55" s="6">
        <v>20</v>
      </c>
    </row>
    <row r="56" spans="2:3" x14ac:dyDescent="0.25">
      <c r="B56" t="s">
        <v>206</v>
      </c>
      <c r="C56" s="6">
        <v>0</v>
      </c>
    </row>
    <row r="57" spans="2:3" x14ac:dyDescent="0.25">
      <c r="B57" t="s">
        <v>207</v>
      </c>
      <c r="C57" s="6">
        <f>C43*2</f>
        <v>1</v>
      </c>
    </row>
    <row r="58" spans="2:3" x14ac:dyDescent="0.25">
      <c r="B58" t="s">
        <v>208</v>
      </c>
      <c r="C58" s="6">
        <v>1</v>
      </c>
    </row>
    <row r="59" spans="2:3" x14ac:dyDescent="0.25">
      <c r="B59" t="s">
        <v>209</v>
      </c>
      <c r="C59" s="6">
        <v>1</v>
      </c>
    </row>
    <row r="60" spans="2:3" x14ac:dyDescent="0.25">
      <c r="B60" t="s">
        <v>210</v>
      </c>
      <c r="C60" s="8">
        <v>0.8</v>
      </c>
    </row>
    <row r="61" spans="2:3" x14ac:dyDescent="0.25">
      <c r="B61" s="11" t="s">
        <v>352</v>
      </c>
      <c r="C61" s="8"/>
    </row>
    <row r="62" spans="2:3" x14ac:dyDescent="0.25">
      <c r="B62" t="s">
        <v>211</v>
      </c>
      <c r="C62" s="6">
        <v>0</v>
      </c>
    </row>
    <row r="63" spans="2:3" x14ac:dyDescent="0.25">
      <c r="B63" t="s">
        <v>212</v>
      </c>
      <c r="C63" s="6">
        <v>0</v>
      </c>
    </row>
    <row r="64" spans="2:3" x14ac:dyDescent="0.25">
      <c r="B64" s="11" t="s">
        <v>353</v>
      </c>
    </row>
    <row r="65" spans="1:4" x14ac:dyDescent="0.25">
      <c r="B65" t="s">
        <v>213</v>
      </c>
      <c r="C65" s="6" t="s">
        <v>214</v>
      </c>
    </row>
    <row r="66" spans="1:4" x14ac:dyDescent="0.25">
      <c r="A66" s="11" t="s">
        <v>281</v>
      </c>
      <c r="B66" s="11" t="s">
        <v>106</v>
      </c>
    </row>
    <row r="67" spans="1:4" ht="75" x14ac:dyDescent="0.25">
      <c r="B67" t="s">
        <v>232</v>
      </c>
      <c r="C67" s="7"/>
      <c r="D67" s="3" t="s">
        <v>215</v>
      </c>
    </row>
    <row r="68" spans="1:4" x14ac:dyDescent="0.25">
      <c r="A68" s="11" t="s">
        <v>282</v>
      </c>
    </row>
    <row r="69" spans="1:4" x14ac:dyDescent="0.25">
      <c r="B69" t="s">
        <v>219</v>
      </c>
    </row>
    <row r="70" spans="1:4" x14ac:dyDescent="0.25">
      <c r="B70" t="s">
        <v>218</v>
      </c>
    </row>
    <row r="71" spans="1:4" x14ac:dyDescent="0.25">
      <c r="B71" t="s">
        <v>217</v>
      </c>
      <c r="C71" s="6">
        <f>C43</f>
        <v>0.5</v>
      </c>
    </row>
    <row r="72" spans="1:4" x14ac:dyDescent="0.25">
      <c r="B72" t="s">
        <v>356</v>
      </c>
      <c r="C72" s="6" t="s">
        <v>360</v>
      </c>
    </row>
    <row r="73" spans="1:4" x14ac:dyDescent="0.25">
      <c r="B73" t="s">
        <v>216</v>
      </c>
    </row>
    <row r="74" spans="1:4" x14ac:dyDescent="0.25">
      <c r="B74" t="s">
        <v>357</v>
      </c>
    </row>
    <row r="75" spans="1:4" x14ac:dyDescent="0.25">
      <c r="B75" t="s">
        <v>358</v>
      </c>
    </row>
    <row r="76" spans="1:4" x14ac:dyDescent="0.25">
      <c r="B76" t="s">
        <v>359</v>
      </c>
    </row>
    <row r="77" spans="1:4" x14ac:dyDescent="0.25">
      <c r="A77" t="s">
        <v>335</v>
      </c>
      <c r="B77" t="s">
        <v>336</v>
      </c>
    </row>
    <row r="78" spans="1:4" ht="360" x14ac:dyDescent="0.25">
      <c r="B78" t="s">
        <v>175</v>
      </c>
      <c r="C78" s="16" t="s">
        <v>369</v>
      </c>
    </row>
    <row r="79" spans="1:4" ht="210" x14ac:dyDescent="0.25">
      <c r="B79" t="s">
        <v>176</v>
      </c>
      <c r="C79" s="17" t="s">
        <v>233</v>
      </c>
    </row>
    <row r="80" spans="1:4" ht="60" x14ac:dyDescent="0.25">
      <c r="B80" t="s">
        <v>177</v>
      </c>
      <c r="C80" s="17" t="s">
        <v>234</v>
      </c>
    </row>
    <row r="81" spans="2:3" ht="60" x14ac:dyDescent="0.25">
      <c r="B81" t="s">
        <v>178</v>
      </c>
      <c r="C81" s="17" t="s">
        <v>235</v>
      </c>
    </row>
    <row r="82" spans="2:3" x14ac:dyDescent="0.25">
      <c r="B82" t="s">
        <v>179</v>
      </c>
    </row>
    <row r="83" spans="2:3" x14ac:dyDescent="0.25">
      <c r="B83" t="s">
        <v>221</v>
      </c>
    </row>
  </sheetData>
  <pageMargins left="0.7" right="0.7" top="0.75" bottom="0.75" header="0.3" footer="0.3"/>
  <tableParts count="1">
    <tablePart r:id="rId1"/>
  </tableParts>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spec</vt:lpstr>
      <vt:lpstr>print</vt:lpstr>
      <vt:lpstr>filament</vt:lpstr>
      <vt:lpstr>printer</vt:lpstr>
      <vt:lpstr>APPDATA_FOLDER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2019-04-05T02:48:55Z</dcterms:modified>
</cp:coreProperties>
</file>