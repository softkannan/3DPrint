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G:\github\3DPrint\slicer\for_marlin\Anycubic_PrusaSlicer_Generator_Titan_DD\"/>
    </mc:Choice>
  </mc:AlternateContent>
  <xr:revisionPtr revIDLastSave="0" documentId="13_ncr:1_{17A22A75-FDBB-4153-8791-2607DB088584}" xr6:coauthVersionLast="45" xr6:coauthVersionMax="45" xr10:uidLastSave="{00000000-0000-0000-0000-000000000000}"/>
  <bookViews>
    <workbookView xWindow="-120" yWindow="-120" windowWidth="29040" windowHeight="15840" activeTab="7"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junction_deviation">printer!$C$46</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printer!$C$27</definedName>
    <definedName name="Printer_Name">spec!$B$4</definedName>
    <definedName name="SpeedType">spec!$B$9</definedName>
    <definedName name="z_offset_klipper">printer!$C$10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67" i="2" l="1"/>
  <c r="C67" i="10"/>
  <c r="C95" i="5"/>
  <c r="C116" i="2" l="1"/>
  <c r="C117" i="2"/>
  <c r="C118" i="2"/>
  <c r="C119" i="2"/>
  <c r="C112" i="2"/>
  <c r="C113" i="2"/>
  <c r="C114" i="2"/>
  <c r="C116" i="10"/>
  <c r="C117" i="10"/>
  <c r="C118" i="10"/>
  <c r="C119" i="10"/>
  <c r="C112" i="10"/>
  <c r="C113" i="10"/>
  <c r="C114" i="10"/>
  <c r="C116" i="11"/>
  <c r="C117" i="11"/>
  <c r="C118" i="11"/>
  <c r="C119" i="11"/>
  <c r="C112" i="11"/>
  <c r="C113" i="11"/>
  <c r="C114" i="11"/>
  <c r="C96" i="5"/>
  <c r="B3" i="6" l="1"/>
  <c r="D67" i="3"/>
  <c r="D66" i="3"/>
  <c r="C23" i="11" l="1"/>
  <c r="C23" i="2"/>
  <c r="C23" i="10"/>
  <c r="F67" i="2"/>
  <c r="G67" i="2"/>
  <c r="C67" i="11"/>
  <c r="K16" i="6"/>
  <c r="J16" i="6"/>
  <c r="K15" i="6"/>
  <c r="J15" i="6"/>
  <c r="J3" i="6"/>
  <c r="J14" i="6" s="1"/>
  <c r="K3" i="6"/>
  <c r="K14" i="6" s="1"/>
  <c r="G74" i="2"/>
  <c r="F73" i="2"/>
  <c r="G70" i="2"/>
  <c r="F77" i="2"/>
  <c r="F69" i="2"/>
  <c r="F76" i="2"/>
  <c r="G73" i="2"/>
  <c r="F74" i="2"/>
  <c r="G72" i="2"/>
  <c r="F68" i="2"/>
  <c r="G77" i="2"/>
  <c r="G71" i="2"/>
  <c r="G68" i="2"/>
  <c r="F72" i="2"/>
  <c r="G69" i="2"/>
  <c r="F71" i="2"/>
  <c r="G76" i="2"/>
  <c r="F70" i="2"/>
  <c r="B4" i="6" l="1"/>
  <c r="N90" i="2"/>
  <c r="E90" i="2"/>
  <c r="K90" i="2"/>
  <c r="I90" i="2"/>
  <c r="D90" i="2"/>
  <c r="J90" i="2"/>
  <c r="L90" i="2"/>
  <c r="M90" i="2"/>
  <c r="H90" i="2"/>
  <c r="K67" i="2" l="1"/>
  <c r="E67" i="2"/>
  <c r="L67" i="2"/>
  <c r="H67" i="2"/>
  <c r="I67" i="2"/>
  <c r="D67" i="2"/>
  <c r="J67" i="2"/>
  <c r="N67" i="2"/>
  <c r="M67" i="2"/>
  <c r="C143" i="11"/>
  <c r="C143" i="10"/>
  <c r="C143" i="2"/>
  <c r="M3" i="14"/>
  <c r="M4" i="14"/>
  <c r="M5" i="14"/>
  <c r="M6" i="14"/>
  <c r="M7" i="14"/>
  <c r="M8" i="14"/>
  <c r="M9" i="14"/>
  <c r="M10" i="14"/>
  <c r="M11" i="14"/>
  <c r="M12" i="14"/>
  <c r="M13" i="14"/>
  <c r="M14" i="14"/>
  <c r="M15" i="14"/>
  <c r="M16" i="14"/>
  <c r="M2" i="14"/>
  <c r="T4" i="13"/>
  <c r="T5" i="13"/>
  <c r="T6" i="13"/>
  <c r="T7" i="13"/>
  <c r="T8" i="13"/>
  <c r="T9" i="13"/>
  <c r="T10" i="13"/>
  <c r="T11" i="13"/>
  <c r="T12" i="13"/>
  <c r="T13" i="13"/>
  <c r="T14" i="13"/>
  <c r="T15" i="13"/>
  <c r="T16" i="13"/>
  <c r="T17" i="13"/>
  <c r="T3" i="13"/>
  <c r="S5" i="13"/>
  <c r="S6" i="13"/>
  <c r="S7" i="13"/>
  <c r="S8" i="13"/>
  <c r="S9" i="13"/>
  <c r="S10" i="13"/>
  <c r="S11" i="13"/>
  <c r="S12" i="13"/>
  <c r="S4" i="13"/>
  <c r="R4" i="13"/>
  <c r="R5" i="13"/>
  <c r="R6" i="13"/>
  <c r="R7" i="13"/>
  <c r="R8" i="13"/>
  <c r="R9" i="13"/>
  <c r="R10" i="13"/>
  <c r="R11" i="13"/>
  <c r="R12" i="13"/>
  <c r="A4" i="13"/>
  <c r="A5" i="13"/>
  <c r="A6" i="13"/>
  <c r="A7" i="13"/>
  <c r="A8" i="13"/>
  <c r="A9" i="13"/>
  <c r="A10" i="13"/>
  <c r="A11" i="13"/>
  <c r="A12" i="13"/>
  <c r="A13" i="13"/>
  <c r="A14" i="13"/>
  <c r="A15" i="13"/>
  <c r="A16" i="13"/>
  <c r="A17" i="13"/>
  <c r="A3" i="13"/>
  <c r="O3" i="13"/>
  <c r="O4" i="13"/>
  <c r="O5" i="13"/>
  <c r="O6" i="13"/>
  <c r="O7" i="13"/>
  <c r="O8" i="13"/>
  <c r="O9" i="13"/>
  <c r="O10" i="13"/>
  <c r="O11" i="13"/>
  <c r="O12" i="13"/>
  <c r="O13" i="13"/>
  <c r="O14" i="13"/>
  <c r="O15" i="13"/>
  <c r="O16" i="13"/>
  <c r="O17" i="13"/>
  <c r="B4" i="13"/>
  <c r="B12" i="13"/>
  <c r="F4" i="13" l="1"/>
  <c r="E4" i="13"/>
  <c r="F12" i="13"/>
  <c r="E12" i="13"/>
  <c r="H12" i="13"/>
  <c r="C12" i="13"/>
  <c r="J4" i="13"/>
  <c r="H4" i="13"/>
  <c r="D4" i="13"/>
  <c r="G12" i="13"/>
  <c r="M4" i="13"/>
  <c r="J12" i="13"/>
  <c r="K12" i="13"/>
  <c r="I4" i="13"/>
  <c r="I12" i="13"/>
  <c r="C4" i="13"/>
  <c r="L12" i="13"/>
  <c r="G4" i="13"/>
  <c r="L4" i="13"/>
  <c r="M12" i="13"/>
  <c r="D12" i="13"/>
  <c r="K4" i="13"/>
  <c r="C63" i="11"/>
  <c r="C55" i="11"/>
  <c r="C60" i="11"/>
  <c r="B5" i="13"/>
  <c r="B14" i="13"/>
  <c r="B15" i="13"/>
  <c r="B7" i="13"/>
  <c r="B9" i="13"/>
  <c r="B8" i="13"/>
  <c r="B3" i="13"/>
  <c r="B6" i="13"/>
  <c r="E30" i="3"/>
  <c r="B10" i="13"/>
  <c r="B16" i="13"/>
  <c r="B13" i="13"/>
  <c r="B11" i="13"/>
  <c r="B17" i="13"/>
  <c r="N90" i="11"/>
  <c r="K90" i="11"/>
  <c r="J90" i="11"/>
  <c r="E90" i="11"/>
  <c r="D90" i="11"/>
  <c r="H90" i="11"/>
  <c r="M90" i="11"/>
  <c r="L90" i="11"/>
  <c r="F90" i="11"/>
  <c r="G90" i="11"/>
  <c r="I90" i="11"/>
  <c r="F67" i="11" l="1"/>
  <c r="G67" i="11"/>
  <c r="D67" i="11"/>
  <c r="K67" i="11"/>
  <c r="L67" i="11"/>
  <c r="H67" i="11"/>
  <c r="I67" i="11"/>
  <c r="N67" i="11"/>
  <c r="J67" i="11"/>
  <c r="M67" i="11"/>
  <c r="E67" i="11"/>
  <c r="E7" i="13"/>
  <c r="F7" i="13"/>
  <c r="E9" i="13"/>
  <c r="F9" i="13"/>
  <c r="E11" i="13"/>
  <c r="F11" i="13"/>
  <c r="E3" i="13"/>
  <c r="F3" i="13"/>
  <c r="F8" i="13"/>
  <c r="E8" i="13"/>
  <c r="F10" i="13"/>
  <c r="E10" i="13"/>
  <c r="E5" i="13"/>
  <c r="F5" i="13"/>
  <c r="F6" i="13"/>
  <c r="E6" i="13"/>
  <c r="C8" i="13"/>
  <c r="I8" i="13"/>
  <c r="H8" i="13"/>
  <c r="L8" i="13"/>
  <c r="K8" i="13"/>
  <c r="D8" i="13"/>
  <c r="M8" i="13"/>
  <c r="J8" i="13"/>
  <c r="G8" i="13"/>
  <c r="C15" i="13"/>
  <c r="J15" i="13"/>
  <c r="I15" i="13"/>
  <c r="D15" i="13"/>
  <c r="M15" i="13"/>
  <c r="L15" i="13"/>
  <c r="G15" i="13"/>
  <c r="K15" i="13"/>
  <c r="H15" i="13"/>
  <c r="L16" i="13"/>
  <c r="J16" i="13"/>
  <c r="I16" i="13"/>
  <c r="D16" i="13"/>
  <c r="M16" i="13"/>
  <c r="H16" i="13"/>
  <c r="C16" i="13"/>
  <c r="G16" i="13"/>
  <c r="K16" i="13"/>
  <c r="G10" i="13"/>
  <c r="L10" i="13"/>
  <c r="K10" i="13"/>
  <c r="H10" i="13"/>
  <c r="J10" i="13"/>
  <c r="I10" i="13"/>
  <c r="M10" i="13"/>
  <c r="D10" i="13"/>
  <c r="C10" i="13"/>
  <c r="J6" i="13"/>
  <c r="H6" i="13"/>
  <c r="G6" i="13"/>
  <c r="K6" i="13"/>
  <c r="D6" i="13"/>
  <c r="M6" i="13"/>
  <c r="I6" i="13"/>
  <c r="C6" i="13"/>
  <c r="L6" i="13"/>
  <c r="M3" i="13"/>
  <c r="C3" i="13"/>
  <c r="D3" i="13"/>
  <c r="H3" i="13"/>
  <c r="J3" i="13"/>
  <c r="L3" i="13"/>
  <c r="G3" i="13"/>
  <c r="K3" i="13"/>
  <c r="I3" i="13"/>
  <c r="H5" i="13"/>
  <c r="G5" i="13"/>
  <c r="D5" i="13"/>
  <c r="C5" i="13"/>
  <c r="J5" i="13"/>
  <c r="M5" i="13"/>
  <c r="K5" i="13"/>
  <c r="I5" i="13"/>
  <c r="L5" i="13"/>
  <c r="G13" i="13"/>
  <c r="L13" i="13"/>
  <c r="D13" i="13"/>
  <c r="K13" i="13"/>
  <c r="H13" i="13"/>
  <c r="J13" i="13"/>
  <c r="C13" i="13"/>
  <c r="I13" i="13"/>
  <c r="M13" i="13"/>
  <c r="K7" i="13"/>
  <c r="I7" i="13"/>
  <c r="H7" i="13"/>
  <c r="L7" i="13"/>
  <c r="G7" i="13"/>
  <c r="D7" i="13"/>
  <c r="M7" i="13"/>
  <c r="J7" i="13"/>
  <c r="C7" i="13"/>
  <c r="K14" i="13"/>
  <c r="I14" i="13"/>
  <c r="H14" i="13"/>
  <c r="L14" i="13"/>
  <c r="G14" i="13"/>
  <c r="M14" i="13"/>
  <c r="D14" i="13"/>
  <c r="C14" i="13"/>
  <c r="J14" i="13"/>
  <c r="H11" i="13"/>
  <c r="D11" i="13"/>
  <c r="M11" i="13"/>
  <c r="L11" i="13"/>
  <c r="I11" i="13"/>
  <c r="K11" i="13"/>
  <c r="J11" i="13"/>
  <c r="C11" i="13"/>
  <c r="G11" i="13"/>
  <c r="D9" i="13"/>
  <c r="M9" i="13"/>
  <c r="K9" i="13"/>
  <c r="J9" i="13"/>
  <c r="G9" i="13"/>
  <c r="I9" i="13"/>
  <c r="H9" i="13"/>
  <c r="L9" i="13"/>
  <c r="C9" i="13"/>
  <c r="C115" i="11"/>
  <c r="C115" i="10"/>
  <c r="C115" i="2"/>
  <c r="F30" i="3"/>
  <c r="C66" i="5"/>
  <c r="C70" i="5"/>
  <c r="C64" i="5"/>
  <c r="C63" i="5"/>
  <c r="G30" i="3"/>
  <c r="C9" i="5"/>
  <c r="C58" i="5"/>
  <c r="C59" i="5"/>
  <c r="I30" i="3"/>
  <c r="C62" i="5"/>
  <c r="J30" i="3"/>
  <c r="C10" i="5"/>
  <c r="H30" i="3"/>
  <c r="D30" i="3"/>
  <c r="C65" i="5"/>
  <c r="F74" i="11"/>
  <c r="L90" i="10"/>
  <c r="M90" i="10"/>
  <c r="G71" i="11"/>
  <c r="G77" i="11"/>
  <c r="G76" i="11"/>
  <c r="G72" i="11"/>
  <c r="N90" i="10"/>
  <c r="G73" i="11"/>
  <c r="F69" i="11"/>
  <c r="F90" i="10"/>
  <c r="G74" i="11"/>
  <c r="J90" i="10"/>
  <c r="F70" i="11"/>
  <c r="G69" i="11"/>
  <c r="I90" i="10"/>
  <c r="F68" i="11"/>
  <c r="G68" i="11"/>
  <c r="G90" i="10"/>
  <c r="F77" i="11"/>
  <c r="G70" i="11"/>
  <c r="F72" i="11"/>
  <c r="F73" i="11"/>
  <c r="E90" i="10"/>
  <c r="F76" i="11"/>
  <c r="D90" i="10"/>
  <c r="K90" i="10"/>
  <c r="H90" i="10"/>
  <c r="F71" i="11"/>
  <c r="F67" i="10" l="1"/>
  <c r="G67" i="10"/>
  <c r="D67" i="10"/>
  <c r="M67" i="10"/>
  <c r="E67" i="10"/>
  <c r="H67" i="10"/>
  <c r="L67" i="10"/>
  <c r="I67" i="10"/>
  <c r="K67" i="10"/>
  <c r="N67" i="10"/>
  <c r="J67" i="10"/>
  <c r="I3" i="6"/>
  <c r="I14" i="6" s="1"/>
  <c r="L3" i="6"/>
  <c r="L14" i="6" s="1"/>
  <c r="M3" i="6"/>
  <c r="M14" i="6" s="1"/>
  <c r="N3" i="6"/>
  <c r="N14" i="6" s="1"/>
  <c r="O3" i="6"/>
  <c r="O14" i="6" s="1"/>
  <c r="P3" i="6"/>
  <c r="P14" i="6" s="1"/>
  <c r="Q3" i="6"/>
  <c r="Q14" i="6" s="1"/>
  <c r="R3" i="6"/>
  <c r="R14" i="6" s="1"/>
  <c r="H3" i="6"/>
  <c r="H14" i="6" s="1"/>
  <c r="R4" i="6"/>
  <c r="R15" i="6" s="1"/>
  <c r="R5" i="6"/>
  <c r="R16" i="6" s="1"/>
  <c r="Q4" i="6"/>
  <c r="Q15" i="6" s="1"/>
  <c r="Q5" i="6"/>
  <c r="Q16" i="6" s="1"/>
  <c r="P4" i="6"/>
  <c r="P15" i="6" s="1"/>
  <c r="P5" i="6"/>
  <c r="P16" i="6" s="1"/>
  <c r="O4" i="6"/>
  <c r="O15" i="6" s="1"/>
  <c r="O5" i="6"/>
  <c r="O16" i="6" s="1"/>
  <c r="N4" i="6"/>
  <c r="N15" i="6" s="1"/>
  <c r="N5" i="6"/>
  <c r="N16" i="6" s="1"/>
  <c r="M4" i="6"/>
  <c r="M15" i="6" s="1"/>
  <c r="M5" i="6"/>
  <c r="M16" i="6" s="1"/>
  <c r="L4" i="6"/>
  <c r="L15" i="6" s="1"/>
  <c r="L5" i="6"/>
  <c r="L16" i="6" s="1"/>
  <c r="I4" i="6"/>
  <c r="I15" i="6" s="1"/>
  <c r="I5" i="6"/>
  <c r="I16" i="6" s="1"/>
  <c r="H4" i="6"/>
  <c r="H15" i="6" s="1"/>
  <c r="H5" i="6"/>
  <c r="H16" i="6" s="1"/>
  <c r="D11" i="10"/>
  <c r="H11" i="11"/>
  <c r="I11" i="2"/>
  <c r="K11" i="2"/>
  <c r="L11" i="11"/>
  <c r="D12" i="10"/>
  <c r="J11" i="2"/>
  <c r="N11" i="11"/>
  <c r="H12" i="10"/>
  <c r="J12" i="11"/>
  <c r="H12" i="11"/>
  <c r="I11" i="11"/>
  <c r="N12" i="11"/>
  <c r="D11" i="11"/>
  <c r="I12" i="10"/>
  <c r="I11" i="10"/>
  <c r="L12" i="2"/>
  <c r="L12" i="11"/>
  <c r="D12" i="11"/>
  <c r="E12" i="2"/>
  <c r="D12" i="2"/>
  <c r="E11" i="11"/>
  <c r="L11" i="10"/>
  <c r="J11" i="10"/>
  <c r="M12" i="11"/>
  <c r="N11" i="2"/>
  <c r="E11" i="10"/>
  <c r="K11" i="10"/>
  <c r="K12" i="11"/>
  <c r="I12" i="2"/>
  <c r="N12" i="2"/>
  <c r="K12" i="10"/>
  <c r="M11" i="11"/>
  <c r="H11" i="10"/>
  <c r="M12" i="10"/>
  <c r="E12" i="11"/>
  <c r="L12" i="10"/>
  <c r="H11" i="2"/>
  <c r="D11" i="2"/>
  <c r="N11" i="10"/>
  <c r="M12" i="2"/>
  <c r="K12" i="2"/>
  <c r="M11" i="10"/>
  <c r="M11" i="2"/>
  <c r="J12" i="2"/>
  <c r="K11" i="11"/>
  <c r="N12" i="10"/>
  <c r="H12" i="2"/>
  <c r="E12" i="10"/>
  <c r="L11" i="2"/>
  <c r="E11" i="2"/>
  <c r="J12" i="10"/>
  <c r="I12" i="11"/>
  <c r="J11" i="11"/>
  <c r="G77" i="10"/>
  <c r="F68" i="10"/>
  <c r="G69" i="10"/>
  <c r="F70" i="10"/>
  <c r="G72" i="10"/>
  <c r="G74" i="10"/>
  <c r="F69" i="10"/>
  <c r="G73" i="10"/>
  <c r="G76" i="10"/>
  <c r="F76" i="10"/>
  <c r="F74" i="10"/>
  <c r="G71" i="10"/>
  <c r="G68" i="10"/>
  <c r="F72" i="10"/>
  <c r="F73" i="10"/>
  <c r="F77" i="10"/>
  <c r="F71" i="10"/>
  <c r="G70" i="10"/>
  <c r="C121" i="11" l="1"/>
  <c r="C87" i="11"/>
  <c r="C86" i="11"/>
  <c r="C85" i="11"/>
  <c r="C84" i="11"/>
  <c r="C83" i="11"/>
  <c r="C75" i="11"/>
  <c r="C43" i="11"/>
  <c r="C33" i="11"/>
  <c r="C121" i="2" l="1"/>
  <c r="C75" i="10"/>
  <c r="C121" i="10"/>
  <c r="C75" i="2"/>
  <c r="C98" i="5"/>
  <c r="C97" i="5"/>
  <c r="F66" i="3"/>
  <c r="G67" i="3"/>
  <c r="E67" i="3"/>
  <c r="I66" i="3"/>
  <c r="J66" i="3"/>
  <c r="H67" i="3"/>
  <c r="H66" i="3"/>
  <c r="I67" i="3"/>
  <c r="G66" i="3"/>
  <c r="J67" i="3"/>
  <c r="E66" i="3"/>
  <c r="F67" i="3"/>
  <c r="E8" i="2"/>
  <c r="L8" i="10"/>
  <c r="N8" i="10"/>
  <c r="I8" i="2"/>
  <c r="H8" i="2"/>
  <c r="J8" i="11"/>
  <c r="M8" i="11"/>
  <c r="K8" i="11"/>
  <c r="H8" i="11"/>
  <c r="L8" i="11"/>
  <c r="E8" i="11"/>
  <c r="D8" i="2"/>
  <c r="L8" i="2"/>
  <c r="N8" i="2"/>
  <c r="I8" i="11"/>
  <c r="D8" i="10"/>
  <c r="D8" i="11"/>
  <c r="E8" i="10"/>
  <c r="J8" i="2"/>
  <c r="H8" i="10"/>
  <c r="K8" i="10"/>
  <c r="J8" i="10"/>
  <c r="N8" i="11"/>
  <c r="M8" i="2"/>
  <c r="I8" i="10"/>
  <c r="K8" i="2"/>
  <c r="M8" i="10"/>
  <c r="J69" i="2"/>
  <c r="M76" i="2"/>
  <c r="D74" i="2"/>
  <c r="H68" i="2"/>
  <c r="L69" i="2"/>
  <c r="M69" i="2"/>
  <c r="D70" i="2"/>
  <c r="L68" i="2"/>
  <c r="L76" i="2"/>
  <c r="L73" i="2"/>
  <c r="I74" i="2"/>
  <c r="J76" i="2"/>
  <c r="N76" i="2"/>
  <c r="D68" i="2"/>
  <c r="K69" i="2"/>
  <c r="D73" i="2"/>
  <c r="I71" i="2"/>
  <c r="H70" i="2"/>
  <c r="L71" i="2"/>
  <c r="E69" i="2"/>
  <c r="I69" i="2"/>
  <c r="I68" i="2"/>
  <c r="E73" i="2"/>
  <c r="I72" i="2"/>
  <c r="E72" i="2"/>
  <c r="D71" i="2"/>
  <c r="E76" i="2"/>
  <c r="I77" i="2"/>
  <c r="K74" i="2"/>
  <c r="M68" i="2"/>
  <c r="J71" i="2"/>
  <c r="N71" i="2"/>
  <c r="H72" i="2"/>
  <c r="N69" i="2"/>
  <c r="H76" i="2"/>
  <c r="E77" i="2"/>
  <c r="K72" i="2"/>
  <c r="L72" i="2"/>
  <c r="I70" i="2"/>
  <c r="N77" i="2"/>
  <c r="M70" i="2"/>
  <c r="E68" i="2"/>
  <c r="K73" i="2"/>
  <c r="L77" i="2"/>
  <c r="N68" i="2"/>
  <c r="H77" i="2"/>
  <c r="I76" i="2"/>
  <c r="J74" i="2"/>
  <c r="J72" i="2"/>
  <c r="N72" i="2"/>
  <c r="D77" i="2"/>
  <c r="J68" i="2"/>
  <c r="J70" i="2"/>
  <c r="H69" i="2"/>
  <c r="J77" i="2"/>
  <c r="D72" i="2"/>
  <c r="H74" i="2"/>
  <c r="J73" i="2"/>
  <c r="H73" i="2"/>
  <c r="E71" i="2"/>
  <c r="L74" i="2"/>
  <c r="N70" i="2"/>
  <c r="E74" i="2"/>
  <c r="M74" i="2"/>
  <c r="M72" i="2"/>
  <c r="K68" i="2"/>
  <c r="H71" i="2"/>
  <c r="D69" i="2"/>
  <c r="K70" i="2"/>
  <c r="N73" i="2"/>
  <c r="M73" i="2"/>
  <c r="D76" i="2"/>
  <c r="L70" i="2"/>
  <c r="K76" i="2"/>
  <c r="K77" i="2"/>
  <c r="N74" i="2"/>
  <c r="K71" i="2"/>
  <c r="M71" i="2"/>
  <c r="I73" i="2"/>
  <c r="E70" i="2"/>
  <c r="M77" i="2"/>
  <c r="L74" i="11"/>
  <c r="N68" i="11"/>
  <c r="K68" i="11"/>
  <c r="I74" i="11"/>
  <c r="L73" i="11"/>
  <c r="N73" i="11"/>
  <c r="H73" i="11"/>
  <c r="M69" i="10"/>
  <c r="H69" i="10"/>
  <c r="K72" i="11"/>
  <c r="E68" i="10"/>
  <c r="I68" i="11"/>
  <c r="J70" i="10"/>
  <c r="J73" i="10"/>
  <c r="L72" i="10"/>
  <c r="H69" i="11"/>
  <c r="I77" i="10"/>
  <c r="K70" i="11"/>
  <c r="D73" i="11"/>
  <c r="L70" i="11"/>
  <c r="E68" i="11"/>
  <c r="E74" i="11"/>
  <c r="L74" i="10"/>
  <c r="E76" i="11"/>
  <c r="J69" i="11"/>
  <c r="M68" i="10"/>
  <c r="I76" i="11"/>
  <c r="L71" i="11"/>
  <c r="N74" i="10"/>
  <c r="E73" i="11"/>
  <c r="I76" i="10"/>
  <c r="H71" i="11"/>
  <c r="H70" i="10"/>
  <c r="N76" i="10"/>
  <c r="D71" i="11"/>
  <c r="M69" i="11"/>
  <c r="H74" i="10"/>
  <c r="D76" i="10"/>
  <c r="I73" i="11"/>
  <c r="L69" i="10"/>
  <c r="E71" i="11"/>
  <c r="M70" i="10"/>
  <c r="J74" i="10"/>
  <c r="K74" i="10"/>
  <c r="L73" i="10"/>
  <c r="N69" i="11"/>
  <c r="M72" i="10"/>
  <c r="H77" i="10"/>
  <c r="K76" i="10"/>
  <c r="E69" i="11"/>
  <c r="E77" i="11"/>
  <c r="J76" i="10"/>
  <c r="N74" i="11"/>
  <c r="K77" i="11"/>
  <c r="N68" i="10"/>
  <c r="K69" i="10"/>
  <c r="D68" i="11"/>
  <c r="H71" i="10"/>
  <c r="E70" i="11"/>
  <c r="M73" i="10"/>
  <c r="N72" i="10"/>
  <c r="I68" i="10"/>
  <c r="L68" i="11"/>
  <c r="D73" i="10"/>
  <c r="M76" i="11"/>
  <c r="J73" i="11"/>
  <c r="J72" i="11"/>
  <c r="E74" i="10"/>
  <c r="M70" i="11"/>
  <c r="H73" i="10"/>
  <c r="K68" i="10"/>
  <c r="L77" i="11"/>
  <c r="N71" i="11"/>
  <c r="D77" i="11"/>
  <c r="M73" i="11"/>
  <c r="D72" i="11"/>
  <c r="M68" i="11"/>
  <c r="M77" i="10"/>
  <c r="I71" i="11"/>
  <c r="I77" i="11"/>
  <c r="D69" i="10"/>
  <c r="I73" i="10"/>
  <c r="J71" i="11"/>
  <c r="H68" i="11"/>
  <c r="J68" i="11"/>
  <c r="K73" i="10"/>
  <c r="I72" i="10"/>
  <c r="L77" i="10"/>
  <c r="I70" i="11"/>
  <c r="I69" i="10"/>
  <c r="H76" i="11"/>
  <c r="H72" i="11"/>
  <c r="D74" i="10"/>
  <c r="I71" i="10"/>
  <c r="L72" i="11"/>
  <c r="E77" i="10"/>
  <c r="H72" i="10"/>
  <c r="E72" i="10"/>
  <c r="D77" i="10"/>
  <c r="N69" i="10"/>
  <c r="H76" i="10"/>
  <c r="J74" i="11"/>
  <c r="M77" i="11"/>
  <c r="L68" i="10"/>
  <c r="K76" i="11"/>
  <c r="J68" i="10"/>
  <c r="I74" i="10"/>
  <c r="E70" i="10"/>
  <c r="E76" i="10"/>
  <c r="L76" i="10"/>
  <c r="E72" i="11"/>
  <c r="I70" i="10"/>
  <c r="N73" i="10"/>
  <c r="L71" i="10"/>
  <c r="D70" i="11"/>
  <c r="N70" i="10"/>
  <c r="D71" i="10"/>
  <c r="D69" i="11"/>
  <c r="I69" i="11"/>
  <c r="D76" i="11"/>
  <c r="J77" i="11"/>
  <c r="H70" i="11"/>
  <c r="E73" i="10"/>
  <c r="J72" i="10"/>
  <c r="J69" i="10"/>
  <c r="L69" i="11"/>
  <c r="N77" i="11"/>
  <c r="M72" i="11"/>
  <c r="K74" i="11"/>
  <c r="L70" i="10"/>
  <c r="N76" i="11"/>
  <c r="K73" i="11"/>
  <c r="I72" i="11"/>
  <c r="K71" i="11"/>
  <c r="M71" i="10"/>
  <c r="N72" i="11"/>
  <c r="D70" i="10"/>
  <c r="H74" i="11"/>
  <c r="M74" i="11"/>
  <c r="L76" i="11"/>
  <c r="H68" i="10"/>
  <c r="D74" i="11"/>
  <c r="J71" i="10"/>
  <c r="J76" i="11"/>
  <c r="K70" i="10"/>
  <c r="E69" i="10"/>
  <c r="K72" i="10"/>
  <c r="N70" i="11"/>
  <c r="K71" i="10"/>
  <c r="K77" i="10"/>
  <c r="M74" i="10"/>
  <c r="M76" i="10"/>
  <c r="D72" i="10"/>
  <c r="J70" i="11"/>
  <c r="J77" i="10"/>
  <c r="K69" i="11"/>
  <c r="D68" i="10"/>
  <c r="M71" i="11"/>
  <c r="N71" i="10"/>
  <c r="H77" i="11"/>
  <c r="E71" i="10"/>
  <c r="N77" i="10"/>
  <c r="C87" i="10" l="1"/>
  <c r="C86" i="10"/>
  <c r="C85" i="10"/>
  <c r="C84" i="10"/>
  <c r="C83" i="10"/>
  <c r="C43" i="10"/>
  <c r="C33" i="10"/>
  <c r="C27" i="5"/>
  <c r="C36" i="5" l="1"/>
  <c r="C35" i="5"/>
  <c r="C84" i="2"/>
  <c r="C85" i="2"/>
  <c r="C86" i="2"/>
  <c r="C87" i="2"/>
  <c r="C83" i="2"/>
  <c r="C43" i="2" l="1"/>
  <c r="C51" i="5" l="1"/>
  <c r="C33" i="2"/>
  <c r="C88" i="5" l="1"/>
  <c r="B5" i="6" l="1"/>
  <c r="B6" i="6"/>
  <c r="C54" i="5" s="1"/>
  <c r="C6" i="11" l="1"/>
  <c r="C5" i="11"/>
  <c r="C6" i="10"/>
  <c r="C5" i="10"/>
  <c r="C6" i="2"/>
  <c r="C53"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<sst xmlns="http://schemas.openxmlformats.org/spreadsheetml/2006/main" count="968" uniqueCount="468">
  <si>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</si>
  <si>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</si>
  <si>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</si>
  <si>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</si>
  <si>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</si>
  <si>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</si>
  <si>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</si>
  <si>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</si>
  <si>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</si>
  <si>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</si>
  <si>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</si>
  <si>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</si>
  <si>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</si>
  <si>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</si>
  <si>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</si>
  <si>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</si>
  <si>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</si>
  <si>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</si>
  <si>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</si>
  <si>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</si>
  <si>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</si>
  <si>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</si>
  <si>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</si>
  <si>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</si>
  <si>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</si>
  <si>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</si>
  <si>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</si>
  <si>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</si>
  <si>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</si>
  <si>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</si>
  <si>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</si>
  <si>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</si>
  <si>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</si>
  <si>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</si>
  <si>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</si>
  <si>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</si>
  <si>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</si>
  <si>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</si>
  <si>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</si>
  <si>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</si>
  <si>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</si>
  <si>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</si>
  <si>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</si>
  <si>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</si>
  <si>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</si>
  <si>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</si>
  <si>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</si>
  <si>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</si>
  <si>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</si>
  <si>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</si>
  <si>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</si>
  <si>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</si>
  <si>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</si>
  <si>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</si>
  <si>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</si>
  <si>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</si>
  <si>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</si>
  <si>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</si>
  <si>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</si>
  <si>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</si>
  <si>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</si>
  <si>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</si>
  <si>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</si>
  <si>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</si>
  <si>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</si>
  <si>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</si>
  <si>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</si>
  <si>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</si>
  <si>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</si>
  <si>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</si>
  <si>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</si>
  <si>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</si>
  <si>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</si>
  <si>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</si>
  <si>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</si>
  <si>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</si>
  <si>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</si>
  <si>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</si>
  <si>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</si>
  <si>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</si>
  <si>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</si>
  <si>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</si>
  <si>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</si>
  <si>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</si>
  <si>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</si>
  <si>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</si>
  <si>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</si>
  <si>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</si>
  <si>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</si>
  <si>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</si>
  <si>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</si>
  <si>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</si>
  <si>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</si>
  <si>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</si>
  <si>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</si>
  <si>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</si>
  <si>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</si>
  <si>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</si>
  <si>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</si>
  <si>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</si>
  <si>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</si>
  <si>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</si>
  <si>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</si>
  <si>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</si>
  <si>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</si>
  <si>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</si>
  <si>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</si>
  <si>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</si>
  <si>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</si>
  <si>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</si>
  <si>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</si>
  <si>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</si>
  <si>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</si>
  <si>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</si>
  <si>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</si>
  <si>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</si>
  <si>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</si>
  <si>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</si>
  <si>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</si>
  <si>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</si>
  <si>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</si>
  <si>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</si>
  <si>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</si>
  <si>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</si>
  <si>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</si>
  <si>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</si>
  <si>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</si>
  <si>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</si>
  <si>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</si>
  <si>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</si>
  <si>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</si>
  <si>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</si>
  <si>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</si>
  <si>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</si>
  <si>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</si>
  <si>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</si>
  <si>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</si>
  <si>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</si>
  <si>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</si>
  <si>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</si>
  <si>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</si>
  <si>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</si>
  <si>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</si>
  <si>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</si>
  <si>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</si>
  <si>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</si>
  <si>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</si>
  <si>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</si>
  <si>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</si>
  <si>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</si>
  <si>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</si>
  <si>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</si>
  <si>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</si>
  <si>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</si>
  <si>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</si>
  <si>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</si>
  <si>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</si>
  <si>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</si>
  <si>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</si>
  <si>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</si>
  <si>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</si>
  <si>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</si>
  <si>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</si>
  <si>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</si>
  <si>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</si>
  <si>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</si>
  <si>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</si>
  <si>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</si>
  <si>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</si>
  <si>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</si>
  <si>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</si>
  <si>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</si>
  <si>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</si>
  <si>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</si>
  <si>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</si>
  <si>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</si>
  <si>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</si>
  <si>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</si>
  <si>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</si>
  <si>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</si>
  <si>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</si>
  <si>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</si>
  <si>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</si>
  <si>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</si>
  <si>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</si>
  <si>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</si>
  <si>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</si>
  <si>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</si>
  <si>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</si>
  <si>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</si>
  <si>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</si>
  <si>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</si>
  <si>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</si>
  <si>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</si>
  <si>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</si>
  <si>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</si>
  <si>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</si>
  <si>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</si>
  <si>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</si>
  <si>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</si>
  <si>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</si>
  <si>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</si>
  <si>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</si>
  <si>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</si>
  <si>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</si>
  <si>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</si>
  <si>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</si>
  <si>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</si>
  <si>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</si>
  <si>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</si>
  <si>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</si>
  <si>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</si>
  <si>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</si>
  <si>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</si>
  <si>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</si>
  <si>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</si>
  <si>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</si>
  <si>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</si>
  <si>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</si>
  <si>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</si>
  <si>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</si>
  <si>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</si>
  <si>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</si>
  <si>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</si>
  <si>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</si>
  <si>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</si>
  <si>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</si>
  <si>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</si>
  <si>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</si>
  <si>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</si>
  <si>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</si>
  <si>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</si>
  <si>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</si>
  <si>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</si>
  <si>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</si>
  <si>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</si>
  <si>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</si>
  <si>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</si>
  <si>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</si>
  <si>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</si>
  <si>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</si>
  <si>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</si>
  <si>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</si>
  <si>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</si>
  <si>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</si>
  <si>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</si>
  <si>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</si>
  <si>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</si>
  <si>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</si>
  <si>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</si>
  <si>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</si>
  <si>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</si>
  <si>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</si>
  <si>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</si>
  <si>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</si>
  <si>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</si>
  <si>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</si>
  <si>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</si>
  <si>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</si>
  <si>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</si>
  <si>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</si>
  <si>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</si>
  <si>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</si>
  <si>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</si>
  <si>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</si>
  <si>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</si>
  <si>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</si>
  <si>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</si>
  <si>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</si>
  <si>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</si>
  <si>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</si>
  <si>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</si>
  <si>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</si>
  <si>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</si>
  <si>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</si>
  <si>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</si>
  <si>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</si>
  <si>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</si>
  <si>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</si>
  <si>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</si>
  <si>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</si>
  <si>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</si>
  <si>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</si>
  <si>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</si>
  <si>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</si>
  <si>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</si>
  <si>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</si>
  <si>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</si>
  <si>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</si>
  <si>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</si>
  <si>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</si>
  <si>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</si>
  <si>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</si>
  <si>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</si>
  <si>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</si>
  <si>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</si>
  <si>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</si>
  <si>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</si>
  <si>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</si>
  <si>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</si>
  <si>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</si>
  <si>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</si>
  <si>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</si>
  <si>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</si>
  <si>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</si>
  <si>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</si>
  <si>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</si>
  <si>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</si>
  <si>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</si>
  <si>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</si>
  <si>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Max Acceleration</t>
  </si>
  <si>
    <t>gcode_label_objects</t>
  </si>
  <si>
    <t>slice_closing_radius</t>
  </si>
  <si>
    <t>compatible_prints</t>
  </si>
  <si>
    <t>compatible_prints_condition</t>
  </si>
  <si>
    <t>#filament_max_volumetric_speed</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</si>
  <si>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</si>
  <si>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</si>
  <si>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</si>
  <si>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</si>
  <si>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</si>
  <si>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</si>
  <si>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</si>
  <si>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</si>
  <si>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</si>
  <si>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</si>
  <si>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</si>
  <si>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</si>
  <si>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</si>
  <si>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</si>
  <si>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</si>
  <si>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</si>
  <si>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</si>
  <si>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</si>
  <si>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</si>
  <si>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</si>
  <si>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</si>
  <si>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</si>
  <si>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setting zero for this value will disable the prusa slicer zoffset calculation</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</si>
  <si>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</si>
  <si>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</si>
  <si>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</si>
  <si>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</si>
  <si>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</si>
  <si>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</si>
  <si>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</si>
  <si>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</si>
  <si>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</si>
  <si>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</si>
  <si>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</si>
  <si>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</si>
  <si>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</si>
  <si>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</si>
  <si>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</si>
  <si>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</si>
  <si>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</si>
  <si>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</si>
  <si>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</si>
  <si>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</si>
  <si>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</si>
  <si>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</si>
  <si>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</si>
  <si>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</si>
  <si>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</si>
  <si>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</si>
  <si>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</si>
  <si>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</si>
  <si>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</si>
  <si>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</si>
  <si>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</si>
  <si>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</si>
  <si>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</si>
  <si>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</si>
  <si>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</si>
  <si>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</si>
  <si>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</si>
  <si>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</si>
  <si>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</si>
  <si>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</si>
  <si>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</si>
  <si>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</si>
  <si>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</si>
  <si>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</si>
  <si>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</si>
  <si>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</si>
  <si>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</si>
  <si>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</si>
  <si>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10x0,280x10,280x200,10x200</t>
  </si>
  <si>
    <t>E:\CAD\PrusaSlicerAlphaPortable\Data\AppData_PrusaSlicerAlpha</t>
  </si>
  <si>
    <t>bottom_fill_pattern</t>
  </si>
  <si>
    <t>top_fill_pattern</t>
  </si>
  <si>
    <t>wipe_tower_no_sparse_layers</t>
  </si>
  <si>
    <t>#support_material_pillar_size</t>
  </si>
  <si>
    <t>#support_material_pillar_spacing</t>
  </si>
  <si>
    <t>#pressure_advance_klipper</t>
  </si>
  <si>
    <t>#z_offset</t>
  </si>
  <si>
    <t>#z_offset_klipper</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</si>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</sst>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28">
    <xf numFmtId="0" fontId="0" fillId="0" borderId="0" xfId="0"/>
    <xf numFmtId="0" fontId="1" fillId="2" borderId="1" xfId="0" applyFont="1" applyFill="1" applyBorder="1"/>
    <xf numFmtId="0" fontId="0" fillId="0" borderId="1" xfId="0" applyBorder="1"/>
    <xf numFmtId="1" fontId="0" fillId="0" borderId="1" xfId="0" applyNumberFormat="1" applyBorder="1"/>
    <xf numFmtId="0" fontId="0" fillId="6" borderId="1" xfId="0" applyFont="1" applyFill="1" applyBorder="1"/>
    <xf numFmtId="0" fontId="0" fillId="5" borderId="1" xfId="0" applyFont="1" applyFill="1" applyBorder="1"/>
    <xf numFmtId="0" fontId="0" fillId="7" borderId="1" xfId="0" applyFont="1" applyFill="1" applyBorder="1"/>
    <xf numFmtId="0" fontId="0" fillId="3" borderId="1" xfId="0" applyFont="1" applyFill="1" applyBorder="1"/>
    <xf numFmtId="0" fontId="0" fillId="8" borderId="1" xfId="0" applyFont="1" applyFill="1" applyBorder="1" applyAlignment="1">
      <alignment horizontal="right"/>
    </xf>
    <xf numFmtId="0" fontId="0" fillId="7" borderId="1" xfId="0" applyFont="1" applyFill="1" applyBorder="1" applyAlignment="1">
      <alignment horizontal="right"/>
    </xf>
    <xf numFmtId="0" fontId="0" fillId="3" borderId="1" xfId="0" applyFont="1" applyFill="1" applyBorder="1" applyAlignment="1">
      <alignment horizontal="right"/>
    </xf>
    <xf numFmtId="2" fontId="0" fillId="0" borderId="1" xfId="0" applyNumberFormat="1" applyBorder="1"/>
    <xf numFmtId="0" fontId="1" fillId="2" borderId="1" xfId="0" applyFont="1" applyFill="1" applyBorder="1" applyAlignment="1">
      <alignment wrapText="1"/>
    </xf>
    <xf numFmtId="1" fontId="0" fillId="0" borderId="0" xfId="0" applyNumberFormat="1" applyBorder="1"/>
    <xf numFmtId="2" fontId="0" fillId="5" borderId="1" xfId="0" applyNumberFormat="1" applyFill="1" applyBorder="1"/>
    <xf numFmtId="0" fontId="0" fillId="10" borderId="5" xfId="0" applyFill="1" applyBorder="1"/>
    <xf numFmtId="0" fontId="0" fillId="11" borderId="5" xfId="0" applyFill="1" applyBorder="1"/>
    <xf numFmtId="0" fontId="0" fillId="12" borderId="5" xfId="0" applyFill="1" applyBorder="1"/>
    <xf numFmtId="0" fontId="0" fillId="4" borderId="5" xfId="0" applyFill="1" applyBorder="1"/>
    <xf numFmtId="0" fontId="0" fillId="13" borderId="5" xfId="0" applyFill="1" applyBorder="1"/>
    <xf numFmtId="0" fontId="0" fillId="9" borderId="2" xfId="0" applyFill="1" applyBorder="1" applyAlignment="1">
      <alignment horizontal="center"/>
    </xf>
    <xf numFmtId="0" fontId="0" fillId="9" borderId="3" xfId="0" applyFill="1" applyBorder="1" applyAlignment="1">
      <alignment horizontal="center"/>
    </xf>
    <xf numFmtId="0" fontId="0" fillId="9" borderId="4" xfId="0" applyFill="1" applyBorder="1" applyAlignment="1">
      <alignment horizontal="center"/>
    </xf>
    <xf numFmtId="0" fontId="0" fillId="9" borderId="1" xfId="0" applyFill="1" applyBorder="1" applyAlignment="1">
      <alignment horizontal="center"/>
    </xf>
    <xf numFmtId="0" fontId="0" fillId="10" borderId="5" xfId="0" applyFill="1" applyBorder="1" applyAlignment="1">
      <alignment wrapText="1"/>
    </xf>
    <xf numFmtId="1" fontId="0" fillId="13" borderId="5" xfId="0" applyNumberFormat="1" applyFill="1" applyBorder="1"/>
    <xf numFmtId="0" fontId="0" fillId="12" borderId="5" xfId="0" applyFill="1" applyBorder="1" applyAlignment="1">
      <alignment wrapText="1"/>
    </xf>
    <xf numFmtId="0" fontId="0" fillId="11" borderId="5" xfId="0"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R37"/>
  <sheetViews>
    <sheetView workbookViewId="0">
      <selection activeCell="B2" sqref="B2"/>
    </sheetView>
  </sheetViews>
  <sheetFormatPr defaultRowHeight="15" x14ac:dyDescent="0.25"/>
  <cols>
    <col min="1" max="1" width="23" bestFit="1" customWidth="1"/>
    <col min="2" max="2" width="51" bestFit="1" customWidth="1"/>
    <col min="3" max="4" width="9.85546875" customWidth="1"/>
    <col min="6" max="6" width="17.85546875" bestFit="1" customWidth="1"/>
    <col min="7" max="7" width="11.5703125" customWidth="1"/>
    <col min="8" max="8" width="8.7109375" customWidth="1"/>
    <col min="9" max="9" width="12.7109375" bestFit="1" customWidth="1"/>
    <col min="10" max="11" width="12.7109375" customWidth="1"/>
    <col min="20" max="20" width="7.85546875" bestFit="1" customWidth="1"/>
    <col min="21" max="21" width="18.140625" bestFit="1" customWidth="1"/>
    <col min="22" max="22" width="21.140625" bestFit="1" customWidth="1"/>
  </cols>
  <sheetData>
    <row r="1" spans="1:18" x14ac:dyDescent="0.25">
      <c r="A1" s="1" t="s">
        <v>207</v>
      </c>
      <c r="B1" s="1" t="s">
        <v>208</v>
      </c>
      <c r="C1" s="1" t="s">
        <v>317</v>
      </c>
      <c r="D1" s="1" t="s">
        <v>215</v>
      </c>
      <c r="F1" s="20" t="s">
        <v>322</v>
      </c>
      <c r="G1" s="21"/>
      <c r="H1" s="21"/>
      <c r="I1" s="21"/>
      <c r="J1" s="21"/>
      <c r="K1" s="21"/>
      <c r="L1" s="21"/>
      <c r="M1" s="21"/>
      <c r="N1" s="21"/>
      <c r="O1" s="21"/>
      <c r="P1" s="21"/>
      <c r="Q1" s="21"/>
      <c r="R1" s="22"/>
    </row>
    <row r="2" spans="1:18" x14ac:dyDescent="0.25">
      <c r="A2" s="4" t="s">
        <v>206</v>
      </c>
      <c r="B2" s="5">
        <v>0.6</v>
      </c>
      <c r="C2" s="4" t="s">
        <v>318</v>
      </c>
      <c r="D2" s="4"/>
      <c r="F2" s="1" t="s">
        <v>325</v>
      </c>
      <c r="G2" s="1"/>
      <c r="H2" s="1">
        <v>0.12</v>
      </c>
      <c r="I2" s="1">
        <v>0.2</v>
      </c>
      <c r="J2" s="1">
        <v>0.24</v>
      </c>
      <c r="K2" s="1">
        <v>0.28000000000000003</v>
      </c>
      <c r="L2" s="1">
        <v>0.32</v>
      </c>
      <c r="M2" s="1">
        <v>0.4</v>
      </c>
      <c r="N2" s="1">
        <v>0.48</v>
      </c>
      <c r="O2" s="1">
        <v>0.56000000000000005</v>
      </c>
      <c r="P2" s="1">
        <v>0.64</v>
      </c>
      <c r="Q2" s="1">
        <v>0.72</v>
      </c>
      <c r="R2" s="1">
        <v>0.8</v>
      </c>
    </row>
    <row r="3" spans="1:18" x14ac:dyDescent="0.25">
      <c r="A3" s="6" t="s">
        <v>209</v>
      </c>
      <c r="B3" s="9" t="str">
        <f>"AnyCubic " &amp;HotendType</f>
        <v>AnyCubic E3D V6</v>
      </c>
      <c r="C3" s="6"/>
      <c r="D3" s="6"/>
      <c r="F3" s="2" t="s">
        <v>3</v>
      </c>
      <c r="G3" s="2"/>
      <c r="H3" s="11">
        <f t="shared" ref="H3:R3" si="0">Nozzle_Diameter*3</f>
        <v>1.7999999999999998</v>
      </c>
      <c r="I3" s="11">
        <f t="shared" si="0"/>
        <v>1.7999999999999998</v>
      </c>
      <c r="J3" s="11">
        <f t="shared" si="0"/>
        <v>1.7999999999999998</v>
      </c>
      <c r="K3" s="11">
        <f t="shared" si="0"/>
        <v>1.7999999999999998</v>
      </c>
      <c r="L3" s="11">
        <f t="shared" si="0"/>
        <v>1.7999999999999998</v>
      </c>
      <c r="M3" s="11">
        <f t="shared" si="0"/>
        <v>1.7999999999999998</v>
      </c>
      <c r="N3" s="11">
        <f t="shared" si="0"/>
        <v>1.7999999999999998</v>
      </c>
      <c r="O3" s="11">
        <f t="shared" si="0"/>
        <v>1.7999999999999998</v>
      </c>
      <c r="P3" s="11">
        <f t="shared" si="0"/>
        <v>1.7999999999999998</v>
      </c>
      <c r="Q3" s="11">
        <f t="shared" si="0"/>
        <v>1.7999999999999998</v>
      </c>
      <c r="R3" s="11">
        <f t="shared" si="0"/>
        <v>1.7999999999999998</v>
      </c>
    </row>
    <row r="4" spans="1:18" x14ac:dyDescent="0.25">
      <c r="A4" s="4" t="s">
        <v>212</v>
      </c>
      <c r="B4" s="10" t="str">
        <f>B3 &amp; " " &amp; Nozzle_Diameter &amp; " mm " &amp; FILAMENT_NAME</f>
        <v>AnyCubic E3D V6 0.6 mm PET</v>
      </c>
      <c r="C4" s="4"/>
      <c r="D4" s="4"/>
      <c r="F4" s="2" t="s">
        <v>5</v>
      </c>
      <c r="G4" s="2"/>
      <c r="H4" s="11">
        <f>$H$2*7</f>
        <v>0.84</v>
      </c>
      <c r="I4" s="11">
        <f>$I$2*4</f>
        <v>0.8</v>
      </c>
      <c r="J4" s="11">
        <v>0.96</v>
      </c>
      <c r="K4" s="11">
        <v>1.1200000000000001</v>
      </c>
      <c r="L4" s="11">
        <f>$L$2*3</f>
        <v>0.96</v>
      </c>
      <c r="M4" s="11">
        <f>$M$2*3</f>
        <v>1.2000000000000002</v>
      </c>
      <c r="N4" s="11">
        <f>$N$2*3</f>
        <v>1.44</v>
      </c>
      <c r="O4" s="11">
        <f>$O$2*3</f>
        <v>1.6800000000000002</v>
      </c>
      <c r="P4" s="11">
        <f>$P$2*3</f>
        <v>1.92</v>
      </c>
      <c r="Q4" s="11">
        <f>$Q$2*3</f>
        <v>2.16</v>
      </c>
      <c r="R4" s="11">
        <f>R$2*3</f>
        <v>2.4000000000000004</v>
      </c>
    </row>
    <row r="5" spans="1:18" x14ac:dyDescent="0.25">
      <c r="A5" s="6" t="s">
        <v>210</v>
      </c>
      <c r="B5" s="7">
        <f>Nozzle_Diameter*0.2</f>
        <v>0.12</v>
      </c>
      <c r="C5" s="6" t="s">
        <v>318</v>
      </c>
      <c r="D5" s="6"/>
      <c r="F5" s="2" t="s">
        <v>6</v>
      </c>
      <c r="G5" s="2"/>
      <c r="H5" s="11">
        <f>$H$2*7</f>
        <v>0.84</v>
      </c>
      <c r="I5" s="11">
        <f>$I$2*4</f>
        <v>0.8</v>
      </c>
      <c r="J5" s="11">
        <v>0.96</v>
      </c>
      <c r="K5" s="11">
        <v>1.1200000000000001</v>
      </c>
      <c r="L5" s="11">
        <f>$L$2*3</f>
        <v>0.96</v>
      </c>
      <c r="M5" s="11">
        <f>$M$2*3</f>
        <v>1.2000000000000002</v>
      </c>
      <c r="N5" s="11">
        <f>$N$2*3</f>
        <v>1.44</v>
      </c>
      <c r="O5" s="11">
        <f>$O$2*3</f>
        <v>1.6800000000000002</v>
      </c>
      <c r="P5" s="11">
        <f>$P$2*3</f>
        <v>1.92</v>
      </c>
      <c r="Q5" s="11">
        <f>$Q$2*3</f>
        <v>2.16</v>
      </c>
      <c r="R5" s="11">
        <f>R$2*3</f>
        <v>2.4000000000000004</v>
      </c>
    </row>
    <row r="6" spans="1:18" x14ac:dyDescent="0.25">
      <c r="A6" s="4" t="s">
        <v>211</v>
      </c>
      <c r="B6" s="7">
        <f>Nozzle_Diameter*0.8</f>
        <v>0.48</v>
      </c>
      <c r="C6" s="4" t="s">
        <v>318</v>
      </c>
      <c r="D6" s="4"/>
      <c r="F6" s="2"/>
      <c r="G6" s="2"/>
      <c r="H6" s="3"/>
      <c r="I6" s="3"/>
      <c r="J6" s="3"/>
      <c r="K6" s="3"/>
      <c r="L6" s="3"/>
      <c r="M6" s="3"/>
      <c r="N6" s="3"/>
      <c r="O6" s="3"/>
      <c r="P6" s="3"/>
      <c r="Q6" s="3"/>
      <c r="R6" s="3"/>
    </row>
    <row r="7" spans="1:18" x14ac:dyDescent="0.25">
      <c r="A7" s="4" t="s">
        <v>270</v>
      </c>
      <c r="B7" s="8" t="s">
        <v>143</v>
      </c>
      <c r="C7" s="4"/>
      <c r="D7" s="4"/>
      <c r="F7" s="2"/>
      <c r="G7" s="2"/>
      <c r="H7" s="2"/>
      <c r="I7" s="2"/>
      <c r="J7" s="2"/>
      <c r="K7" s="2"/>
      <c r="L7" s="2"/>
      <c r="M7" s="2"/>
      <c r="N7" s="2"/>
      <c r="O7" s="2"/>
      <c r="P7" s="2"/>
      <c r="Q7" s="2"/>
      <c r="R7" s="2"/>
    </row>
    <row r="8" spans="1:18" x14ac:dyDescent="0.25">
      <c r="A8" s="4" t="s">
        <v>310</v>
      </c>
      <c r="B8" s="4">
        <v>700</v>
      </c>
      <c r="C8" s="4" t="s">
        <v>318</v>
      </c>
      <c r="D8" s="4"/>
      <c r="F8" s="2"/>
      <c r="G8" s="2"/>
      <c r="H8" s="2"/>
      <c r="I8" s="2"/>
      <c r="J8" s="2"/>
      <c r="K8" s="2"/>
      <c r="L8" s="2"/>
      <c r="M8" s="2"/>
      <c r="N8" s="2"/>
      <c r="O8" s="2"/>
      <c r="P8" s="2"/>
      <c r="Q8" s="2"/>
      <c r="R8" s="2"/>
    </row>
    <row r="9" spans="1:18" x14ac:dyDescent="0.25">
      <c r="A9" s="4" t="s">
        <v>231</v>
      </c>
      <c r="B9" s="8" t="s">
        <v>384</v>
      </c>
      <c r="C9" s="4"/>
      <c r="D9" s="4"/>
      <c r="F9" s="2"/>
      <c r="G9" s="2"/>
      <c r="H9" s="2"/>
      <c r="I9" s="2"/>
      <c r="J9" s="2"/>
      <c r="K9" s="2"/>
      <c r="L9" s="2"/>
      <c r="M9" s="2"/>
      <c r="N9" s="2"/>
      <c r="O9" s="2"/>
      <c r="P9" s="2"/>
      <c r="Q9" s="2"/>
      <c r="R9" s="2"/>
    </row>
    <row r="10" spans="1:18" x14ac:dyDescent="0.25">
      <c r="A10" s="4" t="s">
        <v>339</v>
      </c>
      <c r="B10" s="8" t="s">
        <v>340</v>
      </c>
      <c r="C10" s="4"/>
      <c r="D10" s="4"/>
      <c r="F10" s="2"/>
      <c r="G10" s="2"/>
      <c r="H10" s="2"/>
      <c r="I10" s="2"/>
      <c r="J10" s="2"/>
      <c r="K10" s="2"/>
      <c r="L10" s="2"/>
      <c r="M10" s="2"/>
      <c r="N10" s="2"/>
      <c r="O10" s="2"/>
      <c r="P10" s="2"/>
      <c r="Q10" s="2"/>
      <c r="R10" s="2"/>
    </row>
    <row r="11" spans="1:18" x14ac:dyDescent="0.25">
      <c r="A11" s="4" t="s">
        <v>371</v>
      </c>
      <c r="B11" s="8" t="s">
        <v>376</v>
      </c>
      <c r="C11" s="4"/>
      <c r="D11" s="4"/>
      <c r="F11" s="2"/>
      <c r="G11" s="2"/>
      <c r="H11" s="2"/>
      <c r="I11" s="2"/>
      <c r="J11" s="2"/>
      <c r="K11" s="2"/>
      <c r="L11" s="2"/>
      <c r="M11" s="2"/>
      <c r="N11" s="2"/>
      <c r="O11" s="2"/>
      <c r="P11" s="2"/>
      <c r="Q11" s="2"/>
      <c r="R11" s="2"/>
    </row>
    <row r="12" spans="1:18" x14ac:dyDescent="0.25">
      <c r="A12" s="4"/>
      <c r="B12" s="4"/>
      <c r="C12" s="4"/>
      <c r="D12" s="4"/>
      <c r="F12" s="20" t="s">
        <v>324</v>
      </c>
      <c r="G12" s="21"/>
      <c r="H12" s="21"/>
      <c r="I12" s="21"/>
      <c r="J12" s="21"/>
      <c r="K12" s="21"/>
      <c r="L12" s="21"/>
      <c r="M12" s="21"/>
      <c r="N12" s="21"/>
      <c r="O12" s="21"/>
      <c r="P12" s="21"/>
      <c r="Q12" s="21"/>
      <c r="R12" s="22"/>
    </row>
    <row r="13" spans="1:18" x14ac:dyDescent="0.25">
      <c r="A13" s="4"/>
      <c r="B13" s="4"/>
      <c r="C13" s="4"/>
      <c r="D13" s="4"/>
      <c r="F13" s="1" t="s">
        <v>325</v>
      </c>
      <c r="G13" s="1"/>
      <c r="H13" s="1">
        <v>0.12</v>
      </c>
      <c r="I13" s="1">
        <v>0.2</v>
      </c>
      <c r="J13" s="1">
        <v>0.24</v>
      </c>
      <c r="K13" s="1">
        <v>0.28000000000000003</v>
      </c>
      <c r="L13" s="1">
        <v>0.32</v>
      </c>
      <c r="M13" s="1">
        <v>0.4</v>
      </c>
      <c r="N13" s="1">
        <v>0.48</v>
      </c>
      <c r="O13" s="1">
        <v>0.56000000000000005</v>
      </c>
      <c r="P13" s="1">
        <v>0.64</v>
      </c>
      <c r="Q13" s="1">
        <v>0.72</v>
      </c>
      <c r="R13" s="1">
        <v>0.8</v>
      </c>
    </row>
    <row r="14" spans="1:18" x14ac:dyDescent="0.25">
      <c r="A14" s="4"/>
      <c r="B14" s="4"/>
      <c r="C14" s="4"/>
      <c r="D14" s="4"/>
      <c r="F14" s="2" t="s">
        <v>3</v>
      </c>
      <c r="G14" s="2"/>
      <c r="H14" s="11">
        <f t="shared" ref="H14:R14" si="1">H3/Nozzle_Diameter</f>
        <v>3</v>
      </c>
      <c r="I14" s="11">
        <f t="shared" si="1"/>
        <v>3</v>
      </c>
      <c r="J14" s="11">
        <f t="shared" si="1"/>
        <v>3</v>
      </c>
      <c r="K14" s="11">
        <f t="shared" si="1"/>
        <v>3</v>
      </c>
      <c r="L14" s="11">
        <f t="shared" si="1"/>
        <v>3</v>
      </c>
      <c r="M14" s="11">
        <f t="shared" si="1"/>
        <v>3</v>
      </c>
      <c r="N14" s="11">
        <f t="shared" si="1"/>
        <v>3</v>
      </c>
      <c r="O14" s="11">
        <f t="shared" si="1"/>
        <v>3</v>
      </c>
      <c r="P14" s="11">
        <f t="shared" si="1"/>
        <v>3</v>
      </c>
      <c r="Q14" s="11">
        <f t="shared" si="1"/>
        <v>3</v>
      </c>
      <c r="R14" s="11">
        <f t="shared" si="1"/>
        <v>3</v>
      </c>
    </row>
    <row r="15" spans="1:18" x14ac:dyDescent="0.25">
      <c r="A15" s="6" t="s">
        <v>225</v>
      </c>
      <c r="B15" s="6" t="s">
        <v>378</v>
      </c>
      <c r="C15" s="6"/>
      <c r="D15" s="6"/>
      <c r="F15" s="2" t="s">
        <v>5</v>
      </c>
      <c r="G15" s="2"/>
      <c r="H15" s="11">
        <f t="shared" ref="H15:R15" si="2">H4/H$13</f>
        <v>7</v>
      </c>
      <c r="I15" s="11">
        <f t="shared" si="2"/>
        <v>4</v>
      </c>
      <c r="J15" s="11">
        <f t="shared" si="2"/>
        <v>4</v>
      </c>
      <c r="K15" s="11">
        <f t="shared" si="2"/>
        <v>4</v>
      </c>
      <c r="L15" s="11">
        <f t="shared" si="2"/>
        <v>3</v>
      </c>
      <c r="M15" s="11">
        <f t="shared" si="2"/>
        <v>3.0000000000000004</v>
      </c>
      <c r="N15" s="11">
        <f t="shared" si="2"/>
        <v>3</v>
      </c>
      <c r="O15" s="11">
        <f t="shared" si="2"/>
        <v>3</v>
      </c>
      <c r="P15" s="11">
        <f t="shared" si="2"/>
        <v>3</v>
      </c>
      <c r="Q15" s="11">
        <f t="shared" si="2"/>
        <v>3.0000000000000004</v>
      </c>
      <c r="R15" s="11">
        <f t="shared" si="2"/>
        <v>3.0000000000000004</v>
      </c>
    </row>
    <row r="16" spans="1:18" x14ac:dyDescent="0.25">
      <c r="A16" s="4"/>
      <c r="B16" s="4" t="s">
        <v>388</v>
      </c>
      <c r="C16" s="4"/>
      <c r="D16" s="4"/>
      <c r="F16" s="2" t="s">
        <v>6</v>
      </c>
      <c r="G16" s="2"/>
      <c r="H16" s="11">
        <f t="shared" ref="H16:R16" si="3">H5/H$13</f>
        <v>7</v>
      </c>
      <c r="I16" s="11">
        <f t="shared" si="3"/>
        <v>4</v>
      </c>
      <c r="J16" s="11">
        <f t="shared" si="3"/>
        <v>4</v>
      </c>
      <c r="K16" s="11">
        <f t="shared" si="3"/>
        <v>4</v>
      </c>
      <c r="L16" s="11">
        <f t="shared" si="3"/>
        <v>3</v>
      </c>
      <c r="M16" s="11">
        <f t="shared" si="3"/>
        <v>3.0000000000000004</v>
      </c>
      <c r="N16" s="11">
        <f t="shared" si="3"/>
        <v>3</v>
      </c>
      <c r="O16" s="11">
        <f t="shared" si="3"/>
        <v>3</v>
      </c>
      <c r="P16" s="11">
        <f t="shared" si="3"/>
        <v>3</v>
      </c>
      <c r="Q16" s="11">
        <f t="shared" si="3"/>
        <v>3.0000000000000004</v>
      </c>
      <c r="R16" s="11">
        <f t="shared" si="3"/>
        <v>3.0000000000000004</v>
      </c>
    </row>
    <row r="17" spans="1:18" x14ac:dyDescent="0.25">
      <c r="A17" s="6"/>
      <c r="B17" s="6"/>
      <c r="C17" s="6"/>
      <c r="D17" s="6"/>
      <c r="F17" s="2"/>
      <c r="G17" s="2"/>
      <c r="H17" s="3"/>
      <c r="I17" s="3"/>
      <c r="J17" s="3"/>
      <c r="K17" s="3"/>
      <c r="L17" s="3"/>
      <c r="M17" s="3"/>
      <c r="N17" s="3"/>
      <c r="O17" s="3"/>
      <c r="P17" s="3"/>
      <c r="Q17" s="3"/>
      <c r="R17" s="3"/>
    </row>
    <row r="18" spans="1:18" x14ac:dyDescent="0.25">
      <c r="A18" s="4"/>
      <c r="B18" s="4"/>
      <c r="C18" s="4"/>
      <c r="D18" s="4"/>
      <c r="F18" s="2"/>
      <c r="G18" s="2"/>
      <c r="H18" s="2"/>
      <c r="I18" s="2"/>
      <c r="J18" s="2"/>
      <c r="K18" s="2"/>
      <c r="L18" s="2"/>
      <c r="M18" s="2"/>
      <c r="N18" s="2"/>
      <c r="O18" s="2"/>
      <c r="P18" s="2"/>
      <c r="Q18" s="2"/>
      <c r="R18" s="2"/>
    </row>
    <row r="19" spans="1:18" x14ac:dyDescent="0.25">
      <c r="A19" s="6"/>
      <c r="B19" s="6"/>
      <c r="C19" s="6"/>
      <c r="D19" s="6"/>
      <c r="F19" s="2"/>
      <c r="G19" s="2"/>
      <c r="H19" s="2"/>
      <c r="I19" s="2"/>
      <c r="J19" s="2"/>
      <c r="K19" s="2"/>
      <c r="L19" s="2"/>
      <c r="M19" s="2"/>
      <c r="N19" s="2"/>
      <c r="O19" s="2"/>
      <c r="P19" s="2"/>
      <c r="Q19" s="2"/>
      <c r="R19" s="2"/>
    </row>
    <row r="20" spans="1:18" x14ac:dyDescent="0.25">
      <c r="A20" s="4"/>
      <c r="B20" s="4"/>
      <c r="C20" s="4"/>
      <c r="D20" s="4"/>
      <c r="F20" s="2"/>
      <c r="G20" s="2"/>
      <c r="H20" s="2"/>
      <c r="I20" s="2"/>
      <c r="J20" s="2"/>
      <c r="K20" s="2"/>
      <c r="L20" s="2"/>
      <c r="M20" s="2"/>
      <c r="N20" s="2"/>
      <c r="O20" s="2"/>
      <c r="P20" s="2"/>
      <c r="Q20" s="2"/>
      <c r="R20" s="2"/>
    </row>
    <row r="21" spans="1:18" x14ac:dyDescent="0.25">
      <c r="A21" s="6"/>
      <c r="B21" s="6"/>
      <c r="C21" s="6"/>
      <c r="D21" s="6"/>
      <c r="F21" s="2"/>
      <c r="G21" s="2"/>
      <c r="H21" s="2"/>
      <c r="I21" s="2"/>
      <c r="J21" s="2"/>
      <c r="K21" s="2"/>
      <c r="L21" s="2"/>
      <c r="M21" s="2"/>
      <c r="N21" s="2"/>
      <c r="O21" s="2"/>
      <c r="P21" s="2"/>
      <c r="Q21" s="2"/>
      <c r="R21" s="2"/>
    </row>
    <row r="22" spans="1:18" x14ac:dyDescent="0.25">
      <c r="A22" s="4"/>
      <c r="B22" s="4"/>
      <c r="C22" s="4"/>
      <c r="D22" s="4"/>
      <c r="F22" s="2"/>
      <c r="G22" s="2"/>
      <c r="H22" s="2"/>
      <c r="I22" s="2"/>
      <c r="J22" s="2"/>
      <c r="K22" s="2"/>
      <c r="L22" s="2"/>
      <c r="M22" s="2"/>
      <c r="N22" s="2"/>
      <c r="O22" s="2"/>
      <c r="P22" s="2"/>
      <c r="Q22" s="2"/>
      <c r="R22" s="2"/>
    </row>
    <row r="23" spans="1:18" x14ac:dyDescent="0.25">
      <c r="A23" s="6"/>
      <c r="B23" s="6"/>
      <c r="C23" s="6"/>
      <c r="D23" s="6"/>
    </row>
    <row r="25" spans="1:18" x14ac:dyDescent="0.25">
      <c r="F25" s="23" t="s">
        <v>320</v>
      </c>
      <c r="G25" s="23"/>
      <c r="H25" s="23"/>
    </row>
    <row r="26" spans="1:18" x14ac:dyDescent="0.25">
      <c r="B26" s="6" t="s">
        <v>328</v>
      </c>
      <c r="F26" s="1" t="s">
        <v>319</v>
      </c>
      <c r="G26" s="1" t="s">
        <v>321</v>
      </c>
      <c r="H26" s="1" t="s">
        <v>323</v>
      </c>
    </row>
    <row r="27" spans="1:18" x14ac:dyDescent="0.25">
      <c r="B27" s="4" t="s">
        <v>303</v>
      </c>
      <c r="F27" s="2" t="s">
        <v>144</v>
      </c>
      <c r="G27" s="11">
        <v>1.5</v>
      </c>
      <c r="H27" s="11">
        <v>0.8</v>
      </c>
    </row>
    <row r="28" spans="1:18" x14ac:dyDescent="0.25">
      <c r="B28" s="6" t="s">
        <v>306</v>
      </c>
      <c r="F28" s="2" t="s">
        <v>143</v>
      </c>
      <c r="G28" s="11">
        <v>1.5</v>
      </c>
      <c r="H28" s="11">
        <v>0.8</v>
      </c>
    </row>
    <row r="29" spans="1:18" x14ac:dyDescent="0.25">
      <c r="B29" s="4" t="s">
        <v>307</v>
      </c>
      <c r="F29" s="2" t="s">
        <v>145</v>
      </c>
      <c r="G29" s="11">
        <v>1.5</v>
      </c>
      <c r="H29" s="11">
        <v>0.8</v>
      </c>
    </row>
    <row r="30" spans="1:18" x14ac:dyDescent="0.25">
      <c r="F30" s="2" t="s">
        <v>291</v>
      </c>
      <c r="G30" s="11">
        <v>1.5</v>
      </c>
      <c r="H30" s="11">
        <v>0.8</v>
      </c>
    </row>
    <row r="31" spans="1:18" x14ac:dyDescent="0.25">
      <c r="B31" s="6" t="s">
        <v>302</v>
      </c>
      <c r="F31" s="2" t="s">
        <v>293</v>
      </c>
      <c r="G31" s="11">
        <v>1.5</v>
      </c>
      <c r="H31" s="11">
        <v>0.8</v>
      </c>
    </row>
    <row r="32" spans="1:18" x14ac:dyDescent="0.25">
      <c r="B32" s="4" t="s">
        <v>300</v>
      </c>
      <c r="F32" s="2" t="s">
        <v>146</v>
      </c>
      <c r="G32" s="11">
        <v>1.5</v>
      </c>
      <c r="H32" s="11">
        <v>0.8</v>
      </c>
    </row>
    <row r="33" spans="2:8" x14ac:dyDescent="0.25">
      <c r="B33" s="6" t="s">
        <v>301</v>
      </c>
      <c r="F33" s="2"/>
      <c r="G33" s="2"/>
      <c r="H33" s="2"/>
    </row>
    <row r="34" spans="2:8" x14ac:dyDescent="0.25">
      <c r="B34" s="4" t="s">
        <v>378</v>
      </c>
      <c r="F34" s="2"/>
      <c r="G34" s="2"/>
      <c r="H34" s="2"/>
    </row>
    <row r="35" spans="2:8" x14ac:dyDescent="0.25">
      <c r="F35" s="2"/>
      <c r="G35" s="2"/>
      <c r="H35" s="2"/>
    </row>
    <row r="36" spans="2:8" x14ac:dyDescent="0.25">
      <c r="F36" s="2"/>
      <c r="G36" s="2"/>
      <c r="H36" s="2"/>
    </row>
    <row r="37" spans="2:8" x14ac:dyDescent="0.25">
      <c r="F37" s="2"/>
      <c r="G37" s="2"/>
      <c r="H37" s="2"/>
    </row>
  </sheetData>
  <mergeCells count="3">
    <mergeCell ref="F12:R12"/>
    <mergeCell ref="F1:R1"/>
    <mergeCell ref="F25:H25"/>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A22" sqref="A22"/>
    </sheetView>
  </sheetViews>
  <sheetFormatPr defaultRowHeight="15" x14ac:dyDescent="0.25"/>
  <cols>
    <col min="1" max="1" width="10.42578125" customWidth="1"/>
    <col min="3" max="3" width="15.140625" customWidth="1"/>
    <col min="4" max="4" width="12.7109375" customWidth="1"/>
    <col min="5" max="5" width="11.140625" customWidth="1"/>
    <col min="6" max="6" width="13.42578125" customWidth="1"/>
    <col min="10" max="10" width="15" bestFit="1" customWidth="1"/>
    <col min="12" max="12" width="17.7109375" customWidth="1"/>
    <col min="13" max="13" width="19.140625" customWidth="1"/>
    <col min="14" max="14" width="21.140625" customWidth="1"/>
    <col min="15" max="15" width="19.140625" customWidth="1"/>
  </cols>
  <sheetData>
    <row r="1" spans="1:16" ht="44.25" customHeight="1" x14ac:dyDescent="0.25">
      <c r="A1" s="24" t="s">
        <v>346</v>
      </c>
      <c r="B1" s="24" t="s">
        <v>354</v>
      </c>
      <c r="C1" s="24" t="s">
        <v>347</v>
      </c>
      <c r="D1" s="24" t="s">
        <v>348</v>
      </c>
      <c r="E1" s="24" t="s">
        <v>349</v>
      </c>
      <c r="F1" s="24" t="s">
        <v>352</v>
      </c>
      <c r="G1" s="24" t="s">
        <v>273</v>
      </c>
      <c r="H1" s="24" t="s">
        <v>353</v>
      </c>
      <c r="I1" s="24" t="s">
        <v>356</v>
      </c>
      <c r="J1" s="24" t="s">
        <v>357</v>
      </c>
      <c r="K1" s="24" t="s">
        <v>359</v>
      </c>
      <c r="L1" s="24" t="s">
        <v>364</v>
      </c>
      <c r="M1" s="24" t="s">
        <v>365</v>
      </c>
      <c r="N1" s="24" t="s">
        <v>368</v>
      </c>
      <c r="O1" s="24" t="s">
        <v>370</v>
      </c>
      <c r="P1" s="24" t="s">
        <v>363</v>
      </c>
    </row>
    <row r="2" spans="1:16" x14ac:dyDescent="0.25">
      <c r="A2" s="16" t="s">
        <v>144</v>
      </c>
      <c r="B2" s="16">
        <v>60</v>
      </c>
      <c r="C2" s="16">
        <v>210</v>
      </c>
      <c r="D2" s="16">
        <v>60</v>
      </c>
      <c r="E2" s="16" t="s">
        <v>350</v>
      </c>
      <c r="F2" s="16">
        <v>40</v>
      </c>
      <c r="G2" s="16">
        <v>100</v>
      </c>
      <c r="H2" s="16">
        <v>2</v>
      </c>
      <c r="I2" s="16"/>
      <c r="J2" s="16" t="s">
        <v>360</v>
      </c>
      <c r="K2" s="16"/>
      <c r="L2" s="16">
        <v>56</v>
      </c>
      <c r="M2" s="16">
        <f>IF(ISBLANK(L2),"",(9/5) * L2  + 32)</f>
        <v>132.80000000000001</v>
      </c>
      <c r="N2" s="16">
        <v>50</v>
      </c>
      <c r="O2" s="16">
        <v>122</v>
      </c>
      <c r="P2" s="16" t="s">
        <v>360</v>
      </c>
    </row>
    <row r="3" spans="1:16" x14ac:dyDescent="0.25">
      <c r="A3" s="17" t="s">
        <v>143</v>
      </c>
      <c r="B3" s="17">
        <v>40</v>
      </c>
      <c r="C3" s="17">
        <v>240</v>
      </c>
      <c r="D3" s="17">
        <v>70</v>
      </c>
      <c r="E3" s="17" t="s">
        <v>350</v>
      </c>
      <c r="F3" s="17">
        <v>40</v>
      </c>
      <c r="G3" s="17">
        <v>30</v>
      </c>
      <c r="H3" s="17">
        <v>3</v>
      </c>
      <c r="I3" s="17"/>
      <c r="J3" s="17" t="s">
        <v>362</v>
      </c>
      <c r="K3" s="17">
        <v>0.08</v>
      </c>
      <c r="L3" s="17">
        <v>70</v>
      </c>
      <c r="M3" s="17">
        <f t="shared" ref="M3:M16" si="0">IF(ISBLANK(L3),"",(9/5) * L3  + 32)</f>
        <v>158</v>
      </c>
      <c r="N3" s="17">
        <v>70</v>
      </c>
      <c r="O3" s="17">
        <v>140</v>
      </c>
      <c r="P3" s="17" t="s">
        <v>366</v>
      </c>
    </row>
    <row r="4" spans="1:16" x14ac:dyDescent="0.25">
      <c r="A4" s="16" t="s">
        <v>145</v>
      </c>
      <c r="B4" s="16">
        <v>70</v>
      </c>
      <c r="C4" s="16">
        <v>250</v>
      </c>
      <c r="D4" s="16">
        <v>110</v>
      </c>
      <c r="E4" s="16" t="s">
        <v>351</v>
      </c>
      <c r="F4" s="16">
        <v>60</v>
      </c>
      <c r="G4" s="16">
        <v>0</v>
      </c>
      <c r="H4" s="16">
        <v>0</v>
      </c>
      <c r="I4" s="16"/>
      <c r="J4" s="16" t="s">
        <v>360</v>
      </c>
      <c r="K4" s="16"/>
      <c r="L4" s="16">
        <v>98</v>
      </c>
      <c r="M4" s="16">
        <f t="shared" si="0"/>
        <v>208.4</v>
      </c>
      <c r="N4" s="16">
        <v>85</v>
      </c>
      <c r="O4" s="16">
        <v>158</v>
      </c>
      <c r="P4" s="16" t="s">
        <v>367</v>
      </c>
    </row>
    <row r="5" spans="1:16" x14ac:dyDescent="0.25">
      <c r="A5" s="17" t="s">
        <v>291</v>
      </c>
      <c r="B5" s="17">
        <v>60</v>
      </c>
      <c r="C5" s="17">
        <v>250</v>
      </c>
      <c r="D5" s="17">
        <v>75</v>
      </c>
      <c r="E5" s="17" t="s">
        <v>351</v>
      </c>
      <c r="F5" s="17">
        <v>45</v>
      </c>
      <c r="G5" s="17">
        <v>0</v>
      </c>
      <c r="H5" s="17">
        <v>0</v>
      </c>
      <c r="I5" s="17">
        <v>0.2</v>
      </c>
      <c r="J5" s="17" t="s">
        <v>358</v>
      </c>
      <c r="K5" s="17"/>
      <c r="L5" s="17">
        <v>110</v>
      </c>
      <c r="M5" s="17">
        <f t="shared" si="0"/>
        <v>230</v>
      </c>
      <c r="N5" s="17" t="s">
        <v>369</v>
      </c>
      <c r="O5" s="17"/>
      <c r="P5" s="17" t="s">
        <v>366</v>
      </c>
    </row>
    <row r="6" spans="1:16" x14ac:dyDescent="0.25">
      <c r="A6" s="16" t="s">
        <v>355</v>
      </c>
      <c r="B6" s="16">
        <v>40</v>
      </c>
      <c r="C6" s="16">
        <v>245</v>
      </c>
      <c r="D6" s="16">
        <v>80</v>
      </c>
      <c r="E6" s="16" t="s">
        <v>350</v>
      </c>
      <c r="F6" s="16">
        <v>40</v>
      </c>
      <c r="G6" s="16">
        <v>30</v>
      </c>
      <c r="H6" s="16">
        <v>3</v>
      </c>
      <c r="I6" s="16"/>
      <c r="J6" s="16" t="s">
        <v>362</v>
      </c>
      <c r="K6" s="16"/>
      <c r="L6" s="16">
        <v>-20</v>
      </c>
      <c r="M6" s="16">
        <f t="shared" si="0"/>
        <v>-4</v>
      </c>
      <c r="N6" s="16"/>
      <c r="O6" s="16"/>
      <c r="P6" s="16" t="s">
        <v>367</v>
      </c>
    </row>
    <row r="7" spans="1:16" x14ac:dyDescent="0.25">
      <c r="A7" s="17" t="s">
        <v>146</v>
      </c>
      <c r="B7" s="17">
        <v>25</v>
      </c>
      <c r="C7" s="17">
        <v>225</v>
      </c>
      <c r="D7" s="17">
        <v>70</v>
      </c>
      <c r="E7" s="17" t="s">
        <v>350</v>
      </c>
      <c r="F7" s="17">
        <v>40</v>
      </c>
      <c r="G7" s="17">
        <v>30</v>
      </c>
      <c r="H7" s="17">
        <v>2</v>
      </c>
      <c r="I7" s="17"/>
      <c r="J7" s="17" t="s">
        <v>360</v>
      </c>
      <c r="K7" s="17"/>
      <c r="L7" s="17">
        <v>-20</v>
      </c>
      <c r="M7" s="17">
        <f t="shared" si="0"/>
        <v>-4</v>
      </c>
      <c r="N7" s="17">
        <v>80</v>
      </c>
      <c r="O7" s="17"/>
      <c r="P7" s="17" t="s">
        <v>366</v>
      </c>
    </row>
    <row r="8" spans="1:16" x14ac:dyDescent="0.25">
      <c r="A8" s="16" t="s">
        <v>345</v>
      </c>
      <c r="B8" s="16">
        <v>60</v>
      </c>
      <c r="C8" s="16">
        <v>240</v>
      </c>
      <c r="D8" s="16">
        <v>60</v>
      </c>
      <c r="E8" s="16" t="s">
        <v>351</v>
      </c>
      <c r="F8" s="16">
        <v>60</v>
      </c>
      <c r="G8" s="16">
        <v>0</v>
      </c>
      <c r="H8" s="16">
        <v>0</v>
      </c>
      <c r="I8" s="16"/>
      <c r="J8" s="16" t="s">
        <v>360</v>
      </c>
      <c r="K8" s="16"/>
      <c r="L8" s="16">
        <v>97</v>
      </c>
      <c r="M8" s="16">
        <f t="shared" si="0"/>
        <v>206.6</v>
      </c>
      <c r="N8" s="16">
        <v>100</v>
      </c>
      <c r="O8" s="16"/>
      <c r="P8" s="16" t="s">
        <v>367</v>
      </c>
    </row>
    <row r="9" spans="1:16" x14ac:dyDescent="0.25">
      <c r="A9" s="17" t="s">
        <v>326</v>
      </c>
      <c r="B9" s="17">
        <v>80</v>
      </c>
      <c r="C9" s="17">
        <v>250</v>
      </c>
      <c r="D9" s="17">
        <v>120</v>
      </c>
      <c r="E9" s="17" t="s">
        <v>351</v>
      </c>
      <c r="F9" s="17">
        <v>60</v>
      </c>
      <c r="G9" s="17">
        <v>20</v>
      </c>
      <c r="H9" s="17">
        <v>2</v>
      </c>
      <c r="I9" s="17"/>
      <c r="J9" s="17" t="s">
        <v>360</v>
      </c>
      <c r="K9" s="17"/>
      <c r="L9" s="17">
        <v>103</v>
      </c>
      <c r="M9" s="17">
        <f t="shared" si="0"/>
        <v>217.4</v>
      </c>
      <c r="N9" s="17"/>
      <c r="O9" s="17"/>
      <c r="P9" s="17" t="s">
        <v>360</v>
      </c>
    </row>
    <row r="10" spans="1:16" x14ac:dyDescent="0.25">
      <c r="A10" s="16" t="s">
        <v>293</v>
      </c>
      <c r="B10" s="16">
        <v>60</v>
      </c>
      <c r="C10" s="16">
        <v>250</v>
      </c>
      <c r="D10" s="16">
        <v>110</v>
      </c>
      <c r="E10" s="16" t="s">
        <v>351</v>
      </c>
      <c r="F10" s="16">
        <v>60</v>
      </c>
      <c r="G10" s="16">
        <v>0</v>
      </c>
      <c r="H10" s="16">
        <v>0</v>
      </c>
      <c r="I10" s="16"/>
      <c r="J10" s="16" t="s">
        <v>360</v>
      </c>
      <c r="K10" s="16"/>
      <c r="L10" s="16">
        <v>-10</v>
      </c>
      <c r="M10" s="16">
        <f t="shared" si="0"/>
        <v>14</v>
      </c>
      <c r="N10" s="16"/>
      <c r="O10" s="16"/>
      <c r="P10" s="16" t="s">
        <v>367</v>
      </c>
    </row>
    <row r="11" spans="1:16" x14ac:dyDescent="0.25">
      <c r="A11" s="17" t="s">
        <v>361</v>
      </c>
      <c r="B11" s="17">
        <v>25</v>
      </c>
      <c r="C11" s="17">
        <v>220</v>
      </c>
      <c r="D11" s="17">
        <v>60</v>
      </c>
      <c r="E11" s="17" t="s">
        <v>350</v>
      </c>
      <c r="F11" s="17">
        <v>40</v>
      </c>
      <c r="G11" s="17">
        <v>0</v>
      </c>
      <c r="H11" s="17">
        <v>0</v>
      </c>
      <c r="I11" s="17"/>
      <c r="J11" s="17" t="s">
        <v>360</v>
      </c>
      <c r="K11" s="17"/>
      <c r="L11" s="17">
        <v>-20</v>
      </c>
      <c r="M11" s="17">
        <f t="shared" si="0"/>
        <v>-4</v>
      </c>
      <c r="N11" s="17"/>
      <c r="O11" s="17"/>
      <c r="P11" s="17" t="s">
        <v>366</v>
      </c>
    </row>
    <row r="12" spans="1:16" x14ac:dyDescent="0.25">
      <c r="A12" s="16"/>
      <c r="B12" s="16"/>
      <c r="C12" s="16"/>
      <c r="D12" s="16"/>
      <c r="E12" s="16"/>
      <c r="F12" s="16"/>
      <c r="G12" s="16"/>
      <c r="H12" s="16"/>
      <c r="I12" s="16"/>
      <c r="J12" s="16"/>
      <c r="K12" s="16"/>
      <c r="L12" s="16"/>
      <c r="M12" s="16" t="str">
        <f t="shared" si="0"/>
        <v/>
      </c>
      <c r="N12" s="16"/>
      <c r="O12" s="16"/>
      <c r="P12" s="16"/>
    </row>
    <row r="13" spans="1:16" x14ac:dyDescent="0.25">
      <c r="A13" s="17"/>
      <c r="B13" s="17"/>
      <c r="C13" s="17"/>
      <c r="D13" s="17"/>
      <c r="E13" s="17"/>
      <c r="F13" s="17"/>
      <c r="G13" s="17"/>
      <c r="H13" s="17"/>
      <c r="I13" s="17"/>
      <c r="J13" s="17"/>
      <c r="K13" s="17"/>
      <c r="L13" s="17"/>
      <c r="M13" s="17" t="str">
        <f t="shared" si="0"/>
        <v/>
      </c>
      <c r="N13" s="17"/>
      <c r="O13" s="17"/>
      <c r="P13" s="17"/>
    </row>
    <row r="14" spans="1:16" x14ac:dyDescent="0.25">
      <c r="A14" s="16"/>
      <c r="B14" s="16"/>
      <c r="C14" s="16"/>
      <c r="D14" s="16"/>
      <c r="E14" s="16"/>
      <c r="F14" s="16"/>
      <c r="G14" s="16"/>
      <c r="H14" s="16"/>
      <c r="I14" s="16"/>
      <c r="J14" s="16"/>
      <c r="K14" s="16"/>
      <c r="L14" s="16"/>
      <c r="M14" s="16" t="str">
        <f t="shared" si="0"/>
        <v/>
      </c>
      <c r="N14" s="16"/>
      <c r="O14" s="16"/>
      <c r="P14" s="16"/>
    </row>
    <row r="15" spans="1:16" x14ac:dyDescent="0.25">
      <c r="A15" s="17"/>
      <c r="B15" s="17"/>
      <c r="C15" s="17"/>
      <c r="D15" s="17"/>
      <c r="E15" s="17"/>
      <c r="F15" s="17"/>
      <c r="G15" s="17"/>
      <c r="H15" s="17"/>
      <c r="I15" s="17"/>
      <c r="J15" s="17"/>
      <c r="K15" s="17"/>
      <c r="L15" s="17"/>
      <c r="M15" s="17" t="str">
        <f t="shared" si="0"/>
        <v/>
      </c>
      <c r="N15" s="17"/>
      <c r="O15" s="17"/>
      <c r="P15" s="17"/>
    </row>
    <row r="16" spans="1:16" x14ac:dyDescent="0.25">
      <c r="A16" s="16"/>
      <c r="B16" s="16"/>
      <c r="C16" s="16"/>
      <c r="D16" s="16"/>
      <c r="E16" s="16"/>
      <c r="F16" s="16"/>
      <c r="G16" s="16"/>
      <c r="H16" s="16"/>
      <c r="I16" s="16"/>
      <c r="J16" s="16"/>
      <c r="K16" s="16"/>
      <c r="L16" s="16"/>
      <c r="M16" s="16" t="str">
        <f t="shared" si="0"/>
        <v/>
      </c>
      <c r="N16" s="16"/>
      <c r="O16" s="16"/>
      <c r="P16" s="16"/>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D30" sqref="D30"/>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20" t="s">
        <v>344</v>
      </c>
      <c r="B1" s="21"/>
      <c r="C1" s="21"/>
      <c r="D1" s="21"/>
      <c r="E1" s="21"/>
      <c r="F1" s="21"/>
      <c r="G1" s="21"/>
      <c r="H1" s="21"/>
      <c r="I1" s="21"/>
      <c r="J1" s="21"/>
      <c r="K1" s="21"/>
      <c r="L1" s="21"/>
      <c r="M1" s="22"/>
      <c r="O1" s="20" t="s">
        <v>372</v>
      </c>
      <c r="P1" s="21"/>
      <c r="Q1" s="21"/>
      <c r="R1" s="21"/>
      <c r="S1" s="21"/>
      <c r="T1" s="21"/>
      <c r="U1" s="21"/>
      <c r="V1" s="21"/>
      <c r="W1" s="21"/>
      <c r="X1" s="21"/>
      <c r="Y1" s="21"/>
      <c r="Z1" s="22"/>
    </row>
    <row r="2" spans="1:26" ht="45" x14ac:dyDescent="0.25">
      <c r="A2" s="1" t="s">
        <v>270</v>
      </c>
      <c r="B2" s="12" t="s">
        <v>316</v>
      </c>
      <c r="C2" s="1">
        <v>0.12</v>
      </c>
      <c r="D2" s="1">
        <v>0.2</v>
      </c>
      <c r="E2" s="1">
        <v>0.24</v>
      </c>
      <c r="F2" s="1">
        <v>0.28000000000000003</v>
      </c>
      <c r="G2" s="1">
        <v>0.32</v>
      </c>
      <c r="H2" s="1">
        <v>0.4</v>
      </c>
      <c r="I2" s="1">
        <v>0.48</v>
      </c>
      <c r="J2" s="1">
        <v>0.56000000000000005</v>
      </c>
      <c r="K2" s="1">
        <v>0.64</v>
      </c>
      <c r="L2" s="1">
        <v>0.72</v>
      </c>
      <c r="M2" s="1">
        <v>0.8</v>
      </c>
      <c r="O2" s="12" t="s">
        <v>343</v>
      </c>
      <c r="P2" s="12" t="s">
        <v>377</v>
      </c>
      <c r="Q2" s="12" t="s">
        <v>376</v>
      </c>
      <c r="R2" s="12" t="s">
        <v>375</v>
      </c>
      <c r="S2" s="12" t="s">
        <v>374</v>
      </c>
      <c r="T2" s="12" t="s">
        <v>373</v>
      </c>
      <c r="U2" s="1"/>
      <c r="V2" s="1"/>
      <c r="W2" s="1"/>
      <c r="X2" s="1"/>
      <c r="Y2" s="1"/>
      <c r="Z2" s="1"/>
    </row>
    <row r="3" spans="1:26" x14ac:dyDescent="0.25">
      <c r="A3" s="2" t="str">
        <f>IF(ISBLANK(spec_filament!A2),"",spec_filament!A2)</f>
        <v>PLA</v>
      </c>
      <c r="B3" s="2" t="str">
        <f t="shared" ref="B3:B17" si="0">Matchfill(INDEX($O$2:$Z$17,MATCH($A3,$O$2:$O$17,0),MATCH(HotendType,$O$2:$Z$2,0)),$P1)</f>
        <v>11.5</v>
      </c>
      <c r="C3" s="3">
        <f t="shared" ref="C3:M16" si="1">IF(LEN($B3) = 0,"",$B3/((Nozzle_Diameter*1.2)*C$2))</f>
        <v>133.10185185185188</v>
      </c>
      <c r="D3" s="3">
        <f t="shared" si="1"/>
        <v>79.861111111111114</v>
      </c>
      <c r="E3" s="3">
        <f t="shared" si="1"/>
        <v>66.550925925925938</v>
      </c>
      <c r="F3" s="3">
        <f t="shared" si="1"/>
        <v>57.043650793650791</v>
      </c>
      <c r="G3" s="3">
        <f t="shared" si="1"/>
        <v>49.913194444444443</v>
      </c>
      <c r="H3" s="3">
        <f t="shared" si="1"/>
        <v>39.930555555555557</v>
      </c>
      <c r="I3" s="3">
        <f t="shared" si="1"/>
        <v>33.275462962962969</v>
      </c>
      <c r="J3" s="3">
        <f t="shared" si="1"/>
        <v>28.521825396825395</v>
      </c>
      <c r="K3" s="3">
        <f t="shared" si="1"/>
        <v>24.956597222222221</v>
      </c>
      <c r="L3" s="3">
        <f t="shared" si="1"/>
        <v>22.183641975308642</v>
      </c>
      <c r="M3" s="3">
        <f t="shared" si="1"/>
        <v>19.965277777777779</v>
      </c>
      <c r="O3" s="2" t="str">
        <f>IF(ISBLANK(spec_filament!A2),"",spec_filament!A2)</f>
        <v>PLA</v>
      </c>
      <c r="P3" s="14">
        <v>11.5</v>
      </c>
      <c r="Q3" s="14">
        <v>11.5</v>
      </c>
      <c r="R3" s="14">
        <v>22</v>
      </c>
      <c r="S3" s="14">
        <v>35</v>
      </c>
      <c r="T3" s="14">
        <f>IF(ISBLANK(Q3),"",Q3)</f>
        <v>11.5</v>
      </c>
      <c r="U3" s="2"/>
      <c r="V3" s="2"/>
      <c r="W3" s="2"/>
      <c r="X3" s="2"/>
      <c r="Y3" s="2"/>
      <c r="Z3" s="2"/>
    </row>
    <row r="4" spans="1:26" x14ac:dyDescent="0.25">
      <c r="A4" s="2" t="str">
        <f>IF(ISBLANK(spec_filament!A3),"",spec_filament!A3)</f>
        <v>PET</v>
      </c>
      <c r="B4" s="2" t="str">
        <f t="shared" si="0"/>
        <v>8</v>
      </c>
      <c r="C4" s="3">
        <f t="shared" si="1"/>
        <v>92.592592592592609</v>
      </c>
      <c r="D4" s="3">
        <f t="shared" si="1"/>
        <v>55.555555555555557</v>
      </c>
      <c r="E4" s="3">
        <f t="shared" si="1"/>
        <v>46.296296296296305</v>
      </c>
      <c r="F4" s="3">
        <f t="shared" si="1"/>
        <v>39.682539682539684</v>
      </c>
      <c r="G4" s="3">
        <f t="shared" si="1"/>
        <v>34.722222222222221</v>
      </c>
      <c r="H4" s="3">
        <f t="shared" si="1"/>
        <v>27.777777777777779</v>
      </c>
      <c r="I4" s="3">
        <f t="shared" si="1"/>
        <v>23.148148148148152</v>
      </c>
      <c r="J4" s="3">
        <f t="shared" si="1"/>
        <v>19.841269841269842</v>
      </c>
      <c r="K4" s="3">
        <f t="shared" si="1"/>
        <v>17.361111111111111</v>
      </c>
      <c r="L4" s="3">
        <f t="shared" si="1"/>
        <v>15.4320987654321</v>
      </c>
      <c r="M4" s="3">
        <f t="shared" si="1"/>
        <v>13.888888888888889</v>
      </c>
      <c r="O4" s="2" t="str">
        <f>IF(ISBLANK(spec_filament!A3),"",spec_filament!A3)</f>
        <v>PET</v>
      </c>
      <c r="P4" s="14">
        <v>8</v>
      </c>
      <c r="Q4" s="14">
        <v>8</v>
      </c>
      <c r="R4" s="11">
        <f>($Q4/$Q$3) * $R$3</f>
        <v>15.304347826086957</v>
      </c>
      <c r="S4" s="11">
        <f>($Q4/$Q$3) * $S$3</f>
        <v>24.34782608695652</v>
      </c>
      <c r="T4" s="11">
        <f t="shared" ref="T4:T17" si="2">IF(ISBLANK(Q4),"",Q4)</f>
        <v>8</v>
      </c>
      <c r="U4" s="2"/>
      <c r="V4" s="2"/>
      <c r="W4" s="2"/>
      <c r="X4" s="2"/>
      <c r="Y4" s="2"/>
      <c r="Z4" s="2"/>
    </row>
    <row r="5" spans="1:26" x14ac:dyDescent="0.25">
      <c r="A5" s="2" t="str">
        <f>IF(ISBLANK(spec_filament!A4),"",spec_filament!A4)</f>
        <v>ABS</v>
      </c>
      <c r="B5" s="2" t="str">
        <f t="shared" si="0"/>
        <v>10</v>
      </c>
      <c r="C5" s="3">
        <f t="shared" si="1"/>
        <v>115.74074074074075</v>
      </c>
      <c r="D5" s="3">
        <f t="shared" si="1"/>
        <v>69.444444444444443</v>
      </c>
      <c r="E5" s="3">
        <f t="shared" si="1"/>
        <v>57.870370370370374</v>
      </c>
      <c r="F5" s="3">
        <f t="shared" si="1"/>
        <v>49.603174603174601</v>
      </c>
      <c r="G5" s="3">
        <f t="shared" si="1"/>
        <v>43.402777777777779</v>
      </c>
      <c r="H5" s="3">
        <f t="shared" si="1"/>
        <v>34.722222222222221</v>
      </c>
      <c r="I5" s="3">
        <f t="shared" si="1"/>
        <v>28.935185185185187</v>
      </c>
      <c r="J5" s="3">
        <f t="shared" si="1"/>
        <v>24.801587301587301</v>
      </c>
      <c r="K5" s="3">
        <f t="shared" si="1"/>
        <v>21.701388888888889</v>
      </c>
      <c r="L5" s="3">
        <f t="shared" si="1"/>
        <v>19.290123456790123</v>
      </c>
      <c r="M5" s="3">
        <f t="shared" si="1"/>
        <v>17.361111111111111</v>
      </c>
      <c r="O5" s="2" t="str">
        <f>IF(ISBLANK(spec_filament!A4),"",spec_filament!A4)</f>
        <v>ABS</v>
      </c>
      <c r="P5" s="14">
        <v>10</v>
      </c>
      <c r="Q5" s="14">
        <v>10</v>
      </c>
      <c r="R5" s="11">
        <f t="shared" ref="R5:R12" si="3">($Q5/$Q$3) * $R$3</f>
        <v>19.130434782608695</v>
      </c>
      <c r="S5" s="11">
        <f t="shared" ref="S5:S12" si="4">($Q5/$Q$3) * $S$3</f>
        <v>30.434782608695652</v>
      </c>
      <c r="T5" s="11">
        <f t="shared" si="2"/>
        <v>10</v>
      </c>
      <c r="U5" s="2"/>
      <c r="V5" s="2"/>
      <c r="W5" s="2"/>
      <c r="X5" s="2"/>
      <c r="Y5" s="2"/>
      <c r="Z5" s="2"/>
    </row>
    <row r="6" spans="1:26" x14ac:dyDescent="0.25">
      <c r="A6" s="2" t="str">
        <f>IF(ISBLANK(spec_filament!A5),"",spec_filament!A5)</f>
        <v>Nylon</v>
      </c>
      <c r="B6" s="2" t="str">
        <f t="shared" si="0"/>
        <v>8</v>
      </c>
      <c r="C6" s="3">
        <f t="shared" si="1"/>
        <v>92.592592592592609</v>
      </c>
      <c r="D6" s="3">
        <f t="shared" si="1"/>
        <v>55.555555555555557</v>
      </c>
      <c r="E6" s="3">
        <f t="shared" si="1"/>
        <v>46.296296296296305</v>
      </c>
      <c r="F6" s="3">
        <f t="shared" si="1"/>
        <v>39.682539682539684</v>
      </c>
      <c r="G6" s="3">
        <f t="shared" si="1"/>
        <v>34.722222222222221</v>
      </c>
      <c r="H6" s="3">
        <f t="shared" si="1"/>
        <v>27.777777777777779</v>
      </c>
      <c r="I6" s="3">
        <f t="shared" si="1"/>
        <v>23.148148148148152</v>
      </c>
      <c r="J6" s="3">
        <f t="shared" si="1"/>
        <v>19.841269841269842</v>
      </c>
      <c r="K6" s="3">
        <f t="shared" si="1"/>
        <v>17.361111111111111</v>
      </c>
      <c r="L6" s="3">
        <f t="shared" si="1"/>
        <v>15.4320987654321</v>
      </c>
      <c r="M6" s="3">
        <f t="shared" si="1"/>
        <v>13.888888888888889</v>
      </c>
      <c r="O6" s="2" t="str">
        <f>IF(ISBLANK(spec_filament!A5),"",spec_filament!A5)</f>
        <v>Nylon</v>
      </c>
      <c r="P6" s="14">
        <v>8</v>
      </c>
      <c r="Q6" s="14">
        <v>8</v>
      </c>
      <c r="R6" s="11">
        <f t="shared" si="3"/>
        <v>15.304347826086957</v>
      </c>
      <c r="S6" s="11">
        <f t="shared" si="4"/>
        <v>24.34782608695652</v>
      </c>
      <c r="T6" s="11">
        <f t="shared" si="2"/>
        <v>8</v>
      </c>
      <c r="U6" s="2"/>
      <c r="V6" s="2"/>
      <c r="W6" s="2"/>
      <c r="X6" s="2"/>
      <c r="Y6" s="2"/>
      <c r="Z6" s="2"/>
    </row>
    <row r="7" spans="1:26" x14ac:dyDescent="0.25">
      <c r="A7" s="2" t="str">
        <f>IF(ISBLANK(spec_filament!A6),"",spec_filament!A6)</f>
        <v>CoPoly</v>
      </c>
      <c r="B7" s="2" t="str">
        <f t="shared" si="0"/>
        <v>8</v>
      </c>
      <c r="C7" s="3">
        <f t="shared" si="1"/>
        <v>92.592592592592609</v>
      </c>
      <c r="D7" s="3">
        <f t="shared" si="1"/>
        <v>55.555555555555557</v>
      </c>
      <c r="E7" s="3">
        <f t="shared" si="1"/>
        <v>46.296296296296305</v>
      </c>
      <c r="F7" s="3">
        <f t="shared" si="1"/>
        <v>39.682539682539684</v>
      </c>
      <c r="G7" s="3">
        <f t="shared" si="1"/>
        <v>34.722222222222221</v>
      </c>
      <c r="H7" s="3">
        <f t="shared" si="1"/>
        <v>27.777777777777779</v>
      </c>
      <c r="I7" s="3">
        <f t="shared" si="1"/>
        <v>23.148148148148152</v>
      </c>
      <c r="J7" s="3">
        <f t="shared" si="1"/>
        <v>19.841269841269842</v>
      </c>
      <c r="K7" s="3">
        <f t="shared" si="1"/>
        <v>17.361111111111111</v>
      </c>
      <c r="L7" s="3">
        <f t="shared" si="1"/>
        <v>15.4320987654321</v>
      </c>
      <c r="M7" s="3">
        <f t="shared" si="1"/>
        <v>13.888888888888889</v>
      </c>
      <c r="O7" s="2" t="str">
        <f>IF(ISBLANK(spec_filament!A6),"",spec_filament!A6)</f>
        <v>CoPoly</v>
      </c>
      <c r="P7" s="14">
        <v>8</v>
      </c>
      <c r="Q7" s="14">
        <v>8</v>
      </c>
      <c r="R7" s="11">
        <f t="shared" si="3"/>
        <v>15.304347826086957</v>
      </c>
      <c r="S7" s="11">
        <f t="shared" si="4"/>
        <v>24.34782608695652</v>
      </c>
      <c r="T7" s="11">
        <f t="shared" si="2"/>
        <v>8</v>
      </c>
      <c r="U7" s="2"/>
      <c r="V7" s="2"/>
      <c r="W7" s="2"/>
      <c r="X7" s="2"/>
      <c r="Y7" s="2"/>
      <c r="Z7" s="2"/>
    </row>
    <row r="8" spans="1:26" x14ac:dyDescent="0.25">
      <c r="A8" s="2" t="str">
        <f>IF(ISBLANK(spec_filament!A7),"",spec_filament!A7)</f>
        <v>TPU</v>
      </c>
      <c r="B8" s="2" t="str">
        <f t="shared" si="0"/>
        <v>6</v>
      </c>
      <c r="C8" s="3">
        <f t="shared" si="1"/>
        <v>69.444444444444457</v>
      </c>
      <c r="D8" s="3">
        <f t="shared" si="1"/>
        <v>41.666666666666671</v>
      </c>
      <c r="E8" s="3">
        <f t="shared" si="1"/>
        <v>34.722222222222229</v>
      </c>
      <c r="F8" s="3">
        <f t="shared" si="1"/>
        <v>29.761904761904763</v>
      </c>
      <c r="G8" s="3">
        <f t="shared" si="1"/>
        <v>26.041666666666668</v>
      </c>
      <c r="H8" s="3">
        <f t="shared" si="1"/>
        <v>20.833333333333336</v>
      </c>
      <c r="I8" s="3">
        <f t="shared" si="1"/>
        <v>17.361111111111114</v>
      </c>
      <c r="J8" s="3">
        <f t="shared" si="1"/>
        <v>14.880952380952381</v>
      </c>
      <c r="K8" s="3">
        <f t="shared" si="1"/>
        <v>13.020833333333334</v>
      </c>
      <c r="L8" s="3">
        <f t="shared" si="1"/>
        <v>11.574074074074074</v>
      </c>
      <c r="M8" s="3">
        <f t="shared" si="1"/>
        <v>10.416666666666668</v>
      </c>
      <c r="O8" s="2" t="str">
        <f>IF(ISBLANK(spec_filament!A7),"",spec_filament!A7)</f>
        <v>TPU</v>
      </c>
      <c r="P8" s="14">
        <v>6</v>
      </c>
      <c r="Q8" s="14">
        <v>6</v>
      </c>
      <c r="R8" s="11">
        <f t="shared" si="3"/>
        <v>11.478260869565217</v>
      </c>
      <c r="S8" s="11">
        <f t="shared" si="4"/>
        <v>18.260869565217391</v>
      </c>
      <c r="T8" s="11">
        <f t="shared" si="2"/>
        <v>6</v>
      </c>
      <c r="U8" s="2"/>
      <c r="V8" s="2"/>
      <c r="W8" s="2"/>
      <c r="X8" s="2"/>
      <c r="Y8" s="2"/>
      <c r="Z8" s="2"/>
    </row>
    <row r="9" spans="1:26" x14ac:dyDescent="0.25">
      <c r="A9" s="2" t="str">
        <f>IF(ISBLANK(spec_filament!A8),"",spec_filament!A8)</f>
        <v>HIPS</v>
      </c>
      <c r="B9" s="2" t="str">
        <f t="shared" si="0"/>
        <v>10</v>
      </c>
      <c r="C9" s="3">
        <f t="shared" si="1"/>
        <v>115.74074074074075</v>
      </c>
      <c r="D9" s="3">
        <f t="shared" si="1"/>
        <v>69.444444444444443</v>
      </c>
      <c r="E9" s="3">
        <f t="shared" si="1"/>
        <v>57.870370370370374</v>
      </c>
      <c r="F9" s="3">
        <f t="shared" si="1"/>
        <v>49.603174603174601</v>
      </c>
      <c r="G9" s="3">
        <f t="shared" si="1"/>
        <v>43.402777777777779</v>
      </c>
      <c r="H9" s="3">
        <f t="shared" si="1"/>
        <v>34.722222222222221</v>
      </c>
      <c r="I9" s="3">
        <f t="shared" si="1"/>
        <v>28.935185185185187</v>
      </c>
      <c r="J9" s="3">
        <f t="shared" si="1"/>
        <v>24.801587301587301</v>
      </c>
      <c r="K9" s="3">
        <f t="shared" si="1"/>
        <v>21.701388888888889</v>
      </c>
      <c r="L9" s="3">
        <f t="shared" si="1"/>
        <v>19.290123456790123</v>
      </c>
      <c r="M9" s="3">
        <f t="shared" si="1"/>
        <v>17.361111111111111</v>
      </c>
      <c r="O9" s="2" t="str">
        <f>IF(ISBLANK(spec_filament!A8),"",spec_filament!A8)</f>
        <v>HIPS</v>
      </c>
      <c r="P9" s="14">
        <v>10</v>
      </c>
      <c r="Q9" s="14">
        <v>10</v>
      </c>
      <c r="R9" s="11">
        <f t="shared" si="3"/>
        <v>19.130434782608695</v>
      </c>
      <c r="S9" s="11">
        <f t="shared" si="4"/>
        <v>30.434782608695652</v>
      </c>
      <c r="T9" s="11">
        <f t="shared" si="2"/>
        <v>10</v>
      </c>
      <c r="U9" s="2"/>
      <c r="V9" s="2"/>
      <c r="W9" s="2"/>
      <c r="X9" s="2"/>
      <c r="Y9" s="2"/>
      <c r="Z9" s="2"/>
    </row>
    <row r="10" spans="1:26" x14ac:dyDescent="0.25">
      <c r="A10" s="2" t="str">
        <f>IF(ISBLANK(spec_filament!A9),"",spec_filament!A9)</f>
        <v>ASA</v>
      </c>
      <c r="B10" s="2" t="str">
        <f t="shared" si="0"/>
        <v>10</v>
      </c>
      <c r="C10" s="3">
        <f t="shared" si="1"/>
        <v>115.74074074074075</v>
      </c>
      <c r="D10" s="3">
        <f t="shared" si="1"/>
        <v>69.444444444444443</v>
      </c>
      <c r="E10" s="3">
        <f t="shared" si="1"/>
        <v>57.870370370370374</v>
      </c>
      <c r="F10" s="3">
        <f t="shared" si="1"/>
        <v>49.603174603174601</v>
      </c>
      <c r="G10" s="3">
        <f t="shared" si="1"/>
        <v>43.402777777777779</v>
      </c>
      <c r="H10" s="3">
        <f t="shared" si="1"/>
        <v>34.722222222222221</v>
      </c>
      <c r="I10" s="3">
        <f t="shared" si="1"/>
        <v>28.935185185185187</v>
      </c>
      <c r="J10" s="3">
        <f t="shared" si="1"/>
        <v>24.801587301587301</v>
      </c>
      <c r="K10" s="3">
        <f t="shared" si="1"/>
        <v>21.701388888888889</v>
      </c>
      <c r="L10" s="3">
        <f t="shared" si="1"/>
        <v>19.290123456790123</v>
      </c>
      <c r="M10" s="3">
        <f t="shared" si="1"/>
        <v>17.361111111111111</v>
      </c>
      <c r="O10" s="2" t="str">
        <f>IF(ISBLANK(spec_filament!A9),"",spec_filament!A9)</f>
        <v>ASA</v>
      </c>
      <c r="P10" s="14">
        <v>10</v>
      </c>
      <c r="Q10" s="14">
        <v>10</v>
      </c>
      <c r="R10" s="11">
        <f t="shared" si="3"/>
        <v>19.130434782608695</v>
      </c>
      <c r="S10" s="11">
        <f t="shared" si="4"/>
        <v>30.434782608695652</v>
      </c>
      <c r="T10" s="11">
        <f t="shared" si="2"/>
        <v>10</v>
      </c>
      <c r="U10" s="2"/>
      <c r="V10" s="2"/>
      <c r="W10" s="2"/>
      <c r="X10" s="2"/>
      <c r="Y10" s="2"/>
      <c r="Z10" s="2"/>
    </row>
    <row r="11" spans="1:26" x14ac:dyDescent="0.25">
      <c r="A11" s="2" t="str">
        <f>IF(ISBLANK(spec_filament!A10),"",spec_filament!A10)</f>
        <v>PP</v>
      </c>
      <c r="B11" s="2" t="str">
        <f t="shared" si="0"/>
        <v>8</v>
      </c>
      <c r="C11" s="3">
        <f t="shared" si="1"/>
        <v>92.592592592592609</v>
      </c>
      <c r="D11" s="3">
        <f t="shared" si="1"/>
        <v>55.555555555555557</v>
      </c>
      <c r="E11" s="3">
        <f t="shared" si="1"/>
        <v>46.296296296296305</v>
      </c>
      <c r="F11" s="3">
        <f t="shared" si="1"/>
        <v>39.682539682539684</v>
      </c>
      <c r="G11" s="3">
        <f t="shared" si="1"/>
        <v>34.722222222222221</v>
      </c>
      <c r="H11" s="3">
        <f t="shared" si="1"/>
        <v>27.777777777777779</v>
      </c>
      <c r="I11" s="3">
        <f t="shared" si="1"/>
        <v>23.148148148148152</v>
      </c>
      <c r="J11" s="3">
        <f t="shared" si="1"/>
        <v>19.841269841269842</v>
      </c>
      <c r="K11" s="3">
        <f t="shared" si="1"/>
        <v>17.361111111111111</v>
      </c>
      <c r="L11" s="3">
        <f t="shared" si="1"/>
        <v>15.4320987654321</v>
      </c>
      <c r="M11" s="3">
        <f t="shared" si="1"/>
        <v>13.888888888888889</v>
      </c>
      <c r="O11" s="2" t="str">
        <f>IF(ISBLANK(spec_filament!A10),"",spec_filament!A10)</f>
        <v>PP</v>
      </c>
      <c r="P11" s="14">
        <v>8</v>
      </c>
      <c r="Q11" s="14">
        <v>8</v>
      </c>
      <c r="R11" s="11">
        <f t="shared" si="3"/>
        <v>15.304347826086957</v>
      </c>
      <c r="S11" s="11">
        <f t="shared" si="4"/>
        <v>24.34782608695652</v>
      </c>
      <c r="T11" s="11">
        <f t="shared" si="2"/>
        <v>8</v>
      </c>
      <c r="U11" s="2"/>
      <c r="V11" s="2"/>
      <c r="W11" s="2"/>
      <c r="X11" s="2"/>
      <c r="Y11" s="2"/>
      <c r="Z11" s="2"/>
    </row>
    <row r="12" spans="1:26" x14ac:dyDescent="0.25">
      <c r="A12" s="2" t="str">
        <f>IF(ISBLANK(spec_filament!A11),"",spec_filament!A11)</f>
        <v>TPE</v>
      </c>
      <c r="B12" s="2" t="str">
        <f t="shared" si="0"/>
        <v>6</v>
      </c>
      <c r="C12" s="3">
        <f t="shared" si="1"/>
        <v>69.444444444444457</v>
      </c>
      <c r="D12" s="3">
        <f t="shared" si="1"/>
        <v>41.666666666666671</v>
      </c>
      <c r="E12" s="3">
        <f t="shared" si="1"/>
        <v>34.722222222222229</v>
      </c>
      <c r="F12" s="3">
        <f t="shared" si="1"/>
        <v>29.761904761904763</v>
      </c>
      <c r="G12" s="3">
        <f t="shared" si="1"/>
        <v>26.041666666666668</v>
      </c>
      <c r="H12" s="3">
        <f t="shared" si="1"/>
        <v>20.833333333333336</v>
      </c>
      <c r="I12" s="3">
        <f t="shared" si="1"/>
        <v>17.361111111111114</v>
      </c>
      <c r="J12" s="3">
        <f t="shared" si="1"/>
        <v>14.880952380952381</v>
      </c>
      <c r="K12" s="3">
        <f t="shared" si="1"/>
        <v>13.020833333333334</v>
      </c>
      <c r="L12" s="3">
        <f t="shared" si="1"/>
        <v>11.574074074074074</v>
      </c>
      <c r="M12" s="3">
        <f t="shared" si="1"/>
        <v>10.416666666666668</v>
      </c>
      <c r="O12" s="2" t="str">
        <f>IF(ISBLANK(spec_filament!A11),"",spec_filament!A11)</f>
        <v>TPE</v>
      </c>
      <c r="P12" s="14">
        <v>6</v>
      </c>
      <c r="Q12" s="14">
        <v>6</v>
      </c>
      <c r="R12" s="11">
        <f t="shared" si="3"/>
        <v>11.478260869565217</v>
      </c>
      <c r="S12" s="11">
        <f t="shared" si="4"/>
        <v>18.260869565217391</v>
      </c>
      <c r="T12" s="11">
        <f t="shared" si="2"/>
        <v>6</v>
      </c>
      <c r="U12" s="2"/>
      <c r="V12" s="2"/>
      <c r="W12" s="2"/>
      <c r="X12" s="2"/>
      <c r="Y12" s="2"/>
      <c r="Z12" s="2"/>
    </row>
    <row r="13" spans="1:26" x14ac:dyDescent="0.25">
      <c r="A13" s="2" t="str">
        <f>IF(ISBLANK(spec_filament!A12),"",spec_filament!A12)</f>
        <v/>
      </c>
      <c r="B13" s="2" t="str">
        <f t="shared" si="0"/>
        <v/>
      </c>
      <c r="C13" s="3" t="str">
        <f t="shared" si="1"/>
        <v/>
      </c>
      <c r="D13" s="3" t="str">
        <f t="shared" si="1"/>
        <v/>
      </c>
      <c r="E13" s="3"/>
      <c r="F13" s="3"/>
      <c r="G13" s="3" t="str">
        <f t="shared" si="1"/>
        <v/>
      </c>
      <c r="H13" s="3" t="str">
        <f t="shared" si="1"/>
        <v/>
      </c>
      <c r="I13" s="3" t="str">
        <f t="shared" si="1"/>
        <v/>
      </c>
      <c r="J13" s="3" t="str">
        <f t="shared" si="1"/>
        <v/>
      </c>
      <c r="K13" s="3" t="str">
        <f t="shared" si="1"/>
        <v/>
      </c>
      <c r="L13" s="3" t="str">
        <f t="shared" si="1"/>
        <v/>
      </c>
      <c r="M13" s="3" t="str">
        <f t="shared" si="1"/>
        <v/>
      </c>
      <c r="O13" s="2" t="str">
        <f>IF(ISBLANK(spec_filament!A12),"",spec_filament!A12)</f>
        <v/>
      </c>
      <c r="P13" s="2"/>
      <c r="Q13" s="2"/>
      <c r="R13" s="2"/>
      <c r="S13" s="2"/>
      <c r="T13" s="11" t="str">
        <f t="shared" si="2"/>
        <v/>
      </c>
      <c r="U13" s="2"/>
      <c r="V13" s="2"/>
      <c r="W13" s="2"/>
      <c r="X13" s="2"/>
      <c r="Y13" s="2"/>
      <c r="Z13" s="2"/>
    </row>
    <row r="14" spans="1:26" x14ac:dyDescent="0.25">
      <c r="A14" s="2" t="str">
        <f>IF(ISBLANK(spec_filament!A13),"",spec_filament!A13)</f>
        <v/>
      </c>
      <c r="B14" s="2" t="str">
        <f t="shared" si="0"/>
        <v/>
      </c>
      <c r="C14" s="3" t="str">
        <f t="shared" si="1"/>
        <v/>
      </c>
      <c r="D14" s="3" t="str">
        <f t="shared" si="1"/>
        <v/>
      </c>
      <c r="E14" s="3"/>
      <c r="F14" s="3"/>
      <c r="G14" s="3" t="str">
        <f t="shared" si="1"/>
        <v/>
      </c>
      <c r="H14" s="3" t="str">
        <f t="shared" si="1"/>
        <v/>
      </c>
      <c r="I14" s="3" t="str">
        <f t="shared" si="1"/>
        <v/>
      </c>
      <c r="J14" s="3" t="str">
        <f t="shared" si="1"/>
        <v/>
      </c>
      <c r="K14" s="3" t="str">
        <f t="shared" si="1"/>
        <v/>
      </c>
      <c r="L14" s="3" t="str">
        <f t="shared" si="1"/>
        <v/>
      </c>
      <c r="M14" s="3" t="str">
        <f t="shared" si="1"/>
        <v/>
      </c>
      <c r="O14" s="2" t="str">
        <f>IF(ISBLANK(spec_filament!A13),"",spec_filament!A13)</f>
        <v/>
      </c>
      <c r="P14" s="2"/>
      <c r="Q14" s="2"/>
      <c r="R14" s="2"/>
      <c r="S14" s="2"/>
      <c r="T14" s="11" t="str">
        <f t="shared" si="2"/>
        <v/>
      </c>
      <c r="U14" s="2"/>
      <c r="V14" s="2"/>
      <c r="W14" s="2"/>
      <c r="X14" s="2"/>
      <c r="Y14" s="2"/>
      <c r="Z14" s="2"/>
    </row>
    <row r="15" spans="1:26" x14ac:dyDescent="0.25">
      <c r="A15" s="2" t="str">
        <f>IF(ISBLANK(spec_filament!A14),"",spec_filament!A14)</f>
        <v/>
      </c>
      <c r="B15" s="2" t="str">
        <f t="shared" si="0"/>
        <v/>
      </c>
      <c r="C15" s="3" t="str">
        <f t="shared" si="1"/>
        <v/>
      </c>
      <c r="D15" s="3" t="str">
        <f t="shared" si="1"/>
        <v/>
      </c>
      <c r="E15" s="3"/>
      <c r="F15" s="3"/>
      <c r="G15" s="3" t="str">
        <f t="shared" si="1"/>
        <v/>
      </c>
      <c r="H15" s="3" t="str">
        <f t="shared" si="1"/>
        <v/>
      </c>
      <c r="I15" s="3" t="str">
        <f t="shared" si="1"/>
        <v/>
      </c>
      <c r="J15" s="3" t="str">
        <f t="shared" si="1"/>
        <v/>
      </c>
      <c r="K15" s="3" t="str">
        <f t="shared" si="1"/>
        <v/>
      </c>
      <c r="L15" s="3" t="str">
        <f t="shared" si="1"/>
        <v/>
      </c>
      <c r="M15" s="3" t="str">
        <f t="shared" si="1"/>
        <v/>
      </c>
      <c r="O15" s="2" t="str">
        <f>IF(ISBLANK(spec_filament!A14),"",spec_filament!A14)</f>
        <v/>
      </c>
      <c r="P15" s="2"/>
      <c r="Q15" s="2"/>
      <c r="R15" s="2"/>
      <c r="S15" s="2"/>
      <c r="T15" s="11" t="str">
        <f t="shared" si="2"/>
        <v/>
      </c>
      <c r="U15" s="2"/>
      <c r="V15" s="2"/>
      <c r="W15" s="2"/>
      <c r="X15" s="2"/>
      <c r="Y15" s="2"/>
      <c r="Z15" s="2"/>
    </row>
    <row r="16" spans="1:26" x14ac:dyDescent="0.25">
      <c r="A16" s="2" t="str">
        <f>IF(ISBLANK(spec_filament!A15),"",spec_filament!A15)</f>
        <v/>
      </c>
      <c r="B16" s="2" t="str">
        <f t="shared" si="0"/>
        <v/>
      </c>
      <c r="C16" s="3" t="str">
        <f t="shared" si="1"/>
        <v/>
      </c>
      <c r="D16" s="3" t="str">
        <f t="shared" si="1"/>
        <v/>
      </c>
      <c r="E16" s="3"/>
      <c r="F16" s="3"/>
      <c r="G16" s="3" t="str">
        <f t="shared" si="1"/>
        <v/>
      </c>
      <c r="H16" s="3" t="str">
        <f t="shared" si="1"/>
        <v/>
      </c>
      <c r="I16" s="3" t="str">
        <f t="shared" si="1"/>
        <v/>
      </c>
      <c r="J16" s="3" t="str">
        <f t="shared" si="1"/>
        <v/>
      </c>
      <c r="K16" s="3" t="str">
        <f t="shared" si="1"/>
        <v/>
      </c>
      <c r="L16" s="3" t="str">
        <f t="shared" si="1"/>
        <v/>
      </c>
      <c r="M16" s="3" t="str">
        <f t="shared" si="1"/>
        <v/>
      </c>
      <c r="O16" s="2" t="str">
        <f>IF(ISBLANK(spec_filament!A15),"",spec_filament!A15)</f>
        <v/>
      </c>
      <c r="P16" s="2"/>
      <c r="Q16" s="2"/>
      <c r="R16" s="2"/>
      <c r="S16" s="2"/>
      <c r="T16" s="11" t="str">
        <f t="shared" si="2"/>
        <v/>
      </c>
      <c r="U16" s="2"/>
      <c r="V16" s="2"/>
      <c r="W16" s="2"/>
      <c r="X16" s="2"/>
      <c r="Y16" s="2"/>
      <c r="Z16" s="2"/>
    </row>
    <row r="17" spans="1:26" x14ac:dyDescent="0.25">
      <c r="A17" s="2" t="str">
        <f>IF(ISBLANK(spec_filament!A16),"",spec_filament!A16)</f>
        <v/>
      </c>
      <c r="B17" s="2" t="str">
        <f t="shared" si="0"/>
        <v/>
      </c>
      <c r="C17" s="2"/>
      <c r="D17" s="2"/>
      <c r="E17" s="2"/>
      <c r="F17" s="2"/>
      <c r="G17" s="2"/>
      <c r="H17" s="2"/>
      <c r="I17" s="2"/>
      <c r="J17" s="2"/>
      <c r="K17" s="2"/>
      <c r="L17" s="2"/>
      <c r="M17" s="2"/>
      <c r="O17" s="2" t="str">
        <f>IF(ISBLANK(spec_filament!A16),"",spec_filament!A16)</f>
        <v/>
      </c>
      <c r="P17" s="2"/>
      <c r="Q17" s="2"/>
      <c r="R17" s="2"/>
      <c r="S17" s="2"/>
      <c r="T17" s="11" t="str">
        <f t="shared" si="2"/>
        <v/>
      </c>
      <c r="U17" s="2"/>
      <c r="V17" s="2"/>
      <c r="W17" s="2"/>
      <c r="X17" s="2"/>
      <c r="Y17" s="2"/>
      <c r="Z17" s="2"/>
    </row>
    <row r="18" spans="1:26" x14ac:dyDescent="0.25">
      <c r="D18" s="13"/>
      <c r="E18" s="13"/>
      <c r="F18" s="13"/>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113" activePane="bottomLeft" state="frozen"/>
      <selection activeCell="B30" sqref="B30"/>
      <selection pane="bottomLeft" activeCell="C39" sqref="C39"/>
    </sheetView>
  </sheetViews>
  <sheetFormatPr defaultRowHeight="15" x14ac:dyDescent="0.25"/>
  <cols>
    <col min="1" max="1" width="19.140625" bestFit="1" customWidth="1"/>
    <col min="2" max="2" width="39.7109375" customWidth="1"/>
    <col min="3" max="3" width="38.42578125" bestFit="1"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15" t="s">
        <v>226</v>
      </c>
      <c r="B1" s="15" t="s">
        <v>204</v>
      </c>
      <c r="C1" s="15" t="s">
        <v>103</v>
      </c>
      <c r="D1" s="15" t="s">
        <v>246</v>
      </c>
      <c r="E1" s="15" t="s">
        <v>247</v>
      </c>
      <c r="F1" s="15">
        <v>0.24</v>
      </c>
      <c r="G1" s="15">
        <v>0.28000000000000003</v>
      </c>
      <c r="H1" s="15" t="s">
        <v>248</v>
      </c>
      <c r="I1" s="15" t="s">
        <v>249</v>
      </c>
      <c r="J1" s="15" t="s">
        <v>250</v>
      </c>
      <c r="K1" s="15" t="s">
        <v>251</v>
      </c>
      <c r="L1" s="15" t="s">
        <v>252</v>
      </c>
      <c r="M1" s="15" t="s">
        <v>253</v>
      </c>
      <c r="N1" s="15" t="s">
        <v>254</v>
      </c>
      <c r="O1" s="15" t="s">
        <v>215</v>
      </c>
    </row>
    <row r="2" spans="1:15" x14ac:dyDescent="0.25">
      <c r="A2" s="16"/>
      <c r="B2" s="16"/>
      <c r="C2" s="16"/>
      <c r="D2" s="16" t="s">
        <v>216</v>
      </c>
      <c r="E2" s="16" t="s">
        <v>217</v>
      </c>
      <c r="F2" s="16" t="s">
        <v>379</v>
      </c>
      <c r="G2" s="16" t="s">
        <v>380</v>
      </c>
      <c r="H2" s="16" t="s">
        <v>218</v>
      </c>
      <c r="I2" s="16" t="s">
        <v>219</v>
      </c>
      <c r="J2" s="16" t="s">
        <v>220</v>
      </c>
      <c r="K2" s="16" t="s">
        <v>221</v>
      </c>
      <c r="L2" s="16" t="s">
        <v>222</v>
      </c>
      <c r="M2" s="16" t="s">
        <v>223</v>
      </c>
      <c r="N2" s="16" t="s">
        <v>224</v>
      </c>
      <c r="O2" s="16"/>
    </row>
    <row r="3" spans="1:15" x14ac:dyDescent="0.25">
      <c r="A3" s="17"/>
      <c r="B3" s="17" t="s">
        <v>0</v>
      </c>
      <c r="C3" s="17">
        <v>4</v>
      </c>
      <c r="D3" s="17"/>
      <c r="E3" s="17"/>
      <c r="F3" s="17"/>
      <c r="G3" s="17"/>
      <c r="H3" s="17"/>
      <c r="I3" s="17"/>
      <c r="J3" s="17"/>
      <c r="K3" s="17"/>
      <c r="L3" s="17"/>
      <c r="M3" s="17"/>
      <c r="N3" s="17"/>
      <c r="O3" s="17"/>
    </row>
    <row r="4" spans="1:15" x14ac:dyDescent="0.25">
      <c r="A4" s="18" t="s">
        <v>227</v>
      </c>
      <c r="B4" s="18" t="s">
        <v>440</v>
      </c>
      <c r="C4" s="18"/>
      <c r="D4" s="18"/>
      <c r="E4" s="18"/>
      <c r="F4" s="18"/>
      <c r="G4" s="18"/>
      <c r="H4" s="18"/>
      <c r="I4" s="18"/>
      <c r="J4" s="18"/>
      <c r="K4" s="18"/>
      <c r="L4" s="18"/>
      <c r="M4" s="18"/>
      <c r="N4" s="18"/>
      <c r="O4" s="18"/>
    </row>
    <row r="5" spans="1:15" x14ac:dyDescent="0.25">
      <c r="A5" s="16"/>
      <c r="B5" s="16" t="s">
        <v>1</v>
      </c>
      <c r="C5" s="16">
        <f>MAX(0.2,Min_Layer_Height)</f>
        <v>0.2</v>
      </c>
      <c r="D5" s="16">
        <v>0.12</v>
      </c>
      <c r="E5" s="16">
        <v>0.2</v>
      </c>
      <c r="F5" s="16">
        <v>0.24</v>
      </c>
      <c r="G5" s="16">
        <v>0.28000000000000003</v>
      </c>
      <c r="H5" s="16">
        <v>0.32</v>
      </c>
      <c r="I5" s="16">
        <v>0.4</v>
      </c>
      <c r="J5" s="16">
        <v>0.48</v>
      </c>
      <c r="K5" s="16">
        <v>0.56000000000000005</v>
      </c>
      <c r="L5" s="16">
        <v>0.64</v>
      </c>
      <c r="M5" s="16">
        <v>0.72</v>
      </c>
      <c r="N5" s="16">
        <v>0.8</v>
      </c>
      <c r="O5" s="16"/>
    </row>
    <row r="6" spans="1:15" x14ac:dyDescent="0.25">
      <c r="A6" s="17"/>
      <c r="B6" s="17" t="s">
        <v>2</v>
      </c>
      <c r="C6" s="17">
        <f>MAX(0.2,Min_Layer_Height)</f>
        <v>0.2</v>
      </c>
      <c r="D6" s="17"/>
      <c r="E6" s="17"/>
      <c r="F6" s="17"/>
      <c r="G6" s="17"/>
      <c r="H6" s="17"/>
      <c r="I6" s="17"/>
      <c r="J6" s="17"/>
      <c r="K6" s="17"/>
      <c r="L6" s="17"/>
      <c r="M6" s="17"/>
      <c r="N6" s="17"/>
      <c r="O6" s="17"/>
    </row>
    <row r="7" spans="1:15" x14ac:dyDescent="0.25">
      <c r="A7" s="18"/>
      <c r="B7" s="18" t="s">
        <v>441</v>
      </c>
      <c r="C7" s="18"/>
      <c r="D7" s="18"/>
      <c r="E7" s="18"/>
      <c r="F7" s="18"/>
      <c r="G7" s="18"/>
      <c r="H7" s="18"/>
      <c r="I7" s="18"/>
      <c r="J7" s="18"/>
      <c r="K7" s="18"/>
      <c r="L7" s="18"/>
      <c r="M7" s="18"/>
      <c r="N7" s="18"/>
      <c r="O7" s="18"/>
    </row>
    <row r="8" spans="1:15" x14ac:dyDescent="0.25">
      <c r="A8" s="16"/>
      <c r="B8" s="16" t="s">
        <v>3</v>
      </c>
      <c r="C8" s="16"/>
      <c r="D8" s="16" t="str">
        <f>Matchfill(INDEX(spec!$F$13:$R$22,MATCH($B8,spec!$F$13:$F$22,0),MATCH(D$5,spec!$F$13:$R$13,0)),$C$8)</f>
        <v>3</v>
      </c>
      <c r="E8" s="16" t="str">
        <f>Matchfill(INDEX(spec!$F$13:$R$22,MATCH($B8,spec!$F$13:$F$22,0),MATCH(E$5,spec!$F$13:$R$13,0)),$C$8)</f>
        <v>3</v>
      </c>
      <c r="F8" s="16">
        <v>3</v>
      </c>
      <c r="G8" s="16">
        <v>3</v>
      </c>
      <c r="H8" s="16" t="str">
        <f>Matchfill(INDEX(spec!$F$13:$R$22,MATCH($B8,spec!$F$13:$F$22,0),MATCH(H$5,spec!$F$13:$R$13,0)),$C$8)</f>
        <v>3</v>
      </c>
      <c r="I8" s="16" t="str">
        <f>Matchfill(INDEX(spec!$F$13:$R$22,MATCH($B8,spec!$F$13:$F$22,0),MATCH(I$5,spec!$F$13:$R$13,0)),$C$8)</f>
        <v>3</v>
      </c>
      <c r="J8" s="16" t="str">
        <f>Matchfill(INDEX(spec!$F$13:$R$22,MATCH($B8,spec!$F$13:$F$22,0),MATCH(J$5,spec!$F$13:$R$13,0)),$C$8)</f>
        <v>3</v>
      </c>
      <c r="K8" s="16" t="str">
        <f>Matchfill(INDEX(spec!$F$13:$R$22,MATCH($B8,spec!$F$13:$F$22,0),MATCH(K$5,spec!$F$13:$R$13,0)),$C$8)</f>
        <v>3</v>
      </c>
      <c r="L8" s="16" t="str">
        <f>Matchfill(INDEX(spec!$F$13:$R$22,MATCH($B8,spec!$F$13:$F$22,0),MATCH(L$5,spec!$F$13:$R$13,0)),$C$8)</f>
        <v>3</v>
      </c>
      <c r="M8" s="16" t="str">
        <f>Matchfill(INDEX(spec!$F$13:$R$22,MATCH($B8,spec!$F$13:$F$22,0),MATCH(M$5,spec!$F$13:$R$13,0)),$C$8)</f>
        <v>3</v>
      </c>
      <c r="N8" s="16" t="str">
        <f>Matchfill(INDEX(spec!$F$13:$R$22,MATCH($B8,spec!$F$13:$F$22,0),MATCH(N$5,spec!$F$13:$R$13,0)),$C$8)</f>
        <v>3</v>
      </c>
      <c r="O8" s="16"/>
    </row>
    <row r="9" spans="1:15" x14ac:dyDescent="0.25">
      <c r="A9" s="17"/>
      <c r="B9" s="17" t="s">
        <v>4</v>
      </c>
      <c r="C9" s="17">
        <v>0</v>
      </c>
      <c r="D9" s="17"/>
      <c r="E9" s="17"/>
      <c r="F9" s="17"/>
      <c r="G9" s="17"/>
      <c r="H9" s="17"/>
      <c r="I9" s="17"/>
      <c r="J9" s="17"/>
      <c r="K9" s="17"/>
      <c r="L9" s="17"/>
      <c r="M9" s="17"/>
      <c r="N9" s="17"/>
      <c r="O9" s="17"/>
    </row>
    <row r="10" spans="1:15" x14ac:dyDescent="0.25">
      <c r="A10" s="18"/>
      <c r="B10" s="18" t="s">
        <v>442</v>
      </c>
      <c r="C10" s="18"/>
      <c r="D10" s="18"/>
      <c r="E10" s="18"/>
      <c r="F10" s="18"/>
      <c r="G10" s="18"/>
      <c r="H10" s="18"/>
      <c r="I10" s="18"/>
      <c r="J10" s="18"/>
      <c r="K10" s="18"/>
      <c r="L10" s="18"/>
      <c r="M10" s="18"/>
      <c r="N10" s="18"/>
      <c r="O10" s="18"/>
    </row>
    <row r="11" spans="1:15" x14ac:dyDescent="0.25">
      <c r="A11" s="16"/>
      <c r="B11" s="16" t="s">
        <v>5</v>
      </c>
      <c r="C11" s="16"/>
      <c r="D11" s="16" t="str">
        <f>Matchfill(INDEX(spec!$F$13:$R$22,MATCH($B11,spec!$F$13:$F$22,0),MATCH(D$5,spec!$F$13:$R$13,0)),$C$8)</f>
        <v>7</v>
      </c>
      <c r="E11" s="16" t="str">
        <f>Matchfill(INDEX(spec!$F$13:$R$22,MATCH($B11,spec!$F$13:$F$22,0),MATCH(E$5,spec!$F$13:$R$13,0)),$C$8)</f>
        <v>4</v>
      </c>
      <c r="F11" s="16">
        <v>3</v>
      </c>
      <c r="G11" s="16">
        <v>3</v>
      </c>
      <c r="H11" s="16" t="str">
        <f>Matchfill(INDEX(spec!$F$13:$R$22,MATCH($B11,spec!$F$13:$F$22,0),MATCH(H$5,spec!$F$13:$R$13,0)),$C$8)</f>
        <v>3</v>
      </c>
      <c r="I11" s="16" t="str">
        <f>Matchfill(INDEX(spec!$F$13:$R$22,MATCH($B11,spec!$F$13:$F$22,0),MATCH(I$5,spec!$F$13:$R$13,0)),$C$8)</f>
        <v>3</v>
      </c>
      <c r="J11" s="16" t="str">
        <f>Matchfill(INDEX(spec!$F$13:$R$22,MATCH($B11,spec!$F$13:$F$22,0),MATCH(J$5,spec!$F$13:$R$13,0)),$C$8)</f>
        <v>3</v>
      </c>
      <c r="K11" s="16" t="str">
        <f>Matchfill(INDEX(spec!$F$13:$R$22,MATCH($B11,spec!$F$13:$F$22,0),MATCH(K$5,spec!$F$13:$R$13,0)),$C$8)</f>
        <v>3</v>
      </c>
      <c r="L11" s="16" t="str">
        <f>Matchfill(INDEX(spec!$F$13:$R$22,MATCH($B11,spec!$F$13:$F$22,0),MATCH(L$5,spec!$F$13:$R$13,0)),$C$8)</f>
        <v>3</v>
      </c>
      <c r="M11" s="16" t="str">
        <f>Matchfill(INDEX(spec!$F$13:$R$22,MATCH($B11,spec!$F$13:$F$22,0),MATCH(M$5,spec!$F$13:$R$13,0)),$C$8)</f>
        <v>3</v>
      </c>
      <c r="N11" s="16" t="str">
        <f>Matchfill(INDEX(spec!$F$13:$R$22,MATCH($B11,spec!$F$13:$F$22,0),MATCH(N$5,spec!$F$13:$R$13,0)),$C$8)</f>
        <v>3</v>
      </c>
      <c r="O11" s="16"/>
    </row>
    <row r="12" spans="1:15" x14ac:dyDescent="0.25">
      <c r="A12" s="17"/>
      <c r="B12" s="17" t="s">
        <v>6</v>
      </c>
      <c r="C12" s="17"/>
      <c r="D12" s="17" t="str">
        <f>Matchfill(INDEX(spec!$F$13:$R$22,MATCH($B11,spec!$F$13:$F$22,0),MATCH(D$5,spec!$F$13:$R$13,0)),$C$8)</f>
        <v>7</v>
      </c>
      <c r="E12" s="17" t="str">
        <f>Matchfill(INDEX(spec!$F$13:$R$22,MATCH($B11,spec!$F$13:$F$22,0),MATCH(E$5,spec!$F$13:$R$13,0)),$C$8)</f>
        <v>4</v>
      </c>
      <c r="F12" s="17">
        <v>3</v>
      </c>
      <c r="G12" s="17">
        <v>3</v>
      </c>
      <c r="H12" s="17" t="str">
        <f>Matchfill(INDEX(spec!$F$13:$R$22,MATCH($B11,spec!$F$13:$F$22,0),MATCH(H$5,spec!$F$13:$R$13,0)),$C$8)</f>
        <v>3</v>
      </c>
      <c r="I12" s="17" t="str">
        <f>Matchfill(INDEX(spec!$F$13:$R$22,MATCH($B11,spec!$F$13:$F$22,0),MATCH(I$5,spec!$F$13:$R$13,0)),$C$8)</f>
        <v>3</v>
      </c>
      <c r="J12" s="17" t="str">
        <f>Matchfill(INDEX(spec!$F$13:$R$22,MATCH($B11,spec!$F$13:$F$22,0),MATCH(J$5,spec!$F$13:$R$13,0)),$C$8)</f>
        <v>3</v>
      </c>
      <c r="K12" s="17" t="str">
        <f>Matchfill(INDEX(spec!$F$13:$R$22,MATCH($B11,spec!$F$13:$F$22,0),MATCH(K$5,spec!$F$13:$R$13,0)),$C$8)</f>
        <v>3</v>
      </c>
      <c r="L12" s="17" t="str">
        <f>Matchfill(INDEX(spec!$F$13:$R$22,MATCH($B11,spec!$F$13:$F$22,0),MATCH(L$5,spec!$F$13:$R$13,0)),$C$8)</f>
        <v>3</v>
      </c>
      <c r="M12" s="17" t="str">
        <f>Matchfill(INDEX(spec!$F$13:$R$22,MATCH($B11,spec!$F$13:$F$22,0),MATCH(M$5,spec!$F$13:$R$13,0)),$C$8)</f>
        <v>3</v>
      </c>
      <c r="N12" s="17" t="str">
        <f>Matchfill(INDEX(spec!$F$13:$R$22,MATCH($B11,spec!$F$13:$F$22,0),MATCH(N$5,spec!$F$13:$R$13,0)),$C$8)</f>
        <v>3</v>
      </c>
      <c r="O12" s="17"/>
    </row>
    <row r="13" spans="1:15" x14ac:dyDescent="0.25">
      <c r="A13" s="18"/>
      <c r="B13" s="18" t="s">
        <v>443</v>
      </c>
      <c r="C13" s="18"/>
      <c r="D13" s="18"/>
      <c r="E13" s="18"/>
      <c r="F13" s="18"/>
      <c r="G13" s="18"/>
      <c r="H13" s="18"/>
      <c r="I13" s="18"/>
      <c r="J13" s="18"/>
      <c r="K13" s="18"/>
      <c r="L13" s="18"/>
      <c r="M13" s="18"/>
      <c r="N13" s="18"/>
      <c r="O13" s="18"/>
    </row>
    <row r="14" spans="1:15" x14ac:dyDescent="0.25">
      <c r="A14" s="16"/>
      <c r="B14" s="16" t="s">
        <v>7</v>
      </c>
      <c r="C14" s="16">
        <v>1</v>
      </c>
      <c r="D14" s="16"/>
      <c r="E14" s="16"/>
      <c r="F14" s="16"/>
      <c r="G14" s="16"/>
      <c r="H14" s="16"/>
      <c r="I14" s="16"/>
      <c r="J14" s="16"/>
      <c r="K14" s="16"/>
      <c r="L14" s="16"/>
      <c r="M14" s="16"/>
      <c r="N14" s="16"/>
      <c r="O14" s="16" t="s">
        <v>238</v>
      </c>
    </row>
    <row r="15" spans="1:15" x14ac:dyDescent="0.25">
      <c r="A15" s="17"/>
      <c r="B15" s="17" t="s">
        <v>8</v>
      </c>
      <c r="C15" s="17">
        <v>1</v>
      </c>
      <c r="D15" s="17"/>
      <c r="E15" s="17"/>
      <c r="F15" s="17"/>
      <c r="G15" s="17"/>
      <c r="H15" s="17"/>
      <c r="I15" s="17"/>
      <c r="J15" s="17"/>
      <c r="K15" s="17"/>
      <c r="L15" s="17"/>
      <c r="M15" s="17"/>
      <c r="N15" s="17"/>
      <c r="O15" s="17" t="s">
        <v>239</v>
      </c>
    </row>
    <row r="16" spans="1:15" x14ac:dyDescent="0.25">
      <c r="A16" s="16"/>
      <c r="B16" s="16" t="s">
        <v>9</v>
      </c>
      <c r="C16" s="16">
        <v>0</v>
      </c>
      <c r="D16" s="16"/>
      <c r="E16" s="16"/>
      <c r="F16" s="16"/>
      <c r="G16" s="16"/>
      <c r="H16" s="16"/>
      <c r="I16" s="16"/>
      <c r="J16" s="16"/>
      <c r="K16" s="16"/>
      <c r="L16" s="16"/>
      <c r="M16" s="16"/>
      <c r="N16" s="16"/>
      <c r="O16" s="16"/>
    </row>
    <row r="17" spans="1:15" x14ac:dyDescent="0.25">
      <c r="A17" s="17"/>
      <c r="B17" s="17" t="s">
        <v>10</v>
      </c>
      <c r="C17" s="17">
        <v>1</v>
      </c>
      <c r="D17" s="17"/>
      <c r="E17" s="17"/>
      <c r="F17" s="17"/>
      <c r="G17" s="17"/>
      <c r="H17" s="17"/>
      <c r="I17" s="17"/>
      <c r="J17" s="17"/>
      <c r="K17" s="17"/>
      <c r="L17" s="17"/>
      <c r="M17" s="17"/>
      <c r="N17" s="17"/>
      <c r="O17" s="17" t="s">
        <v>240</v>
      </c>
    </row>
    <row r="18" spans="1:15" x14ac:dyDescent="0.25">
      <c r="A18" s="16"/>
      <c r="B18" s="16" t="s">
        <v>267</v>
      </c>
      <c r="C18" s="16">
        <v>1</v>
      </c>
      <c r="D18" s="16"/>
      <c r="E18" s="16"/>
      <c r="F18" s="16"/>
      <c r="G18" s="16"/>
      <c r="H18" s="16"/>
      <c r="I18" s="16"/>
      <c r="J18" s="16"/>
      <c r="K18" s="16"/>
      <c r="L18" s="16"/>
      <c r="M18" s="16"/>
      <c r="N18" s="16"/>
      <c r="O18" s="16" t="s">
        <v>268</v>
      </c>
    </row>
    <row r="19" spans="1:15" x14ac:dyDescent="0.25">
      <c r="A19" s="18"/>
      <c r="B19" s="18" t="s">
        <v>416</v>
      </c>
      <c r="C19" s="18"/>
      <c r="D19" s="18"/>
      <c r="E19" s="18"/>
      <c r="F19" s="18"/>
      <c r="G19" s="18"/>
      <c r="H19" s="18"/>
      <c r="I19" s="18"/>
      <c r="J19" s="18"/>
      <c r="K19" s="18"/>
      <c r="L19" s="18"/>
      <c r="M19" s="18"/>
      <c r="N19" s="18"/>
      <c r="O19" s="18" t="s">
        <v>241</v>
      </c>
    </row>
    <row r="20" spans="1:15" x14ac:dyDescent="0.25">
      <c r="A20" s="16"/>
      <c r="B20" s="16" t="s">
        <v>12</v>
      </c>
      <c r="C20" s="16" t="s">
        <v>13</v>
      </c>
      <c r="D20" s="16"/>
      <c r="E20" s="16"/>
      <c r="F20" s="16"/>
      <c r="G20" s="16"/>
      <c r="H20" s="16"/>
      <c r="I20" s="16"/>
      <c r="J20" s="16"/>
      <c r="K20" s="16"/>
      <c r="L20" s="16"/>
      <c r="M20" s="16"/>
      <c r="N20" s="16"/>
      <c r="O20" s="16"/>
    </row>
    <row r="21" spans="1:15" x14ac:dyDescent="0.25">
      <c r="A21" s="17"/>
      <c r="B21" s="17" t="s">
        <v>14</v>
      </c>
      <c r="C21" s="17">
        <v>0</v>
      </c>
      <c r="D21" s="17"/>
      <c r="E21" s="17"/>
      <c r="F21" s="17"/>
      <c r="G21" s="17"/>
      <c r="H21" s="17"/>
      <c r="I21" s="17"/>
      <c r="J21" s="17"/>
      <c r="K21" s="17"/>
      <c r="L21" s="17"/>
      <c r="M21" s="17"/>
      <c r="N21" s="17"/>
      <c r="O21" s="17"/>
    </row>
    <row r="22" spans="1:15" x14ac:dyDescent="0.25">
      <c r="A22" s="18" t="s">
        <v>228</v>
      </c>
      <c r="B22" s="18" t="s">
        <v>444</v>
      </c>
      <c r="C22" s="18"/>
      <c r="D22" s="18"/>
      <c r="E22" s="18"/>
      <c r="F22" s="18"/>
      <c r="G22" s="18"/>
      <c r="H22" s="18"/>
      <c r="I22" s="18"/>
      <c r="J22" s="18"/>
      <c r="K22" s="18"/>
      <c r="L22" s="18"/>
      <c r="M22" s="18"/>
      <c r="N22" s="18"/>
      <c r="O22" s="18"/>
    </row>
    <row r="23" spans="1:15" x14ac:dyDescent="0.25">
      <c r="A23" s="16"/>
      <c r="B23" s="16" t="s">
        <v>15</v>
      </c>
      <c r="C23" s="16" t="str">
        <f>"15%"</f>
        <v>15%</v>
      </c>
      <c r="D23" s="16"/>
      <c r="E23" s="16"/>
      <c r="F23" s="16"/>
      <c r="G23" s="16"/>
      <c r="H23" s="16"/>
      <c r="I23" s="16"/>
      <c r="J23" s="16"/>
      <c r="K23" s="16"/>
      <c r="L23" s="16"/>
      <c r="M23" s="16"/>
      <c r="N23" s="16"/>
      <c r="O23" s="16"/>
    </row>
    <row r="24" spans="1:15" x14ac:dyDescent="0.25">
      <c r="A24" s="17"/>
      <c r="B24" s="17" t="s">
        <v>16</v>
      </c>
      <c r="C24" s="17" t="s">
        <v>381</v>
      </c>
      <c r="D24" s="17"/>
      <c r="E24" s="17"/>
      <c r="F24" s="17"/>
      <c r="G24" s="17"/>
      <c r="H24" s="17"/>
      <c r="I24" s="17"/>
      <c r="J24" s="17"/>
      <c r="K24" s="17"/>
      <c r="L24" s="17"/>
      <c r="M24" s="17"/>
      <c r="N24" s="17"/>
      <c r="O24" s="17" t="s">
        <v>242</v>
      </c>
    </row>
    <row r="25" spans="1:15" x14ac:dyDescent="0.25">
      <c r="A25" s="16"/>
      <c r="B25" s="16" t="s">
        <v>389</v>
      </c>
      <c r="C25" s="16" t="s">
        <v>17</v>
      </c>
      <c r="D25" s="16"/>
      <c r="E25" s="16"/>
      <c r="F25" s="16"/>
      <c r="G25" s="16"/>
      <c r="H25" s="16"/>
      <c r="I25" s="16"/>
      <c r="J25" s="16"/>
      <c r="K25" s="16"/>
      <c r="L25" s="16"/>
      <c r="M25" s="16"/>
      <c r="N25" s="16"/>
      <c r="O25" s="16"/>
    </row>
    <row r="26" spans="1:15" x14ac:dyDescent="0.25">
      <c r="A26" s="17"/>
      <c r="B26" s="17" t="s">
        <v>390</v>
      </c>
      <c r="C26" s="17" t="s">
        <v>17</v>
      </c>
      <c r="D26" s="17"/>
      <c r="E26" s="17"/>
      <c r="F26" s="17"/>
      <c r="G26" s="17"/>
      <c r="H26" s="17"/>
      <c r="I26" s="17"/>
      <c r="J26" s="17"/>
      <c r="K26" s="17"/>
      <c r="L26" s="17"/>
      <c r="M26" s="17"/>
      <c r="N26" s="17"/>
      <c r="O26" s="17"/>
    </row>
    <row r="27" spans="1:15" x14ac:dyDescent="0.25">
      <c r="A27" s="18"/>
      <c r="B27" s="18" t="s">
        <v>445</v>
      </c>
      <c r="C27" s="18"/>
      <c r="D27" s="18"/>
      <c r="E27" s="18"/>
      <c r="F27" s="18"/>
      <c r="G27" s="18"/>
      <c r="H27" s="18"/>
      <c r="I27" s="18"/>
      <c r="J27" s="18"/>
      <c r="K27" s="18"/>
      <c r="L27" s="18"/>
      <c r="M27" s="18"/>
      <c r="N27" s="18"/>
      <c r="O27" s="18" t="s">
        <v>243</v>
      </c>
    </row>
    <row r="28" spans="1:15" x14ac:dyDescent="0.25">
      <c r="A28" s="16"/>
      <c r="B28" s="16" t="s">
        <v>18</v>
      </c>
      <c r="C28" s="16">
        <v>1</v>
      </c>
      <c r="D28" s="16"/>
      <c r="E28" s="16"/>
      <c r="F28" s="16"/>
      <c r="G28" s="16"/>
      <c r="H28" s="16"/>
      <c r="I28" s="16"/>
      <c r="J28" s="16"/>
      <c r="K28" s="16"/>
      <c r="L28" s="16"/>
      <c r="M28" s="16"/>
      <c r="N28" s="16"/>
      <c r="O28" s="16" t="s">
        <v>244</v>
      </c>
    </row>
    <row r="29" spans="1:15" x14ac:dyDescent="0.25">
      <c r="A29" s="17"/>
      <c r="B29" s="17" t="s">
        <v>19</v>
      </c>
      <c r="C29" s="17">
        <v>0</v>
      </c>
      <c r="D29" s="17"/>
      <c r="E29" s="17"/>
      <c r="F29" s="17"/>
      <c r="G29" s="17"/>
      <c r="H29" s="17"/>
      <c r="I29" s="17"/>
      <c r="J29" s="17"/>
      <c r="K29" s="17"/>
      <c r="L29" s="17"/>
      <c r="M29" s="17"/>
      <c r="N29" s="17"/>
      <c r="O29" s="17"/>
    </row>
    <row r="30" spans="1:15" x14ac:dyDescent="0.25">
      <c r="A30" s="18"/>
      <c r="B30" s="18" t="s">
        <v>416</v>
      </c>
      <c r="C30" s="18"/>
      <c r="D30" s="18"/>
      <c r="E30" s="18"/>
      <c r="F30" s="18"/>
      <c r="G30" s="18"/>
      <c r="H30" s="18"/>
      <c r="I30" s="18"/>
      <c r="J30" s="18"/>
      <c r="K30" s="18"/>
      <c r="L30" s="18"/>
      <c r="M30" s="18"/>
      <c r="N30" s="18"/>
      <c r="O30" s="18"/>
    </row>
    <row r="31" spans="1:15" x14ac:dyDescent="0.25">
      <c r="A31" s="16"/>
      <c r="B31" s="16" t="s">
        <v>20</v>
      </c>
      <c r="C31" s="16">
        <v>0</v>
      </c>
      <c r="D31" s="16"/>
      <c r="E31" s="16"/>
      <c r="F31" s="16"/>
      <c r="G31" s="16"/>
      <c r="H31" s="16"/>
      <c r="I31" s="16"/>
      <c r="J31" s="16"/>
      <c r="K31" s="16"/>
      <c r="L31" s="16"/>
      <c r="M31" s="16"/>
      <c r="N31" s="16"/>
      <c r="O31" s="16"/>
    </row>
    <row r="32" spans="1:15" x14ac:dyDescent="0.25">
      <c r="A32" s="17"/>
      <c r="B32" s="17" t="s">
        <v>21</v>
      </c>
      <c r="C32" s="17">
        <v>45</v>
      </c>
      <c r="D32" s="17"/>
      <c r="E32" s="17"/>
      <c r="F32" s="17"/>
      <c r="G32" s="17"/>
      <c r="H32" s="17"/>
      <c r="I32" s="17"/>
      <c r="J32" s="17"/>
      <c r="K32" s="17"/>
      <c r="L32" s="17"/>
      <c r="M32" s="17"/>
      <c r="N32" s="17"/>
      <c r="O32" s="17"/>
    </row>
    <row r="33" spans="1:15" x14ac:dyDescent="0.25">
      <c r="A33" s="16"/>
      <c r="B33" s="16" t="s">
        <v>22</v>
      </c>
      <c r="C33" s="16">
        <f>(Nozzle_Diameter*Nozzle_Diameter)*100</f>
        <v>36</v>
      </c>
      <c r="D33" s="16"/>
      <c r="E33" s="16"/>
      <c r="F33" s="16"/>
      <c r="G33" s="16"/>
      <c r="H33" s="16"/>
      <c r="I33" s="16"/>
      <c r="J33" s="16"/>
      <c r="K33" s="16"/>
      <c r="L33" s="16"/>
      <c r="M33" s="16"/>
      <c r="N33" s="16"/>
      <c r="O33" s="16" t="s">
        <v>245</v>
      </c>
    </row>
    <row r="34" spans="1:15" x14ac:dyDescent="0.25">
      <c r="A34" s="17"/>
      <c r="B34" s="17" t="s">
        <v>23</v>
      </c>
      <c r="C34" s="17">
        <v>0</v>
      </c>
      <c r="D34" s="17"/>
      <c r="E34" s="17"/>
      <c r="F34" s="17"/>
      <c r="G34" s="17"/>
      <c r="H34" s="17"/>
      <c r="I34" s="17"/>
      <c r="J34" s="17"/>
      <c r="K34" s="17"/>
      <c r="L34" s="17"/>
      <c r="M34" s="17"/>
      <c r="N34" s="17"/>
      <c r="O34" s="17"/>
    </row>
    <row r="35" spans="1:15" x14ac:dyDescent="0.25">
      <c r="A35" s="16"/>
      <c r="B35" s="16" t="s">
        <v>24</v>
      </c>
      <c r="C35" s="16">
        <v>0</v>
      </c>
      <c r="D35" s="16"/>
      <c r="E35" s="16"/>
      <c r="F35" s="16"/>
      <c r="G35" s="16"/>
      <c r="H35" s="16"/>
      <c r="I35" s="16"/>
      <c r="J35" s="16"/>
      <c r="K35" s="16"/>
      <c r="L35" s="16"/>
      <c r="M35" s="16"/>
      <c r="N35" s="16"/>
      <c r="O35" s="16"/>
    </row>
    <row r="36" spans="1:15" x14ac:dyDescent="0.25">
      <c r="A36" s="17"/>
      <c r="B36" s="17" t="s">
        <v>25</v>
      </c>
      <c r="C36" s="17">
        <v>0</v>
      </c>
      <c r="D36" s="17"/>
      <c r="E36" s="17"/>
      <c r="F36" s="17"/>
      <c r="G36" s="17"/>
      <c r="H36" s="17"/>
      <c r="I36" s="17"/>
      <c r="J36" s="17"/>
      <c r="K36" s="17"/>
      <c r="L36" s="17"/>
      <c r="M36" s="17"/>
      <c r="N36" s="17"/>
      <c r="O36" s="17"/>
    </row>
    <row r="37" spans="1:15" x14ac:dyDescent="0.25">
      <c r="A37" s="18" t="s">
        <v>229</v>
      </c>
      <c r="B37" s="18" t="s">
        <v>446</v>
      </c>
      <c r="C37" s="18"/>
      <c r="D37" s="18"/>
      <c r="E37" s="18"/>
      <c r="F37" s="18"/>
      <c r="G37" s="18"/>
      <c r="H37" s="18"/>
      <c r="I37" s="18"/>
      <c r="J37" s="18"/>
      <c r="K37" s="18"/>
      <c r="L37" s="18"/>
      <c r="M37" s="18"/>
      <c r="N37" s="18"/>
      <c r="O37" s="18"/>
    </row>
    <row r="38" spans="1:15" x14ac:dyDescent="0.25">
      <c r="A38" s="16"/>
      <c r="B38" s="16" t="s">
        <v>26</v>
      </c>
      <c r="C38" s="16">
        <v>0</v>
      </c>
      <c r="D38" s="16"/>
      <c r="E38" s="16"/>
      <c r="F38" s="16"/>
      <c r="G38" s="16"/>
      <c r="H38" s="16"/>
      <c r="I38" s="16"/>
      <c r="J38" s="16"/>
      <c r="K38" s="16"/>
      <c r="L38" s="16"/>
      <c r="M38" s="16"/>
      <c r="N38" s="16"/>
      <c r="O38" s="16" t="s">
        <v>255</v>
      </c>
    </row>
    <row r="39" spans="1:15" x14ac:dyDescent="0.25">
      <c r="A39" s="17"/>
      <c r="B39" s="17" t="s">
        <v>27</v>
      </c>
      <c r="C39" s="17">
        <v>2</v>
      </c>
      <c r="D39" s="17"/>
      <c r="E39" s="17"/>
      <c r="F39" s="17"/>
      <c r="G39" s="17"/>
      <c r="H39" s="17"/>
      <c r="I39" s="17"/>
      <c r="J39" s="17"/>
      <c r="K39" s="17"/>
      <c r="L39" s="17"/>
      <c r="M39" s="17"/>
      <c r="N39" s="17"/>
      <c r="O39" s="17" t="s">
        <v>258</v>
      </c>
    </row>
    <row r="40" spans="1:15" x14ac:dyDescent="0.25">
      <c r="A40" s="16"/>
      <c r="B40" s="16" t="s">
        <v>28</v>
      </c>
      <c r="C40" s="16">
        <v>1</v>
      </c>
      <c r="D40" s="16"/>
      <c r="E40" s="16"/>
      <c r="F40" s="16"/>
      <c r="G40" s="16"/>
      <c r="H40" s="16"/>
      <c r="I40" s="16"/>
      <c r="J40" s="16"/>
      <c r="K40" s="16"/>
      <c r="L40" s="16"/>
      <c r="M40" s="16"/>
      <c r="N40" s="16"/>
      <c r="O40" s="16" t="s">
        <v>256</v>
      </c>
    </row>
    <row r="41" spans="1:15" x14ac:dyDescent="0.25">
      <c r="A41" s="17"/>
      <c r="B41" s="17" t="s">
        <v>29</v>
      </c>
      <c r="C41" s="17">
        <v>4</v>
      </c>
      <c r="D41" s="17"/>
      <c r="E41" s="17"/>
      <c r="F41" s="17"/>
      <c r="G41" s="17"/>
      <c r="H41" s="17"/>
      <c r="I41" s="17"/>
      <c r="J41" s="17"/>
      <c r="K41" s="17"/>
      <c r="L41" s="17"/>
      <c r="M41" s="17"/>
      <c r="N41" s="17"/>
      <c r="O41" s="17" t="s">
        <v>259</v>
      </c>
    </row>
    <row r="42" spans="1:15" x14ac:dyDescent="0.25">
      <c r="A42" s="18"/>
      <c r="B42" s="18" t="s">
        <v>447</v>
      </c>
      <c r="C42" s="18"/>
      <c r="D42" s="18"/>
      <c r="E42" s="18"/>
      <c r="F42" s="18"/>
      <c r="G42" s="18"/>
      <c r="H42" s="18"/>
      <c r="I42" s="18"/>
      <c r="J42" s="18"/>
      <c r="K42" s="18"/>
      <c r="L42" s="18"/>
      <c r="M42" s="18"/>
      <c r="N42" s="18"/>
      <c r="O42" s="18" t="s">
        <v>257</v>
      </c>
    </row>
    <row r="43" spans="1:15" x14ac:dyDescent="0.25">
      <c r="A43" s="16"/>
      <c r="B43" s="16" t="s">
        <v>30</v>
      </c>
      <c r="C43" s="16">
        <f>Nozzle_Diameter*4</f>
        <v>2.4</v>
      </c>
      <c r="D43" s="16"/>
      <c r="E43" s="16"/>
      <c r="F43" s="16"/>
      <c r="G43" s="16"/>
      <c r="H43" s="16"/>
      <c r="I43" s="16"/>
      <c r="J43" s="16"/>
      <c r="K43" s="16"/>
      <c r="L43" s="16"/>
      <c r="M43" s="16"/>
      <c r="N43" s="16"/>
      <c r="O43" s="16"/>
    </row>
    <row r="44" spans="1:15" x14ac:dyDescent="0.25">
      <c r="A44" s="18" t="s">
        <v>230</v>
      </c>
      <c r="B44" s="18" t="s">
        <v>448</v>
      </c>
      <c r="C44" s="18"/>
      <c r="D44" s="18"/>
      <c r="E44" s="18"/>
      <c r="F44" s="18"/>
      <c r="G44" s="18"/>
      <c r="H44" s="18"/>
      <c r="I44" s="18"/>
      <c r="J44" s="18"/>
      <c r="K44" s="18"/>
      <c r="L44" s="18"/>
      <c r="M44" s="18"/>
      <c r="N44" s="18"/>
      <c r="O44" s="18"/>
    </row>
    <row r="45" spans="1:15" x14ac:dyDescent="0.25">
      <c r="A45" s="16"/>
      <c r="B45" s="16" t="s">
        <v>31</v>
      </c>
      <c r="C45" s="16">
        <v>0</v>
      </c>
      <c r="D45" s="16"/>
      <c r="E45" s="16"/>
      <c r="F45" s="16"/>
      <c r="G45" s="16"/>
      <c r="H45" s="16"/>
      <c r="I45" s="16"/>
      <c r="J45" s="16"/>
      <c r="K45" s="16"/>
      <c r="L45" s="16"/>
      <c r="M45" s="16"/>
      <c r="N45" s="16"/>
      <c r="O45" s="16"/>
    </row>
    <row r="46" spans="1:15" x14ac:dyDescent="0.25">
      <c r="A46" s="17"/>
      <c r="B46" s="17" t="s">
        <v>32</v>
      </c>
      <c r="C46" s="17">
        <v>1</v>
      </c>
      <c r="D46" s="17"/>
      <c r="E46" s="17"/>
      <c r="F46" s="17"/>
      <c r="G46" s="17"/>
      <c r="H46" s="17"/>
      <c r="I46" s="17"/>
      <c r="J46" s="17"/>
      <c r="K46" s="17"/>
      <c r="L46" s="17"/>
      <c r="M46" s="17"/>
      <c r="N46" s="17"/>
      <c r="O46" s="17" t="s">
        <v>260</v>
      </c>
    </row>
    <row r="47" spans="1:15" x14ac:dyDescent="0.25">
      <c r="A47" s="16"/>
      <c r="B47" s="16" t="s">
        <v>33</v>
      </c>
      <c r="C47" s="16">
        <v>0</v>
      </c>
      <c r="D47" s="16"/>
      <c r="E47" s="16"/>
      <c r="F47" s="16"/>
      <c r="G47" s="16"/>
      <c r="H47" s="16"/>
      <c r="I47" s="16"/>
      <c r="J47" s="16"/>
      <c r="K47" s="16"/>
      <c r="L47" s="16"/>
      <c r="M47" s="16"/>
      <c r="N47" s="16"/>
      <c r="O47" s="16" t="s">
        <v>261</v>
      </c>
    </row>
    <row r="48" spans="1:15" x14ac:dyDescent="0.25">
      <c r="A48" s="17"/>
      <c r="B48" s="17" t="s">
        <v>34</v>
      </c>
      <c r="C48" s="17">
        <v>1</v>
      </c>
      <c r="D48" s="17"/>
      <c r="E48" s="17"/>
      <c r="F48" s="17"/>
      <c r="G48" s="17"/>
      <c r="H48" s="17"/>
      <c r="I48" s="17"/>
      <c r="J48" s="17"/>
      <c r="K48" s="17"/>
      <c r="L48" s="17"/>
      <c r="M48" s="17"/>
      <c r="N48" s="17"/>
      <c r="O48" s="17"/>
    </row>
    <row r="49" spans="1:15" x14ac:dyDescent="0.25">
      <c r="A49" s="18"/>
      <c r="B49" s="18" t="s">
        <v>449</v>
      </c>
      <c r="C49" s="18"/>
      <c r="D49" s="18"/>
      <c r="E49" s="18"/>
      <c r="F49" s="18"/>
      <c r="G49" s="18"/>
      <c r="H49" s="18"/>
      <c r="I49" s="18"/>
      <c r="J49" s="18"/>
      <c r="K49" s="18"/>
      <c r="L49" s="18"/>
      <c r="M49" s="18"/>
      <c r="N49" s="18"/>
      <c r="O49" s="18"/>
    </row>
    <row r="50" spans="1:15" x14ac:dyDescent="0.25">
      <c r="A50" s="16"/>
      <c r="B50" s="16" t="s">
        <v>35</v>
      </c>
      <c r="C50" s="16">
        <v>0</v>
      </c>
      <c r="D50" s="16"/>
      <c r="E50" s="16"/>
      <c r="F50" s="16"/>
      <c r="G50" s="16"/>
      <c r="H50" s="16"/>
      <c r="I50" s="16"/>
      <c r="J50" s="16"/>
      <c r="K50" s="16"/>
      <c r="L50" s="16"/>
      <c r="M50" s="16"/>
      <c r="N50" s="16"/>
      <c r="O50" s="16"/>
    </row>
    <row r="51" spans="1:15" x14ac:dyDescent="0.25">
      <c r="A51" s="18"/>
      <c r="B51" s="18" t="s">
        <v>450</v>
      </c>
      <c r="C51" s="18"/>
      <c r="D51" s="18"/>
      <c r="E51" s="18"/>
      <c r="F51" s="18"/>
      <c r="G51" s="18"/>
      <c r="H51" s="18"/>
      <c r="I51" s="18"/>
      <c r="J51" s="18"/>
      <c r="K51" s="18"/>
      <c r="L51" s="18"/>
      <c r="M51" s="18"/>
      <c r="N51" s="18"/>
      <c r="O51" s="18"/>
    </row>
    <row r="52" spans="1:15" x14ac:dyDescent="0.25">
      <c r="A52" s="16"/>
      <c r="B52" s="16" t="s">
        <v>36</v>
      </c>
      <c r="C52" s="16">
        <v>0.2</v>
      </c>
      <c r="D52" s="16"/>
      <c r="E52" s="16"/>
      <c r="F52" s="16"/>
      <c r="G52" s="16"/>
      <c r="H52" s="16"/>
      <c r="I52" s="16"/>
      <c r="J52" s="16"/>
      <c r="K52" s="16"/>
      <c r="L52" s="16"/>
      <c r="M52" s="16"/>
      <c r="N52" s="16"/>
      <c r="O52" s="16" t="s">
        <v>263</v>
      </c>
    </row>
    <row r="53" spans="1:15" x14ac:dyDescent="0.25">
      <c r="A53" s="17"/>
      <c r="B53" s="17" t="s">
        <v>37</v>
      </c>
      <c r="C53" s="17" t="s">
        <v>17</v>
      </c>
      <c r="D53" s="17"/>
      <c r="E53" s="17"/>
      <c r="F53" s="17"/>
      <c r="G53" s="17"/>
      <c r="H53" s="17"/>
      <c r="I53" s="17"/>
      <c r="J53" s="17"/>
      <c r="K53" s="17"/>
      <c r="L53" s="17"/>
      <c r="M53" s="17"/>
      <c r="N53" s="17"/>
      <c r="O53" s="17"/>
    </row>
    <row r="54" spans="1:15" x14ac:dyDescent="0.25">
      <c r="A54" s="16"/>
      <c r="B54" s="16" t="s">
        <v>38</v>
      </c>
      <c r="C54" s="16">
        <v>1</v>
      </c>
      <c r="D54" s="16"/>
      <c r="E54" s="16"/>
      <c r="F54" s="16"/>
      <c r="G54" s="16"/>
      <c r="H54" s="16"/>
      <c r="I54" s="16"/>
      <c r="J54" s="16"/>
      <c r="K54" s="16"/>
      <c r="L54" s="16"/>
      <c r="M54" s="16"/>
      <c r="N54" s="16"/>
      <c r="O54" s="16"/>
    </row>
    <row r="55" spans="1:15" x14ac:dyDescent="0.25">
      <c r="A55" s="17"/>
      <c r="B55" s="17" t="s">
        <v>39</v>
      </c>
      <c r="C55" s="17">
        <v>2</v>
      </c>
      <c r="D55" s="17"/>
      <c r="E55" s="17"/>
      <c r="F55" s="17"/>
      <c r="G55" s="17"/>
      <c r="H55" s="17"/>
      <c r="I55" s="17"/>
      <c r="J55" s="17"/>
      <c r="K55" s="17"/>
      <c r="L55" s="17"/>
      <c r="M55" s="17"/>
      <c r="N55" s="17"/>
      <c r="O55" s="17" t="s">
        <v>262</v>
      </c>
    </row>
    <row r="56" spans="1:15" x14ac:dyDescent="0.25">
      <c r="A56" s="16"/>
      <c r="B56" s="16" t="s">
        <v>40</v>
      </c>
      <c r="C56" s="16">
        <v>0</v>
      </c>
      <c r="D56" s="16"/>
      <c r="E56" s="16"/>
      <c r="F56" s="16"/>
      <c r="G56" s="16"/>
      <c r="H56" s="16"/>
      <c r="I56" s="16"/>
      <c r="J56" s="16"/>
      <c r="K56" s="16"/>
      <c r="L56" s="16"/>
      <c r="M56" s="16"/>
      <c r="N56" s="16"/>
      <c r="O56" s="16"/>
    </row>
    <row r="57" spans="1:15" x14ac:dyDescent="0.25">
      <c r="A57" s="19"/>
      <c r="B57" s="19" t="s">
        <v>392</v>
      </c>
      <c r="C57" s="19">
        <v>2.5</v>
      </c>
      <c r="D57" s="19"/>
      <c r="E57" s="19"/>
      <c r="F57" s="19"/>
      <c r="G57" s="19"/>
      <c r="H57" s="19"/>
      <c r="I57" s="19"/>
      <c r="J57" s="19"/>
      <c r="K57" s="19"/>
      <c r="L57" s="19"/>
      <c r="M57" s="19"/>
      <c r="N57" s="19"/>
      <c r="O57" s="19"/>
    </row>
    <row r="58" spans="1:15" x14ac:dyDescent="0.25">
      <c r="A58" s="19"/>
      <c r="B58" s="19" t="s">
        <v>393</v>
      </c>
      <c r="C58" s="19">
        <v>10</v>
      </c>
      <c r="D58" s="19"/>
      <c r="E58" s="19"/>
      <c r="F58" s="19"/>
      <c r="G58" s="19"/>
      <c r="H58" s="19"/>
      <c r="I58" s="19"/>
      <c r="J58" s="19"/>
      <c r="K58" s="19"/>
      <c r="L58" s="19"/>
      <c r="M58" s="19"/>
      <c r="N58" s="19"/>
      <c r="O58" s="19"/>
    </row>
    <row r="59" spans="1:15" x14ac:dyDescent="0.25">
      <c r="A59" s="16"/>
      <c r="B59" s="16" t="s">
        <v>41</v>
      </c>
      <c r="C59" s="16">
        <v>2</v>
      </c>
      <c r="D59" s="16"/>
      <c r="E59" s="16"/>
      <c r="F59" s="16"/>
      <c r="G59" s="16"/>
      <c r="H59" s="16"/>
      <c r="I59" s="16"/>
      <c r="J59" s="16"/>
      <c r="K59" s="16"/>
      <c r="L59" s="16"/>
      <c r="M59" s="16"/>
      <c r="N59" s="16"/>
      <c r="O59" s="16" t="s">
        <v>264</v>
      </c>
    </row>
    <row r="60" spans="1:15" x14ac:dyDescent="0.25">
      <c r="A60" s="17"/>
      <c r="B60" s="17" t="s">
        <v>42</v>
      </c>
      <c r="C60" s="17">
        <v>0.2</v>
      </c>
      <c r="D60" s="17"/>
      <c r="E60" s="17"/>
      <c r="F60" s="17"/>
      <c r="G60" s="17"/>
      <c r="H60" s="17"/>
      <c r="I60" s="17"/>
      <c r="J60" s="17"/>
      <c r="K60" s="17"/>
      <c r="L60" s="17"/>
      <c r="M60" s="17"/>
      <c r="N60" s="17"/>
      <c r="O60" s="17" t="s">
        <v>265</v>
      </c>
    </row>
    <row r="61" spans="1:15" x14ac:dyDescent="0.25">
      <c r="A61" s="16"/>
      <c r="B61" s="16" t="s">
        <v>43</v>
      </c>
      <c r="C61" s="16">
        <v>0</v>
      </c>
      <c r="D61" s="16"/>
      <c r="E61" s="16"/>
      <c r="F61" s="16"/>
      <c r="G61" s="16"/>
      <c r="H61" s="16"/>
      <c r="I61" s="16"/>
      <c r="J61" s="16"/>
      <c r="K61" s="16"/>
      <c r="L61" s="16"/>
      <c r="M61" s="16"/>
      <c r="N61" s="16"/>
      <c r="O61" s="16" t="s">
        <v>266</v>
      </c>
    </row>
    <row r="62" spans="1:15" x14ac:dyDescent="0.25">
      <c r="A62" s="17"/>
      <c r="B62" s="17" t="s">
        <v>44</v>
      </c>
      <c r="C62" s="17">
        <v>1</v>
      </c>
      <c r="D62" s="17"/>
      <c r="E62" s="17"/>
      <c r="F62" s="17"/>
      <c r="G62" s="17"/>
      <c r="H62" s="17"/>
      <c r="I62" s="17"/>
      <c r="J62" s="17"/>
      <c r="K62" s="17"/>
      <c r="L62" s="17"/>
      <c r="M62" s="17"/>
      <c r="N62" s="17"/>
      <c r="O62" s="17"/>
    </row>
    <row r="63" spans="1:15" x14ac:dyDescent="0.25">
      <c r="A63" s="16"/>
      <c r="B63" s="16" t="s">
        <v>45</v>
      </c>
      <c r="C63" s="16">
        <v>0.8</v>
      </c>
      <c r="D63" s="16"/>
      <c r="E63" s="16"/>
      <c r="F63" s="16"/>
      <c r="G63" s="16"/>
      <c r="H63" s="16"/>
      <c r="I63" s="16"/>
      <c r="J63" s="16"/>
      <c r="K63" s="16"/>
      <c r="L63" s="16"/>
      <c r="M63" s="16"/>
      <c r="N63" s="16"/>
      <c r="O63" s="16"/>
    </row>
    <row r="64" spans="1:15" x14ac:dyDescent="0.25">
      <c r="A64" s="17"/>
      <c r="B64" s="17" t="s">
        <v>11</v>
      </c>
      <c r="C64" s="17">
        <v>1</v>
      </c>
      <c r="D64" s="17"/>
      <c r="E64" s="17"/>
      <c r="F64" s="17"/>
      <c r="G64" s="17"/>
      <c r="H64" s="17"/>
      <c r="I64" s="17"/>
      <c r="J64" s="17"/>
      <c r="K64" s="17"/>
      <c r="L64" s="17"/>
      <c r="M64" s="17"/>
      <c r="N64" s="17"/>
      <c r="O64" s="17" t="s">
        <v>269</v>
      </c>
    </row>
    <row r="65" spans="1:15" x14ac:dyDescent="0.25">
      <c r="A65" s="16"/>
      <c r="B65" s="16" t="s">
        <v>46</v>
      </c>
      <c r="C65" s="16">
        <v>0</v>
      </c>
      <c r="D65" s="16"/>
      <c r="E65" s="16"/>
      <c r="F65" s="16"/>
      <c r="G65" s="16"/>
      <c r="H65" s="16"/>
      <c r="I65" s="16"/>
      <c r="J65" s="16"/>
      <c r="K65" s="16"/>
      <c r="L65" s="16"/>
      <c r="M65" s="16"/>
      <c r="N65" s="16"/>
      <c r="O65" s="16"/>
    </row>
    <row r="66" spans="1:15" x14ac:dyDescent="0.25">
      <c r="A66" s="18" t="s">
        <v>231</v>
      </c>
      <c r="B66" s="18" t="s">
        <v>451</v>
      </c>
      <c r="C66" s="18"/>
      <c r="D66" s="18"/>
      <c r="E66" s="18"/>
      <c r="F66" s="18"/>
      <c r="G66" s="18"/>
      <c r="H66" s="18"/>
      <c r="I66" s="18"/>
      <c r="J66" s="18"/>
      <c r="K66" s="18"/>
      <c r="L66" s="18"/>
      <c r="M66" s="18"/>
      <c r="N66" s="18"/>
      <c r="O66" s="18"/>
    </row>
    <row r="67" spans="1:15" x14ac:dyDescent="0.25">
      <c r="A67" s="19"/>
      <c r="B67" s="19" t="s">
        <v>467</v>
      </c>
      <c r="C67" s="19" t="str">
        <f ca="1">SUBSTITUTE(RIGHT(CELL("filename",A1),LEN(CELL("filename",A1))-FIND("]",CELL("filename",A1),1)),"print_","")</f>
        <v>print</v>
      </c>
      <c r="D67" s="19">
        <f t="shared" ref="D67:N67" ca="1" si="0">IF(SpeedType &lt;&gt; "ForceVolumetric",D$89, IFERROR(D$90/((Nozzle_Diameter*1.2)*D$1),0))</f>
        <v>0</v>
      </c>
      <c r="E67" s="19">
        <f t="shared" ca="1" si="0"/>
        <v>0</v>
      </c>
      <c r="F67" s="19">
        <f t="shared" si="0"/>
        <v>0</v>
      </c>
      <c r="G67" s="19">
        <f t="shared" si="0"/>
        <v>0</v>
      </c>
      <c r="H67" s="19">
        <f t="shared" ca="1" si="0"/>
        <v>0</v>
      </c>
      <c r="I67" s="19">
        <f t="shared" ca="1" si="0"/>
        <v>0</v>
      </c>
      <c r="J67" s="19">
        <f t="shared" ca="1" si="0"/>
        <v>0</v>
      </c>
      <c r="K67" s="19">
        <f t="shared" ca="1" si="0"/>
        <v>0</v>
      </c>
      <c r="L67" s="19">
        <f t="shared" ca="1" si="0"/>
        <v>0</v>
      </c>
      <c r="M67" s="19">
        <f t="shared" ca="1" si="0"/>
        <v>0</v>
      </c>
      <c r="N67" s="19">
        <f t="shared" ca="1" si="0"/>
        <v>0</v>
      </c>
      <c r="O67" s="19"/>
    </row>
    <row r="68" spans="1:15" x14ac:dyDescent="0.25">
      <c r="A68" s="16"/>
      <c r="B68" s="16" t="s">
        <v>47</v>
      </c>
      <c r="C68" s="16">
        <v>45</v>
      </c>
      <c r="D68" s="16">
        <f ca="1">GetSpeed($C68,D$89,D$67)</f>
        <v>45</v>
      </c>
      <c r="E68" s="16">
        <f t="shared" ref="E68:N68" ca="1" si="1">GetSpeed($C68,E$89,E$67)</f>
        <v>45</v>
      </c>
      <c r="F68" s="16">
        <f t="shared" si="1"/>
        <v>45</v>
      </c>
      <c r="G68" s="16">
        <f t="shared" si="1"/>
        <v>45</v>
      </c>
      <c r="H68" s="16">
        <f t="shared" ca="1" si="1"/>
        <v>45</v>
      </c>
      <c r="I68" s="16">
        <f t="shared" ca="1" si="1"/>
        <v>45</v>
      </c>
      <c r="J68" s="16">
        <f t="shared" ca="1" si="1"/>
        <v>45</v>
      </c>
      <c r="K68" s="16">
        <f t="shared" ca="1" si="1"/>
        <v>40</v>
      </c>
      <c r="L68" s="16">
        <f t="shared" ca="1" si="1"/>
        <v>35</v>
      </c>
      <c r="M68" s="16">
        <f t="shared" ca="1" si="1"/>
        <v>30</v>
      </c>
      <c r="N68" s="16">
        <f t="shared" ca="1" si="1"/>
        <v>25</v>
      </c>
      <c r="O68" s="16"/>
    </row>
    <row r="69" spans="1:15" x14ac:dyDescent="0.25">
      <c r="A69" s="17"/>
      <c r="B69" s="17" t="s">
        <v>48</v>
      </c>
      <c r="C69" s="17">
        <v>25</v>
      </c>
      <c r="D69" s="17">
        <f ca="1">GetSpeed($C$69,D$89,D$67)</f>
        <v>25</v>
      </c>
      <c r="E69" s="17">
        <f t="shared" ref="E69:N69" ca="1" si="2">GetSpeed($C$69,E$89,E$67)</f>
        <v>25</v>
      </c>
      <c r="F69" s="17">
        <f t="shared" si="2"/>
        <v>25</v>
      </c>
      <c r="G69" s="17">
        <f t="shared" si="2"/>
        <v>25</v>
      </c>
      <c r="H69" s="17">
        <f t="shared" ca="1" si="2"/>
        <v>25</v>
      </c>
      <c r="I69" s="17">
        <f t="shared" ca="1" si="2"/>
        <v>25</v>
      </c>
      <c r="J69" s="17">
        <f t="shared" ca="1" si="2"/>
        <v>25</v>
      </c>
      <c r="K69" s="17">
        <f t="shared" ca="1" si="2"/>
        <v>25</v>
      </c>
      <c r="L69" s="17">
        <f t="shared" ca="1" si="2"/>
        <v>25</v>
      </c>
      <c r="M69" s="17">
        <f t="shared" ca="1" si="2"/>
        <v>25</v>
      </c>
      <c r="N69" s="17">
        <f t="shared" ca="1" si="2"/>
        <v>25</v>
      </c>
      <c r="O69" s="17"/>
    </row>
    <row r="70" spans="1:15" x14ac:dyDescent="0.25">
      <c r="A70" s="16"/>
      <c r="B70" s="16" t="s">
        <v>49</v>
      </c>
      <c r="C70" s="16">
        <v>35</v>
      </c>
      <c r="D70" s="16">
        <f ca="1">GetSpeed($C$70,D$89,D$67)</f>
        <v>35</v>
      </c>
      <c r="E70" s="16">
        <f t="shared" ref="E70:N70" ca="1" si="3">GetSpeed($C$70,E$89,E$67)</f>
        <v>35</v>
      </c>
      <c r="F70" s="16">
        <f t="shared" si="3"/>
        <v>35</v>
      </c>
      <c r="G70" s="16">
        <f t="shared" si="3"/>
        <v>35</v>
      </c>
      <c r="H70" s="16">
        <f t="shared" ca="1" si="3"/>
        <v>35</v>
      </c>
      <c r="I70" s="16">
        <f t="shared" ca="1" si="3"/>
        <v>35</v>
      </c>
      <c r="J70" s="16">
        <f t="shared" ca="1" si="3"/>
        <v>35</v>
      </c>
      <c r="K70" s="16">
        <f t="shared" ca="1" si="3"/>
        <v>35</v>
      </c>
      <c r="L70" s="16">
        <f t="shared" ca="1" si="3"/>
        <v>35</v>
      </c>
      <c r="M70" s="16">
        <f t="shared" ca="1" si="3"/>
        <v>30</v>
      </c>
      <c r="N70" s="16">
        <f t="shared" ca="1" si="3"/>
        <v>25</v>
      </c>
      <c r="O70" s="16"/>
    </row>
    <row r="71" spans="1:15" x14ac:dyDescent="0.25">
      <c r="A71" s="17"/>
      <c r="B71" s="17" t="s">
        <v>50</v>
      </c>
      <c r="C71" s="17">
        <v>65</v>
      </c>
      <c r="D71" s="17">
        <f ca="1">GetSpeed($C$71,D$89,D$67)</f>
        <v>65</v>
      </c>
      <c r="E71" s="17">
        <f t="shared" ref="E71:N71" ca="1" si="4">GetSpeed($C$71,E$89,E$67)</f>
        <v>60</v>
      </c>
      <c r="F71" s="17">
        <f t="shared" si="4"/>
        <v>60</v>
      </c>
      <c r="G71" s="17">
        <f t="shared" si="4"/>
        <v>60</v>
      </c>
      <c r="H71" s="17">
        <f t="shared" ca="1" si="4"/>
        <v>55</v>
      </c>
      <c r="I71" s="17">
        <f t="shared" ca="1" si="4"/>
        <v>50</v>
      </c>
      <c r="J71" s="17">
        <f t="shared" ca="1" si="4"/>
        <v>45</v>
      </c>
      <c r="K71" s="17">
        <f t="shared" ca="1" si="4"/>
        <v>40</v>
      </c>
      <c r="L71" s="17">
        <f t="shared" ca="1" si="4"/>
        <v>35</v>
      </c>
      <c r="M71" s="17">
        <f t="shared" ca="1" si="4"/>
        <v>30</v>
      </c>
      <c r="N71" s="17">
        <f t="shared" ca="1" si="4"/>
        <v>25</v>
      </c>
      <c r="O71" s="17"/>
    </row>
    <row r="72" spans="1:15" x14ac:dyDescent="0.25">
      <c r="A72" s="16"/>
      <c r="B72" s="16" t="s">
        <v>51</v>
      </c>
      <c r="C72" s="16">
        <v>45</v>
      </c>
      <c r="D72" s="16">
        <f ca="1">GetSpeed($C$72,D$89,D$67)</f>
        <v>45</v>
      </c>
      <c r="E72" s="16">
        <f t="shared" ref="E72:N72" ca="1" si="5">GetSpeed($C$72,E$89,E$67)</f>
        <v>45</v>
      </c>
      <c r="F72" s="16">
        <f t="shared" si="5"/>
        <v>45</v>
      </c>
      <c r="G72" s="16">
        <f t="shared" si="5"/>
        <v>45</v>
      </c>
      <c r="H72" s="16">
        <f t="shared" ca="1" si="5"/>
        <v>45</v>
      </c>
      <c r="I72" s="16">
        <f t="shared" ca="1" si="5"/>
        <v>45</v>
      </c>
      <c r="J72" s="16">
        <f t="shared" ca="1" si="5"/>
        <v>45</v>
      </c>
      <c r="K72" s="16">
        <f t="shared" ca="1" si="5"/>
        <v>40</v>
      </c>
      <c r="L72" s="16">
        <f t="shared" ca="1" si="5"/>
        <v>35</v>
      </c>
      <c r="M72" s="16">
        <f t="shared" ca="1" si="5"/>
        <v>30</v>
      </c>
      <c r="N72" s="16">
        <f t="shared" ca="1" si="5"/>
        <v>25</v>
      </c>
      <c r="O72" s="16"/>
    </row>
    <row r="73" spans="1:15" x14ac:dyDescent="0.25">
      <c r="A73" s="17"/>
      <c r="B73" s="17" t="s">
        <v>52</v>
      </c>
      <c r="C73" s="17">
        <v>35</v>
      </c>
      <c r="D73" s="17">
        <f ca="1">GetSpeed($C$73,D$89,D$67)</f>
        <v>35</v>
      </c>
      <c r="E73" s="17">
        <f t="shared" ref="E73:N73" ca="1" si="6">GetSpeed($C$73,E$89,E$67)</f>
        <v>35</v>
      </c>
      <c r="F73" s="17">
        <f t="shared" si="6"/>
        <v>35</v>
      </c>
      <c r="G73" s="17">
        <f t="shared" si="6"/>
        <v>35</v>
      </c>
      <c r="H73" s="17">
        <f t="shared" ca="1" si="6"/>
        <v>35</v>
      </c>
      <c r="I73" s="17">
        <f t="shared" ca="1" si="6"/>
        <v>35</v>
      </c>
      <c r="J73" s="17">
        <f t="shared" ca="1" si="6"/>
        <v>35</v>
      </c>
      <c r="K73" s="17">
        <f t="shared" ca="1" si="6"/>
        <v>35</v>
      </c>
      <c r="L73" s="17">
        <f t="shared" ca="1" si="6"/>
        <v>35</v>
      </c>
      <c r="M73" s="17">
        <f t="shared" ca="1" si="6"/>
        <v>30</v>
      </c>
      <c r="N73" s="17">
        <f t="shared" ca="1" si="6"/>
        <v>25</v>
      </c>
      <c r="O73" s="17"/>
    </row>
    <row r="74" spans="1:15" x14ac:dyDescent="0.25">
      <c r="A74" s="16"/>
      <c r="B74" s="16" t="s">
        <v>53</v>
      </c>
      <c r="C74" s="16">
        <v>45</v>
      </c>
      <c r="D74" s="16">
        <f ca="1">GetSpeed($C$74,D$89,D$67)</f>
        <v>45</v>
      </c>
      <c r="E74" s="16">
        <f t="shared" ref="E74:N74" ca="1" si="7">GetSpeed($C$74,E$89,E$67)</f>
        <v>45</v>
      </c>
      <c r="F74" s="16">
        <f t="shared" si="7"/>
        <v>45</v>
      </c>
      <c r="G74" s="16">
        <f t="shared" si="7"/>
        <v>45</v>
      </c>
      <c r="H74" s="16">
        <f t="shared" ca="1" si="7"/>
        <v>45</v>
      </c>
      <c r="I74" s="16">
        <f t="shared" ca="1" si="7"/>
        <v>45</v>
      </c>
      <c r="J74" s="16">
        <f t="shared" ca="1" si="7"/>
        <v>45</v>
      </c>
      <c r="K74" s="16">
        <f t="shared" ca="1" si="7"/>
        <v>40</v>
      </c>
      <c r="L74" s="16">
        <f t="shared" ca="1" si="7"/>
        <v>35</v>
      </c>
      <c r="M74" s="16">
        <f t="shared" ca="1" si="7"/>
        <v>30</v>
      </c>
      <c r="N74" s="16">
        <f t="shared" ca="1" si="7"/>
        <v>25</v>
      </c>
      <c r="O74" s="16"/>
    </row>
    <row r="75" spans="1:15" x14ac:dyDescent="0.25">
      <c r="A75" s="17"/>
      <c r="B75" s="17" t="s">
        <v>54</v>
      </c>
      <c r="C75" s="17" t="str">
        <f>"100%"</f>
        <v>100%</v>
      </c>
      <c r="D75" s="17"/>
      <c r="E75" s="17"/>
      <c r="F75" s="17"/>
      <c r="G75" s="17"/>
      <c r="H75" s="17"/>
      <c r="I75" s="17"/>
      <c r="J75" s="17"/>
      <c r="K75" s="17"/>
      <c r="L75" s="17"/>
      <c r="M75" s="17"/>
      <c r="N75" s="17"/>
      <c r="O75" s="17"/>
    </row>
    <row r="76" spans="1:15" x14ac:dyDescent="0.25">
      <c r="A76" s="16"/>
      <c r="B76" s="16" t="s">
        <v>55</v>
      </c>
      <c r="C76" s="16">
        <v>30</v>
      </c>
      <c r="D76" s="16">
        <f ca="1">GetSpeed($C$76,D$89,D$67)</f>
        <v>30</v>
      </c>
      <c r="E76" s="16">
        <f t="shared" ref="E76:N76" ca="1" si="8">GetSpeed($C$76,E$89,E$67)</f>
        <v>30</v>
      </c>
      <c r="F76" s="16">
        <f t="shared" si="8"/>
        <v>30</v>
      </c>
      <c r="G76" s="16">
        <f t="shared" si="8"/>
        <v>30</v>
      </c>
      <c r="H76" s="16">
        <f t="shared" ca="1" si="8"/>
        <v>30</v>
      </c>
      <c r="I76" s="16">
        <f t="shared" ca="1" si="8"/>
        <v>30</v>
      </c>
      <c r="J76" s="16">
        <f t="shared" ca="1" si="8"/>
        <v>30</v>
      </c>
      <c r="K76" s="16">
        <f t="shared" ca="1" si="8"/>
        <v>30</v>
      </c>
      <c r="L76" s="16">
        <f t="shared" ca="1" si="8"/>
        <v>30</v>
      </c>
      <c r="M76" s="16">
        <f t="shared" ca="1" si="8"/>
        <v>30</v>
      </c>
      <c r="N76" s="16">
        <f t="shared" ca="1" si="8"/>
        <v>25</v>
      </c>
      <c r="O76" s="16"/>
    </row>
    <row r="77" spans="1:15" x14ac:dyDescent="0.25">
      <c r="A77" s="17"/>
      <c r="B77" s="17" t="s">
        <v>56</v>
      </c>
      <c r="C77" s="17">
        <v>20</v>
      </c>
      <c r="D77" s="17">
        <f ca="1">GetSpeed($C$77,D$89,D$67)</f>
        <v>20</v>
      </c>
      <c r="E77" s="17">
        <f t="shared" ref="E77:N77" ca="1" si="9">GetSpeed($C$77,E$89,E$67)</f>
        <v>20</v>
      </c>
      <c r="F77" s="17">
        <f t="shared" si="9"/>
        <v>20</v>
      </c>
      <c r="G77" s="17">
        <f t="shared" si="9"/>
        <v>20</v>
      </c>
      <c r="H77" s="17">
        <f t="shared" ca="1" si="9"/>
        <v>20</v>
      </c>
      <c r="I77" s="17">
        <f t="shared" ca="1" si="9"/>
        <v>20</v>
      </c>
      <c r="J77" s="17">
        <f t="shared" ca="1" si="9"/>
        <v>20</v>
      </c>
      <c r="K77" s="17">
        <f t="shared" ca="1" si="9"/>
        <v>20</v>
      </c>
      <c r="L77" s="17">
        <f t="shared" ca="1" si="9"/>
        <v>20</v>
      </c>
      <c r="M77" s="17">
        <f t="shared" ca="1" si="9"/>
        <v>20</v>
      </c>
      <c r="N77" s="17">
        <f t="shared" ca="1" si="9"/>
        <v>20</v>
      </c>
      <c r="O77" s="17"/>
    </row>
    <row r="78" spans="1:15" x14ac:dyDescent="0.25">
      <c r="A78" s="18"/>
      <c r="B78" s="18" t="s">
        <v>452</v>
      </c>
      <c r="C78" s="18"/>
      <c r="D78" s="18"/>
      <c r="E78" s="18"/>
      <c r="F78" s="18"/>
      <c r="G78" s="18"/>
      <c r="H78" s="18"/>
      <c r="I78" s="18"/>
      <c r="J78" s="18"/>
      <c r="K78" s="18"/>
      <c r="L78" s="18"/>
      <c r="M78" s="18"/>
      <c r="N78" s="18"/>
      <c r="O78" s="18"/>
    </row>
    <row r="79" spans="1:15" x14ac:dyDescent="0.25">
      <c r="A79" s="16"/>
      <c r="B79" s="16" t="s">
        <v>57</v>
      </c>
      <c r="C79" s="16">
        <v>120</v>
      </c>
      <c r="D79" s="16"/>
      <c r="E79" s="16"/>
      <c r="F79" s="16"/>
      <c r="G79" s="16"/>
      <c r="H79" s="16"/>
      <c r="I79" s="16"/>
      <c r="J79" s="16"/>
      <c r="K79" s="16"/>
      <c r="L79" s="16"/>
      <c r="M79" s="16"/>
      <c r="N79" s="16"/>
      <c r="O79" s="16"/>
    </row>
    <row r="80" spans="1:15" x14ac:dyDescent="0.25">
      <c r="A80" s="18"/>
      <c r="B80" s="18" t="s">
        <v>453</v>
      </c>
      <c r="C80" s="18"/>
      <c r="D80" s="18"/>
      <c r="E80" s="18"/>
      <c r="F80" s="18"/>
      <c r="G80" s="18"/>
      <c r="H80" s="18"/>
      <c r="I80" s="18"/>
      <c r="J80" s="18"/>
      <c r="K80" s="18"/>
      <c r="L80" s="18"/>
      <c r="M80" s="18"/>
      <c r="N80" s="18"/>
      <c r="O80" s="18"/>
    </row>
    <row r="81" spans="1:15" x14ac:dyDescent="0.25">
      <c r="A81" s="16"/>
      <c r="B81" s="16" t="s">
        <v>58</v>
      </c>
      <c r="C81" s="16">
        <v>30</v>
      </c>
      <c r="D81" s="16"/>
      <c r="E81" s="16"/>
      <c r="F81" s="16"/>
      <c r="G81" s="16"/>
      <c r="H81" s="16"/>
      <c r="I81" s="16"/>
      <c r="J81" s="16"/>
      <c r="K81" s="16"/>
      <c r="L81" s="16"/>
      <c r="M81" s="16"/>
      <c r="N81" s="16"/>
      <c r="O81" s="16"/>
    </row>
    <row r="82" spans="1:15" x14ac:dyDescent="0.25">
      <c r="A82" s="18"/>
      <c r="B82" s="18" t="s">
        <v>454</v>
      </c>
      <c r="C82" s="18"/>
      <c r="D82" s="18"/>
      <c r="E82" s="18"/>
      <c r="F82" s="18"/>
      <c r="G82" s="18"/>
      <c r="H82" s="18"/>
      <c r="I82" s="18"/>
      <c r="J82" s="18"/>
      <c r="K82" s="18"/>
      <c r="L82" s="18"/>
      <c r="M82" s="18"/>
      <c r="N82" s="18"/>
      <c r="O82" s="18"/>
    </row>
    <row r="83" spans="1:15" x14ac:dyDescent="0.25">
      <c r="A83" s="16"/>
      <c r="B83" s="16" t="s">
        <v>59</v>
      </c>
      <c r="C83" s="16">
        <f>MAX_ACCELERATION</f>
        <v>700</v>
      </c>
      <c r="D83" s="16"/>
      <c r="E83" s="16"/>
      <c r="F83" s="16"/>
      <c r="G83" s="16"/>
      <c r="H83" s="16"/>
      <c r="I83" s="16"/>
      <c r="J83" s="16"/>
      <c r="K83" s="16"/>
      <c r="L83" s="16"/>
      <c r="M83" s="16"/>
      <c r="N83" s="16"/>
      <c r="O83" s="16"/>
    </row>
    <row r="84" spans="1:15" x14ac:dyDescent="0.25">
      <c r="A84" s="17"/>
      <c r="B84" s="17" t="s">
        <v>60</v>
      </c>
      <c r="C84" s="17">
        <f>MAX_ACCELERATION</f>
        <v>700</v>
      </c>
      <c r="D84" s="17"/>
      <c r="E84" s="17"/>
      <c r="F84" s="17"/>
      <c r="G84" s="17"/>
      <c r="H84" s="17"/>
      <c r="I84" s="17"/>
      <c r="J84" s="17"/>
      <c r="K84" s="17"/>
      <c r="L84" s="17"/>
      <c r="M84" s="17"/>
      <c r="N84" s="17"/>
      <c r="O84" s="17"/>
    </row>
    <row r="85" spans="1:15" x14ac:dyDescent="0.25">
      <c r="A85" s="16"/>
      <c r="B85" s="16" t="s">
        <v>61</v>
      </c>
      <c r="C85" s="16">
        <f>MAX_ACCELERATION</f>
        <v>700</v>
      </c>
      <c r="D85" s="16"/>
      <c r="E85" s="16"/>
      <c r="F85" s="16"/>
      <c r="G85" s="16"/>
      <c r="H85" s="16"/>
      <c r="I85" s="16"/>
      <c r="J85" s="16"/>
      <c r="K85" s="16"/>
      <c r="L85" s="16"/>
      <c r="M85" s="16"/>
      <c r="N85" s="16"/>
      <c r="O85" s="16"/>
    </row>
    <row r="86" spans="1:15" x14ac:dyDescent="0.25">
      <c r="A86" s="17"/>
      <c r="B86" s="17" t="s">
        <v>62</v>
      </c>
      <c r="C86" s="17">
        <f>MAX_ACCELERATION</f>
        <v>700</v>
      </c>
      <c r="D86" s="17"/>
      <c r="E86" s="17"/>
      <c r="F86" s="17"/>
      <c r="G86" s="17"/>
      <c r="H86" s="17"/>
      <c r="I86" s="17"/>
      <c r="J86" s="17"/>
      <c r="K86" s="17"/>
      <c r="L86" s="17"/>
      <c r="M86" s="17"/>
      <c r="N86" s="17"/>
      <c r="O86" s="17"/>
    </row>
    <row r="87" spans="1:15" x14ac:dyDescent="0.25">
      <c r="A87" s="16"/>
      <c r="B87" s="16" t="s">
        <v>63</v>
      </c>
      <c r="C87" s="16">
        <f>MAX_ACCELERATION</f>
        <v>700</v>
      </c>
      <c r="D87" s="16"/>
      <c r="E87" s="16"/>
      <c r="F87" s="16"/>
      <c r="G87" s="16"/>
      <c r="H87" s="16"/>
      <c r="I87" s="16"/>
      <c r="J87" s="16"/>
      <c r="K87" s="16"/>
      <c r="L87" s="16"/>
      <c r="M87" s="16"/>
      <c r="N87" s="16"/>
      <c r="O87" s="16"/>
    </row>
    <row r="88" spans="1:15" x14ac:dyDescent="0.25">
      <c r="A88" s="18"/>
      <c r="B88" s="18" t="s">
        <v>455</v>
      </c>
      <c r="C88" s="18"/>
      <c r="D88" s="18"/>
      <c r="E88" s="18"/>
      <c r="F88" s="18"/>
      <c r="G88" s="18"/>
      <c r="H88" s="18"/>
      <c r="I88" s="18"/>
      <c r="J88" s="18"/>
      <c r="K88" s="18"/>
      <c r="L88" s="18"/>
      <c r="M88" s="18"/>
      <c r="N88" s="18"/>
      <c r="O88" s="18"/>
    </row>
    <row r="89" spans="1:15" x14ac:dyDescent="0.25">
      <c r="A89" s="16"/>
      <c r="B89" s="16" t="s">
        <v>64</v>
      </c>
      <c r="C89" s="16">
        <v>65</v>
      </c>
      <c r="D89" s="16">
        <v>65</v>
      </c>
      <c r="E89" s="16">
        <v>60</v>
      </c>
      <c r="F89" s="16">
        <v>60</v>
      </c>
      <c r="G89" s="16">
        <v>60</v>
      </c>
      <c r="H89" s="16">
        <v>55</v>
      </c>
      <c r="I89" s="16">
        <v>50</v>
      </c>
      <c r="J89" s="16">
        <v>45</v>
      </c>
      <c r="K89" s="16">
        <v>40</v>
      </c>
      <c r="L89" s="16">
        <v>35</v>
      </c>
      <c r="M89" s="16">
        <v>30</v>
      </c>
      <c r="N89" s="16">
        <v>25</v>
      </c>
      <c r="O89" s="16"/>
    </row>
    <row r="90" spans="1:15" x14ac:dyDescent="0.25">
      <c r="A90" s="17"/>
      <c r="B90" s="17" t="s">
        <v>65</v>
      </c>
      <c r="C90" s="17"/>
      <c r="D90" s="17" t="str">
        <f ca="1">IFERROR(Matchfill(INDEX(filament!$A$1:$K$98,MATCH("filament_" &amp; $B$90,filament!$B$1:$B$98,0),MATCH($C$67,filament!$A$1:$K$1,0)),filament!$C$101),"")</f>
        <v/>
      </c>
      <c r="E90" s="17" t="str">
        <f ca="1">IFERROR(Matchfill(INDEX(filament!$A$1:$K$98,MATCH("filament_" &amp; $B$90,filament!$B$1:$B$98,0),MATCH($C$67,filament!$A$1:$K$1,0)),filament!$C$101),"")</f>
        <v/>
      </c>
      <c r="F90" s="17"/>
      <c r="G90" s="17"/>
      <c r="H90" s="17" t="str">
        <f ca="1">IFERROR(Matchfill(INDEX(filament!$A$1:$K$98,MATCH("filament_" &amp; $B$90,filament!$B$1:$B$98,0),MATCH($C$67,filament!$A$1:$K$1,0)),filament!$C$101),"")</f>
        <v/>
      </c>
      <c r="I90" s="17" t="str">
        <f ca="1">IFERROR(Matchfill(INDEX(filament!$A$1:$K$98,MATCH("filament_" &amp; $B$90,filament!$B$1:$B$98,0),MATCH($C$67,filament!$A$1:$K$1,0)),filament!$C$101),"")</f>
        <v/>
      </c>
      <c r="J90" s="17" t="str">
        <f ca="1">IFERROR(Matchfill(INDEX(filament!$A$1:$K$98,MATCH("filament_" &amp; $B$90,filament!$B$1:$B$98,0),MATCH($C$67,filament!$A$1:$K$1,0)),filament!$C$101),"")</f>
        <v/>
      </c>
      <c r="K90" s="17" t="str">
        <f ca="1">IFERROR(Matchfill(INDEX(filament!$A$1:$K$98,MATCH("filament_" &amp; $B$90,filament!$B$1:$B$98,0),MATCH($C$67,filament!$A$1:$K$1,0)),filament!$C$101),"")</f>
        <v/>
      </c>
      <c r="L90" s="17" t="str">
        <f ca="1">IFERROR(Matchfill(INDEX(filament!$A$1:$K$98,MATCH("filament_" &amp; $B$90,filament!$B$1:$B$98,0),MATCH($C$67,filament!$A$1:$K$1,0)),filament!$C$101),"")</f>
        <v/>
      </c>
      <c r="M90" s="17" t="str">
        <f ca="1">IFERROR(Matchfill(INDEX(filament!$A$1:$K$98,MATCH("filament_" &amp; $B$90,filament!$B$1:$B$98,0),MATCH($C$67,filament!$A$1:$K$1,0)),filament!$C$101),"")</f>
        <v/>
      </c>
      <c r="N90" s="17" t="str">
        <f ca="1">IFERROR(Matchfill(INDEX(filament!$A$1:$K$98,MATCH("filament_" &amp; $B$90,filament!$B$1:$B$98,0),MATCH($C$67,filament!$A$1:$K$1,0)),filament!$C$101),"")</f>
        <v/>
      </c>
      <c r="O90" s="17"/>
    </row>
    <row r="91" spans="1:15" x14ac:dyDescent="0.25">
      <c r="A91" s="18" t="s">
        <v>232</v>
      </c>
      <c r="B91" s="18" t="s">
        <v>456</v>
      </c>
      <c r="C91" s="18"/>
      <c r="D91" s="18"/>
      <c r="E91" s="18"/>
      <c r="F91" s="18"/>
      <c r="G91" s="18"/>
      <c r="H91" s="18"/>
      <c r="I91" s="18"/>
      <c r="J91" s="18"/>
      <c r="K91" s="18"/>
      <c r="L91" s="18"/>
      <c r="M91" s="18"/>
      <c r="N91" s="18"/>
      <c r="O91" s="18"/>
    </row>
    <row r="92" spans="1:15" x14ac:dyDescent="0.25">
      <c r="A92" s="16"/>
      <c r="B92" s="16" t="s">
        <v>66</v>
      </c>
      <c r="C92" s="16"/>
      <c r="D92" s="16"/>
      <c r="E92" s="16"/>
      <c r="F92" s="16"/>
      <c r="G92" s="16"/>
      <c r="H92" s="16"/>
      <c r="I92" s="16"/>
      <c r="J92" s="16"/>
      <c r="K92" s="16"/>
      <c r="L92" s="16"/>
      <c r="M92" s="16"/>
      <c r="N92" s="16"/>
      <c r="O92" s="16"/>
    </row>
    <row r="93" spans="1:15" x14ac:dyDescent="0.25">
      <c r="A93" s="17"/>
      <c r="B93" s="17" t="s">
        <v>67</v>
      </c>
      <c r="C93" s="17"/>
      <c r="D93" s="17"/>
      <c r="E93" s="17"/>
      <c r="F93" s="17"/>
      <c r="G93" s="17"/>
      <c r="H93" s="17"/>
      <c r="I93" s="17"/>
      <c r="J93" s="17"/>
      <c r="K93" s="17"/>
      <c r="L93" s="17"/>
      <c r="M93" s="17"/>
      <c r="N93" s="17"/>
      <c r="O93" s="17"/>
    </row>
    <row r="94" spans="1:15" x14ac:dyDescent="0.25">
      <c r="A94" s="16"/>
      <c r="B94" s="16" t="s">
        <v>68</v>
      </c>
      <c r="C94" s="16"/>
      <c r="D94" s="16"/>
      <c r="E94" s="16"/>
      <c r="F94" s="16"/>
      <c r="G94" s="16"/>
      <c r="H94" s="16"/>
      <c r="I94" s="16"/>
      <c r="J94" s="16"/>
      <c r="K94" s="16"/>
      <c r="L94" s="16"/>
      <c r="M94" s="16"/>
      <c r="N94" s="16"/>
      <c r="O94" s="16"/>
    </row>
    <row r="95" spans="1:15" x14ac:dyDescent="0.25">
      <c r="A95" s="17"/>
      <c r="B95" s="17" t="s">
        <v>69</v>
      </c>
      <c r="C95" s="17"/>
      <c r="D95" s="17"/>
      <c r="E95" s="17"/>
      <c r="F95" s="17"/>
      <c r="G95" s="17"/>
      <c r="H95" s="17"/>
      <c r="I95" s="17"/>
      <c r="J95" s="17"/>
      <c r="K95" s="17"/>
      <c r="L95" s="17"/>
      <c r="M95" s="17"/>
      <c r="N95" s="17"/>
      <c r="O95" s="17"/>
    </row>
    <row r="96" spans="1:15" x14ac:dyDescent="0.25">
      <c r="A96" s="16"/>
      <c r="B96" s="16" t="s">
        <v>70</v>
      </c>
      <c r="C96" s="16"/>
      <c r="D96" s="16"/>
      <c r="E96" s="16"/>
      <c r="F96" s="16"/>
      <c r="G96" s="16"/>
      <c r="H96" s="16"/>
      <c r="I96" s="16"/>
      <c r="J96" s="16"/>
      <c r="K96" s="16"/>
      <c r="L96" s="16"/>
      <c r="M96" s="16"/>
      <c r="N96" s="16"/>
      <c r="O96" s="16"/>
    </row>
    <row r="97" spans="1:15" x14ac:dyDescent="0.25">
      <c r="A97" s="18"/>
      <c r="B97" s="18" t="s">
        <v>457</v>
      </c>
      <c r="C97" s="18"/>
      <c r="D97" s="18"/>
      <c r="E97" s="18"/>
      <c r="F97" s="18"/>
      <c r="G97" s="18"/>
      <c r="H97" s="18"/>
      <c r="I97" s="18"/>
      <c r="J97" s="18"/>
      <c r="K97" s="18"/>
      <c r="L97" s="18"/>
      <c r="M97" s="18"/>
      <c r="N97" s="18"/>
      <c r="O97" s="18"/>
    </row>
    <row r="98" spans="1:15" x14ac:dyDescent="0.25">
      <c r="A98" s="16"/>
      <c r="B98" s="16" t="s">
        <v>71</v>
      </c>
      <c r="C98" s="16"/>
      <c r="D98" s="16"/>
      <c r="E98" s="16"/>
      <c r="F98" s="16"/>
      <c r="G98" s="16"/>
      <c r="H98" s="16"/>
      <c r="I98" s="16"/>
      <c r="J98" s="16"/>
      <c r="K98" s="16"/>
      <c r="L98" s="16"/>
      <c r="M98" s="16"/>
      <c r="N98" s="16"/>
      <c r="O98" s="16"/>
    </row>
    <row r="99" spans="1:15" x14ac:dyDescent="0.25">
      <c r="A99" s="17"/>
      <c r="B99" s="17" t="s">
        <v>72</v>
      </c>
      <c r="C99" s="17"/>
      <c r="D99" s="17"/>
      <c r="E99" s="17"/>
      <c r="F99" s="17"/>
      <c r="G99" s="17"/>
      <c r="H99" s="17"/>
      <c r="I99" s="17"/>
      <c r="J99" s="17"/>
      <c r="K99" s="17"/>
      <c r="L99" s="17"/>
      <c r="M99" s="17"/>
      <c r="N99" s="17"/>
      <c r="O99" s="17"/>
    </row>
    <row r="100" spans="1:15" x14ac:dyDescent="0.25">
      <c r="A100" s="18"/>
      <c r="B100" s="18" t="s">
        <v>458</v>
      </c>
      <c r="C100" s="18"/>
      <c r="D100" s="18"/>
      <c r="E100" s="18"/>
      <c r="F100" s="18"/>
      <c r="G100" s="18"/>
      <c r="H100" s="18"/>
      <c r="I100" s="18"/>
      <c r="J100" s="18"/>
      <c r="K100" s="18"/>
      <c r="L100" s="18"/>
      <c r="M100" s="18"/>
      <c r="N100" s="18"/>
      <c r="O100" s="18"/>
    </row>
    <row r="101" spans="1:15" x14ac:dyDescent="0.25">
      <c r="A101" s="16"/>
      <c r="B101" s="16" t="s">
        <v>73</v>
      </c>
      <c r="C101" s="16"/>
      <c r="D101" s="16"/>
      <c r="E101" s="16"/>
      <c r="F101" s="16"/>
      <c r="G101" s="16"/>
      <c r="H101" s="16"/>
      <c r="I101" s="16"/>
      <c r="J101" s="16"/>
      <c r="K101" s="16"/>
      <c r="L101" s="16"/>
      <c r="M101" s="16"/>
      <c r="N101" s="16"/>
      <c r="O101" s="16"/>
    </row>
    <row r="102" spans="1:15" x14ac:dyDescent="0.25">
      <c r="A102" s="17"/>
      <c r="B102" s="17" t="s">
        <v>74</v>
      </c>
      <c r="C102" s="17"/>
      <c r="D102" s="17"/>
      <c r="E102" s="17"/>
      <c r="F102" s="17"/>
      <c r="G102" s="17"/>
      <c r="H102" s="17"/>
      <c r="I102" s="17"/>
      <c r="J102" s="17"/>
      <c r="K102" s="17"/>
      <c r="L102" s="17"/>
      <c r="M102" s="17"/>
      <c r="N102" s="17"/>
      <c r="O102" s="17"/>
    </row>
    <row r="103" spans="1:15" x14ac:dyDescent="0.25">
      <c r="A103" s="16"/>
      <c r="B103" s="16" t="s">
        <v>75</v>
      </c>
      <c r="C103" s="16"/>
      <c r="D103" s="16"/>
      <c r="E103" s="16"/>
      <c r="F103" s="16"/>
      <c r="G103" s="16"/>
      <c r="H103" s="16"/>
      <c r="I103" s="16"/>
      <c r="J103" s="16"/>
      <c r="K103" s="16"/>
      <c r="L103" s="16"/>
      <c r="M103" s="16"/>
      <c r="N103" s="16"/>
      <c r="O103" s="16"/>
    </row>
    <row r="104" spans="1:15" x14ac:dyDescent="0.25">
      <c r="A104" s="17"/>
      <c r="B104" s="17" t="s">
        <v>76</v>
      </c>
      <c r="C104" s="17"/>
      <c r="D104" s="17"/>
      <c r="E104" s="17"/>
      <c r="F104" s="17"/>
      <c r="G104" s="17"/>
      <c r="H104" s="17"/>
      <c r="I104" s="17"/>
      <c r="J104" s="17"/>
      <c r="K104" s="17"/>
      <c r="L104" s="17"/>
      <c r="M104" s="17"/>
      <c r="N104" s="17"/>
      <c r="O104" s="17"/>
    </row>
    <row r="105" spans="1:15" x14ac:dyDescent="0.25">
      <c r="A105" s="16"/>
      <c r="B105" s="16" t="s">
        <v>77</v>
      </c>
      <c r="C105" s="16"/>
      <c r="D105" s="16"/>
      <c r="E105" s="16"/>
      <c r="F105" s="16"/>
      <c r="G105" s="16"/>
      <c r="H105" s="16"/>
      <c r="I105" s="16"/>
      <c r="J105" s="16"/>
      <c r="K105" s="16"/>
      <c r="L105" s="16"/>
      <c r="M105" s="16"/>
      <c r="N105" s="16"/>
      <c r="O105" s="16"/>
    </row>
    <row r="106" spans="1:15" x14ac:dyDescent="0.25">
      <c r="A106" s="17"/>
      <c r="B106" s="17" t="s">
        <v>78</v>
      </c>
      <c r="C106" s="17"/>
      <c r="D106" s="17"/>
      <c r="E106" s="17"/>
      <c r="F106" s="17"/>
      <c r="G106" s="17"/>
      <c r="H106" s="17"/>
      <c r="I106" s="17"/>
      <c r="J106" s="17"/>
      <c r="K106" s="17"/>
      <c r="L106" s="17"/>
      <c r="M106" s="17"/>
      <c r="N106" s="17"/>
      <c r="O106" s="17"/>
    </row>
    <row r="107" spans="1:15" x14ac:dyDescent="0.25">
      <c r="A107" s="16"/>
      <c r="B107" s="16" t="s">
        <v>79</v>
      </c>
      <c r="C107" s="16"/>
      <c r="D107" s="16"/>
      <c r="E107" s="16"/>
      <c r="F107" s="16"/>
      <c r="G107" s="16"/>
      <c r="H107" s="16"/>
      <c r="I107" s="16"/>
      <c r="J107" s="16"/>
      <c r="K107" s="16"/>
      <c r="L107" s="16"/>
      <c r="M107" s="16"/>
      <c r="N107" s="16"/>
      <c r="O107" s="16"/>
    </row>
    <row r="108" spans="1:15" x14ac:dyDescent="0.25">
      <c r="A108" s="17"/>
      <c r="B108" s="17" t="s">
        <v>391</v>
      </c>
      <c r="C108" s="17"/>
      <c r="D108" s="17"/>
      <c r="E108" s="17"/>
      <c r="F108" s="17"/>
      <c r="G108" s="17"/>
      <c r="H108" s="17"/>
      <c r="I108" s="17"/>
      <c r="J108" s="17"/>
      <c r="K108" s="17"/>
      <c r="L108" s="17"/>
      <c r="M108" s="17"/>
      <c r="N108" s="17"/>
      <c r="O108" s="17"/>
    </row>
    <row r="109" spans="1:15" x14ac:dyDescent="0.25">
      <c r="A109" s="18"/>
      <c r="B109" s="18" t="s">
        <v>416</v>
      </c>
      <c r="C109" s="18"/>
      <c r="D109" s="18"/>
      <c r="E109" s="18"/>
      <c r="F109" s="18"/>
      <c r="G109" s="18"/>
      <c r="H109" s="18"/>
      <c r="I109" s="18"/>
      <c r="J109" s="18"/>
      <c r="K109" s="18"/>
      <c r="L109" s="18"/>
      <c r="M109" s="18"/>
      <c r="N109" s="18"/>
      <c r="O109" s="18"/>
    </row>
    <row r="110" spans="1:15" x14ac:dyDescent="0.25">
      <c r="A110" s="16"/>
      <c r="B110" s="16" t="s">
        <v>80</v>
      </c>
      <c r="C110" s="16"/>
      <c r="D110" s="16"/>
      <c r="E110" s="16"/>
      <c r="F110" s="16"/>
      <c r="G110" s="16"/>
      <c r="H110" s="16"/>
      <c r="I110" s="16"/>
      <c r="J110" s="16"/>
      <c r="K110" s="16"/>
      <c r="L110" s="16"/>
      <c r="M110" s="16"/>
      <c r="N110" s="16"/>
      <c r="O110" s="16"/>
    </row>
    <row r="111" spans="1:15" x14ac:dyDescent="0.25">
      <c r="A111" s="18" t="s">
        <v>234</v>
      </c>
      <c r="B111" s="18" t="s">
        <v>459</v>
      </c>
      <c r="C111" s="18"/>
      <c r="D111" s="18"/>
      <c r="E111" s="18"/>
      <c r="F111" s="18"/>
      <c r="G111" s="18"/>
      <c r="H111" s="18"/>
      <c r="I111" s="18"/>
      <c r="J111" s="18"/>
      <c r="K111" s="18"/>
      <c r="L111" s="18"/>
      <c r="M111" s="18"/>
      <c r="N111" s="18"/>
      <c r="O111" s="18"/>
    </row>
    <row r="112" spans="1:15" x14ac:dyDescent="0.25">
      <c r="A112" s="16"/>
      <c r="B112" s="16" t="s">
        <v>81</v>
      </c>
      <c r="C112" s="16">
        <f t="shared" ref="C112:C119" si="10">Nozzle_Diameter</f>
        <v>0.6</v>
      </c>
      <c r="D112" s="16"/>
      <c r="E112" s="16"/>
      <c r="F112" s="16"/>
      <c r="G112" s="16"/>
      <c r="H112" s="16"/>
      <c r="I112" s="16"/>
      <c r="J112" s="16"/>
      <c r="K112" s="16"/>
      <c r="L112" s="16"/>
      <c r="M112" s="16"/>
      <c r="N112" s="16"/>
      <c r="O112" s="16"/>
    </row>
    <row r="113" spans="1:15" x14ac:dyDescent="0.25">
      <c r="A113" s="17"/>
      <c r="B113" s="17" t="s">
        <v>82</v>
      </c>
      <c r="C113" s="17">
        <f t="shared" si="10"/>
        <v>0.6</v>
      </c>
      <c r="D113" s="17"/>
      <c r="E113" s="17"/>
      <c r="F113" s="17"/>
      <c r="G113" s="17"/>
      <c r="H113" s="17"/>
      <c r="I113" s="17"/>
      <c r="J113" s="17"/>
      <c r="K113" s="17"/>
      <c r="L113" s="17"/>
      <c r="M113" s="17"/>
      <c r="N113" s="17"/>
      <c r="O113" s="17"/>
    </row>
    <row r="114" spans="1:15" x14ac:dyDescent="0.25">
      <c r="A114" s="16"/>
      <c r="B114" s="16" t="s">
        <v>83</v>
      </c>
      <c r="C114" s="16">
        <f t="shared" si="10"/>
        <v>0.6</v>
      </c>
      <c r="D114" s="16"/>
      <c r="E114" s="16"/>
      <c r="F114" s="16"/>
      <c r="G114" s="16"/>
      <c r="H114" s="16"/>
      <c r="I114" s="16"/>
      <c r="J114" s="16"/>
      <c r="K114" s="16"/>
      <c r="L114" s="16"/>
      <c r="M114" s="16"/>
      <c r="N114" s="16"/>
      <c r="O114" s="16"/>
    </row>
    <row r="115" spans="1:15" x14ac:dyDescent="0.25">
      <c r="A115" s="17"/>
      <c r="B115" s="17" t="s">
        <v>84</v>
      </c>
      <c r="C115" s="17">
        <f t="shared" si="10"/>
        <v>0.6</v>
      </c>
      <c r="D115" s="17"/>
      <c r="E115" s="17"/>
      <c r="F115" s="17"/>
      <c r="G115" s="17"/>
      <c r="H115" s="17"/>
      <c r="I115" s="17"/>
      <c r="J115" s="17"/>
      <c r="K115" s="17"/>
      <c r="L115" s="17"/>
      <c r="M115" s="17"/>
      <c r="N115" s="17"/>
      <c r="O115" s="17"/>
    </row>
    <row r="116" spans="1:15" x14ac:dyDescent="0.25">
      <c r="A116" s="16"/>
      <c r="B116" s="16" t="s">
        <v>85</v>
      </c>
      <c r="C116" s="16">
        <f t="shared" si="10"/>
        <v>0.6</v>
      </c>
      <c r="D116" s="16"/>
      <c r="E116" s="16"/>
      <c r="F116" s="16"/>
      <c r="G116" s="16"/>
      <c r="H116" s="16"/>
      <c r="I116" s="16"/>
      <c r="J116" s="16"/>
      <c r="K116" s="16"/>
      <c r="L116" s="16"/>
      <c r="M116" s="16"/>
      <c r="N116" s="16"/>
      <c r="O116" s="16"/>
    </row>
    <row r="117" spans="1:15" x14ac:dyDescent="0.25">
      <c r="A117" s="17"/>
      <c r="B117" s="17" t="s">
        <v>86</v>
      </c>
      <c r="C117" s="17">
        <f t="shared" si="10"/>
        <v>0.6</v>
      </c>
      <c r="D117" s="17"/>
      <c r="E117" s="17"/>
      <c r="F117" s="17"/>
      <c r="G117" s="17"/>
      <c r="H117" s="17"/>
      <c r="I117" s="17"/>
      <c r="J117" s="17"/>
      <c r="K117" s="17"/>
      <c r="L117" s="17"/>
      <c r="M117" s="17"/>
      <c r="N117" s="17"/>
      <c r="O117" s="17"/>
    </row>
    <row r="118" spans="1:15" x14ac:dyDescent="0.25">
      <c r="A118" s="16"/>
      <c r="B118" s="16" t="s">
        <v>87</v>
      </c>
      <c r="C118" s="16">
        <f t="shared" si="10"/>
        <v>0.6</v>
      </c>
      <c r="D118" s="16"/>
      <c r="E118" s="16"/>
      <c r="F118" s="16"/>
      <c r="G118" s="16"/>
      <c r="H118" s="16"/>
      <c r="I118" s="16"/>
      <c r="J118" s="16"/>
      <c r="K118" s="16"/>
      <c r="L118" s="16"/>
      <c r="M118" s="16"/>
      <c r="N118" s="16"/>
      <c r="O118" s="16"/>
    </row>
    <row r="119" spans="1:15" x14ac:dyDescent="0.25">
      <c r="A119" s="17"/>
      <c r="B119" s="17" t="s">
        <v>88</v>
      </c>
      <c r="C119" s="17">
        <f t="shared" si="10"/>
        <v>0.6</v>
      </c>
      <c r="D119" s="17"/>
      <c r="E119" s="17"/>
      <c r="F119" s="17"/>
      <c r="G119" s="17"/>
      <c r="H119" s="17"/>
      <c r="I119" s="17"/>
      <c r="J119" s="17"/>
      <c r="K119" s="17"/>
      <c r="L119" s="17"/>
      <c r="M119" s="17"/>
      <c r="N119" s="17"/>
      <c r="O119" s="17"/>
    </row>
    <row r="120" spans="1:15" x14ac:dyDescent="0.25">
      <c r="A120" s="18"/>
      <c r="B120" s="18" t="s">
        <v>460</v>
      </c>
      <c r="C120" s="18"/>
      <c r="D120" s="18"/>
      <c r="E120" s="18"/>
      <c r="F120" s="18"/>
      <c r="G120" s="18"/>
      <c r="H120" s="18"/>
      <c r="I120" s="18"/>
      <c r="J120" s="18"/>
      <c r="K120" s="18"/>
      <c r="L120" s="18"/>
      <c r="M120" s="18"/>
      <c r="N120" s="18"/>
      <c r="O120" s="18"/>
    </row>
    <row r="121" spans="1:15" x14ac:dyDescent="0.25">
      <c r="A121" s="16"/>
      <c r="B121" s="16" t="s">
        <v>89</v>
      </c>
      <c r="C121" s="16" t="str">
        <f>"10%"</f>
        <v>10%</v>
      </c>
      <c r="D121" s="16"/>
      <c r="E121" s="16"/>
      <c r="F121" s="16"/>
      <c r="G121" s="16"/>
      <c r="H121" s="16"/>
      <c r="I121" s="16"/>
      <c r="J121" s="16"/>
      <c r="K121" s="16"/>
      <c r="L121" s="16"/>
      <c r="M121" s="16"/>
      <c r="N121" s="16"/>
      <c r="O121" s="16"/>
    </row>
    <row r="122" spans="1:15" x14ac:dyDescent="0.25">
      <c r="A122" s="18"/>
      <c r="B122" s="18" t="s">
        <v>461</v>
      </c>
      <c r="C122" s="18"/>
      <c r="D122" s="18"/>
      <c r="E122" s="18"/>
      <c r="F122" s="18"/>
      <c r="G122" s="18"/>
      <c r="H122" s="18"/>
      <c r="I122" s="18"/>
      <c r="J122" s="18"/>
      <c r="K122" s="18"/>
      <c r="L122" s="18"/>
      <c r="M122" s="18"/>
      <c r="N122" s="18"/>
      <c r="O122" s="18"/>
    </row>
    <row r="123" spans="1:15" x14ac:dyDescent="0.25">
      <c r="A123" s="16"/>
      <c r="B123" s="16" t="s">
        <v>90</v>
      </c>
      <c r="C123" s="16">
        <v>0.8</v>
      </c>
      <c r="D123" s="16"/>
      <c r="E123" s="16"/>
      <c r="F123" s="16"/>
      <c r="G123" s="16"/>
      <c r="H123" s="16"/>
      <c r="I123" s="16"/>
      <c r="J123" s="16"/>
      <c r="K123" s="16"/>
      <c r="L123" s="16"/>
      <c r="M123" s="16"/>
      <c r="N123" s="16"/>
      <c r="O123" s="16"/>
    </row>
    <row r="124" spans="1:15" x14ac:dyDescent="0.25">
      <c r="A124" s="18"/>
      <c r="B124" s="18" t="s">
        <v>462</v>
      </c>
      <c r="C124" s="18"/>
      <c r="D124" s="18"/>
      <c r="E124" s="18"/>
      <c r="F124" s="18"/>
      <c r="G124" s="18"/>
      <c r="H124" s="18"/>
      <c r="I124" s="18"/>
      <c r="J124" s="18"/>
      <c r="K124" s="18"/>
      <c r="L124" s="18"/>
      <c r="M124" s="18"/>
      <c r="N124" s="18"/>
      <c r="O124" s="18"/>
    </row>
    <row r="125" spans="1:15" x14ac:dyDescent="0.25">
      <c r="A125" s="16"/>
      <c r="B125" s="16" t="s">
        <v>91</v>
      </c>
      <c r="C125" s="16">
        <v>1</v>
      </c>
      <c r="D125" s="16"/>
      <c r="E125" s="16"/>
      <c r="F125" s="16"/>
      <c r="G125" s="16"/>
      <c r="H125" s="16"/>
      <c r="I125" s="16"/>
      <c r="J125" s="16"/>
      <c r="K125" s="16"/>
      <c r="L125" s="16"/>
      <c r="M125" s="16"/>
      <c r="N125" s="16"/>
      <c r="O125" s="16"/>
    </row>
    <row r="126" spans="1:15" x14ac:dyDescent="0.25">
      <c r="A126" s="17"/>
      <c r="B126" s="17" t="s">
        <v>92</v>
      </c>
      <c r="C126" s="17"/>
      <c r="D126" s="17"/>
      <c r="E126" s="17"/>
      <c r="F126" s="17"/>
      <c r="G126" s="17"/>
      <c r="H126" s="17"/>
      <c r="I126" s="17"/>
      <c r="J126" s="17"/>
      <c r="K126" s="17"/>
      <c r="L126" s="17"/>
      <c r="M126" s="17"/>
      <c r="N126" s="17"/>
      <c r="O126" s="17"/>
    </row>
    <row r="127" spans="1:15" x14ac:dyDescent="0.25">
      <c r="A127" s="16"/>
      <c r="B127" s="16" t="s">
        <v>93</v>
      </c>
      <c r="C127" s="16"/>
      <c r="D127" s="16"/>
      <c r="E127" s="16"/>
      <c r="F127" s="16"/>
      <c r="G127" s="16"/>
      <c r="H127" s="16"/>
      <c r="I127" s="16"/>
      <c r="J127" s="16"/>
      <c r="K127" s="16"/>
      <c r="L127" s="16"/>
      <c r="M127" s="16"/>
      <c r="N127" s="16"/>
      <c r="O127" s="16"/>
    </row>
    <row r="128" spans="1:15" x14ac:dyDescent="0.25">
      <c r="A128" s="17"/>
      <c r="B128" s="17" t="s">
        <v>312</v>
      </c>
      <c r="C128" s="17"/>
      <c r="D128" s="17"/>
      <c r="E128" s="17"/>
      <c r="F128" s="17"/>
      <c r="G128" s="17"/>
      <c r="H128" s="17"/>
      <c r="I128" s="17"/>
      <c r="J128" s="17"/>
      <c r="K128" s="17"/>
      <c r="L128" s="17"/>
      <c r="M128" s="17"/>
      <c r="N128" s="17"/>
      <c r="O128" s="17"/>
    </row>
    <row r="129" spans="1:15" x14ac:dyDescent="0.25">
      <c r="A129" s="16"/>
      <c r="B129" s="16" t="s">
        <v>94</v>
      </c>
      <c r="C129" s="16"/>
      <c r="D129" s="16"/>
      <c r="E129" s="16"/>
      <c r="F129" s="16"/>
      <c r="G129" s="16"/>
      <c r="H129" s="16"/>
      <c r="I129" s="16"/>
      <c r="J129" s="16"/>
      <c r="K129" s="16"/>
      <c r="L129" s="16"/>
      <c r="M129" s="16"/>
      <c r="N129" s="16"/>
      <c r="O129" s="16"/>
    </row>
    <row r="130" spans="1:15" x14ac:dyDescent="0.25">
      <c r="A130" s="18" t="s">
        <v>235</v>
      </c>
      <c r="B130" s="18" t="s">
        <v>463</v>
      </c>
      <c r="C130" s="18"/>
      <c r="D130" s="18"/>
      <c r="E130" s="18"/>
      <c r="F130" s="18"/>
      <c r="G130" s="18"/>
      <c r="H130" s="18"/>
      <c r="I130" s="18"/>
      <c r="J130" s="18"/>
      <c r="K130" s="18"/>
      <c r="L130" s="18"/>
      <c r="M130" s="18"/>
      <c r="N130" s="18"/>
      <c r="O130" s="18"/>
    </row>
    <row r="131" spans="1:15" x14ac:dyDescent="0.25">
      <c r="A131" s="16"/>
      <c r="B131" s="16" t="s">
        <v>95</v>
      </c>
      <c r="C131" s="16"/>
      <c r="D131" s="16"/>
      <c r="E131" s="16"/>
      <c r="F131" s="16"/>
      <c r="G131" s="16"/>
      <c r="H131" s="16"/>
      <c r="I131" s="16"/>
      <c r="J131" s="16"/>
      <c r="K131" s="16"/>
      <c r="L131" s="16"/>
      <c r="M131" s="16"/>
      <c r="N131" s="16"/>
      <c r="O131" s="16"/>
    </row>
    <row r="132" spans="1:15" x14ac:dyDescent="0.25">
      <c r="A132" s="17"/>
      <c r="B132" s="17" t="s">
        <v>96</v>
      </c>
      <c r="C132" s="17"/>
      <c r="D132" s="17"/>
      <c r="E132" s="17"/>
      <c r="F132" s="17"/>
      <c r="G132" s="17"/>
      <c r="H132" s="17"/>
      <c r="I132" s="17"/>
      <c r="J132" s="17"/>
      <c r="K132" s="17"/>
      <c r="L132" s="17"/>
      <c r="M132" s="17"/>
      <c r="N132" s="17"/>
      <c r="O132" s="17"/>
    </row>
    <row r="133" spans="1:15" x14ac:dyDescent="0.25">
      <c r="A133" s="16"/>
      <c r="B133" s="16" t="s">
        <v>97</v>
      </c>
      <c r="C133" s="16"/>
      <c r="D133" s="16"/>
      <c r="E133" s="16"/>
      <c r="F133" s="16"/>
      <c r="G133" s="16"/>
      <c r="H133" s="16"/>
      <c r="I133" s="16"/>
      <c r="J133" s="16"/>
      <c r="K133" s="16"/>
      <c r="L133" s="16"/>
      <c r="M133" s="16"/>
      <c r="N133" s="16"/>
      <c r="O133" s="16"/>
    </row>
    <row r="134" spans="1:15" x14ac:dyDescent="0.25">
      <c r="A134" s="18"/>
      <c r="B134" s="18" t="s">
        <v>464</v>
      </c>
      <c r="C134" s="18"/>
      <c r="D134" s="18"/>
      <c r="E134" s="18"/>
      <c r="F134" s="18"/>
      <c r="G134" s="18"/>
      <c r="H134" s="18"/>
      <c r="I134" s="18"/>
      <c r="J134" s="18"/>
      <c r="K134" s="18"/>
      <c r="L134" s="18"/>
      <c r="M134" s="18"/>
      <c r="N134" s="18"/>
      <c r="O134" s="18"/>
    </row>
    <row r="135" spans="1:15" x14ac:dyDescent="0.25">
      <c r="A135" s="16"/>
      <c r="B135" s="16" t="s">
        <v>98</v>
      </c>
      <c r="C135" s="16">
        <v>1</v>
      </c>
      <c r="D135" s="16"/>
      <c r="E135" s="16"/>
      <c r="F135" s="16"/>
      <c r="G135" s="16"/>
      <c r="H135" s="16"/>
      <c r="I135" s="16"/>
      <c r="J135" s="16"/>
      <c r="K135" s="16"/>
      <c r="L135" s="16"/>
      <c r="M135" s="16"/>
      <c r="N135" s="16"/>
      <c r="O135" s="16"/>
    </row>
    <row r="136" spans="1:15" x14ac:dyDescent="0.25">
      <c r="A136" s="17"/>
      <c r="B136" s="17" t="s">
        <v>311</v>
      </c>
      <c r="C136" s="17">
        <v>1</v>
      </c>
      <c r="D136" s="17"/>
      <c r="E136" s="17"/>
      <c r="F136" s="17"/>
      <c r="G136" s="17"/>
      <c r="H136" s="17"/>
      <c r="I136" s="17"/>
      <c r="J136" s="17"/>
      <c r="K136" s="17"/>
      <c r="L136" s="17"/>
      <c r="M136" s="17"/>
      <c r="N136" s="17"/>
      <c r="O136" s="17"/>
    </row>
    <row r="137" spans="1:15" x14ac:dyDescent="0.25">
      <c r="A137" s="16"/>
      <c r="B137" s="16" t="s">
        <v>99</v>
      </c>
      <c r="C137" s="16" t="s">
        <v>100</v>
      </c>
      <c r="D137" s="16"/>
      <c r="E137" s="16"/>
      <c r="F137" s="16"/>
      <c r="G137" s="16"/>
      <c r="H137" s="16"/>
      <c r="I137" s="16"/>
      <c r="J137" s="16"/>
      <c r="K137" s="16"/>
      <c r="L137" s="16"/>
      <c r="M137" s="16"/>
      <c r="N137" s="16"/>
      <c r="O137" s="16"/>
    </row>
    <row r="138" spans="1:15" x14ac:dyDescent="0.25">
      <c r="A138" s="18"/>
      <c r="B138" s="18" t="s">
        <v>465</v>
      </c>
      <c r="C138" s="18"/>
      <c r="D138" s="18"/>
      <c r="E138" s="18"/>
      <c r="F138" s="18"/>
      <c r="G138" s="18"/>
      <c r="H138" s="18"/>
      <c r="I138" s="18"/>
      <c r="J138" s="18"/>
      <c r="K138" s="18"/>
      <c r="L138" s="18"/>
      <c r="M138" s="18"/>
      <c r="N138" s="18"/>
      <c r="O138" s="18"/>
    </row>
    <row r="139" spans="1:15" x14ac:dyDescent="0.25">
      <c r="A139" s="16"/>
      <c r="B139" s="16" t="s">
        <v>101</v>
      </c>
      <c r="C139" s="16"/>
      <c r="D139" s="16"/>
      <c r="E139" s="16"/>
      <c r="F139" s="16"/>
      <c r="G139" s="16"/>
      <c r="H139" s="16"/>
      <c r="I139" s="16"/>
      <c r="J139" s="16"/>
      <c r="K139" s="16"/>
      <c r="L139" s="16"/>
      <c r="M139" s="16"/>
      <c r="N139" s="16"/>
      <c r="O139" s="16"/>
    </row>
    <row r="140" spans="1:15" x14ac:dyDescent="0.25">
      <c r="A140" s="18" t="s">
        <v>236</v>
      </c>
      <c r="B140" s="18" t="s">
        <v>427</v>
      </c>
      <c r="C140" s="18"/>
      <c r="D140" s="18"/>
      <c r="E140" s="18"/>
      <c r="F140" s="18"/>
      <c r="G140" s="18"/>
      <c r="H140" s="18"/>
      <c r="I140" s="18"/>
      <c r="J140" s="18"/>
      <c r="K140" s="18"/>
      <c r="L140" s="18"/>
      <c r="M140" s="18"/>
      <c r="N140" s="18"/>
      <c r="O140" s="18"/>
    </row>
    <row r="141" spans="1:15" x14ac:dyDescent="0.25">
      <c r="A141" s="16"/>
      <c r="B141" s="16" t="s">
        <v>102</v>
      </c>
      <c r="C141" s="16"/>
      <c r="D141" s="16"/>
      <c r="E141" s="16"/>
      <c r="F141" s="16"/>
      <c r="G141" s="16"/>
      <c r="H141" s="16"/>
      <c r="I141" s="16"/>
      <c r="J141" s="16"/>
      <c r="K141" s="16"/>
      <c r="L141" s="16"/>
      <c r="M141" s="16"/>
      <c r="N141" s="16"/>
      <c r="O141" s="16"/>
    </row>
    <row r="142" spans="1:15" x14ac:dyDescent="0.25">
      <c r="A142" s="18" t="s">
        <v>237</v>
      </c>
      <c r="B142" s="18" t="s">
        <v>466</v>
      </c>
      <c r="C142" s="18"/>
      <c r="D142" s="18"/>
      <c r="E142" s="18"/>
      <c r="F142" s="18"/>
      <c r="G142" s="18"/>
      <c r="H142" s="18"/>
      <c r="I142" s="18"/>
      <c r="J142" s="18"/>
      <c r="K142" s="18"/>
      <c r="L142" s="18"/>
      <c r="M142" s="18"/>
      <c r="N142" s="18"/>
      <c r="O142" s="18"/>
    </row>
    <row r="143" spans="1:15" x14ac:dyDescent="0.25">
      <c r="A143" s="16"/>
      <c r="B143" s="16" t="s">
        <v>141</v>
      </c>
      <c r="C143" s="16" t="str">
        <f>Printer_Name</f>
        <v>AnyCubic E3D V6 0.6 mm PET</v>
      </c>
      <c r="D143" s="16"/>
      <c r="E143" s="16"/>
      <c r="F143" s="16"/>
      <c r="G143" s="16"/>
      <c r="H143" s="16"/>
      <c r="I143" s="16"/>
      <c r="J143" s="16"/>
      <c r="K143" s="16"/>
      <c r="L143" s="16"/>
      <c r="M143" s="16"/>
      <c r="N143" s="16"/>
      <c r="O143" s="16"/>
    </row>
    <row r="144" spans="1:15" x14ac:dyDescent="0.25">
      <c r="A144" s="17"/>
      <c r="B144" s="17" t="s">
        <v>142</v>
      </c>
      <c r="C144" s="17"/>
      <c r="D144" s="17"/>
      <c r="E144" s="17"/>
      <c r="F144" s="17"/>
      <c r="G144" s="17"/>
      <c r="H144" s="17"/>
      <c r="I144" s="17"/>
      <c r="J144" s="17"/>
      <c r="K144" s="17"/>
      <c r="L144" s="17"/>
      <c r="M144" s="17"/>
      <c r="N144" s="17"/>
      <c r="O144" s="17"/>
    </row>
    <row r="145" spans="1:15" x14ac:dyDescent="0.25">
      <c r="A145" s="16"/>
      <c r="B145" s="16" t="s">
        <v>404</v>
      </c>
      <c r="C145" s="16"/>
      <c r="D145" s="16"/>
      <c r="E145" s="16"/>
      <c r="F145" s="16"/>
      <c r="G145" s="16"/>
      <c r="H145" s="16"/>
      <c r="I145" s="16"/>
      <c r="J145" s="16"/>
      <c r="K145" s="16"/>
      <c r="L145" s="16"/>
      <c r="M145" s="16"/>
      <c r="N145" s="16"/>
      <c r="O145" s="16"/>
    </row>
    <row r="146" spans="1:15" x14ac:dyDescent="0.25">
      <c r="A146" s="17"/>
      <c r="B146" s="17" t="s">
        <v>411</v>
      </c>
      <c r="C146" s="17"/>
      <c r="D146" s="17"/>
      <c r="E146" s="17"/>
      <c r="F146" s="17"/>
      <c r="G146" s="17"/>
      <c r="H146" s="17"/>
      <c r="I146" s="17"/>
      <c r="J146" s="17"/>
      <c r="K146" s="17"/>
      <c r="L146" s="17"/>
      <c r="M146" s="17"/>
      <c r="N146" s="17"/>
      <c r="O146" s="1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44" activePane="bottomLeft" state="frozen"/>
      <selection activeCell="B30" sqref="B30"/>
      <selection pane="bottomLeft" activeCell="C68" sqref="C68"/>
    </sheetView>
  </sheetViews>
  <sheetFormatPr defaultRowHeight="15" x14ac:dyDescent="0.25"/>
  <cols>
    <col min="1" max="1" width="19.140625" bestFit="1" customWidth="1"/>
    <col min="2" max="2" width="39.7109375" customWidth="1"/>
    <col min="3" max="3" width="38.42578125" bestFit="1"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15" t="s">
        <v>226</v>
      </c>
      <c r="B1" s="15" t="s">
        <v>204</v>
      </c>
      <c r="C1" s="15" t="s">
        <v>103</v>
      </c>
      <c r="D1" s="15" t="s">
        <v>246</v>
      </c>
      <c r="E1" s="15" t="s">
        <v>247</v>
      </c>
      <c r="F1" s="15">
        <v>0.24</v>
      </c>
      <c r="G1" s="15">
        <v>0.28000000000000003</v>
      </c>
      <c r="H1" s="15" t="s">
        <v>248</v>
      </c>
      <c r="I1" s="15" t="s">
        <v>249</v>
      </c>
      <c r="J1" s="15" t="s">
        <v>250</v>
      </c>
      <c r="K1" s="15" t="s">
        <v>251</v>
      </c>
      <c r="L1" s="15" t="s">
        <v>252</v>
      </c>
      <c r="M1" s="15" t="s">
        <v>253</v>
      </c>
      <c r="N1" s="15" t="s">
        <v>254</v>
      </c>
      <c r="O1" s="15" t="s">
        <v>215</v>
      </c>
    </row>
    <row r="2" spans="1:15" x14ac:dyDescent="0.25">
      <c r="A2" s="16"/>
      <c r="B2" s="16"/>
      <c r="C2" s="16"/>
      <c r="D2" s="16" t="s">
        <v>216</v>
      </c>
      <c r="E2" s="16" t="s">
        <v>217</v>
      </c>
      <c r="F2" s="16" t="s">
        <v>379</v>
      </c>
      <c r="G2" s="16" t="s">
        <v>380</v>
      </c>
      <c r="H2" s="16" t="s">
        <v>218</v>
      </c>
      <c r="I2" s="16" t="s">
        <v>219</v>
      </c>
      <c r="J2" s="16" t="s">
        <v>220</v>
      </c>
      <c r="K2" s="16" t="s">
        <v>221</v>
      </c>
      <c r="L2" s="16" t="s">
        <v>222</v>
      </c>
      <c r="M2" s="16" t="s">
        <v>223</v>
      </c>
      <c r="N2" s="16" t="s">
        <v>224</v>
      </c>
      <c r="O2" s="16"/>
    </row>
    <row r="3" spans="1:15" x14ac:dyDescent="0.25">
      <c r="A3" s="17"/>
      <c r="B3" s="17" t="s">
        <v>0</v>
      </c>
      <c r="C3" s="17">
        <v>4</v>
      </c>
      <c r="D3" s="17"/>
      <c r="E3" s="17"/>
      <c r="F3" s="17"/>
      <c r="G3" s="17"/>
      <c r="H3" s="17"/>
      <c r="I3" s="17"/>
      <c r="J3" s="17"/>
      <c r="K3" s="17"/>
      <c r="L3" s="17"/>
      <c r="M3" s="17"/>
      <c r="N3" s="17"/>
      <c r="O3" s="17"/>
    </row>
    <row r="4" spans="1:15" x14ac:dyDescent="0.25">
      <c r="A4" s="18" t="s">
        <v>227</v>
      </c>
      <c r="B4" s="18" t="s">
        <v>440</v>
      </c>
      <c r="C4" s="18"/>
      <c r="D4" s="18"/>
      <c r="E4" s="18"/>
      <c r="F4" s="18"/>
      <c r="G4" s="18"/>
      <c r="H4" s="18"/>
      <c r="I4" s="18"/>
      <c r="J4" s="18"/>
      <c r="K4" s="18"/>
      <c r="L4" s="18"/>
      <c r="M4" s="18"/>
      <c r="N4" s="18"/>
      <c r="O4" s="18"/>
    </row>
    <row r="5" spans="1:15" x14ac:dyDescent="0.25">
      <c r="A5" s="16"/>
      <c r="B5" s="16" t="s">
        <v>1</v>
      </c>
      <c r="C5" s="16">
        <f>MAX(0.2,Min_Layer_Height)</f>
        <v>0.2</v>
      </c>
      <c r="D5" s="16">
        <v>0.12</v>
      </c>
      <c r="E5" s="16">
        <v>0.2</v>
      </c>
      <c r="F5" s="16">
        <v>0.24</v>
      </c>
      <c r="G5" s="16">
        <v>0.28000000000000003</v>
      </c>
      <c r="H5" s="16">
        <v>0.32</v>
      </c>
      <c r="I5" s="16">
        <v>0.4</v>
      </c>
      <c r="J5" s="16">
        <v>0.48</v>
      </c>
      <c r="K5" s="16">
        <v>0.56000000000000005</v>
      </c>
      <c r="L5" s="16">
        <v>0.64</v>
      </c>
      <c r="M5" s="16">
        <v>0.72</v>
      </c>
      <c r="N5" s="16">
        <v>0.8</v>
      </c>
      <c r="O5" s="16"/>
    </row>
    <row r="6" spans="1:15" x14ac:dyDescent="0.25">
      <c r="A6" s="17"/>
      <c r="B6" s="17" t="s">
        <v>2</v>
      </c>
      <c r="C6" s="17">
        <f>MAX(0.2,Min_Layer_Height)</f>
        <v>0.2</v>
      </c>
      <c r="D6" s="17"/>
      <c r="E6" s="17"/>
      <c r="F6" s="17"/>
      <c r="G6" s="17"/>
      <c r="H6" s="17"/>
      <c r="I6" s="17"/>
      <c r="J6" s="17"/>
      <c r="K6" s="17"/>
      <c r="L6" s="17"/>
      <c r="M6" s="17"/>
      <c r="N6" s="17"/>
      <c r="O6" s="17"/>
    </row>
    <row r="7" spans="1:15" x14ac:dyDescent="0.25">
      <c r="A7" s="18"/>
      <c r="B7" s="18" t="s">
        <v>441</v>
      </c>
      <c r="C7" s="18"/>
      <c r="D7" s="18"/>
      <c r="E7" s="18"/>
      <c r="F7" s="18"/>
      <c r="G7" s="18"/>
      <c r="H7" s="18"/>
      <c r="I7" s="18"/>
      <c r="J7" s="18"/>
      <c r="K7" s="18"/>
      <c r="L7" s="18"/>
      <c r="M7" s="18"/>
      <c r="N7" s="18"/>
      <c r="O7" s="18"/>
    </row>
    <row r="8" spans="1:15" x14ac:dyDescent="0.25">
      <c r="A8" s="16"/>
      <c r="B8" s="16" t="s">
        <v>3</v>
      </c>
      <c r="C8" s="16"/>
      <c r="D8" s="16" t="str">
        <f>Matchfill(INDEX(spec!$F$13:$R$22,MATCH($B8,spec!$F$13:$F$22,0),MATCH(D$5,spec!$F$13:$R$13,0)),$C$8)</f>
        <v>3</v>
      </c>
      <c r="E8" s="16" t="str">
        <f>Matchfill(INDEX(spec!$F$13:$R$22,MATCH($B8,spec!$F$13:$F$22,0),MATCH(E$5,spec!$F$13:$R$13,0)),$C$8)</f>
        <v>3</v>
      </c>
      <c r="F8" s="16">
        <v>3</v>
      </c>
      <c r="G8" s="16">
        <v>3</v>
      </c>
      <c r="H8" s="16" t="str">
        <f>Matchfill(INDEX(spec!$F$13:$R$22,MATCH($B8,spec!$F$13:$F$22,0),MATCH(H$5,spec!$F$13:$R$13,0)),$C$8)</f>
        <v>3</v>
      </c>
      <c r="I8" s="16" t="str">
        <f>Matchfill(INDEX(spec!$F$13:$R$22,MATCH($B8,spec!$F$13:$F$22,0),MATCH(I$5,spec!$F$13:$R$13,0)),$C$8)</f>
        <v>3</v>
      </c>
      <c r="J8" s="16" t="str">
        <f>Matchfill(INDEX(spec!$F$13:$R$22,MATCH($B8,spec!$F$13:$F$22,0),MATCH(J$5,spec!$F$13:$R$13,0)),$C$8)</f>
        <v>3</v>
      </c>
      <c r="K8" s="16" t="str">
        <f>Matchfill(INDEX(spec!$F$13:$R$22,MATCH($B8,spec!$F$13:$F$22,0),MATCH(K$5,spec!$F$13:$R$13,0)),$C$8)</f>
        <v>3</v>
      </c>
      <c r="L8" s="16" t="str">
        <f>Matchfill(INDEX(spec!$F$13:$R$22,MATCH($B8,spec!$F$13:$F$22,0),MATCH(L$5,spec!$F$13:$R$13,0)),$C$8)</f>
        <v>3</v>
      </c>
      <c r="M8" s="16" t="str">
        <f>Matchfill(INDEX(spec!$F$13:$R$22,MATCH($B8,spec!$F$13:$F$22,0),MATCH(M$5,spec!$F$13:$R$13,0)),$C$8)</f>
        <v>3</v>
      </c>
      <c r="N8" s="16" t="str">
        <f>Matchfill(INDEX(spec!$F$13:$R$22,MATCH($B8,spec!$F$13:$F$22,0),MATCH(N$5,spec!$F$13:$R$13,0)),$C$8)</f>
        <v>3</v>
      </c>
      <c r="O8" s="16"/>
    </row>
    <row r="9" spans="1:15" x14ac:dyDescent="0.25">
      <c r="A9" s="17"/>
      <c r="B9" s="17" t="s">
        <v>4</v>
      </c>
      <c r="C9" s="17">
        <v>0</v>
      </c>
      <c r="D9" s="17"/>
      <c r="E9" s="17"/>
      <c r="F9" s="17"/>
      <c r="G9" s="17"/>
      <c r="H9" s="17"/>
      <c r="I9" s="17"/>
      <c r="J9" s="17"/>
      <c r="K9" s="17"/>
      <c r="L9" s="17"/>
      <c r="M9" s="17"/>
      <c r="N9" s="17"/>
      <c r="O9" s="17"/>
    </row>
    <row r="10" spans="1:15" x14ac:dyDescent="0.25">
      <c r="A10" s="18"/>
      <c r="B10" s="18" t="s">
        <v>442</v>
      </c>
      <c r="C10" s="18"/>
      <c r="D10" s="18"/>
      <c r="E10" s="18"/>
      <c r="F10" s="18"/>
      <c r="G10" s="18"/>
      <c r="H10" s="18"/>
      <c r="I10" s="18"/>
      <c r="J10" s="18"/>
      <c r="K10" s="18"/>
      <c r="L10" s="18"/>
      <c r="M10" s="18"/>
      <c r="N10" s="18"/>
      <c r="O10" s="18"/>
    </row>
    <row r="11" spans="1:15" x14ac:dyDescent="0.25">
      <c r="A11" s="16"/>
      <c r="B11" s="16" t="s">
        <v>5</v>
      </c>
      <c r="C11" s="16"/>
      <c r="D11" s="16" t="str">
        <f>Matchfill(INDEX(spec!$F$13:$R$22,MATCH($B11,spec!$F$13:$F$22,0),MATCH(D$5,spec!$F$13:$R$13,0)),$C$8)</f>
        <v>7</v>
      </c>
      <c r="E11" s="16" t="str">
        <f>Matchfill(INDEX(spec!$F$13:$R$22,MATCH($B11,spec!$F$13:$F$22,0),MATCH(E$5,spec!$F$13:$R$13,0)),$C$8)</f>
        <v>4</v>
      </c>
      <c r="F11" s="16">
        <v>3</v>
      </c>
      <c r="G11" s="16">
        <v>3</v>
      </c>
      <c r="H11" s="16" t="str">
        <f>Matchfill(INDEX(spec!$F$13:$R$22,MATCH($B11,spec!$F$13:$F$22,0),MATCH(H$5,spec!$F$13:$R$13,0)),$C$8)</f>
        <v>3</v>
      </c>
      <c r="I11" s="16" t="str">
        <f>Matchfill(INDEX(spec!$F$13:$R$22,MATCH($B11,spec!$F$13:$F$22,0),MATCH(I$5,spec!$F$13:$R$13,0)),$C$8)</f>
        <v>3</v>
      </c>
      <c r="J11" s="16" t="str">
        <f>Matchfill(INDEX(spec!$F$13:$R$22,MATCH($B11,spec!$F$13:$F$22,0),MATCH(J$5,spec!$F$13:$R$13,0)),$C$8)</f>
        <v>3</v>
      </c>
      <c r="K11" s="16" t="str">
        <f>Matchfill(INDEX(spec!$F$13:$R$22,MATCH($B11,spec!$F$13:$F$22,0),MATCH(K$5,spec!$F$13:$R$13,0)),$C$8)</f>
        <v>3</v>
      </c>
      <c r="L11" s="16" t="str">
        <f>Matchfill(INDEX(spec!$F$13:$R$22,MATCH($B11,spec!$F$13:$F$22,0),MATCH(L$5,spec!$F$13:$R$13,0)),$C$8)</f>
        <v>3</v>
      </c>
      <c r="M11" s="16" t="str">
        <f>Matchfill(INDEX(spec!$F$13:$R$22,MATCH($B11,spec!$F$13:$F$22,0),MATCH(M$5,spec!$F$13:$R$13,0)),$C$8)</f>
        <v>3</v>
      </c>
      <c r="N11" s="16" t="str">
        <f>Matchfill(INDEX(spec!$F$13:$R$22,MATCH($B11,spec!$F$13:$F$22,0),MATCH(N$5,spec!$F$13:$R$13,0)),$C$8)</f>
        <v>3</v>
      </c>
      <c r="O11" s="16"/>
    </row>
    <row r="12" spans="1:15" x14ac:dyDescent="0.25">
      <c r="A12" s="17"/>
      <c r="B12" s="17" t="s">
        <v>6</v>
      </c>
      <c r="C12" s="17"/>
      <c r="D12" s="17" t="str">
        <f>Matchfill(INDEX(spec!$F$13:$R$22,MATCH($B12,spec!$F$13:$F$22,0),MATCH(D$5,spec!$F$13:$R$13,0)),$C$8)</f>
        <v>7</v>
      </c>
      <c r="E12" s="17" t="str">
        <f>Matchfill(INDEX(spec!$F$13:$R$22,MATCH($B12,spec!$F$13:$F$22,0),MATCH(E$5,spec!$F$13:$R$13,0)),$C$8)</f>
        <v>4</v>
      </c>
      <c r="F12" s="17">
        <v>3</v>
      </c>
      <c r="G12" s="17">
        <v>3</v>
      </c>
      <c r="H12" s="17" t="str">
        <f>Matchfill(INDEX(spec!$F$13:$R$22,MATCH($B12,spec!$F$13:$F$22,0),MATCH(H$5,spec!$F$13:$R$13,0)),$C$8)</f>
        <v>3</v>
      </c>
      <c r="I12" s="17" t="str">
        <f>Matchfill(INDEX(spec!$F$13:$R$22,MATCH($B12,spec!$F$13:$F$22,0),MATCH(I$5,spec!$F$13:$R$13,0)),$C$8)</f>
        <v>3</v>
      </c>
      <c r="J12" s="17" t="str">
        <f>Matchfill(INDEX(spec!$F$13:$R$22,MATCH($B12,spec!$F$13:$F$22,0),MATCH(J$5,spec!$F$13:$R$13,0)),$C$8)</f>
        <v>3</v>
      </c>
      <c r="K12" s="17" t="str">
        <f>Matchfill(INDEX(spec!$F$13:$R$22,MATCH($B12,spec!$F$13:$F$22,0),MATCH(K$5,spec!$F$13:$R$13,0)),$C$8)</f>
        <v>3</v>
      </c>
      <c r="L12" s="17" t="str">
        <f>Matchfill(INDEX(spec!$F$13:$R$22,MATCH($B12,spec!$F$13:$F$22,0),MATCH(L$5,spec!$F$13:$R$13,0)),$C$8)</f>
        <v>3</v>
      </c>
      <c r="M12" s="17" t="str">
        <f>Matchfill(INDEX(spec!$F$13:$R$22,MATCH($B12,spec!$F$13:$F$22,0),MATCH(M$5,spec!$F$13:$R$13,0)),$C$8)</f>
        <v>3</v>
      </c>
      <c r="N12" s="17" t="str">
        <f>Matchfill(INDEX(spec!$F$13:$R$22,MATCH($B12,spec!$F$13:$F$22,0),MATCH(N$5,spec!$F$13:$R$13,0)),$C$8)</f>
        <v>3</v>
      </c>
      <c r="O12" s="17"/>
    </row>
    <row r="13" spans="1:15" x14ac:dyDescent="0.25">
      <c r="A13" s="18"/>
      <c r="B13" s="18" t="s">
        <v>443</v>
      </c>
      <c r="C13" s="18"/>
      <c r="D13" s="18"/>
      <c r="E13" s="18"/>
      <c r="F13" s="18"/>
      <c r="G13" s="18"/>
      <c r="H13" s="18"/>
      <c r="I13" s="18"/>
      <c r="J13" s="18"/>
      <c r="K13" s="18"/>
      <c r="L13" s="18"/>
      <c r="M13" s="18"/>
      <c r="N13" s="18"/>
      <c r="O13" s="18"/>
    </row>
    <row r="14" spans="1:15" x14ac:dyDescent="0.25">
      <c r="A14" s="16"/>
      <c r="B14" s="16" t="s">
        <v>7</v>
      </c>
      <c r="C14" s="16">
        <v>1</v>
      </c>
      <c r="D14" s="16"/>
      <c r="E14" s="16"/>
      <c r="F14" s="16"/>
      <c r="G14" s="16"/>
      <c r="H14" s="16"/>
      <c r="I14" s="16"/>
      <c r="J14" s="16"/>
      <c r="K14" s="16"/>
      <c r="L14" s="16"/>
      <c r="M14" s="16"/>
      <c r="N14" s="16"/>
      <c r="O14" s="16" t="s">
        <v>238</v>
      </c>
    </row>
    <row r="15" spans="1:15" x14ac:dyDescent="0.25">
      <c r="A15" s="17"/>
      <c r="B15" s="17" t="s">
        <v>8</v>
      </c>
      <c r="C15" s="17">
        <v>1</v>
      </c>
      <c r="D15" s="17"/>
      <c r="E15" s="17"/>
      <c r="F15" s="17"/>
      <c r="G15" s="17"/>
      <c r="H15" s="17"/>
      <c r="I15" s="17"/>
      <c r="J15" s="17"/>
      <c r="K15" s="17"/>
      <c r="L15" s="17"/>
      <c r="M15" s="17"/>
      <c r="N15" s="17"/>
      <c r="O15" s="17" t="s">
        <v>239</v>
      </c>
    </row>
    <row r="16" spans="1:15" x14ac:dyDescent="0.25">
      <c r="A16" s="16"/>
      <c r="B16" s="16" t="s">
        <v>9</v>
      </c>
      <c r="C16" s="16">
        <v>0</v>
      </c>
      <c r="D16" s="16"/>
      <c r="E16" s="16"/>
      <c r="F16" s="16"/>
      <c r="G16" s="16"/>
      <c r="H16" s="16"/>
      <c r="I16" s="16"/>
      <c r="J16" s="16"/>
      <c r="K16" s="16"/>
      <c r="L16" s="16"/>
      <c r="M16" s="16"/>
      <c r="N16" s="16"/>
      <c r="O16" s="16"/>
    </row>
    <row r="17" spans="1:15" x14ac:dyDescent="0.25">
      <c r="A17" s="17"/>
      <c r="B17" s="17" t="s">
        <v>10</v>
      </c>
      <c r="C17" s="17">
        <v>1</v>
      </c>
      <c r="D17" s="17"/>
      <c r="E17" s="17"/>
      <c r="F17" s="17"/>
      <c r="G17" s="17"/>
      <c r="H17" s="17"/>
      <c r="I17" s="17"/>
      <c r="J17" s="17"/>
      <c r="K17" s="17"/>
      <c r="L17" s="17"/>
      <c r="M17" s="17"/>
      <c r="N17" s="17"/>
      <c r="O17" s="17" t="s">
        <v>240</v>
      </c>
    </row>
    <row r="18" spans="1:15" x14ac:dyDescent="0.25">
      <c r="A18" s="16"/>
      <c r="B18" s="16" t="s">
        <v>267</v>
      </c>
      <c r="C18" s="16">
        <v>1</v>
      </c>
      <c r="D18" s="16"/>
      <c r="E18" s="16"/>
      <c r="F18" s="16"/>
      <c r="G18" s="16"/>
      <c r="H18" s="16"/>
      <c r="I18" s="16"/>
      <c r="J18" s="16"/>
      <c r="K18" s="16"/>
      <c r="L18" s="16"/>
      <c r="M18" s="16"/>
      <c r="N18" s="16"/>
      <c r="O18" s="16" t="s">
        <v>268</v>
      </c>
    </row>
    <row r="19" spans="1:15" x14ac:dyDescent="0.25">
      <c r="A19" s="18"/>
      <c r="B19" s="18" t="s">
        <v>416</v>
      </c>
      <c r="C19" s="18"/>
      <c r="D19" s="18"/>
      <c r="E19" s="18"/>
      <c r="F19" s="18"/>
      <c r="G19" s="18"/>
      <c r="H19" s="18"/>
      <c r="I19" s="18"/>
      <c r="J19" s="18"/>
      <c r="K19" s="18"/>
      <c r="L19" s="18"/>
      <c r="M19" s="18"/>
      <c r="N19" s="18"/>
      <c r="O19" s="18" t="s">
        <v>241</v>
      </c>
    </row>
    <row r="20" spans="1:15" x14ac:dyDescent="0.25">
      <c r="A20" s="16"/>
      <c r="B20" s="16" t="s">
        <v>12</v>
      </c>
      <c r="C20" s="16" t="s">
        <v>13</v>
      </c>
      <c r="D20" s="16"/>
      <c r="E20" s="16"/>
      <c r="F20" s="16"/>
      <c r="G20" s="16"/>
      <c r="H20" s="16"/>
      <c r="I20" s="16"/>
      <c r="J20" s="16"/>
      <c r="K20" s="16"/>
      <c r="L20" s="16"/>
      <c r="M20" s="16"/>
      <c r="N20" s="16"/>
      <c r="O20" s="16"/>
    </row>
    <row r="21" spans="1:15" x14ac:dyDescent="0.25">
      <c r="A21" s="17"/>
      <c r="B21" s="17" t="s">
        <v>14</v>
      </c>
      <c r="C21" s="17">
        <v>0</v>
      </c>
      <c r="D21" s="17"/>
      <c r="E21" s="17"/>
      <c r="F21" s="17"/>
      <c r="G21" s="17"/>
      <c r="H21" s="17"/>
      <c r="I21" s="17"/>
      <c r="J21" s="17"/>
      <c r="K21" s="17"/>
      <c r="L21" s="17"/>
      <c r="M21" s="17"/>
      <c r="N21" s="17"/>
      <c r="O21" s="17"/>
    </row>
    <row r="22" spans="1:15" x14ac:dyDescent="0.25">
      <c r="A22" s="18" t="s">
        <v>228</v>
      </c>
      <c r="B22" s="18" t="s">
        <v>444</v>
      </c>
      <c r="C22" s="18"/>
      <c r="D22" s="18"/>
      <c r="E22" s="18"/>
      <c r="F22" s="18"/>
      <c r="G22" s="18"/>
      <c r="H22" s="18"/>
      <c r="I22" s="18"/>
      <c r="J22" s="18"/>
      <c r="K22" s="18"/>
      <c r="L22" s="18"/>
      <c r="M22" s="18"/>
      <c r="N22" s="18"/>
      <c r="O22" s="18"/>
    </row>
    <row r="23" spans="1:15" x14ac:dyDescent="0.25">
      <c r="A23" s="16"/>
      <c r="B23" s="16" t="s">
        <v>15</v>
      </c>
      <c r="C23" s="16" t="str">
        <f>"15%"</f>
        <v>15%</v>
      </c>
      <c r="D23" s="16"/>
      <c r="E23" s="16"/>
      <c r="F23" s="16"/>
      <c r="G23" s="16"/>
      <c r="H23" s="16"/>
      <c r="I23" s="16"/>
      <c r="J23" s="16"/>
      <c r="K23" s="16"/>
      <c r="L23" s="16"/>
      <c r="M23" s="16"/>
      <c r="N23" s="16"/>
      <c r="O23" s="16"/>
    </row>
    <row r="24" spans="1:15" x14ac:dyDescent="0.25">
      <c r="A24" s="17"/>
      <c r="B24" s="17" t="s">
        <v>16</v>
      </c>
      <c r="C24" s="17" t="s">
        <v>381</v>
      </c>
      <c r="D24" s="17"/>
      <c r="E24" s="17"/>
      <c r="F24" s="17"/>
      <c r="G24" s="17"/>
      <c r="H24" s="17"/>
      <c r="I24" s="17"/>
      <c r="J24" s="17"/>
      <c r="K24" s="17"/>
      <c r="L24" s="17"/>
      <c r="M24" s="17"/>
      <c r="N24" s="17"/>
      <c r="O24" s="17" t="s">
        <v>242</v>
      </c>
    </row>
    <row r="25" spans="1:15" x14ac:dyDescent="0.25">
      <c r="A25" s="16"/>
      <c r="B25" s="16" t="s">
        <v>389</v>
      </c>
      <c r="C25" s="16" t="s">
        <v>17</v>
      </c>
      <c r="D25" s="16"/>
      <c r="E25" s="16"/>
      <c r="F25" s="16"/>
      <c r="G25" s="16"/>
      <c r="H25" s="16"/>
      <c r="I25" s="16"/>
      <c r="J25" s="16"/>
      <c r="K25" s="16"/>
      <c r="L25" s="16"/>
      <c r="M25" s="16"/>
      <c r="N25" s="16"/>
      <c r="O25" s="16"/>
    </row>
    <row r="26" spans="1:15" x14ac:dyDescent="0.25">
      <c r="A26" s="17"/>
      <c r="B26" s="17" t="s">
        <v>390</v>
      </c>
      <c r="C26" s="17" t="s">
        <v>17</v>
      </c>
      <c r="D26" s="17"/>
      <c r="E26" s="17"/>
      <c r="F26" s="17"/>
      <c r="G26" s="17"/>
      <c r="H26" s="17"/>
      <c r="I26" s="17"/>
      <c r="J26" s="17"/>
      <c r="K26" s="17"/>
      <c r="L26" s="17"/>
      <c r="M26" s="17"/>
      <c r="N26" s="17"/>
      <c r="O26" s="17"/>
    </row>
    <row r="27" spans="1:15" x14ac:dyDescent="0.25">
      <c r="A27" s="18"/>
      <c r="B27" s="18" t="s">
        <v>445</v>
      </c>
      <c r="C27" s="18"/>
      <c r="D27" s="18"/>
      <c r="E27" s="18"/>
      <c r="F27" s="18"/>
      <c r="G27" s="18"/>
      <c r="H27" s="18"/>
      <c r="I27" s="18"/>
      <c r="J27" s="18"/>
      <c r="K27" s="18"/>
      <c r="L27" s="18"/>
      <c r="M27" s="18"/>
      <c r="N27" s="18"/>
      <c r="O27" s="18" t="s">
        <v>243</v>
      </c>
    </row>
    <row r="28" spans="1:15" x14ac:dyDescent="0.25">
      <c r="A28" s="16"/>
      <c r="B28" s="16" t="s">
        <v>18</v>
      </c>
      <c r="C28" s="16">
        <v>1</v>
      </c>
      <c r="D28" s="16"/>
      <c r="E28" s="16"/>
      <c r="F28" s="16"/>
      <c r="G28" s="16"/>
      <c r="H28" s="16"/>
      <c r="I28" s="16"/>
      <c r="J28" s="16"/>
      <c r="K28" s="16"/>
      <c r="L28" s="16"/>
      <c r="M28" s="16"/>
      <c r="N28" s="16"/>
      <c r="O28" s="16" t="s">
        <v>244</v>
      </c>
    </row>
    <row r="29" spans="1:15" x14ac:dyDescent="0.25">
      <c r="A29" s="17"/>
      <c r="B29" s="17" t="s">
        <v>19</v>
      </c>
      <c r="C29" s="17">
        <v>0</v>
      </c>
      <c r="D29" s="17"/>
      <c r="E29" s="17"/>
      <c r="F29" s="17"/>
      <c r="G29" s="17"/>
      <c r="H29" s="17"/>
      <c r="I29" s="17"/>
      <c r="J29" s="17"/>
      <c r="K29" s="17"/>
      <c r="L29" s="17"/>
      <c r="M29" s="17"/>
      <c r="N29" s="17"/>
      <c r="O29" s="17"/>
    </row>
    <row r="30" spans="1:15" x14ac:dyDescent="0.25">
      <c r="A30" s="18"/>
      <c r="B30" s="18" t="s">
        <v>416</v>
      </c>
      <c r="C30" s="18"/>
      <c r="D30" s="18"/>
      <c r="E30" s="18"/>
      <c r="F30" s="18"/>
      <c r="G30" s="18"/>
      <c r="H30" s="18"/>
      <c r="I30" s="18"/>
      <c r="J30" s="18"/>
      <c r="K30" s="18"/>
      <c r="L30" s="18"/>
      <c r="M30" s="18"/>
      <c r="N30" s="18"/>
      <c r="O30" s="18"/>
    </row>
    <row r="31" spans="1:15" x14ac:dyDescent="0.25">
      <c r="A31" s="16"/>
      <c r="B31" s="16" t="s">
        <v>20</v>
      </c>
      <c r="C31" s="16">
        <v>0</v>
      </c>
      <c r="D31" s="16"/>
      <c r="E31" s="16"/>
      <c r="F31" s="16"/>
      <c r="G31" s="16"/>
      <c r="H31" s="16"/>
      <c r="I31" s="16"/>
      <c r="J31" s="16"/>
      <c r="K31" s="16"/>
      <c r="L31" s="16"/>
      <c r="M31" s="16"/>
      <c r="N31" s="16"/>
      <c r="O31" s="16"/>
    </row>
    <row r="32" spans="1:15" x14ac:dyDescent="0.25">
      <c r="A32" s="17"/>
      <c r="B32" s="17" t="s">
        <v>21</v>
      </c>
      <c r="C32" s="17">
        <v>45</v>
      </c>
      <c r="D32" s="17"/>
      <c r="E32" s="17"/>
      <c r="F32" s="17"/>
      <c r="G32" s="17"/>
      <c r="H32" s="17"/>
      <c r="I32" s="17"/>
      <c r="J32" s="17"/>
      <c r="K32" s="17"/>
      <c r="L32" s="17"/>
      <c r="M32" s="17"/>
      <c r="N32" s="17"/>
      <c r="O32" s="17"/>
    </row>
    <row r="33" spans="1:15" x14ac:dyDescent="0.25">
      <c r="A33" s="16"/>
      <c r="B33" s="16" t="s">
        <v>22</v>
      </c>
      <c r="C33" s="16">
        <f>(Nozzle_Diameter*Nozzle_Diameter)*100</f>
        <v>36</v>
      </c>
      <c r="D33" s="16"/>
      <c r="E33" s="16"/>
      <c r="F33" s="16"/>
      <c r="G33" s="16"/>
      <c r="H33" s="16"/>
      <c r="I33" s="16"/>
      <c r="J33" s="16"/>
      <c r="K33" s="16"/>
      <c r="L33" s="16"/>
      <c r="M33" s="16"/>
      <c r="N33" s="16"/>
      <c r="O33" s="16" t="s">
        <v>245</v>
      </c>
    </row>
    <row r="34" spans="1:15" x14ac:dyDescent="0.25">
      <c r="A34" s="17"/>
      <c r="B34" s="17" t="s">
        <v>23</v>
      </c>
      <c r="C34" s="17">
        <v>0</v>
      </c>
      <c r="D34" s="17"/>
      <c r="E34" s="17"/>
      <c r="F34" s="17"/>
      <c r="G34" s="17"/>
      <c r="H34" s="17"/>
      <c r="I34" s="17"/>
      <c r="J34" s="17"/>
      <c r="K34" s="17"/>
      <c r="L34" s="17"/>
      <c r="M34" s="17"/>
      <c r="N34" s="17"/>
      <c r="O34" s="17"/>
    </row>
    <row r="35" spans="1:15" x14ac:dyDescent="0.25">
      <c r="A35" s="16"/>
      <c r="B35" s="16" t="s">
        <v>24</v>
      </c>
      <c r="C35" s="16">
        <v>0</v>
      </c>
      <c r="D35" s="16"/>
      <c r="E35" s="16"/>
      <c r="F35" s="16"/>
      <c r="G35" s="16"/>
      <c r="H35" s="16"/>
      <c r="I35" s="16"/>
      <c r="J35" s="16"/>
      <c r="K35" s="16"/>
      <c r="L35" s="16"/>
      <c r="M35" s="16"/>
      <c r="N35" s="16"/>
      <c r="O35" s="16"/>
    </row>
    <row r="36" spans="1:15" x14ac:dyDescent="0.25">
      <c r="A36" s="17"/>
      <c r="B36" s="17" t="s">
        <v>25</v>
      </c>
      <c r="C36" s="17">
        <v>0</v>
      </c>
      <c r="D36" s="17"/>
      <c r="E36" s="17"/>
      <c r="F36" s="17"/>
      <c r="G36" s="17"/>
      <c r="H36" s="17"/>
      <c r="I36" s="17"/>
      <c r="J36" s="17"/>
      <c r="K36" s="17"/>
      <c r="L36" s="17"/>
      <c r="M36" s="17"/>
      <c r="N36" s="17"/>
      <c r="O36" s="17"/>
    </row>
    <row r="37" spans="1:15" x14ac:dyDescent="0.25">
      <c r="A37" s="18" t="s">
        <v>229</v>
      </c>
      <c r="B37" s="18" t="s">
        <v>446</v>
      </c>
      <c r="C37" s="18"/>
      <c r="D37" s="18"/>
      <c r="E37" s="18"/>
      <c r="F37" s="18"/>
      <c r="G37" s="18"/>
      <c r="H37" s="18"/>
      <c r="I37" s="18"/>
      <c r="J37" s="18"/>
      <c r="K37" s="18"/>
      <c r="L37" s="18"/>
      <c r="M37" s="18"/>
      <c r="N37" s="18"/>
      <c r="O37" s="18"/>
    </row>
    <row r="38" spans="1:15" x14ac:dyDescent="0.25">
      <c r="A38" s="16"/>
      <c r="B38" s="16" t="s">
        <v>26</v>
      </c>
      <c r="C38" s="16">
        <v>0</v>
      </c>
      <c r="D38" s="16"/>
      <c r="E38" s="16"/>
      <c r="F38" s="16"/>
      <c r="G38" s="16"/>
      <c r="H38" s="16"/>
      <c r="I38" s="16"/>
      <c r="J38" s="16"/>
      <c r="K38" s="16"/>
      <c r="L38" s="16"/>
      <c r="M38" s="16"/>
      <c r="N38" s="16"/>
      <c r="O38" s="16" t="s">
        <v>255</v>
      </c>
    </row>
    <row r="39" spans="1:15" x14ac:dyDescent="0.25">
      <c r="A39" s="17"/>
      <c r="B39" s="17" t="s">
        <v>27</v>
      </c>
      <c r="C39" s="17">
        <v>2</v>
      </c>
      <c r="D39" s="17"/>
      <c r="E39" s="17"/>
      <c r="F39" s="17"/>
      <c r="G39" s="17"/>
      <c r="H39" s="17"/>
      <c r="I39" s="17"/>
      <c r="J39" s="17"/>
      <c r="K39" s="17"/>
      <c r="L39" s="17"/>
      <c r="M39" s="17"/>
      <c r="N39" s="17"/>
      <c r="O39" s="17" t="s">
        <v>258</v>
      </c>
    </row>
    <row r="40" spans="1:15" x14ac:dyDescent="0.25">
      <c r="A40" s="16"/>
      <c r="B40" s="16" t="s">
        <v>28</v>
      </c>
      <c r="C40" s="16">
        <v>1</v>
      </c>
      <c r="D40" s="16"/>
      <c r="E40" s="16"/>
      <c r="F40" s="16"/>
      <c r="G40" s="16"/>
      <c r="H40" s="16"/>
      <c r="I40" s="16"/>
      <c r="J40" s="16"/>
      <c r="K40" s="16"/>
      <c r="L40" s="16"/>
      <c r="M40" s="16"/>
      <c r="N40" s="16"/>
      <c r="O40" s="16" t="s">
        <v>256</v>
      </c>
    </row>
    <row r="41" spans="1:15" x14ac:dyDescent="0.25">
      <c r="A41" s="17"/>
      <c r="B41" s="17" t="s">
        <v>29</v>
      </c>
      <c r="C41" s="17">
        <v>4</v>
      </c>
      <c r="D41" s="17"/>
      <c r="E41" s="17"/>
      <c r="F41" s="17"/>
      <c r="G41" s="17"/>
      <c r="H41" s="17"/>
      <c r="I41" s="17"/>
      <c r="J41" s="17"/>
      <c r="K41" s="17"/>
      <c r="L41" s="17"/>
      <c r="M41" s="17"/>
      <c r="N41" s="17"/>
      <c r="O41" s="17" t="s">
        <v>259</v>
      </c>
    </row>
    <row r="42" spans="1:15" x14ac:dyDescent="0.25">
      <c r="A42" s="18"/>
      <c r="B42" s="18" t="s">
        <v>447</v>
      </c>
      <c r="C42" s="18"/>
      <c r="D42" s="18"/>
      <c r="E42" s="18"/>
      <c r="F42" s="18"/>
      <c r="G42" s="18"/>
      <c r="H42" s="18"/>
      <c r="I42" s="18"/>
      <c r="J42" s="18"/>
      <c r="K42" s="18"/>
      <c r="L42" s="18"/>
      <c r="M42" s="18"/>
      <c r="N42" s="18"/>
      <c r="O42" s="18" t="s">
        <v>257</v>
      </c>
    </row>
    <row r="43" spans="1:15" x14ac:dyDescent="0.25">
      <c r="A43" s="16"/>
      <c r="B43" s="16" t="s">
        <v>30</v>
      </c>
      <c r="C43" s="16">
        <f>Nozzle_Diameter*4</f>
        <v>2.4</v>
      </c>
      <c r="D43" s="16"/>
      <c r="E43" s="16"/>
      <c r="F43" s="16"/>
      <c r="G43" s="16"/>
      <c r="H43" s="16"/>
      <c r="I43" s="16"/>
      <c r="J43" s="16"/>
      <c r="K43" s="16"/>
      <c r="L43" s="16"/>
      <c r="M43" s="16"/>
      <c r="N43" s="16"/>
      <c r="O43" s="16"/>
    </row>
    <row r="44" spans="1:15" x14ac:dyDescent="0.25">
      <c r="A44" s="18" t="s">
        <v>230</v>
      </c>
      <c r="B44" s="18" t="s">
        <v>448</v>
      </c>
      <c r="C44" s="18"/>
      <c r="D44" s="18"/>
      <c r="E44" s="18"/>
      <c r="F44" s="18"/>
      <c r="G44" s="18"/>
      <c r="H44" s="18"/>
      <c r="I44" s="18"/>
      <c r="J44" s="18"/>
      <c r="K44" s="18"/>
      <c r="L44" s="18"/>
      <c r="M44" s="18"/>
      <c r="N44" s="18"/>
      <c r="O44" s="18"/>
    </row>
    <row r="45" spans="1:15" x14ac:dyDescent="0.25">
      <c r="A45" s="16"/>
      <c r="B45" s="16" t="s">
        <v>31</v>
      </c>
      <c r="C45" s="16">
        <v>0</v>
      </c>
      <c r="D45" s="16"/>
      <c r="E45" s="16"/>
      <c r="F45" s="16"/>
      <c r="G45" s="16"/>
      <c r="H45" s="16"/>
      <c r="I45" s="16"/>
      <c r="J45" s="16"/>
      <c r="K45" s="16"/>
      <c r="L45" s="16"/>
      <c r="M45" s="16"/>
      <c r="N45" s="16"/>
      <c r="O45" s="16"/>
    </row>
    <row r="46" spans="1:15" x14ac:dyDescent="0.25">
      <c r="A46" s="17"/>
      <c r="B46" s="17" t="s">
        <v>32</v>
      </c>
      <c r="C46" s="17">
        <v>1</v>
      </c>
      <c r="D46" s="17"/>
      <c r="E46" s="17"/>
      <c r="F46" s="17"/>
      <c r="G46" s="17"/>
      <c r="H46" s="17"/>
      <c r="I46" s="17"/>
      <c r="J46" s="17"/>
      <c r="K46" s="17"/>
      <c r="L46" s="17"/>
      <c r="M46" s="17"/>
      <c r="N46" s="17"/>
      <c r="O46" s="17" t="s">
        <v>260</v>
      </c>
    </row>
    <row r="47" spans="1:15" x14ac:dyDescent="0.25">
      <c r="A47" s="16"/>
      <c r="B47" s="16" t="s">
        <v>33</v>
      </c>
      <c r="C47" s="16">
        <v>0</v>
      </c>
      <c r="D47" s="16"/>
      <c r="E47" s="16"/>
      <c r="F47" s="16"/>
      <c r="G47" s="16"/>
      <c r="H47" s="16"/>
      <c r="I47" s="16"/>
      <c r="J47" s="16"/>
      <c r="K47" s="16"/>
      <c r="L47" s="16"/>
      <c r="M47" s="16"/>
      <c r="N47" s="16"/>
      <c r="O47" s="16" t="s">
        <v>261</v>
      </c>
    </row>
    <row r="48" spans="1:15" x14ac:dyDescent="0.25">
      <c r="A48" s="17"/>
      <c r="B48" s="17" t="s">
        <v>34</v>
      </c>
      <c r="C48" s="17">
        <v>1</v>
      </c>
      <c r="D48" s="17"/>
      <c r="E48" s="17"/>
      <c r="F48" s="17"/>
      <c r="G48" s="17"/>
      <c r="H48" s="17"/>
      <c r="I48" s="17"/>
      <c r="J48" s="17"/>
      <c r="K48" s="17"/>
      <c r="L48" s="17"/>
      <c r="M48" s="17"/>
      <c r="N48" s="17"/>
      <c r="O48" s="17"/>
    </row>
    <row r="49" spans="1:15" x14ac:dyDescent="0.25">
      <c r="A49" s="18"/>
      <c r="B49" s="18" t="s">
        <v>449</v>
      </c>
      <c r="C49" s="18"/>
      <c r="D49" s="18"/>
      <c r="E49" s="18"/>
      <c r="F49" s="18"/>
      <c r="G49" s="18"/>
      <c r="H49" s="18"/>
      <c r="I49" s="18"/>
      <c r="J49" s="18"/>
      <c r="K49" s="18"/>
      <c r="L49" s="18"/>
      <c r="M49" s="18"/>
      <c r="N49" s="18"/>
      <c r="O49" s="18"/>
    </row>
    <row r="50" spans="1:15" x14ac:dyDescent="0.25">
      <c r="A50" s="16"/>
      <c r="B50" s="16" t="s">
        <v>35</v>
      </c>
      <c r="C50" s="16">
        <v>0</v>
      </c>
      <c r="D50" s="16"/>
      <c r="E50" s="16"/>
      <c r="F50" s="16"/>
      <c r="G50" s="16"/>
      <c r="H50" s="16"/>
      <c r="I50" s="16"/>
      <c r="J50" s="16"/>
      <c r="K50" s="16"/>
      <c r="L50" s="16"/>
      <c r="M50" s="16"/>
      <c r="N50" s="16"/>
      <c r="O50" s="16"/>
    </row>
    <row r="51" spans="1:15" x14ac:dyDescent="0.25">
      <c r="A51" s="18"/>
      <c r="B51" s="18" t="s">
        <v>450</v>
      </c>
      <c r="C51" s="18"/>
      <c r="D51" s="18"/>
      <c r="E51" s="18"/>
      <c r="F51" s="18"/>
      <c r="G51" s="18"/>
      <c r="H51" s="18"/>
      <c r="I51" s="18"/>
      <c r="J51" s="18"/>
      <c r="K51" s="18"/>
      <c r="L51" s="18"/>
      <c r="M51" s="18"/>
      <c r="N51" s="18"/>
      <c r="O51" s="18"/>
    </row>
    <row r="52" spans="1:15" x14ac:dyDescent="0.25">
      <c r="A52" s="16"/>
      <c r="B52" s="16" t="s">
        <v>36</v>
      </c>
      <c r="C52" s="16">
        <v>0.2</v>
      </c>
      <c r="D52" s="16">
        <v>0.2</v>
      </c>
      <c r="E52" s="16">
        <v>0.2</v>
      </c>
      <c r="F52" s="16">
        <v>0.24</v>
      </c>
      <c r="G52" s="16">
        <v>0.28000000000000003</v>
      </c>
      <c r="H52" s="16">
        <v>0.32</v>
      </c>
      <c r="I52" s="16">
        <v>0.4</v>
      </c>
      <c r="J52" s="16">
        <v>0.48</v>
      </c>
      <c r="K52" s="16">
        <v>0.56000000000000005</v>
      </c>
      <c r="L52" s="16">
        <v>0.64</v>
      </c>
      <c r="M52" s="16">
        <v>0.72</v>
      </c>
      <c r="N52" s="16">
        <v>0.8</v>
      </c>
      <c r="O52" s="16" t="s">
        <v>263</v>
      </c>
    </row>
    <row r="53" spans="1:15" x14ac:dyDescent="0.25">
      <c r="A53" s="17"/>
      <c r="B53" s="17" t="s">
        <v>37</v>
      </c>
      <c r="C53" s="17" t="s">
        <v>17</v>
      </c>
      <c r="D53" s="17"/>
      <c r="E53" s="17"/>
      <c r="F53" s="17"/>
      <c r="G53" s="17"/>
      <c r="H53" s="17"/>
      <c r="I53" s="17"/>
      <c r="J53" s="17"/>
      <c r="K53" s="17"/>
      <c r="L53" s="17"/>
      <c r="M53" s="17"/>
      <c r="N53" s="17"/>
      <c r="O53" s="17"/>
    </row>
    <row r="54" spans="1:15" x14ac:dyDescent="0.25">
      <c r="A54" s="16"/>
      <c r="B54" s="16" t="s">
        <v>38</v>
      </c>
      <c r="C54" s="16">
        <v>1</v>
      </c>
      <c r="D54" s="16"/>
      <c r="E54" s="16"/>
      <c r="F54" s="16"/>
      <c r="G54" s="16"/>
      <c r="H54" s="16"/>
      <c r="I54" s="16"/>
      <c r="J54" s="16"/>
      <c r="K54" s="16"/>
      <c r="L54" s="16"/>
      <c r="M54" s="16"/>
      <c r="N54" s="16"/>
      <c r="O54" s="16"/>
    </row>
    <row r="55" spans="1:15" x14ac:dyDescent="0.25">
      <c r="A55" s="17"/>
      <c r="B55" s="17" t="s">
        <v>39</v>
      </c>
      <c r="C55" s="17">
        <v>2</v>
      </c>
      <c r="D55" s="17"/>
      <c r="E55" s="17"/>
      <c r="F55" s="17"/>
      <c r="G55" s="17"/>
      <c r="H55" s="17"/>
      <c r="I55" s="17"/>
      <c r="J55" s="17"/>
      <c r="K55" s="17"/>
      <c r="L55" s="17"/>
      <c r="M55" s="17"/>
      <c r="N55" s="17"/>
      <c r="O55" s="17" t="s">
        <v>262</v>
      </c>
    </row>
    <row r="56" spans="1:15" x14ac:dyDescent="0.25">
      <c r="A56" s="16"/>
      <c r="B56" s="16" t="s">
        <v>40</v>
      </c>
      <c r="C56" s="16">
        <v>0</v>
      </c>
      <c r="D56" s="16"/>
      <c r="E56" s="16"/>
      <c r="F56" s="16"/>
      <c r="G56" s="16"/>
      <c r="H56" s="16"/>
      <c r="I56" s="16"/>
      <c r="J56" s="16"/>
      <c r="K56" s="16"/>
      <c r="L56" s="16"/>
      <c r="M56" s="16"/>
      <c r="N56" s="16"/>
      <c r="O56" s="16"/>
    </row>
    <row r="57" spans="1:15" x14ac:dyDescent="0.25">
      <c r="A57" s="19"/>
      <c r="B57" s="19" t="s">
        <v>392</v>
      </c>
      <c r="C57" s="19">
        <v>2.5</v>
      </c>
      <c r="D57" s="19"/>
      <c r="E57" s="19"/>
      <c r="F57" s="19"/>
      <c r="G57" s="19"/>
      <c r="H57" s="19"/>
      <c r="I57" s="19"/>
      <c r="J57" s="19"/>
      <c r="K57" s="19"/>
      <c r="L57" s="19"/>
      <c r="M57" s="19"/>
      <c r="N57" s="19"/>
      <c r="O57" s="19"/>
    </row>
    <row r="58" spans="1:15" x14ac:dyDescent="0.25">
      <c r="A58" s="19"/>
      <c r="B58" s="19" t="s">
        <v>393</v>
      </c>
      <c r="C58" s="19">
        <v>10</v>
      </c>
      <c r="D58" s="19"/>
      <c r="E58" s="19"/>
      <c r="F58" s="19"/>
      <c r="G58" s="19"/>
      <c r="H58" s="19"/>
      <c r="I58" s="19"/>
      <c r="J58" s="19"/>
      <c r="K58" s="19"/>
      <c r="L58" s="19"/>
      <c r="M58" s="19"/>
      <c r="N58" s="19"/>
      <c r="O58" s="19"/>
    </row>
    <row r="59" spans="1:15" x14ac:dyDescent="0.25">
      <c r="A59" s="16"/>
      <c r="B59" s="16" t="s">
        <v>41</v>
      </c>
      <c r="C59" s="16">
        <v>2</v>
      </c>
      <c r="D59" s="16"/>
      <c r="E59" s="16"/>
      <c r="F59" s="16"/>
      <c r="G59" s="16"/>
      <c r="H59" s="16"/>
      <c r="I59" s="16"/>
      <c r="J59" s="16"/>
      <c r="K59" s="16"/>
      <c r="L59" s="16"/>
      <c r="M59" s="16"/>
      <c r="N59" s="16"/>
      <c r="O59" s="16" t="s">
        <v>264</v>
      </c>
    </row>
    <row r="60" spans="1:15" x14ac:dyDescent="0.25">
      <c r="A60" s="17"/>
      <c r="B60" s="17" t="s">
        <v>42</v>
      </c>
      <c r="C60" s="17">
        <v>0.2</v>
      </c>
      <c r="D60" s="17"/>
      <c r="E60" s="17"/>
      <c r="F60" s="17"/>
      <c r="G60" s="17"/>
      <c r="H60" s="17"/>
      <c r="I60" s="17"/>
      <c r="J60" s="17"/>
      <c r="K60" s="17"/>
      <c r="L60" s="17"/>
      <c r="M60" s="17"/>
      <c r="N60" s="17"/>
      <c r="O60" s="17" t="s">
        <v>265</v>
      </c>
    </row>
    <row r="61" spans="1:15" x14ac:dyDescent="0.25">
      <c r="A61" s="16"/>
      <c r="B61" s="16" t="s">
        <v>43</v>
      </c>
      <c r="C61" s="16">
        <v>0</v>
      </c>
      <c r="D61" s="16"/>
      <c r="E61" s="16"/>
      <c r="F61" s="16"/>
      <c r="G61" s="16"/>
      <c r="H61" s="16"/>
      <c r="I61" s="16"/>
      <c r="J61" s="16"/>
      <c r="K61" s="16"/>
      <c r="L61" s="16"/>
      <c r="M61" s="16"/>
      <c r="N61" s="16"/>
      <c r="O61" s="16" t="s">
        <v>266</v>
      </c>
    </row>
    <row r="62" spans="1:15" x14ac:dyDescent="0.25">
      <c r="A62" s="17"/>
      <c r="B62" s="17" t="s">
        <v>44</v>
      </c>
      <c r="C62" s="17">
        <v>1</v>
      </c>
      <c r="D62" s="17"/>
      <c r="E62" s="17"/>
      <c r="F62" s="17"/>
      <c r="G62" s="17"/>
      <c r="H62" s="17"/>
      <c r="I62" s="17"/>
      <c r="J62" s="17"/>
      <c r="K62" s="17"/>
      <c r="L62" s="17"/>
      <c r="M62" s="17"/>
      <c r="N62" s="17"/>
      <c r="O62" s="17"/>
    </row>
    <row r="63" spans="1:15" x14ac:dyDescent="0.25">
      <c r="A63" s="16"/>
      <c r="B63" s="16" t="s">
        <v>45</v>
      </c>
      <c r="C63" s="16">
        <v>0.8</v>
      </c>
      <c r="D63" s="16"/>
      <c r="E63" s="16"/>
      <c r="F63" s="16"/>
      <c r="G63" s="16"/>
      <c r="H63" s="16"/>
      <c r="I63" s="16"/>
      <c r="J63" s="16"/>
      <c r="K63" s="16"/>
      <c r="L63" s="16"/>
      <c r="M63" s="16"/>
      <c r="N63" s="16"/>
      <c r="O63" s="16"/>
    </row>
    <row r="64" spans="1:15" x14ac:dyDescent="0.25">
      <c r="A64" s="17"/>
      <c r="B64" s="17" t="s">
        <v>11</v>
      </c>
      <c r="C64" s="17">
        <v>1</v>
      </c>
      <c r="D64" s="17"/>
      <c r="E64" s="17"/>
      <c r="F64" s="17"/>
      <c r="G64" s="17"/>
      <c r="H64" s="17"/>
      <c r="I64" s="17"/>
      <c r="J64" s="17"/>
      <c r="K64" s="17"/>
      <c r="L64" s="17"/>
      <c r="M64" s="17"/>
      <c r="N64" s="17"/>
      <c r="O64" s="17" t="s">
        <v>269</v>
      </c>
    </row>
    <row r="65" spans="1:15" x14ac:dyDescent="0.25">
      <c r="A65" s="16"/>
      <c r="B65" s="16" t="s">
        <v>46</v>
      </c>
      <c r="C65" s="16">
        <v>0</v>
      </c>
      <c r="D65" s="16"/>
      <c r="E65" s="16"/>
      <c r="F65" s="16"/>
      <c r="G65" s="16"/>
      <c r="H65" s="16"/>
      <c r="I65" s="16"/>
      <c r="J65" s="16"/>
      <c r="K65" s="16"/>
      <c r="L65" s="16"/>
      <c r="M65" s="16"/>
      <c r="N65" s="16"/>
      <c r="O65" s="16"/>
    </row>
    <row r="66" spans="1:15" x14ac:dyDescent="0.25">
      <c r="A66" s="18" t="s">
        <v>231</v>
      </c>
      <c r="B66" s="18" t="s">
        <v>451</v>
      </c>
      <c r="C66" s="18"/>
      <c r="D66" s="18"/>
      <c r="E66" s="18"/>
      <c r="F66" s="18"/>
      <c r="G66" s="18"/>
      <c r="H66" s="18"/>
      <c r="I66" s="18"/>
      <c r="J66" s="18"/>
      <c r="K66" s="18"/>
      <c r="L66" s="18"/>
      <c r="M66" s="18"/>
      <c r="N66" s="18"/>
      <c r="O66" s="18"/>
    </row>
    <row r="67" spans="1:15" x14ac:dyDescent="0.25">
      <c r="A67" s="19"/>
      <c r="B67" s="19" t="s">
        <v>467</v>
      </c>
      <c r="C67" s="19" t="str">
        <f ca="1">SUBSTITUTE(RIGHT(CELL("filename",A1),LEN(CELL("filename",A1))-FIND("]",CELL("filename",A1),1)),"print_","")</f>
        <v>PLA</v>
      </c>
      <c r="D67" s="25">
        <f t="shared" ref="D67:N67" ca="1" si="0" xml:space="preserve"> IF(SpeedType &lt;&gt; "ForceVolumetric",D$89, IFERROR(D$90/((Nozzle_Diameter*1.2)*D$1),0))</f>
        <v>133.10185185185188</v>
      </c>
      <c r="E67" s="25">
        <f t="shared" ca="1" si="0"/>
        <v>79.861111111111114</v>
      </c>
      <c r="F67" s="25">
        <f t="shared" ca="1" si="0"/>
        <v>66.550925925925938</v>
      </c>
      <c r="G67" s="25">
        <f t="shared" ca="1" si="0"/>
        <v>57.043650793650791</v>
      </c>
      <c r="H67" s="25">
        <f t="shared" ca="1" si="0"/>
        <v>49.913194444444443</v>
      </c>
      <c r="I67" s="25">
        <f t="shared" ca="1" si="0"/>
        <v>39.930555555555557</v>
      </c>
      <c r="J67" s="25">
        <f t="shared" ca="1" si="0"/>
        <v>33.275462962962969</v>
      </c>
      <c r="K67" s="25">
        <f t="shared" ca="1" si="0"/>
        <v>28.521825396825395</v>
      </c>
      <c r="L67" s="25">
        <f t="shared" ca="1" si="0"/>
        <v>24.956597222222221</v>
      </c>
      <c r="M67" s="25">
        <f t="shared" ca="1" si="0"/>
        <v>22.183641975308642</v>
      </c>
      <c r="N67" s="25">
        <f t="shared" ca="1" si="0"/>
        <v>19.965277777777779</v>
      </c>
      <c r="O67" s="19"/>
    </row>
    <row r="68" spans="1:15" x14ac:dyDescent="0.25">
      <c r="A68" s="16"/>
      <c r="B68" s="16" t="s">
        <v>47</v>
      </c>
      <c r="C68" s="16">
        <v>45</v>
      </c>
      <c r="D68" s="16">
        <f t="shared" ref="D68:N68" ca="1" si="1">GetSpeed($C68,D$89,D$67)</f>
        <v>45</v>
      </c>
      <c r="E68" s="16">
        <f t="shared" ca="1" si="1"/>
        <v>45</v>
      </c>
      <c r="F68" s="16">
        <f t="shared" ca="1" si="1"/>
        <v>45</v>
      </c>
      <c r="G68" s="16">
        <f t="shared" ca="1" si="1"/>
        <v>45</v>
      </c>
      <c r="H68" s="16">
        <f t="shared" ca="1" si="1"/>
        <v>45</v>
      </c>
      <c r="I68" s="16">
        <f t="shared" ca="1" si="1"/>
        <v>40</v>
      </c>
      <c r="J68" s="16">
        <f t="shared" ca="1" si="1"/>
        <v>33</v>
      </c>
      <c r="K68" s="16">
        <f t="shared" ca="1" si="1"/>
        <v>29</v>
      </c>
      <c r="L68" s="16">
        <f t="shared" ca="1" si="1"/>
        <v>25</v>
      </c>
      <c r="M68" s="16">
        <f t="shared" ca="1" si="1"/>
        <v>22</v>
      </c>
      <c r="N68" s="16">
        <f t="shared" ca="1" si="1"/>
        <v>20</v>
      </c>
      <c r="O68" s="16"/>
    </row>
    <row r="69" spans="1:15" x14ac:dyDescent="0.25">
      <c r="A69" s="17"/>
      <c r="B69" s="17" t="s">
        <v>48</v>
      </c>
      <c r="C69" s="17">
        <v>25</v>
      </c>
      <c r="D69" s="17">
        <f t="shared" ref="D69:N69" ca="1" si="2">GetSpeed($C$69,D$89,D$67)</f>
        <v>25</v>
      </c>
      <c r="E69" s="17">
        <f t="shared" ca="1" si="2"/>
        <v>25</v>
      </c>
      <c r="F69" s="17">
        <f t="shared" ca="1" si="2"/>
        <v>25</v>
      </c>
      <c r="G69" s="17">
        <f t="shared" ca="1" si="2"/>
        <v>25</v>
      </c>
      <c r="H69" s="17">
        <f t="shared" ca="1" si="2"/>
        <v>25</v>
      </c>
      <c r="I69" s="17">
        <f t="shared" ca="1" si="2"/>
        <v>25</v>
      </c>
      <c r="J69" s="17">
        <f t="shared" ca="1" si="2"/>
        <v>25</v>
      </c>
      <c r="K69" s="17">
        <f t="shared" ca="1" si="2"/>
        <v>25</v>
      </c>
      <c r="L69" s="17">
        <f t="shared" ca="1" si="2"/>
        <v>25</v>
      </c>
      <c r="M69" s="17">
        <f t="shared" ca="1" si="2"/>
        <v>22</v>
      </c>
      <c r="N69" s="17">
        <f t="shared" ca="1" si="2"/>
        <v>20</v>
      </c>
      <c r="O69" s="17"/>
    </row>
    <row r="70" spans="1:15" x14ac:dyDescent="0.25">
      <c r="A70" s="16"/>
      <c r="B70" s="16" t="s">
        <v>49</v>
      </c>
      <c r="C70" s="16">
        <v>35</v>
      </c>
      <c r="D70" s="16">
        <f t="shared" ref="D70:N70" ca="1" si="3">GetSpeed($C$70,D$89,D$67)</f>
        <v>35</v>
      </c>
      <c r="E70" s="16">
        <f t="shared" ca="1" si="3"/>
        <v>35</v>
      </c>
      <c r="F70" s="16">
        <f t="shared" ca="1" si="3"/>
        <v>35</v>
      </c>
      <c r="G70" s="16">
        <f t="shared" ca="1" si="3"/>
        <v>35</v>
      </c>
      <c r="H70" s="16">
        <f t="shared" ca="1" si="3"/>
        <v>35</v>
      </c>
      <c r="I70" s="16">
        <f t="shared" ca="1" si="3"/>
        <v>35</v>
      </c>
      <c r="J70" s="16">
        <f t="shared" ca="1" si="3"/>
        <v>33</v>
      </c>
      <c r="K70" s="16">
        <f t="shared" ca="1" si="3"/>
        <v>29</v>
      </c>
      <c r="L70" s="16">
        <f t="shared" ca="1" si="3"/>
        <v>25</v>
      </c>
      <c r="M70" s="16">
        <f t="shared" ca="1" si="3"/>
        <v>22</v>
      </c>
      <c r="N70" s="16">
        <f t="shared" ca="1" si="3"/>
        <v>20</v>
      </c>
      <c r="O70" s="16"/>
    </row>
    <row r="71" spans="1:15" x14ac:dyDescent="0.25">
      <c r="A71" s="17"/>
      <c r="B71" s="17" t="s">
        <v>50</v>
      </c>
      <c r="C71" s="17">
        <v>65</v>
      </c>
      <c r="D71" s="17">
        <f t="shared" ref="D71:N71" ca="1" si="4">GetSpeed($C$71,D$89,D$67)</f>
        <v>65</v>
      </c>
      <c r="E71" s="17">
        <f t="shared" ca="1" si="4"/>
        <v>65</v>
      </c>
      <c r="F71" s="17">
        <f t="shared" ca="1" si="4"/>
        <v>65</v>
      </c>
      <c r="G71" s="17">
        <f t="shared" ca="1" si="4"/>
        <v>57</v>
      </c>
      <c r="H71" s="17">
        <f t="shared" ca="1" si="4"/>
        <v>50</v>
      </c>
      <c r="I71" s="17">
        <f t="shared" ca="1" si="4"/>
        <v>40</v>
      </c>
      <c r="J71" s="17">
        <f t="shared" ca="1" si="4"/>
        <v>33</v>
      </c>
      <c r="K71" s="17">
        <f t="shared" ca="1" si="4"/>
        <v>29</v>
      </c>
      <c r="L71" s="17">
        <f t="shared" ca="1" si="4"/>
        <v>25</v>
      </c>
      <c r="M71" s="17">
        <f t="shared" ca="1" si="4"/>
        <v>22</v>
      </c>
      <c r="N71" s="17">
        <f t="shared" ca="1" si="4"/>
        <v>20</v>
      </c>
      <c r="O71" s="17"/>
    </row>
    <row r="72" spans="1:15" x14ac:dyDescent="0.25">
      <c r="A72" s="16"/>
      <c r="B72" s="16" t="s">
        <v>51</v>
      </c>
      <c r="C72" s="16">
        <v>45</v>
      </c>
      <c r="D72" s="16">
        <f t="shared" ref="D72:N72" ca="1" si="5">GetSpeed($C$72,D$89,D$67)</f>
        <v>45</v>
      </c>
      <c r="E72" s="16">
        <f t="shared" ca="1" si="5"/>
        <v>45</v>
      </c>
      <c r="F72" s="16">
        <f t="shared" ca="1" si="5"/>
        <v>45</v>
      </c>
      <c r="G72" s="16">
        <f t="shared" ca="1" si="5"/>
        <v>45</v>
      </c>
      <c r="H72" s="16">
        <f t="shared" ca="1" si="5"/>
        <v>45</v>
      </c>
      <c r="I72" s="16">
        <f t="shared" ca="1" si="5"/>
        <v>40</v>
      </c>
      <c r="J72" s="16">
        <f t="shared" ca="1" si="5"/>
        <v>33</v>
      </c>
      <c r="K72" s="16">
        <f t="shared" ca="1" si="5"/>
        <v>29</v>
      </c>
      <c r="L72" s="16">
        <f t="shared" ca="1" si="5"/>
        <v>25</v>
      </c>
      <c r="M72" s="16">
        <f t="shared" ca="1" si="5"/>
        <v>22</v>
      </c>
      <c r="N72" s="16">
        <f t="shared" ca="1" si="5"/>
        <v>20</v>
      </c>
      <c r="O72" s="16"/>
    </row>
    <row r="73" spans="1:15" x14ac:dyDescent="0.25">
      <c r="A73" s="17"/>
      <c r="B73" s="17" t="s">
        <v>52</v>
      </c>
      <c r="C73" s="17">
        <v>35</v>
      </c>
      <c r="D73" s="17">
        <f t="shared" ref="D73:N73" ca="1" si="6">GetSpeed($C$73,D$89,D$67)</f>
        <v>35</v>
      </c>
      <c r="E73" s="17">
        <f t="shared" ca="1" si="6"/>
        <v>35</v>
      </c>
      <c r="F73" s="17">
        <f t="shared" ca="1" si="6"/>
        <v>35</v>
      </c>
      <c r="G73" s="17">
        <f t="shared" ca="1" si="6"/>
        <v>35</v>
      </c>
      <c r="H73" s="17">
        <f t="shared" ca="1" si="6"/>
        <v>35</v>
      </c>
      <c r="I73" s="17">
        <f t="shared" ca="1" si="6"/>
        <v>35</v>
      </c>
      <c r="J73" s="17">
        <f t="shared" ca="1" si="6"/>
        <v>33</v>
      </c>
      <c r="K73" s="17">
        <f t="shared" ca="1" si="6"/>
        <v>29</v>
      </c>
      <c r="L73" s="17">
        <f t="shared" ca="1" si="6"/>
        <v>25</v>
      </c>
      <c r="M73" s="17">
        <f t="shared" ca="1" si="6"/>
        <v>22</v>
      </c>
      <c r="N73" s="17">
        <f t="shared" ca="1" si="6"/>
        <v>20</v>
      </c>
      <c r="O73" s="17"/>
    </row>
    <row r="74" spans="1:15" x14ac:dyDescent="0.25">
      <c r="A74" s="16"/>
      <c r="B74" s="16" t="s">
        <v>53</v>
      </c>
      <c r="C74" s="16">
        <v>45</v>
      </c>
      <c r="D74" s="16">
        <f t="shared" ref="D74:N74" ca="1" si="7">GetSpeed($C$74,D$89,D$67)</f>
        <v>45</v>
      </c>
      <c r="E74" s="16">
        <f t="shared" ca="1" si="7"/>
        <v>45</v>
      </c>
      <c r="F74" s="16">
        <f t="shared" ca="1" si="7"/>
        <v>45</v>
      </c>
      <c r="G74" s="16">
        <f t="shared" ca="1" si="7"/>
        <v>45</v>
      </c>
      <c r="H74" s="16">
        <f t="shared" ca="1" si="7"/>
        <v>45</v>
      </c>
      <c r="I74" s="16">
        <f t="shared" ca="1" si="7"/>
        <v>40</v>
      </c>
      <c r="J74" s="16">
        <f t="shared" ca="1" si="7"/>
        <v>33</v>
      </c>
      <c r="K74" s="16">
        <f t="shared" ca="1" si="7"/>
        <v>29</v>
      </c>
      <c r="L74" s="16">
        <f t="shared" ca="1" si="7"/>
        <v>25</v>
      </c>
      <c r="M74" s="16">
        <f t="shared" ca="1" si="7"/>
        <v>22</v>
      </c>
      <c r="N74" s="16">
        <f t="shared" ca="1" si="7"/>
        <v>20</v>
      </c>
      <c r="O74" s="16"/>
    </row>
    <row r="75" spans="1:15" x14ac:dyDescent="0.25">
      <c r="A75" s="17"/>
      <c r="B75" s="17" t="s">
        <v>54</v>
      </c>
      <c r="C75" s="17" t="str">
        <f>"100%"</f>
        <v>100%</v>
      </c>
      <c r="D75" s="17"/>
      <c r="E75" s="17"/>
      <c r="F75" s="17"/>
      <c r="G75" s="17"/>
      <c r="H75" s="17"/>
      <c r="I75" s="17"/>
      <c r="J75" s="17"/>
      <c r="K75" s="17"/>
      <c r="L75" s="17"/>
      <c r="M75" s="17"/>
      <c r="N75" s="17"/>
      <c r="O75" s="17"/>
    </row>
    <row r="76" spans="1:15" x14ac:dyDescent="0.25">
      <c r="A76" s="16"/>
      <c r="B76" s="16" t="s">
        <v>55</v>
      </c>
      <c r="C76" s="16">
        <v>30</v>
      </c>
      <c r="D76" s="16">
        <f t="shared" ref="D76:N76" ca="1" si="8">GetSpeed($C$76,D$89,D$67)</f>
        <v>30</v>
      </c>
      <c r="E76" s="16">
        <f t="shared" ca="1" si="8"/>
        <v>30</v>
      </c>
      <c r="F76" s="16">
        <f t="shared" ca="1" si="8"/>
        <v>30</v>
      </c>
      <c r="G76" s="16">
        <f t="shared" ca="1" si="8"/>
        <v>30</v>
      </c>
      <c r="H76" s="16">
        <f t="shared" ca="1" si="8"/>
        <v>30</v>
      </c>
      <c r="I76" s="16">
        <f t="shared" ca="1" si="8"/>
        <v>30</v>
      </c>
      <c r="J76" s="16">
        <f t="shared" ca="1" si="8"/>
        <v>30</v>
      </c>
      <c r="K76" s="16">
        <f t="shared" ca="1" si="8"/>
        <v>29</v>
      </c>
      <c r="L76" s="16">
        <f t="shared" ca="1" si="8"/>
        <v>25</v>
      </c>
      <c r="M76" s="16">
        <f t="shared" ca="1" si="8"/>
        <v>22</v>
      </c>
      <c r="N76" s="16">
        <f t="shared" ca="1" si="8"/>
        <v>20</v>
      </c>
      <c r="O76" s="16"/>
    </row>
    <row r="77" spans="1:15" x14ac:dyDescent="0.25">
      <c r="A77" s="17"/>
      <c r="B77" s="17" t="s">
        <v>56</v>
      </c>
      <c r="C77" s="17">
        <v>20</v>
      </c>
      <c r="D77" s="17">
        <f t="shared" ref="D77:N77" ca="1" si="9">GetSpeed($C$77,D$89,D$67)</f>
        <v>20</v>
      </c>
      <c r="E77" s="17">
        <f t="shared" ca="1" si="9"/>
        <v>20</v>
      </c>
      <c r="F77" s="17">
        <f t="shared" ca="1" si="9"/>
        <v>20</v>
      </c>
      <c r="G77" s="17">
        <f t="shared" ca="1" si="9"/>
        <v>20</v>
      </c>
      <c r="H77" s="17">
        <f t="shared" ca="1" si="9"/>
        <v>20</v>
      </c>
      <c r="I77" s="17">
        <f t="shared" ca="1" si="9"/>
        <v>20</v>
      </c>
      <c r="J77" s="17">
        <f t="shared" ca="1" si="9"/>
        <v>20</v>
      </c>
      <c r="K77" s="17">
        <f t="shared" ca="1" si="9"/>
        <v>20</v>
      </c>
      <c r="L77" s="17">
        <f t="shared" ca="1" si="9"/>
        <v>20</v>
      </c>
      <c r="M77" s="17">
        <f t="shared" ca="1" si="9"/>
        <v>20</v>
      </c>
      <c r="N77" s="17">
        <f t="shared" ca="1" si="9"/>
        <v>20</v>
      </c>
      <c r="O77" s="17"/>
    </row>
    <row r="78" spans="1:15" x14ac:dyDescent="0.25">
      <c r="A78" s="18"/>
      <c r="B78" s="18" t="s">
        <v>452</v>
      </c>
      <c r="C78" s="18"/>
      <c r="D78" s="18"/>
      <c r="E78" s="18"/>
      <c r="F78" s="18"/>
      <c r="G78" s="18"/>
      <c r="H78" s="18"/>
      <c r="I78" s="18"/>
      <c r="J78" s="18"/>
      <c r="K78" s="18"/>
      <c r="L78" s="18"/>
      <c r="M78" s="18"/>
      <c r="N78" s="18"/>
      <c r="O78" s="18"/>
    </row>
    <row r="79" spans="1:15" x14ac:dyDescent="0.25">
      <c r="A79" s="16"/>
      <c r="B79" s="16" t="s">
        <v>57</v>
      </c>
      <c r="C79" s="16">
        <v>120</v>
      </c>
      <c r="D79" s="16"/>
      <c r="E79" s="16"/>
      <c r="F79" s="16"/>
      <c r="G79" s="16"/>
      <c r="H79" s="16"/>
      <c r="I79" s="16"/>
      <c r="J79" s="16"/>
      <c r="K79" s="16"/>
      <c r="L79" s="16"/>
      <c r="M79" s="16"/>
      <c r="N79" s="16"/>
      <c r="O79" s="16"/>
    </row>
    <row r="80" spans="1:15" x14ac:dyDescent="0.25">
      <c r="A80" s="18"/>
      <c r="B80" s="18" t="s">
        <v>453</v>
      </c>
      <c r="C80" s="18"/>
      <c r="D80" s="18"/>
      <c r="E80" s="18"/>
      <c r="F80" s="18"/>
      <c r="G80" s="18"/>
      <c r="H80" s="18"/>
      <c r="I80" s="18"/>
      <c r="J80" s="18"/>
      <c r="K80" s="18"/>
      <c r="L80" s="18"/>
      <c r="M80" s="18"/>
      <c r="N80" s="18"/>
      <c r="O80" s="18"/>
    </row>
    <row r="81" spans="1:15" x14ac:dyDescent="0.25">
      <c r="A81" s="16"/>
      <c r="B81" s="16" t="s">
        <v>58</v>
      </c>
      <c r="C81" s="16">
        <v>30</v>
      </c>
      <c r="D81" s="16"/>
      <c r="E81" s="16"/>
      <c r="F81" s="16"/>
      <c r="G81" s="16"/>
      <c r="H81" s="16"/>
      <c r="I81" s="16"/>
      <c r="J81" s="16"/>
      <c r="K81" s="16"/>
      <c r="L81" s="16"/>
      <c r="M81" s="16"/>
      <c r="N81" s="16"/>
      <c r="O81" s="16"/>
    </row>
    <row r="82" spans="1:15" x14ac:dyDescent="0.25">
      <c r="A82" s="18"/>
      <c r="B82" s="18" t="s">
        <v>454</v>
      </c>
      <c r="C82" s="18"/>
      <c r="D82" s="18"/>
      <c r="E82" s="18"/>
      <c r="F82" s="18"/>
      <c r="G82" s="18"/>
      <c r="H82" s="18"/>
      <c r="I82" s="18"/>
      <c r="J82" s="18"/>
      <c r="K82" s="18"/>
      <c r="L82" s="18"/>
      <c r="M82" s="18"/>
      <c r="N82" s="18"/>
      <c r="O82" s="18"/>
    </row>
    <row r="83" spans="1:15" x14ac:dyDescent="0.25">
      <c r="A83" s="16"/>
      <c r="B83" s="16" t="s">
        <v>59</v>
      </c>
      <c r="C83" s="16">
        <f>MAX_ACCELERATION</f>
        <v>700</v>
      </c>
      <c r="D83" s="16"/>
      <c r="E83" s="16"/>
      <c r="F83" s="16"/>
      <c r="G83" s="16"/>
      <c r="H83" s="16"/>
      <c r="I83" s="16"/>
      <c r="J83" s="16"/>
      <c r="K83" s="16"/>
      <c r="L83" s="16"/>
      <c r="M83" s="16"/>
      <c r="N83" s="16"/>
      <c r="O83" s="16"/>
    </row>
    <row r="84" spans="1:15" x14ac:dyDescent="0.25">
      <c r="A84" s="17"/>
      <c r="B84" s="17" t="s">
        <v>60</v>
      </c>
      <c r="C84" s="17">
        <f>MAX_ACCELERATION</f>
        <v>700</v>
      </c>
      <c r="D84" s="17"/>
      <c r="E84" s="17"/>
      <c r="F84" s="17"/>
      <c r="G84" s="17"/>
      <c r="H84" s="17"/>
      <c r="I84" s="17"/>
      <c r="J84" s="17"/>
      <c r="K84" s="17"/>
      <c r="L84" s="17"/>
      <c r="M84" s="17"/>
      <c r="N84" s="17"/>
      <c r="O84" s="17"/>
    </row>
    <row r="85" spans="1:15" x14ac:dyDescent="0.25">
      <c r="A85" s="16"/>
      <c r="B85" s="16" t="s">
        <v>61</v>
      </c>
      <c r="C85" s="16">
        <f>MAX_ACCELERATION</f>
        <v>700</v>
      </c>
      <c r="D85" s="16"/>
      <c r="E85" s="16"/>
      <c r="F85" s="16"/>
      <c r="G85" s="16"/>
      <c r="H85" s="16"/>
      <c r="I85" s="16"/>
      <c r="J85" s="16"/>
      <c r="K85" s="16"/>
      <c r="L85" s="16"/>
      <c r="M85" s="16"/>
      <c r="N85" s="16"/>
      <c r="O85" s="16"/>
    </row>
    <row r="86" spans="1:15" x14ac:dyDescent="0.25">
      <c r="A86" s="17"/>
      <c r="B86" s="17" t="s">
        <v>62</v>
      </c>
      <c r="C86" s="17">
        <f>MAX_ACCELERATION</f>
        <v>700</v>
      </c>
      <c r="D86" s="17"/>
      <c r="E86" s="17"/>
      <c r="F86" s="17"/>
      <c r="G86" s="17"/>
      <c r="H86" s="17"/>
      <c r="I86" s="17"/>
      <c r="J86" s="17"/>
      <c r="K86" s="17"/>
      <c r="L86" s="17"/>
      <c r="M86" s="17"/>
      <c r="N86" s="17"/>
      <c r="O86" s="17"/>
    </row>
    <row r="87" spans="1:15" x14ac:dyDescent="0.25">
      <c r="A87" s="16"/>
      <c r="B87" s="16" t="s">
        <v>63</v>
      </c>
      <c r="C87" s="16">
        <f>MAX_ACCELERATION</f>
        <v>700</v>
      </c>
      <c r="D87" s="16"/>
      <c r="E87" s="16"/>
      <c r="F87" s="16"/>
      <c r="G87" s="16"/>
      <c r="H87" s="16"/>
      <c r="I87" s="16"/>
      <c r="J87" s="16"/>
      <c r="K87" s="16"/>
      <c r="L87" s="16"/>
      <c r="M87" s="16"/>
      <c r="N87" s="16"/>
      <c r="O87" s="16"/>
    </row>
    <row r="88" spans="1:15" x14ac:dyDescent="0.25">
      <c r="A88" s="18"/>
      <c r="B88" s="18" t="s">
        <v>455</v>
      </c>
      <c r="C88" s="18"/>
      <c r="D88" s="18"/>
      <c r="E88" s="18"/>
      <c r="F88" s="18"/>
      <c r="G88" s="18"/>
      <c r="H88" s="18"/>
      <c r="I88" s="18"/>
      <c r="J88" s="18"/>
      <c r="K88" s="18"/>
      <c r="L88" s="18"/>
      <c r="M88" s="18"/>
      <c r="N88" s="18"/>
      <c r="O88" s="18"/>
    </row>
    <row r="89" spans="1:15" x14ac:dyDescent="0.25">
      <c r="A89" s="16"/>
      <c r="B89" s="16" t="s">
        <v>64</v>
      </c>
      <c r="C89" s="16"/>
      <c r="D89" s="16">
        <v>80</v>
      </c>
      <c r="E89" s="16">
        <v>80</v>
      </c>
      <c r="F89" s="16">
        <v>80</v>
      </c>
      <c r="G89" s="16">
        <v>80</v>
      </c>
      <c r="H89" s="16">
        <v>80</v>
      </c>
      <c r="I89" s="16">
        <v>80</v>
      </c>
      <c r="J89" s="16">
        <v>80</v>
      </c>
      <c r="K89" s="16">
        <v>80</v>
      </c>
      <c r="L89" s="16">
        <v>80</v>
      </c>
      <c r="M89" s="16">
        <v>80</v>
      </c>
      <c r="N89" s="16">
        <v>80</v>
      </c>
      <c r="O89" s="16"/>
    </row>
    <row r="90" spans="1:15" x14ac:dyDescent="0.25">
      <c r="A90" s="17"/>
      <c r="B90" s="17" t="s">
        <v>65</v>
      </c>
      <c r="C90" s="17"/>
      <c r="D90" s="17" t="str">
        <f ca="1">Matchfill(INDEX(filament!$A$1:$K$98,MATCH("filament_" &amp; $B$90,filament!$B$1:$B$98,0),MATCH($C$67,filament!$A$1:$K$1,0)),filament!$C$102)</f>
        <v>11.5</v>
      </c>
      <c r="E90" s="17" t="str">
        <f ca="1">Matchfill(INDEX(filament!$A$1:$K$98,MATCH("filament_" &amp; $B$90,filament!$B$1:$B$98,0),MATCH($C$67,filament!$A$1:$K$1,0)),filament!$C$102)</f>
        <v>11.5</v>
      </c>
      <c r="F90" s="17" t="str">
        <f ca="1">Matchfill(INDEX(filament!$A$1:$K$98,MATCH("filament_" &amp; $B$90,filament!$B$1:$B$98,0),MATCH($C$67,filament!$A$1:$K$1,0)),filament!$C$102)</f>
        <v>11.5</v>
      </c>
      <c r="G90" s="17" t="str">
        <f ca="1">Matchfill(INDEX(filament!$A$1:$K$98,MATCH("filament_" &amp; $B$90,filament!$B$1:$B$98,0),MATCH($C$67,filament!$A$1:$K$1,0)),filament!$C$102)</f>
        <v>11.5</v>
      </c>
      <c r="H90" s="17" t="str">
        <f ca="1">Matchfill(INDEX(filament!$A$1:$K$98,MATCH("filament_" &amp; $B$90,filament!$B$1:$B$98,0),MATCH($C$67,filament!$A$1:$K$1,0)),filament!$C$102)</f>
        <v>11.5</v>
      </c>
      <c r="I90" s="17" t="str">
        <f ca="1">Matchfill(INDEX(filament!$A$1:$K$98,MATCH("filament_" &amp; $B$90,filament!$B$1:$B$98,0),MATCH($C$67,filament!$A$1:$K$1,0)),filament!$C$102)</f>
        <v>11.5</v>
      </c>
      <c r="J90" s="17" t="str">
        <f ca="1">Matchfill(INDEX(filament!$A$1:$K$98,MATCH("filament_" &amp; $B$90,filament!$B$1:$B$98,0),MATCH($C$67,filament!$A$1:$K$1,0)),filament!$C$102)</f>
        <v>11.5</v>
      </c>
      <c r="K90" s="17" t="str">
        <f ca="1">Matchfill(INDEX(filament!$A$1:$K$98,MATCH("filament_" &amp; $B$90,filament!$B$1:$B$98,0),MATCH($C$67,filament!$A$1:$K$1,0)),filament!$C$102)</f>
        <v>11.5</v>
      </c>
      <c r="L90" s="17" t="str">
        <f ca="1">Matchfill(INDEX(filament!$A$1:$K$98,MATCH("filament_" &amp; $B$90,filament!$B$1:$B$98,0),MATCH($C$67,filament!$A$1:$K$1,0)),filament!$C$102)</f>
        <v>11.5</v>
      </c>
      <c r="M90" s="17" t="str">
        <f ca="1">Matchfill(INDEX(filament!$A$1:$K$98,MATCH("filament_" &amp; $B$90,filament!$B$1:$B$98,0),MATCH($C$67,filament!$A$1:$K$1,0)),filament!$C$102)</f>
        <v>11.5</v>
      </c>
      <c r="N90" s="17" t="str">
        <f ca="1">Matchfill(INDEX(filament!$A$1:$K$98,MATCH("filament_" &amp; $B$90,filament!$B$1:$B$98,0),MATCH($C$67,filament!$A$1:$K$1,0)),filament!$C$102)</f>
        <v>11.5</v>
      </c>
      <c r="O90" s="17"/>
    </row>
    <row r="91" spans="1:15" x14ac:dyDescent="0.25">
      <c r="A91" s="18" t="s">
        <v>232</v>
      </c>
      <c r="B91" s="18" t="s">
        <v>456</v>
      </c>
      <c r="C91" s="18"/>
      <c r="D91" s="18"/>
      <c r="E91" s="18"/>
      <c r="F91" s="18"/>
      <c r="G91" s="18"/>
      <c r="H91" s="18"/>
      <c r="I91" s="18"/>
      <c r="J91" s="18"/>
      <c r="K91" s="18"/>
      <c r="L91" s="18"/>
      <c r="M91" s="18"/>
      <c r="N91" s="18"/>
      <c r="O91" s="18"/>
    </row>
    <row r="92" spans="1:15" x14ac:dyDescent="0.25">
      <c r="A92" s="16"/>
      <c r="B92" s="16" t="s">
        <v>66</v>
      </c>
      <c r="C92" s="16">
        <v>1</v>
      </c>
      <c r="D92" s="16"/>
      <c r="E92" s="16"/>
      <c r="F92" s="16"/>
      <c r="G92" s="16"/>
      <c r="H92" s="16"/>
      <c r="I92" s="16"/>
      <c r="J92" s="16"/>
      <c r="K92" s="16"/>
      <c r="L92" s="16"/>
      <c r="M92" s="16"/>
      <c r="N92" s="16"/>
      <c r="O92" s="16"/>
    </row>
    <row r="93" spans="1:15" x14ac:dyDescent="0.25">
      <c r="A93" s="17"/>
      <c r="B93" s="17" t="s">
        <v>67</v>
      </c>
      <c r="C93" s="17">
        <v>1</v>
      </c>
      <c r="D93" s="17"/>
      <c r="E93" s="17"/>
      <c r="F93" s="17"/>
      <c r="G93" s="17"/>
      <c r="H93" s="17"/>
      <c r="I93" s="17"/>
      <c r="J93" s="17"/>
      <c r="K93" s="17"/>
      <c r="L93" s="17"/>
      <c r="M93" s="17"/>
      <c r="N93" s="17"/>
      <c r="O93" s="17"/>
    </row>
    <row r="94" spans="1:15" x14ac:dyDescent="0.25">
      <c r="A94" s="16"/>
      <c r="B94" s="16" t="s">
        <v>68</v>
      </c>
      <c r="C94" s="16">
        <v>1</v>
      </c>
      <c r="D94" s="16"/>
      <c r="E94" s="16"/>
      <c r="F94" s="16"/>
      <c r="G94" s="16"/>
      <c r="H94" s="16"/>
      <c r="I94" s="16"/>
      <c r="J94" s="16"/>
      <c r="K94" s="16"/>
      <c r="L94" s="16"/>
      <c r="M94" s="16"/>
      <c r="N94" s="16"/>
      <c r="O94" s="16"/>
    </row>
    <row r="95" spans="1:15" x14ac:dyDescent="0.25">
      <c r="A95" s="17"/>
      <c r="B95" s="17" t="s">
        <v>69</v>
      </c>
      <c r="C95" s="17">
        <v>1</v>
      </c>
      <c r="D95" s="17"/>
      <c r="E95" s="17"/>
      <c r="F95" s="17"/>
      <c r="G95" s="17"/>
      <c r="H95" s="17"/>
      <c r="I95" s="17"/>
      <c r="J95" s="17"/>
      <c r="K95" s="17"/>
      <c r="L95" s="17"/>
      <c r="M95" s="17"/>
      <c r="N95" s="17"/>
      <c r="O95" s="17"/>
    </row>
    <row r="96" spans="1:15" x14ac:dyDescent="0.25">
      <c r="A96" s="16"/>
      <c r="B96" s="16" t="s">
        <v>70</v>
      </c>
      <c r="C96" s="16">
        <v>1</v>
      </c>
      <c r="D96" s="16"/>
      <c r="E96" s="16"/>
      <c r="F96" s="16"/>
      <c r="G96" s="16"/>
      <c r="H96" s="16"/>
      <c r="I96" s="16"/>
      <c r="J96" s="16"/>
      <c r="K96" s="16"/>
      <c r="L96" s="16"/>
      <c r="M96" s="16"/>
      <c r="N96" s="16"/>
      <c r="O96" s="16"/>
    </row>
    <row r="97" spans="1:15" x14ac:dyDescent="0.25">
      <c r="A97" s="18"/>
      <c r="B97" s="18" t="s">
        <v>457</v>
      </c>
      <c r="C97" s="18"/>
      <c r="D97" s="18"/>
      <c r="E97" s="18"/>
      <c r="F97" s="18"/>
      <c r="G97" s="18"/>
      <c r="H97" s="18"/>
      <c r="I97" s="18"/>
      <c r="J97" s="18"/>
      <c r="K97" s="18"/>
      <c r="L97" s="18"/>
      <c r="M97" s="18"/>
      <c r="N97" s="18"/>
      <c r="O97" s="18"/>
    </row>
    <row r="98" spans="1:15" x14ac:dyDescent="0.25">
      <c r="A98" s="16"/>
      <c r="B98" s="16" t="s">
        <v>71</v>
      </c>
      <c r="C98" s="16"/>
      <c r="D98" s="16"/>
      <c r="E98" s="16"/>
      <c r="F98" s="16"/>
      <c r="G98" s="16"/>
      <c r="H98" s="16"/>
      <c r="I98" s="16"/>
      <c r="J98" s="16"/>
      <c r="K98" s="16"/>
      <c r="L98" s="16"/>
      <c r="M98" s="16"/>
      <c r="N98" s="16"/>
      <c r="O98" s="16"/>
    </row>
    <row r="99" spans="1:15" x14ac:dyDescent="0.25">
      <c r="A99" s="17"/>
      <c r="B99" s="17" t="s">
        <v>72</v>
      </c>
      <c r="C99" s="17"/>
      <c r="D99" s="17"/>
      <c r="E99" s="17"/>
      <c r="F99" s="17"/>
      <c r="G99" s="17"/>
      <c r="H99" s="17"/>
      <c r="I99" s="17"/>
      <c r="J99" s="17"/>
      <c r="K99" s="17"/>
      <c r="L99" s="17"/>
      <c r="M99" s="17"/>
      <c r="N99" s="17"/>
      <c r="O99" s="17"/>
    </row>
    <row r="100" spans="1:15" x14ac:dyDescent="0.25">
      <c r="A100" s="18"/>
      <c r="B100" s="18" t="s">
        <v>458</v>
      </c>
      <c r="C100" s="18"/>
      <c r="D100" s="18"/>
      <c r="E100" s="18"/>
      <c r="F100" s="18"/>
      <c r="G100" s="18"/>
      <c r="H100" s="18"/>
      <c r="I100" s="18"/>
      <c r="J100" s="18"/>
      <c r="K100" s="18"/>
      <c r="L100" s="18"/>
      <c r="M100" s="18"/>
      <c r="N100" s="18"/>
      <c r="O100" s="18"/>
    </row>
    <row r="101" spans="1:15" x14ac:dyDescent="0.25">
      <c r="A101" s="16"/>
      <c r="B101" s="16" t="s">
        <v>73</v>
      </c>
      <c r="C101" s="16"/>
      <c r="D101" s="16"/>
      <c r="E101" s="16"/>
      <c r="F101" s="16"/>
      <c r="G101" s="16"/>
      <c r="H101" s="16"/>
      <c r="I101" s="16"/>
      <c r="J101" s="16"/>
      <c r="K101" s="16"/>
      <c r="L101" s="16"/>
      <c r="M101" s="16"/>
      <c r="N101" s="16"/>
      <c r="O101" s="16"/>
    </row>
    <row r="102" spans="1:15" x14ac:dyDescent="0.25">
      <c r="A102" s="17"/>
      <c r="B102" s="17" t="s">
        <v>74</v>
      </c>
      <c r="C102" s="17"/>
      <c r="D102" s="17"/>
      <c r="E102" s="17"/>
      <c r="F102" s="17"/>
      <c r="G102" s="17"/>
      <c r="H102" s="17"/>
      <c r="I102" s="17"/>
      <c r="J102" s="17"/>
      <c r="K102" s="17"/>
      <c r="L102" s="17"/>
      <c r="M102" s="17"/>
      <c r="N102" s="17"/>
      <c r="O102" s="17"/>
    </row>
    <row r="103" spans="1:15" x14ac:dyDescent="0.25">
      <c r="A103" s="16"/>
      <c r="B103" s="16" t="s">
        <v>75</v>
      </c>
      <c r="C103" s="16"/>
      <c r="D103" s="16"/>
      <c r="E103" s="16"/>
      <c r="F103" s="16"/>
      <c r="G103" s="16"/>
      <c r="H103" s="16"/>
      <c r="I103" s="16"/>
      <c r="J103" s="16"/>
      <c r="K103" s="16"/>
      <c r="L103" s="16"/>
      <c r="M103" s="16"/>
      <c r="N103" s="16"/>
      <c r="O103" s="16"/>
    </row>
    <row r="104" spans="1:15" x14ac:dyDescent="0.25">
      <c r="A104" s="17"/>
      <c r="B104" s="17" t="s">
        <v>76</v>
      </c>
      <c r="C104" s="17"/>
      <c r="D104" s="17"/>
      <c r="E104" s="17"/>
      <c r="F104" s="17"/>
      <c r="G104" s="17"/>
      <c r="H104" s="17"/>
      <c r="I104" s="17"/>
      <c r="J104" s="17"/>
      <c r="K104" s="17"/>
      <c r="L104" s="17"/>
      <c r="M104" s="17"/>
      <c r="N104" s="17"/>
      <c r="O104" s="17"/>
    </row>
    <row r="105" spans="1:15" x14ac:dyDescent="0.25">
      <c r="A105" s="16"/>
      <c r="B105" s="16" t="s">
        <v>77</v>
      </c>
      <c r="C105" s="16"/>
      <c r="D105" s="16"/>
      <c r="E105" s="16"/>
      <c r="F105" s="16"/>
      <c r="G105" s="16"/>
      <c r="H105" s="16"/>
      <c r="I105" s="16"/>
      <c r="J105" s="16"/>
      <c r="K105" s="16"/>
      <c r="L105" s="16"/>
      <c r="M105" s="16"/>
      <c r="N105" s="16"/>
      <c r="O105" s="16"/>
    </row>
    <row r="106" spans="1:15" x14ac:dyDescent="0.25">
      <c r="A106" s="17"/>
      <c r="B106" s="17" t="s">
        <v>78</v>
      </c>
      <c r="C106" s="17"/>
      <c r="D106" s="17"/>
      <c r="E106" s="17"/>
      <c r="F106" s="17"/>
      <c r="G106" s="17"/>
      <c r="H106" s="17"/>
      <c r="I106" s="17"/>
      <c r="J106" s="17"/>
      <c r="K106" s="17"/>
      <c r="L106" s="17"/>
      <c r="M106" s="17"/>
      <c r="N106" s="17"/>
      <c r="O106" s="17"/>
    </row>
    <row r="107" spans="1:15" x14ac:dyDescent="0.25">
      <c r="A107" s="16"/>
      <c r="B107" s="16" t="s">
        <v>79</v>
      </c>
      <c r="C107" s="16"/>
      <c r="D107" s="16"/>
      <c r="E107" s="16"/>
      <c r="F107" s="16"/>
      <c r="G107" s="16"/>
      <c r="H107" s="16"/>
      <c r="I107" s="16"/>
      <c r="J107" s="16"/>
      <c r="K107" s="16"/>
      <c r="L107" s="16"/>
      <c r="M107" s="16"/>
      <c r="N107" s="16"/>
      <c r="O107" s="16"/>
    </row>
    <row r="108" spans="1:15" x14ac:dyDescent="0.25">
      <c r="A108" s="17"/>
      <c r="B108" s="17" t="s">
        <v>391</v>
      </c>
      <c r="C108" s="17"/>
      <c r="D108" s="17"/>
      <c r="E108" s="17"/>
      <c r="F108" s="17"/>
      <c r="G108" s="17"/>
      <c r="H108" s="17"/>
      <c r="I108" s="17"/>
      <c r="J108" s="17"/>
      <c r="K108" s="17"/>
      <c r="L108" s="17"/>
      <c r="M108" s="17"/>
      <c r="N108" s="17"/>
      <c r="O108" s="17"/>
    </row>
    <row r="109" spans="1:15" x14ac:dyDescent="0.25">
      <c r="A109" s="18"/>
      <c r="B109" s="18" t="s">
        <v>416</v>
      </c>
      <c r="C109" s="18"/>
      <c r="D109" s="18"/>
      <c r="E109" s="18"/>
      <c r="F109" s="18"/>
      <c r="G109" s="18"/>
      <c r="H109" s="18"/>
      <c r="I109" s="18"/>
      <c r="J109" s="18"/>
      <c r="K109" s="18"/>
      <c r="L109" s="18"/>
      <c r="M109" s="18"/>
      <c r="N109" s="18"/>
      <c r="O109" s="18"/>
    </row>
    <row r="110" spans="1:15" x14ac:dyDescent="0.25">
      <c r="A110" s="16"/>
      <c r="B110" s="16" t="s">
        <v>80</v>
      </c>
      <c r="C110" s="16"/>
      <c r="D110" s="16"/>
      <c r="E110" s="16"/>
      <c r="F110" s="16"/>
      <c r="G110" s="16"/>
      <c r="H110" s="16"/>
      <c r="I110" s="16"/>
      <c r="J110" s="16"/>
      <c r="K110" s="16"/>
      <c r="L110" s="16"/>
      <c r="M110" s="16"/>
      <c r="N110" s="16"/>
      <c r="O110" s="16"/>
    </row>
    <row r="111" spans="1:15" x14ac:dyDescent="0.25">
      <c r="A111" s="18" t="s">
        <v>234</v>
      </c>
      <c r="B111" s="18" t="s">
        <v>459</v>
      </c>
      <c r="C111" s="18"/>
      <c r="D111" s="18"/>
      <c r="E111" s="18"/>
      <c r="F111" s="18"/>
      <c r="G111" s="18"/>
      <c r="H111" s="18"/>
      <c r="I111" s="18"/>
      <c r="J111" s="18"/>
      <c r="K111" s="18"/>
      <c r="L111" s="18"/>
      <c r="M111" s="18"/>
      <c r="N111" s="18"/>
      <c r="O111" s="18"/>
    </row>
    <row r="112" spans="1:15" x14ac:dyDescent="0.25">
      <c r="A112" s="16"/>
      <c r="B112" s="16" t="s">
        <v>81</v>
      </c>
      <c r="C112" s="16">
        <f t="shared" ref="C112:C119" si="10">Nozzle_Diameter</f>
        <v>0.6</v>
      </c>
      <c r="D112" s="16"/>
      <c r="E112" s="16"/>
      <c r="F112" s="16"/>
      <c r="G112" s="16"/>
      <c r="H112" s="16"/>
      <c r="I112" s="16"/>
      <c r="J112" s="16"/>
      <c r="K112" s="16"/>
      <c r="L112" s="16"/>
      <c r="M112" s="16"/>
      <c r="N112" s="16"/>
      <c r="O112" s="16"/>
    </row>
    <row r="113" spans="1:15" x14ac:dyDescent="0.25">
      <c r="A113" s="17"/>
      <c r="B113" s="17" t="s">
        <v>82</v>
      </c>
      <c r="C113" s="17">
        <f t="shared" si="10"/>
        <v>0.6</v>
      </c>
      <c r="D113" s="17"/>
      <c r="E113" s="17"/>
      <c r="F113" s="17"/>
      <c r="G113" s="17"/>
      <c r="H113" s="17"/>
      <c r="I113" s="17"/>
      <c r="J113" s="17"/>
      <c r="K113" s="17"/>
      <c r="L113" s="17"/>
      <c r="M113" s="17"/>
      <c r="N113" s="17"/>
      <c r="O113" s="17"/>
    </row>
    <row r="114" spans="1:15" x14ac:dyDescent="0.25">
      <c r="A114" s="16"/>
      <c r="B114" s="16" t="s">
        <v>83</v>
      </c>
      <c r="C114" s="16">
        <f t="shared" si="10"/>
        <v>0.6</v>
      </c>
      <c r="D114" s="16"/>
      <c r="E114" s="16"/>
      <c r="F114" s="16"/>
      <c r="G114" s="16"/>
      <c r="H114" s="16"/>
      <c r="I114" s="16"/>
      <c r="J114" s="16"/>
      <c r="K114" s="16"/>
      <c r="L114" s="16"/>
      <c r="M114" s="16"/>
      <c r="N114" s="16"/>
      <c r="O114" s="16"/>
    </row>
    <row r="115" spans="1:15" x14ac:dyDescent="0.25">
      <c r="A115" s="17"/>
      <c r="B115" s="17" t="s">
        <v>84</v>
      </c>
      <c r="C115" s="17">
        <f t="shared" si="10"/>
        <v>0.6</v>
      </c>
      <c r="D115" s="17"/>
      <c r="E115" s="17"/>
      <c r="F115" s="17"/>
      <c r="G115" s="17"/>
      <c r="H115" s="17"/>
      <c r="I115" s="17"/>
      <c r="J115" s="17"/>
      <c r="K115" s="17"/>
      <c r="L115" s="17"/>
      <c r="M115" s="17"/>
      <c r="N115" s="17"/>
      <c r="O115" s="17"/>
    </row>
    <row r="116" spans="1:15" x14ac:dyDescent="0.25">
      <c r="A116" s="16"/>
      <c r="B116" s="16" t="s">
        <v>85</v>
      </c>
      <c r="C116" s="16">
        <f t="shared" si="10"/>
        <v>0.6</v>
      </c>
      <c r="D116" s="16"/>
      <c r="E116" s="16"/>
      <c r="F116" s="16"/>
      <c r="G116" s="16"/>
      <c r="H116" s="16"/>
      <c r="I116" s="16"/>
      <c r="J116" s="16"/>
      <c r="K116" s="16"/>
      <c r="L116" s="16"/>
      <c r="M116" s="16"/>
      <c r="N116" s="16"/>
      <c r="O116" s="16"/>
    </row>
    <row r="117" spans="1:15" x14ac:dyDescent="0.25">
      <c r="A117" s="17"/>
      <c r="B117" s="17" t="s">
        <v>86</v>
      </c>
      <c r="C117" s="17">
        <f t="shared" si="10"/>
        <v>0.6</v>
      </c>
      <c r="D117" s="17"/>
      <c r="E117" s="17"/>
      <c r="F117" s="17"/>
      <c r="G117" s="17"/>
      <c r="H117" s="17"/>
      <c r="I117" s="17"/>
      <c r="J117" s="17"/>
      <c r="K117" s="17"/>
      <c r="L117" s="17"/>
      <c r="M117" s="17"/>
      <c r="N117" s="17"/>
      <c r="O117" s="17"/>
    </row>
    <row r="118" spans="1:15" x14ac:dyDescent="0.25">
      <c r="A118" s="16"/>
      <c r="B118" s="16" t="s">
        <v>87</v>
      </c>
      <c r="C118" s="16">
        <f t="shared" si="10"/>
        <v>0.6</v>
      </c>
      <c r="D118" s="16"/>
      <c r="E118" s="16"/>
      <c r="F118" s="16"/>
      <c r="G118" s="16"/>
      <c r="H118" s="16"/>
      <c r="I118" s="16"/>
      <c r="J118" s="16"/>
      <c r="K118" s="16"/>
      <c r="L118" s="16"/>
      <c r="M118" s="16"/>
      <c r="N118" s="16"/>
      <c r="O118" s="16"/>
    </row>
    <row r="119" spans="1:15" x14ac:dyDescent="0.25">
      <c r="A119" s="17"/>
      <c r="B119" s="17" t="s">
        <v>88</v>
      </c>
      <c r="C119" s="17">
        <f t="shared" si="10"/>
        <v>0.6</v>
      </c>
      <c r="D119" s="17"/>
      <c r="E119" s="17"/>
      <c r="F119" s="17"/>
      <c r="G119" s="17"/>
      <c r="H119" s="17"/>
      <c r="I119" s="17"/>
      <c r="J119" s="17"/>
      <c r="K119" s="17"/>
      <c r="L119" s="17"/>
      <c r="M119" s="17"/>
      <c r="N119" s="17"/>
      <c r="O119" s="17"/>
    </row>
    <row r="120" spans="1:15" x14ac:dyDescent="0.25">
      <c r="A120" s="18"/>
      <c r="B120" s="18" t="s">
        <v>460</v>
      </c>
      <c r="C120" s="18"/>
      <c r="D120" s="18"/>
      <c r="E120" s="18"/>
      <c r="F120" s="18"/>
      <c r="G120" s="18"/>
      <c r="H120" s="18"/>
      <c r="I120" s="18"/>
      <c r="J120" s="18"/>
      <c r="K120" s="18"/>
      <c r="L120" s="18"/>
      <c r="M120" s="18"/>
      <c r="N120" s="18"/>
      <c r="O120" s="18"/>
    </row>
    <row r="121" spans="1:15" x14ac:dyDescent="0.25">
      <c r="A121" s="16"/>
      <c r="B121" s="16" t="s">
        <v>89</v>
      </c>
      <c r="C121" s="16" t="str">
        <f>"10%"</f>
        <v>10%</v>
      </c>
      <c r="D121" s="16"/>
      <c r="E121" s="16"/>
      <c r="F121" s="16"/>
      <c r="G121" s="16"/>
      <c r="H121" s="16"/>
      <c r="I121" s="16"/>
      <c r="J121" s="16"/>
      <c r="K121" s="16"/>
      <c r="L121" s="16"/>
      <c r="M121" s="16"/>
      <c r="N121" s="16"/>
      <c r="O121" s="16"/>
    </row>
    <row r="122" spans="1:15" x14ac:dyDescent="0.25">
      <c r="A122" s="18"/>
      <c r="B122" s="18" t="s">
        <v>461</v>
      </c>
      <c r="C122" s="18"/>
      <c r="D122" s="18"/>
      <c r="E122" s="18"/>
      <c r="F122" s="18"/>
      <c r="G122" s="18"/>
      <c r="H122" s="18"/>
      <c r="I122" s="18"/>
      <c r="J122" s="18"/>
      <c r="K122" s="18"/>
      <c r="L122" s="18"/>
      <c r="M122" s="18"/>
      <c r="N122" s="18"/>
      <c r="O122" s="18"/>
    </row>
    <row r="123" spans="1:15" x14ac:dyDescent="0.25">
      <c r="A123" s="16"/>
      <c r="B123" s="16" t="s">
        <v>90</v>
      </c>
      <c r="C123" s="16">
        <v>0.8</v>
      </c>
      <c r="D123" s="16"/>
      <c r="E123" s="16"/>
      <c r="F123" s="16"/>
      <c r="G123" s="16"/>
      <c r="H123" s="16"/>
      <c r="I123" s="16"/>
      <c r="J123" s="16"/>
      <c r="K123" s="16"/>
      <c r="L123" s="16"/>
      <c r="M123" s="16"/>
      <c r="N123" s="16"/>
      <c r="O123" s="16"/>
    </row>
    <row r="124" spans="1:15" x14ac:dyDescent="0.25">
      <c r="A124" s="18"/>
      <c r="B124" s="18" t="s">
        <v>462</v>
      </c>
      <c r="C124" s="18"/>
      <c r="D124" s="18"/>
      <c r="E124" s="18"/>
      <c r="F124" s="18"/>
      <c r="G124" s="18"/>
      <c r="H124" s="18"/>
      <c r="I124" s="18"/>
      <c r="J124" s="18"/>
      <c r="K124" s="18"/>
      <c r="L124" s="18"/>
      <c r="M124" s="18"/>
      <c r="N124" s="18"/>
      <c r="O124" s="18"/>
    </row>
    <row r="125" spans="1:15" x14ac:dyDescent="0.25">
      <c r="A125" s="16"/>
      <c r="B125" s="16" t="s">
        <v>91</v>
      </c>
      <c r="C125" s="16">
        <v>1</v>
      </c>
      <c r="D125" s="16"/>
      <c r="E125" s="16"/>
      <c r="F125" s="16"/>
      <c r="G125" s="16"/>
      <c r="H125" s="16"/>
      <c r="I125" s="16"/>
      <c r="J125" s="16"/>
      <c r="K125" s="16"/>
      <c r="L125" s="16"/>
      <c r="M125" s="16"/>
      <c r="N125" s="16"/>
      <c r="O125" s="16"/>
    </row>
    <row r="126" spans="1:15" x14ac:dyDescent="0.25">
      <c r="A126" s="17"/>
      <c r="B126" s="17" t="s">
        <v>92</v>
      </c>
      <c r="C126" s="17"/>
      <c r="D126" s="17"/>
      <c r="E126" s="17"/>
      <c r="F126" s="17"/>
      <c r="G126" s="17"/>
      <c r="H126" s="17"/>
      <c r="I126" s="17"/>
      <c r="J126" s="17"/>
      <c r="K126" s="17"/>
      <c r="L126" s="17"/>
      <c r="M126" s="17"/>
      <c r="N126" s="17"/>
      <c r="O126" s="17"/>
    </row>
    <row r="127" spans="1:15" x14ac:dyDescent="0.25">
      <c r="A127" s="16"/>
      <c r="B127" s="16" t="s">
        <v>93</v>
      </c>
      <c r="C127" s="16"/>
      <c r="D127" s="16"/>
      <c r="E127" s="16"/>
      <c r="F127" s="16"/>
      <c r="G127" s="16"/>
      <c r="H127" s="16"/>
      <c r="I127" s="16"/>
      <c r="J127" s="16"/>
      <c r="K127" s="16"/>
      <c r="L127" s="16"/>
      <c r="M127" s="16"/>
      <c r="N127" s="16"/>
      <c r="O127" s="16"/>
    </row>
    <row r="128" spans="1:15" x14ac:dyDescent="0.25">
      <c r="A128" s="17"/>
      <c r="B128" s="17" t="s">
        <v>312</v>
      </c>
      <c r="C128" s="17"/>
      <c r="D128" s="17"/>
      <c r="E128" s="17"/>
      <c r="F128" s="17"/>
      <c r="G128" s="17"/>
      <c r="H128" s="17"/>
      <c r="I128" s="17"/>
      <c r="J128" s="17"/>
      <c r="K128" s="17"/>
      <c r="L128" s="17"/>
      <c r="M128" s="17"/>
      <c r="N128" s="17"/>
      <c r="O128" s="17"/>
    </row>
    <row r="129" spans="1:15" x14ac:dyDescent="0.25">
      <c r="A129" s="16"/>
      <c r="B129" s="16" t="s">
        <v>94</v>
      </c>
      <c r="C129" s="16"/>
      <c r="D129" s="16"/>
      <c r="E129" s="16"/>
      <c r="F129" s="16"/>
      <c r="G129" s="16"/>
      <c r="H129" s="16"/>
      <c r="I129" s="16"/>
      <c r="J129" s="16"/>
      <c r="K129" s="16"/>
      <c r="L129" s="16"/>
      <c r="M129" s="16"/>
      <c r="N129" s="16"/>
      <c r="O129" s="16"/>
    </row>
    <row r="130" spans="1:15" x14ac:dyDescent="0.25">
      <c r="A130" s="18" t="s">
        <v>235</v>
      </c>
      <c r="B130" s="18" t="s">
        <v>463</v>
      </c>
      <c r="C130" s="18"/>
      <c r="D130" s="18"/>
      <c r="E130" s="18"/>
      <c r="F130" s="18"/>
      <c r="G130" s="18"/>
      <c r="H130" s="18"/>
      <c r="I130" s="18"/>
      <c r="J130" s="18"/>
      <c r="K130" s="18"/>
      <c r="L130" s="18"/>
      <c r="M130" s="18"/>
      <c r="N130" s="18"/>
      <c r="O130" s="18"/>
    </row>
    <row r="131" spans="1:15" x14ac:dyDescent="0.25">
      <c r="A131" s="16"/>
      <c r="B131" s="16" t="s">
        <v>95</v>
      </c>
      <c r="C131" s="16"/>
      <c r="D131" s="16"/>
      <c r="E131" s="16"/>
      <c r="F131" s="16"/>
      <c r="G131" s="16"/>
      <c r="H131" s="16"/>
      <c r="I131" s="16"/>
      <c r="J131" s="16"/>
      <c r="K131" s="16"/>
      <c r="L131" s="16"/>
      <c r="M131" s="16"/>
      <c r="N131" s="16"/>
      <c r="O131" s="16"/>
    </row>
    <row r="132" spans="1:15" x14ac:dyDescent="0.25">
      <c r="A132" s="17"/>
      <c r="B132" s="17" t="s">
        <v>96</v>
      </c>
      <c r="C132" s="17"/>
      <c r="D132" s="17"/>
      <c r="E132" s="17"/>
      <c r="F132" s="17"/>
      <c r="G132" s="17"/>
      <c r="H132" s="17"/>
      <c r="I132" s="17"/>
      <c r="J132" s="17"/>
      <c r="K132" s="17"/>
      <c r="L132" s="17"/>
      <c r="M132" s="17"/>
      <c r="N132" s="17"/>
      <c r="O132" s="17"/>
    </row>
    <row r="133" spans="1:15" x14ac:dyDescent="0.25">
      <c r="A133" s="16"/>
      <c r="B133" s="16" t="s">
        <v>97</v>
      </c>
      <c r="C133" s="16"/>
      <c r="D133" s="16"/>
      <c r="E133" s="16"/>
      <c r="F133" s="16"/>
      <c r="G133" s="16"/>
      <c r="H133" s="16"/>
      <c r="I133" s="16"/>
      <c r="J133" s="16"/>
      <c r="K133" s="16"/>
      <c r="L133" s="16"/>
      <c r="M133" s="16"/>
      <c r="N133" s="16"/>
      <c r="O133" s="16"/>
    </row>
    <row r="134" spans="1:15" x14ac:dyDescent="0.25">
      <c r="A134" s="18"/>
      <c r="B134" s="18" t="s">
        <v>464</v>
      </c>
      <c r="C134" s="18"/>
      <c r="D134" s="18"/>
      <c r="E134" s="18"/>
      <c r="F134" s="18"/>
      <c r="G134" s="18"/>
      <c r="H134" s="18"/>
      <c r="I134" s="18"/>
      <c r="J134" s="18"/>
      <c r="K134" s="18"/>
      <c r="L134" s="18"/>
      <c r="M134" s="18"/>
      <c r="N134" s="18"/>
      <c r="O134" s="18"/>
    </row>
    <row r="135" spans="1:15" x14ac:dyDescent="0.25">
      <c r="A135" s="16"/>
      <c r="B135" s="16" t="s">
        <v>98</v>
      </c>
      <c r="C135" s="16">
        <v>1</v>
      </c>
      <c r="D135" s="16"/>
      <c r="E135" s="16"/>
      <c r="F135" s="16"/>
      <c r="G135" s="16"/>
      <c r="H135" s="16"/>
      <c r="I135" s="16"/>
      <c r="J135" s="16"/>
      <c r="K135" s="16"/>
      <c r="L135" s="16"/>
      <c r="M135" s="16"/>
      <c r="N135" s="16"/>
      <c r="O135" s="16"/>
    </row>
    <row r="136" spans="1:15" x14ac:dyDescent="0.25">
      <c r="A136" s="17"/>
      <c r="B136" s="17" t="s">
        <v>311</v>
      </c>
      <c r="C136" s="17">
        <v>1</v>
      </c>
      <c r="D136" s="17"/>
      <c r="E136" s="17"/>
      <c r="F136" s="17"/>
      <c r="G136" s="17"/>
      <c r="H136" s="17"/>
      <c r="I136" s="17"/>
      <c r="J136" s="17"/>
      <c r="K136" s="17"/>
      <c r="L136" s="17"/>
      <c r="M136" s="17"/>
      <c r="N136" s="17"/>
      <c r="O136" s="17"/>
    </row>
    <row r="137" spans="1:15" x14ac:dyDescent="0.25">
      <c r="A137" s="16"/>
      <c r="B137" s="16" t="s">
        <v>99</v>
      </c>
      <c r="C137" s="16" t="s">
        <v>100</v>
      </c>
      <c r="D137" s="16"/>
      <c r="E137" s="16"/>
      <c r="F137" s="16"/>
      <c r="G137" s="16"/>
      <c r="H137" s="16"/>
      <c r="I137" s="16"/>
      <c r="J137" s="16"/>
      <c r="K137" s="16"/>
      <c r="L137" s="16"/>
      <c r="M137" s="16"/>
      <c r="N137" s="16"/>
      <c r="O137" s="16"/>
    </row>
    <row r="138" spans="1:15" x14ac:dyDescent="0.25">
      <c r="A138" s="18"/>
      <c r="B138" s="18" t="s">
        <v>465</v>
      </c>
      <c r="C138" s="18"/>
      <c r="D138" s="18"/>
      <c r="E138" s="18"/>
      <c r="F138" s="18"/>
      <c r="G138" s="18"/>
      <c r="H138" s="18"/>
      <c r="I138" s="18"/>
      <c r="J138" s="18"/>
      <c r="K138" s="18"/>
      <c r="L138" s="18"/>
      <c r="M138" s="18"/>
      <c r="N138" s="18"/>
      <c r="O138" s="18"/>
    </row>
    <row r="139" spans="1:15" x14ac:dyDescent="0.25">
      <c r="A139" s="16"/>
      <c r="B139" s="16" t="s">
        <v>101</v>
      </c>
      <c r="C139" s="16"/>
      <c r="D139" s="16"/>
      <c r="E139" s="16"/>
      <c r="F139" s="16"/>
      <c r="G139" s="16"/>
      <c r="H139" s="16"/>
      <c r="I139" s="16"/>
      <c r="J139" s="16"/>
      <c r="K139" s="16"/>
      <c r="L139" s="16"/>
      <c r="M139" s="16"/>
      <c r="N139" s="16"/>
      <c r="O139" s="16"/>
    </row>
    <row r="140" spans="1:15" x14ac:dyDescent="0.25">
      <c r="A140" s="18" t="s">
        <v>236</v>
      </c>
      <c r="B140" s="18" t="s">
        <v>427</v>
      </c>
      <c r="C140" s="18"/>
      <c r="D140" s="18"/>
      <c r="E140" s="18"/>
      <c r="F140" s="18"/>
      <c r="G140" s="18"/>
      <c r="H140" s="18"/>
      <c r="I140" s="18"/>
      <c r="J140" s="18"/>
      <c r="K140" s="18"/>
      <c r="L140" s="18"/>
      <c r="M140" s="18"/>
      <c r="N140" s="18"/>
      <c r="O140" s="18"/>
    </row>
    <row r="141" spans="1:15" x14ac:dyDescent="0.25">
      <c r="A141" s="16"/>
      <c r="B141" s="16" t="s">
        <v>102</v>
      </c>
      <c r="C141" s="16"/>
      <c r="D141" s="16"/>
      <c r="E141" s="16"/>
      <c r="F141" s="16"/>
      <c r="G141" s="16"/>
      <c r="H141" s="16"/>
      <c r="I141" s="16"/>
      <c r="J141" s="16"/>
      <c r="K141" s="16"/>
      <c r="L141" s="16"/>
      <c r="M141" s="16"/>
      <c r="N141" s="16"/>
      <c r="O141" s="16"/>
    </row>
    <row r="142" spans="1:15" x14ac:dyDescent="0.25">
      <c r="A142" s="18" t="s">
        <v>237</v>
      </c>
      <c r="B142" s="18" t="s">
        <v>466</v>
      </c>
      <c r="C142" s="18"/>
      <c r="D142" s="18"/>
      <c r="E142" s="18"/>
      <c r="F142" s="18"/>
      <c r="G142" s="18"/>
      <c r="H142" s="18"/>
      <c r="I142" s="18"/>
      <c r="J142" s="18"/>
      <c r="K142" s="18"/>
      <c r="L142" s="18"/>
      <c r="M142" s="18"/>
      <c r="N142" s="18"/>
      <c r="O142" s="18"/>
    </row>
    <row r="143" spans="1:15" x14ac:dyDescent="0.25">
      <c r="A143" s="16"/>
      <c r="B143" s="16" t="s">
        <v>141</v>
      </c>
      <c r="C143" s="16" t="str">
        <f>Printer_Name</f>
        <v>AnyCubic E3D V6 0.6 mm PET</v>
      </c>
      <c r="D143" s="16"/>
      <c r="E143" s="16"/>
      <c r="F143" s="16"/>
      <c r="G143" s="16"/>
      <c r="H143" s="16"/>
      <c r="I143" s="16"/>
      <c r="J143" s="16"/>
      <c r="K143" s="16"/>
      <c r="L143" s="16"/>
      <c r="M143" s="16"/>
      <c r="N143" s="16"/>
      <c r="O143" s="16"/>
    </row>
    <row r="144" spans="1:15" x14ac:dyDescent="0.25">
      <c r="A144" s="17"/>
      <c r="B144" s="17" t="s">
        <v>142</v>
      </c>
      <c r="C144" s="17"/>
      <c r="D144" s="17"/>
      <c r="E144" s="17"/>
      <c r="F144" s="17"/>
      <c r="G144" s="17"/>
      <c r="H144" s="17"/>
      <c r="I144" s="17"/>
      <c r="J144" s="17"/>
      <c r="K144" s="17"/>
      <c r="L144" s="17"/>
      <c r="M144" s="17"/>
      <c r="N144" s="17"/>
      <c r="O144" s="17"/>
    </row>
    <row r="145" spans="1:15" x14ac:dyDescent="0.25">
      <c r="A145" s="16"/>
      <c r="B145" s="16" t="s">
        <v>404</v>
      </c>
      <c r="C145" s="16"/>
      <c r="D145" s="16"/>
      <c r="E145" s="16"/>
      <c r="F145" s="16"/>
      <c r="G145" s="16"/>
      <c r="H145" s="16"/>
      <c r="I145" s="16"/>
      <c r="J145" s="16"/>
      <c r="K145" s="16"/>
      <c r="L145" s="16"/>
      <c r="M145" s="16"/>
      <c r="N145" s="16"/>
      <c r="O145" s="16"/>
    </row>
    <row r="146" spans="1:15" x14ac:dyDescent="0.25">
      <c r="A146" s="17"/>
      <c r="B146" s="17" t="s">
        <v>411</v>
      </c>
      <c r="C146" s="17"/>
      <c r="D146" s="17"/>
      <c r="E146" s="17"/>
      <c r="F146" s="17"/>
      <c r="G146" s="17"/>
      <c r="H146" s="17"/>
      <c r="I146" s="17"/>
      <c r="J146" s="17"/>
      <c r="K146" s="17"/>
      <c r="L146" s="17"/>
      <c r="M146" s="17"/>
      <c r="N146" s="17"/>
      <c r="O146" s="1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47" activePane="bottomLeft" state="frozen"/>
      <selection activeCell="B30" sqref="B30"/>
      <selection pane="bottomLeft" activeCell="C67" sqref="C67"/>
    </sheetView>
  </sheetViews>
  <sheetFormatPr defaultRowHeight="15" x14ac:dyDescent="0.25"/>
  <cols>
    <col min="1" max="1" width="19.140625" bestFit="1" customWidth="1"/>
    <col min="2" max="2" width="39.7109375" customWidth="1"/>
    <col min="3" max="3" width="38.42578125" bestFit="1" customWidth="1"/>
    <col min="4" max="4" width="11.7109375" bestFit="1" customWidth="1"/>
    <col min="5" max="5" width="13.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59.85546875" customWidth="1"/>
    <col min="16" max="16" width="17.28515625" bestFit="1" customWidth="1"/>
  </cols>
  <sheetData>
    <row r="1" spans="1:15" x14ac:dyDescent="0.25">
      <c r="A1" s="15" t="s">
        <v>226</v>
      </c>
      <c r="B1" s="15" t="s">
        <v>204</v>
      </c>
      <c r="C1" s="15" t="s">
        <v>103</v>
      </c>
      <c r="D1" s="15" t="s">
        <v>246</v>
      </c>
      <c r="E1" s="15" t="s">
        <v>247</v>
      </c>
      <c r="F1" s="15">
        <v>0.24</v>
      </c>
      <c r="G1" s="15">
        <v>0.28000000000000003</v>
      </c>
      <c r="H1" s="15" t="s">
        <v>248</v>
      </c>
      <c r="I1" s="15" t="s">
        <v>249</v>
      </c>
      <c r="J1" s="15" t="s">
        <v>250</v>
      </c>
      <c r="K1" s="15" t="s">
        <v>251</v>
      </c>
      <c r="L1" s="15" t="s">
        <v>252</v>
      </c>
      <c r="M1" s="15" t="s">
        <v>253</v>
      </c>
      <c r="N1" s="15" t="s">
        <v>254</v>
      </c>
      <c r="O1" s="15" t="s">
        <v>215</v>
      </c>
    </row>
    <row r="2" spans="1:15" x14ac:dyDescent="0.25">
      <c r="A2" s="16"/>
      <c r="B2" s="16"/>
      <c r="C2" s="16"/>
      <c r="D2" s="16" t="s">
        <v>216</v>
      </c>
      <c r="E2" s="16" t="s">
        <v>217</v>
      </c>
      <c r="F2" s="16" t="s">
        <v>379</v>
      </c>
      <c r="G2" s="16" t="s">
        <v>380</v>
      </c>
      <c r="H2" s="16" t="s">
        <v>218</v>
      </c>
      <c r="I2" s="16" t="s">
        <v>219</v>
      </c>
      <c r="J2" s="16" t="s">
        <v>220</v>
      </c>
      <c r="K2" s="16" t="s">
        <v>221</v>
      </c>
      <c r="L2" s="16" t="s">
        <v>222</v>
      </c>
      <c r="M2" s="16" t="s">
        <v>223</v>
      </c>
      <c r="N2" s="16" t="s">
        <v>224</v>
      </c>
      <c r="O2" s="16"/>
    </row>
    <row r="3" spans="1:15" x14ac:dyDescent="0.25">
      <c r="A3" s="17"/>
      <c r="B3" s="17" t="s">
        <v>0</v>
      </c>
      <c r="C3" s="17">
        <v>4</v>
      </c>
      <c r="D3" s="17"/>
      <c r="E3" s="17"/>
      <c r="F3" s="17"/>
      <c r="G3" s="17"/>
      <c r="H3" s="17"/>
      <c r="I3" s="17"/>
      <c r="J3" s="17"/>
      <c r="K3" s="17"/>
      <c r="L3" s="17"/>
      <c r="M3" s="17"/>
      <c r="N3" s="17"/>
      <c r="O3" s="17"/>
    </row>
    <row r="4" spans="1:15" x14ac:dyDescent="0.25">
      <c r="A4" s="18" t="s">
        <v>227</v>
      </c>
      <c r="B4" s="18" t="s">
        <v>440</v>
      </c>
      <c r="C4" s="18"/>
      <c r="D4" s="18"/>
      <c r="E4" s="18"/>
      <c r="F4" s="18"/>
      <c r="G4" s="18"/>
      <c r="H4" s="18"/>
      <c r="I4" s="18"/>
      <c r="J4" s="18"/>
      <c r="K4" s="18"/>
      <c r="L4" s="18"/>
      <c r="M4" s="18"/>
      <c r="N4" s="18"/>
      <c r="O4" s="18"/>
    </row>
    <row r="5" spans="1:15" x14ac:dyDescent="0.25">
      <c r="A5" s="16"/>
      <c r="B5" s="16" t="s">
        <v>1</v>
      </c>
      <c r="C5" s="16">
        <f>MAX(0.2,Min_Layer_Height)</f>
        <v>0.2</v>
      </c>
      <c r="D5" s="16">
        <v>0.12</v>
      </c>
      <c r="E5" s="16">
        <v>0.2</v>
      </c>
      <c r="F5" s="16">
        <v>0.24</v>
      </c>
      <c r="G5" s="16">
        <v>0.28000000000000003</v>
      </c>
      <c r="H5" s="16">
        <v>0.32</v>
      </c>
      <c r="I5" s="16">
        <v>0.4</v>
      </c>
      <c r="J5" s="16">
        <v>0.48</v>
      </c>
      <c r="K5" s="16">
        <v>0.56000000000000005</v>
      </c>
      <c r="L5" s="16">
        <v>0.64</v>
      </c>
      <c r="M5" s="16">
        <v>0.72</v>
      </c>
      <c r="N5" s="16">
        <v>0.8</v>
      </c>
      <c r="O5" s="16"/>
    </row>
    <row r="6" spans="1:15" x14ac:dyDescent="0.25">
      <c r="A6" s="17"/>
      <c r="B6" s="17" t="s">
        <v>2</v>
      </c>
      <c r="C6" s="17">
        <f>MAX(0.2,Min_Layer_Height)</f>
        <v>0.2</v>
      </c>
      <c r="D6" s="17"/>
      <c r="E6" s="17"/>
      <c r="F6" s="17"/>
      <c r="G6" s="17"/>
      <c r="H6" s="17"/>
      <c r="I6" s="17"/>
      <c r="J6" s="17"/>
      <c r="K6" s="17"/>
      <c r="L6" s="17"/>
      <c r="M6" s="17"/>
      <c r="N6" s="17"/>
      <c r="O6" s="17"/>
    </row>
    <row r="7" spans="1:15" x14ac:dyDescent="0.25">
      <c r="A7" s="18"/>
      <c r="B7" s="18" t="s">
        <v>441</v>
      </c>
      <c r="C7" s="18"/>
      <c r="D7" s="18"/>
      <c r="E7" s="18"/>
      <c r="F7" s="18"/>
      <c r="G7" s="18"/>
      <c r="H7" s="18"/>
      <c r="I7" s="18"/>
      <c r="J7" s="18"/>
      <c r="K7" s="18"/>
      <c r="L7" s="18"/>
      <c r="M7" s="18"/>
      <c r="N7" s="18"/>
      <c r="O7" s="18"/>
    </row>
    <row r="8" spans="1:15" x14ac:dyDescent="0.25">
      <c r="A8" s="16"/>
      <c r="B8" s="16" t="s">
        <v>3</v>
      </c>
      <c r="C8" s="16"/>
      <c r="D8" s="16" t="str">
        <f>Matchfill(INDEX(spec!$F$13:$R$22,MATCH($B8,spec!$F$13:$F$22,0),MATCH(D$5,spec!$F$13:$R$13,0)),$C$8)</f>
        <v>3</v>
      </c>
      <c r="E8" s="16" t="str">
        <f>Matchfill(INDEX(spec!$F$13:$R$22,MATCH($B8,spec!$F$13:$F$22,0),MATCH(E$5,spec!$F$13:$R$13,0)),$C$8)</f>
        <v>3</v>
      </c>
      <c r="F8" s="16">
        <v>3</v>
      </c>
      <c r="G8" s="16">
        <v>3</v>
      </c>
      <c r="H8" s="16" t="str">
        <f>Matchfill(INDEX(spec!$F$13:$R$22,MATCH($B8,spec!$F$13:$F$22,0),MATCH(H$5,spec!$F$13:$R$13,0)),$C$8)</f>
        <v>3</v>
      </c>
      <c r="I8" s="16" t="str">
        <f>Matchfill(INDEX(spec!$F$13:$R$22,MATCH($B8,spec!$F$13:$F$22,0),MATCH(I$5,spec!$F$13:$R$13,0)),$C$8)</f>
        <v>3</v>
      </c>
      <c r="J8" s="16" t="str">
        <f>Matchfill(INDEX(spec!$F$13:$R$22,MATCH($B8,spec!$F$13:$F$22,0),MATCH(J$5,spec!$F$13:$R$13,0)),$C$8)</f>
        <v>3</v>
      </c>
      <c r="K8" s="16" t="str">
        <f>Matchfill(INDEX(spec!$F$13:$R$22,MATCH($B8,spec!$F$13:$F$22,0),MATCH(K$5,spec!$F$13:$R$13,0)),$C$8)</f>
        <v>3</v>
      </c>
      <c r="L8" s="16" t="str">
        <f>Matchfill(INDEX(spec!$F$13:$R$22,MATCH($B8,spec!$F$13:$F$22,0),MATCH(L$5,spec!$F$13:$R$13,0)),$C$8)</f>
        <v>3</v>
      </c>
      <c r="M8" s="16" t="str">
        <f>Matchfill(INDEX(spec!$F$13:$R$22,MATCH($B8,spec!$F$13:$F$22,0),MATCH(M$5,spec!$F$13:$R$13,0)),$C$8)</f>
        <v>3</v>
      </c>
      <c r="N8" s="16" t="str">
        <f>Matchfill(INDEX(spec!$F$13:$R$22,MATCH($B8,spec!$F$13:$F$22,0),MATCH(N$5,spec!$F$13:$R$13,0)),$C$8)</f>
        <v>3</v>
      </c>
      <c r="O8" s="16"/>
    </row>
    <row r="9" spans="1:15" x14ac:dyDescent="0.25">
      <c r="A9" s="17"/>
      <c r="B9" s="17" t="s">
        <v>4</v>
      </c>
      <c r="C9" s="17">
        <v>0</v>
      </c>
      <c r="D9" s="17"/>
      <c r="E9" s="17"/>
      <c r="F9" s="17"/>
      <c r="G9" s="17"/>
      <c r="H9" s="17"/>
      <c r="I9" s="17"/>
      <c r="J9" s="17"/>
      <c r="K9" s="17"/>
      <c r="L9" s="17"/>
      <c r="M9" s="17"/>
      <c r="N9" s="17"/>
      <c r="O9" s="17"/>
    </row>
    <row r="10" spans="1:15" x14ac:dyDescent="0.25">
      <c r="A10" s="18"/>
      <c r="B10" s="18" t="s">
        <v>442</v>
      </c>
      <c r="C10" s="18"/>
      <c r="D10" s="18"/>
      <c r="E10" s="18"/>
      <c r="F10" s="18"/>
      <c r="G10" s="18"/>
      <c r="H10" s="18"/>
      <c r="I10" s="18"/>
      <c r="J10" s="18"/>
      <c r="K10" s="18"/>
      <c r="L10" s="18"/>
      <c r="M10" s="18"/>
      <c r="N10" s="18"/>
      <c r="O10" s="18"/>
    </row>
    <row r="11" spans="1:15" x14ac:dyDescent="0.25">
      <c r="A11" s="16"/>
      <c r="B11" s="16" t="s">
        <v>5</v>
      </c>
      <c r="C11" s="16"/>
      <c r="D11" s="16" t="str">
        <f>Matchfill(INDEX(spec!$F$13:$R$22,MATCH($B11,spec!$F$13:$F$22,0),MATCH(D$5,spec!$F$13:$R$13,0)),$C$8)</f>
        <v>7</v>
      </c>
      <c r="E11" s="16" t="str">
        <f>Matchfill(INDEX(spec!$F$13:$R$22,MATCH($B11,spec!$F$13:$F$22,0),MATCH(E$5,spec!$F$13:$R$13,0)),$C$8)</f>
        <v>4</v>
      </c>
      <c r="F11" s="16">
        <v>3</v>
      </c>
      <c r="G11" s="16">
        <v>3</v>
      </c>
      <c r="H11" s="16" t="str">
        <f>Matchfill(INDEX(spec!$F$13:$R$22,MATCH($B11,spec!$F$13:$F$22,0),MATCH(H$5,spec!$F$13:$R$13,0)),$C$8)</f>
        <v>3</v>
      </c>
      <c r="I11" s="16" t="str">
        <f>Matchfill(INDEX(spec!$F$13:$R$22,MATCH($B11,spec!$F$13:$F$22,0),MATCH(I$5,spec!$F$13:$R$13,0)),$C$8)</f>
        <v>3</v>
      </c>
      <c r="J11" s="16" t="str">
        <f>Matchfill(INDEX(spec!$F$13:$R$22,MATCH($B11,spec!$F$13:$F$22,0),MATCH(J$5,spec!$F$13:$R$13,0)),$C$8)</f>
        <v>3</v>
      </c>
      <c r="K11" s="16" t="str">
        <f>Matchfill(INDEX(spec!$F$13:$R$22,MATCH($B11,spec!$F$13:$F$22,0),MATCH(K$5,spec!$F$13:$R$13,0)),$C$8)</f>
        <v>3</v>
      </c>
      <c r="L11" s="16" t="str">
        <f>Matchfill(INDEX(spec!$F$13:$R$22,MATCH($B11,spec!$F$13:$F$22,0),MATCH(L$5,spec!$F$13:$R$13,0)),$C$8)</f>
        <v>3</v>
      </c>
      <c r="M11" s="16" t="str">
        <f>Matchfill(INDEX(spec!$F$13:$R$22,MATCH($B11,spec!$F$13:$F$22,0),MATCH(M$5,spec!$F$13:$R$13,0)),$C$8)</f>
        <v>3</v>
      </c>
      <c r="N11" s="16" t="str">
        <f>Matchfill(INDEX(spec!$F$13:$R$22,MATCH($B11,spec!$F$13:$F$22,0),MATCH(N$5,spec!$F$13:$R$13,0)),$C$8)</f>
        <v>3</v>
      </c>
      <c r="O11" s="16"/>
    </row>
    <row r="12" spans="1:15" x14ac:dyDescent="0.25">
      <c r="A12" s="17"/>
      <c r="B12" s="17" t="s">
        <v>6</v>
      </c>
      <c r="C12" s="17"/>
      <c r="D12" s="17" t="str">
        <f>Matchfill(INDEX(spec!$F$13:$R$22,MATCH($B12,spec!$F$13:$F$22,0),MATCH(D$5,spec!$F$13:$R$13,0)),$C$8)</f>
        <v>7</v>
      </c>
      <c r="E12" s="17" t="str">
        <f>Matchfill(INDEX(spec!$F$13:$R$22,MATCH($B12,spec!$F$13:$F$22,0),MATCH(E$5,spec!$F$13:$R$13,0)),$C$8)</f>
        <v>4</v>
      </c>
      <c r="F12" s="17">
        <v>3</v>
      </c>
      <c r="G12" s="17">
        <v>3</v>
      </c>
      <c r="H12" s="17" t="str">
        <f>Matchfill(INDEX(spec!$F$13:$R$22,MATCH($B12,spec!$F$13:$F$22,0),MATCH(H$5,spec!$F$13:$R$13,0)),$C$8)</f>
        <v>3</v>
      </c>
      <c r="I12" s="17" t="str">
        <f>Matchfill(INDEX(spec!$F$13:$R$22,MATCH($B12,spec!$F$13:$F$22,0),MATCH(I$5,spec!$F$13:$R$13,0)),$C$8)</f>
        <v>3</v>
      </c>
      <c r="J12" s="17" t="str">
        <f>Matchfill(INDEX(spec!$F$13:$R$22,MATCH($B12,spec!$F$13:$F$22,0),MATCH(J$5,spec!$F$13:$R$13,0)),$C$8)</f>
        <v>3</v>
      </c>
      <c r="K12" s="17" t="str">
        <f>Matchfill(INDEX(spec!$F$13:$R$22,MATCH($B12,spec!$F$13:$F$22,0),MATCH(K$5,spec!$F$13:$R$13,0)),$C$8)</f>
        <v>3</v>
      </c>
      <c r="L12" s="17" t="str">
        <f>Matchfill(INDEX(spec!$F$13:$R$22,MATCH($B12,spec!$F$13:$F$22,0),MATCH(L$5,spec!$F$13:$R$13,0)),$C$8)</f>
        <v>3</v>
      </c>
      <c r="M12" s="17" t="str">
        <f>Matchfill(INDEX(spec!$F$13:$R$22,MATCH($B12,spec!$F$13:$F$22,0),MATCH(M$5,spec!$F$13:$R$13,0)),$C$8)</f>
        <v>3</v>
      </c>
      <c r="N12" s="17" t="str">
        <f>Matchfill(INDEX(spec!$F$13:$R$22,MATCH($B12,spec!$F$13:$F$22,0),MATCH(N$5,spec!$F$13:$R$13,0)),$C$8)</f>
        <v>3</v>
      </c>
      <c r="O12" s="17"/>
    </row>
    <row r="13" spans="1:15" x14ac:dyDescent="0.25">
      <c r="A13" s="18"/>
      <c r="B13" s="18" t="s">
        <v>443</v>
      </c>
      <c r="C13" s="18"/>
      <c r="D13" s="18"/>
      <c r="E13" s="18"/>
      <c r="F13" s="18"/>
      <c r="G13" s="18"/>
      <c r="H13" s="18"/>
      <c r="I13" s="18"/>
      <c r="J13" s="18"/>
      <c r="K13" s="18"/>
      <c r="L13" s="18"/>
      <c r="M13" s="18"/>
      <c r="N13" s="18"/>
      <c r="O13" s="18"/>
    </row>
    <row r="14" spans="1:15" x14ac:dyDescent="0.25">
      <c r="A14" s="16"/>
      <c r="B14" s="16" t="s">
        <v>7</v>
      </c>
      <c r="C14" s="16">
        <v>1</v>
      </c>
      <c r="D14" s="16"/>
      <c r="E14" s="16"/>
      <c r="F14" s="16"/>
      <c r="G14" s="16"/>
      <c r="H14" s="16"/>
      <c r="I14" s="16"/>
      <c r="J14" s="16"/>
      <c r="K14" s="16"/>
      <c r="L14" s="16"/>
      <c r="M14" s="16"/>
      <c r="N14" s="16"/>
      <c r="O14" s="16" t="s">
        <v>238</v>
      </c>
    </row>
    <row r="15" spans="1:15" x14ac:dyDescent="0.25">
      <c r="A15" s="17"/>
      <c r="B15" s="17" t="s">
        <v>8</v>
      </c>
      <c r="C15" s="17">
        <v>1</v>
      </c>
      <c r="D15" s="17"/>
      <c r="E15" s="17"/>
      <c r="F15" s="17"/>
      <c r="G15" s="17"/>
      <c r="H15" s="17"/>
      <c r="I15" s="17"/>
      <c r="J15" s="17"/>
      <c r="K15" s="17"/>
      <c r="L15" s="17"/>
      <c r="M15" s="17"/>
      <c r="N15" s="17"/>
      <c r="O15" s="17" t="s">
        <v>239</v>
      </c>
    </row>
    <row r="16" spans="1:15" x14ac:dyDescent="0.25">
      <c r="A16" s="16"/>
      <c r="B16" s="16" t="s">
        <v>9</v>
      </c>
      <c r="C16" s="16">
        <v>0</v>
      </c>
      <c r="D16" s="16"/>
      <c r="E16" s="16"/>
      <c r="F16" s="16"/>
      <c r="G16" s="16"/>
      <c r="H16" s="16"/>
      <c r="I16" s="16"/>
      <c r="J16" s="16"/>
      <c r="K16" s="16"/>
      <c r="L16" s="16"/>
      <c r="M16" s="16"/>
      <c r="N16" s="16"/>
      <c r="O16" s="16"/>
    </row>
    <row r="17" spans="1:15" x14ac:dyDescent="0.25">
      <c r="A17" s="17"/>
      <c r="B17" s="17" t="s">
        <v>10</v>
      </c>
      <c r="C17" s="17">
        <v>1</v>
      </c>
      <c r="D17" s="17"/>
      <c r="E17" s="17"/>
      <c r="F17" s="17"/>
      <c r="G17" s="17"/>
      <c r="H17" s="17"/>
      <c r="I17" s="17"/>
      <c r="J17" s="17"/>
      <c r="K17" s="17"/>
      <c r="L17" s="17"/>
      <c r="M17" s="17"/>
      <c r="N17" s="17"/>
      <c r="O17" s="17" t="s">
        <v>240</v>
      </c>
    </row>
    <row r="18" spans="1:15" x14ac:dyDescent="0.25">
      <c r="A18" s="16"/>
      <c r="B18" s="16" t="s">
        <v>267</v>
      </c>
      <c r="C18" s="16">
        <v>1</v>
      </c>
      <c r="D18" s="16"/>
      <c r="E18" s="16"/>
      <c r="F18" s="16"/>
      <c r="G18" s="16"/>
      <c r="H18" s="16"/>
      <c r="I18" s="16"/>
      <c r="J18" s="16"/>
      <c r="K18" s="16"/>
      <c r="L18" s="16"/>
      <c r="M18" s="16"/>
      <c r="N18" s="16"/>
      <c r="O18" s="16" t="s">
        <v>268</v>
      </c>
    </row>
    <row r="19" spans="1:15" x14ac:dyDescent="0.25">
      <c r="A19" s="18"/>
      <c r="B19" s="18" t="s">
        <v>416</v>
      </c>
      <c r="C19" s="18"/>
      <c r="D19" s="18"/>
      <c r="E19" s="18"/>
      <c r="F19" s="18"/>
      <c r="G19" s="18"/>
      <c r="H19" s="18"/>
      <c r="I19" s="18"/>
      <c r="J19" s="18"/>
      <c r="K19" s="18"/>
      <c r="L19" s="18"/>
      <c r="M19" s="18"/>
      <c r="N19" s="18"/>
      <c r="O19" s="18" t="s">
        <v>241</v>
      </c>
    </row>
    <row r="20" spans="1:15" x14ac:dyDescent="0.25">
      <c r="A20" s="16"/>
      <c r="B20" s="16" t="s">
        <v>12</v>
      </c>
      <c r="C20" s="16" t="s">
        <v>13</v>
      </c>
      <c r="D20" s="16"/>
      <c r="E20" s="16"/>
      <c r="F20" s="16"/>
      <c r="G20" s="16"/>
      <c r="H20" s="16"/>
      <c r="I20" s="16"/>
      <c r="J20" s="16"/>
      <c r="K20" s="16"/>
      <c r="L20" s="16"/>
      <c r="M20" s="16"/>
      <c r="N20" s="16"/>
      <c r="O20" s="16"/>
    </row>
    <row r="21" spans="1:15" x14ac:dyDescent="0.25">
      <c r="A21" s="17"/>
      <c r="B21" s="17" t="s">
        <v>14</v>
      </c>
      <c r="C21" s="17">
        <v>0</v>
      </c>
      <c r="D21" s="17"/>
      <c r="E21" s="17"/>
      <c r="F21" s="17"/>
      <c r="G21" s="17"/>
      <c r="H21" s="17"/>
      <c r="I21" s="17"/>
      <c r="J21" s="17"/>
      <c r="K21" s="17"/>
      <c r="L21" s="17"/>
      <c r="M21" s="17"/>
      <c r="N21" s="17"/>
      <c r="O21" s="17"/>
    </row>
    <row r="22" spans="1:15" x14ac:dyDescent="0.25">
      <c r="A22" s="18" t="s">
        <v>228</v>
      </c>
      <c r="B22" s="18" t="s">
        <v>444</v>
      </c>
      <c r="C22" s="18"/>
      <c r="D22" s="18"/>
      <c r="E22" s="18"/>
      <c r="F22" s="18"/>
      <c r="G22" s="18"/>
      <c r="H22" s="18"/>
      <c r="I22" s="18"/>
      <c r="J22" s="18"/>
      <c r="K22" s="18"/>
      <c r="L22" s="18"/>
      <c r="M22" s="18"/>
      <c r="N22" s="18"/>
      <c r="O22" s="18"/>
    </row>
    <row r="23" spans="1:15" x14ac:dyDescent="0.25">
      <c r="A23" s="16"/>
      <c r="B23" s="16" t="s">
        <v>15</v>
      </c>
      <c r="C23" s="16" t="str">
        <f>"15%"</f>
        <v>15%</v>
      </c>
      <c r="D23" s="16"/>
      <c r="E23" s="16"/>
      <c r="F23" s="16"/>
      <c r="G23" s="16"/>
      <c r="H23" s="16"/>
      <c r="I23" s="16"/>
      <c r="J23" s="16"/>
      <c r="K23" s="16"/>
      <c r="L23" s="16"/>
      <c r="M23" s="16"/>
      <c r="N23" s="16"/>
      <c r="O23" s="16"/>
    </row>
    <row r="24" spans="1:15" x14ac:dyDescent="0.25">
      <c r="A24" s="17"/>
      <c r="B24" s="17" t="s">
        <v>16</v>
      </c>
      <c r="C24" s="17" t="s">
        <v>381</v>
      </c>
      <c r="D24" s="17"/>
      <c r="E24" s="17"/>
      <c r="F24" s="17"/>
      <c r="G24" s="17"/>
      <c r="H24" s="17"/>
      <c r="I24" s="17"/>
      <c r="J24" s="17"/>
      <c r="K24" s="17"/>
      <c r="L24" s="17"/>
      <c r="M24" s="17"/>
      <c r="N24" s="17"/>
      <c r="O24" s="17" t="s">
        <v>242</v>
      </c>
    </row>
    <row r="25" spans="1:15" x14ac:dyDescent="0.25">
      <c r="A25" s="16"/>
      <c r="B25" s="16" t="s">
        <v>389</v>
      </c>
      <c r="C25" s="16" t="s">
        <v>17</v>
      </c>
      <c r="D25" s="16"/>
      <c r="E25" s="16"/>
      <c r="F25" s="16"/>
      <c r="G25" s="16"/>
      <c r="H25" s="16"/>
      <c r="I25" s="16"/>
      <c r="J25" s="16"/>
      <c r="K25" s="16"/>
      <c r="L25" s="16"/>
      <c r="M25" s="16"/>
      <c r="N25" s="16"/>
      <c r="O25" s="16"/>
    </row>
    <row r="26" spans="1:15" x14ac:dyDescent="0.25">
      <c r="A26" s="17"/>
      <c r="B26" s="17" t="s">
        <v>390</v>
      </c>
      <c r="C26" s="17" t="s">
        <v>17</v>
      </c>
      <c r="D26" s="17"/>
      <c r="E26" s="17"/>
      <c r="F26" s="17"/>
      <c r="G26" s="17"/>
      <c r="H26" s="17"/>
      <c r="I26" s="17"/>
      <c r="J26" s="17"/>
      <c r="K26" s="17"/>
      <c r="L26" s="17"/>
      <c r="M26" s="17"/>
      <c r="N26" s="17"/>
      <c r="O26" s="17"/>
    </row>
    <row r="27" spans="1:15" x14ac:dyDescent="0.25">
      <c r="A27" s="18"/>
      <c r="B27" s="18" t="s">
        <v>445</v>
      </c>
      <c r="C27" s="18"/>
      <c r="D27" s="18"/>
      <c r="E27" s="18"/>
      <c r="F27" s="18"/>
      <c r="G27" s="18"/>
      <c r="H27" s="18"/>
      <c r="I27" s="18"/>
      <c r="J27" s="18"/>
      <c r="K27" s="18"/>
      <c r="L27" s="18"/>
      <c r="M27" s="18"/>
      <c r="N27" s="18"/>
      <c r="O27" s="18" t="s">
        <v>243</v>
      </c>
    </row>
    <row r="28" spans="1:15" x14ac:dyDescent="0.25">
      <c r="A28" s="16"/>
      <c r="B28" s="16" t="s">
        <v>18</v>
      </c>
      <c r="C28" s="16">
        <v>1</v>
      </c>
      <c r="D28" s="16"/>
      <c r="E28" s="16"/>
      <c r="F28" s="16"/>
      <c r="G28" s="16"/>
      <c r="H28" s="16"/>
      <c r="I28" s="16"/>
      <c r="J28" s="16"/>
      <c r="K28" s="16"/>
      <c r="L28" s="16"/>
      <c r="M28" s="16"/>
      <c r="N28" s="16"/>
      <c r="O28" s="16" t="s">
        <v>244</v>
      </c>
    </row>
    <row r="29" spans="1:15" x14ac:dyDescent="0.25">
      <c r="A29" s="17"/>
      <c r="B29" s="17" t="s">
        <v>19</v>
      </c>
      <c r="C29" s="17">
        <v>0</v>
      </c>
      <c r="D29" s="17"/>
      <c r="E29" s="17"/>
      <c r="F29" s="17"/>
      <c r="G29" s="17"/>
      <c r="H29" s="17"/>
      <c r="I29" s="17"/>
      <c r="J29" s="17"/>
      <c r="K29" s="17"/>
      <c r="L29" s="17"/>
      <c r="M29" s="17"/>
      <c r="N29" s="17"/>
      <c r="O29" s="17"/>
    </row>
    <row r="30" spans="1:15" x14ac:dyDescent="0.25">
      <c r="A30" s="18"/>
      <c r="B30" s="18" t="s">
        <v>416</v>
      </c>
      <c r="C30" s="18"/>
      <c r="D30" s="18"/>
      <c r="E30" s="18"/>
      <c r="F30" s="18"/>
      <c r="G30" s="18"/>
      <c r="H30" s="18"/>
      <c r="I30" s="18"/>
      <c r="J30" s="18"/>
      <c r="K30" s="18"/>
      <c r="L30" s="18"/>
      <c r="M30" s="18"/>
      <c r="N30" s="18"/>
      <c r="O30" s="18"/>
    </row>
    <row r="31" spans="1:15" x14ac:dyDescent="0.25">
      <c r="A31" s="16"/>
      <c r="B31" s="16" t="s">
        <v>20</v>
      </c>
      <c r="C31" s="16">
        <v>0</v>
      </c>
      <c r="D31" s="16"/>
      <c r="E31" s="16"/>
      <c r="F31" s="16"/>
      <c r="G31" s="16"/>
      <c r="H31" s="16"/>
      <c r="I31" s="16"/>
      <c r="J31" s="16"/>
      <c r="K31" s="16"/>
      <c r="L31" s="16"/>
      <c r="M31" s="16"/>
      <c r="N31" s="16"/>
      <c r="O31" s="16"/>
    </row>
    <row r="32" spans="1:15" x14ac:dyDescent="0.25">
      <c r="A32" s="17"/>
      <c r="B32" s="17" t="s">
        <v>21</v>
      </c>
      <c r="C32" s="17">
        <v>45</v>
      </c>
      <c r="D32" s="17"/>
      <c r="E32" s="17"/>
      <c r="F32" s="17"/>
      <c r="G32" s="17"/>
      <c r="H32" s="17"/>
      <c r="I32" s="17"/>
      <c r="J32" s="17"/>
      <c r="K32" s="17"/>
      <c r="L32" s="17"/>
      <c r="M32" s="17"/>
      <c r="N32" s="17"/>
      <c r="O32" s="17"/>
    </row>
    <row r="33" spans="1:15" x14ac:dyDescent="0.25">
      <c r="A33" s="16"/>
      <c r="B33" s="16" t="s">
        <v>22</v>
      </c>
      <c r="C33" s="16">
        <f>(Nozzle_Diameter*Nozzle_Diameter)*100</f>
        <v>36</v>
      </c>
      <c r="D33" s="16"/>
      <c r="E33" s="16"/>
      <c r="F33" s="16"/>
      <c r="G33" s="16"/>
      <c r="H33" s="16"/>
      <c r="I33" s="16"/>
      <c r="J33" s="16"/>
      <c r="K33" s="16"/>
      <c r="L33" s="16"/>
      <c r="M33" s="16"/>
      <c r="N33" s="16"/>
      <c r="O33" s="16" t="s">
        <v>245</v>
      </c>
    </row>
    <row r="34" spans="1:15" x14ac:dyDescent="0.25">
      <c r="A34" s="17"/>
      <c r="B34" s="17" t="s">
        <v>23</v>
      </c>
      <c r="C34" s="17">
        <v>0</v>
      </c>
      <c r="D34" s="17"/>
      <c r="E34" s="17"/>
      <c r="F34" s="17"/>
      <c r="G34" s="17"/>
      <c r="H34" s="17"/>
      <c r="I34" s="17"/>
      <c r="J34" s="17"/>
      <c r="K34" s="17"/>
      <c r="L34" s="17"/>
      <c r="M34" s="17"/>
      <c r="N34" s="17"/>
      <c r="O34" s="17"/>
    </row>
    <row r="35" spans="1:15" x14ac:dyDescent="0.25">
      <c r="A35" s="16"/>
      <c r="B35" s="16" t="s">
        <v>24</v>
      </c>
      <c r="C35" s="16">
        <v>0</v>
      </c>
      <c r="D35" s="16"/>
      <c r="E35" s="16"/>
      <c r="F35" s="16"/>
      <c r="G35" s="16"/>
      <c r="H35" s="16"/>
      <c r="I35" s="16"/>
      <c r="J35" s="16"/>
      <c r="K35" s="16"/>
      <c r="L35" s="16"/>
      <c r="M35" s="16"/>
      <c r="N35" s="16"/>
      <c r="O35" s="16"/>
    </row>
    <row r="36" spans="1:15" x14ac:dyDescent="0.25">
      <c r="A36" s="17"/>
      <c r="B36" s="17" t="s">
        <v>25</v>
      </c>
      <c r="C36" s="17">
        <v>0</v>
      </c>
      <c r="D36" s="17"/>
      <c r="E36" s="17"/>
      <c r="F36" s="17"/>
      <c r="G36" s="17"/>
      <c r="H36" s="17"/>
      <c r="I36" s="17"/>
      <c r="J36" s="17"/>
      <c r="K36" s="17"/>
      <c r="L36" s="17"/>
      <c r="M36" s="17"/>
      <c r="N36" s="17"/>
      <c r="O36" s="17"/>
    </row>
    <row r="37" spans="1:15" x14ac:dyDescent="0.25">
      <c r="A37" s="18" t="s">
        <v>229</v>
      </c>
      <c r="B37" s="18" t="s">
        <v>446</v>
      </c>
      <c r="C37" s="18"/>
      <c r="D37" s="18"/>
      <c r="E37" s="18"/>
      <c r="F37" s="18"/>
      <c r="G37" s="18"/>
      <c r="H37" s="18"/>
      <c r="I37" s="18"/>
      <c r="J37" s="18"/>
      <c r="K37" s="18"/>
      <c r="L37" s="18"/>
      <c r="M37" s="18"/>
      <c r="N37" s="18"/>
      <c r="O37" s="18"/>
    </row>
    <row r="38" spans="1:15" x14ac:dyDescent="0.25">
      <c r="A38" s="16"/>
      <c r="B38" s="16" t="s">
        <v>26</v>
      </c>
      <c r="C38" s="16">
        <v>0</v>
      </c>
      <c r="D38" s="16"/>
      <c r="E38" s="16"/>
      <c r="F38" s="16"/>
      <c r="G38" s="16"/>
      <c r="H38" s="16"/>
      <c r="I38" s="16"/>
      <c r="J38" s="16"/>
      <c r="K38" s="16"/>
      <c r="L38" s="16"/>
      <c r="M38" s="16"/>
      <c r="N38" s="16"/>
      <c r="O38" s="16" t="s">
        <v>255</v>
      </c>
    </row>
    <row r="39" spans="1:15" x14ac:dyDescent="0.25">
      <c r="A39" s="17"/>
      <c r="B39" s="17" t="s">
        <v>27</v>
      </c>
      <c r="C39" s="17">
        <v>2</v>
      </c>
      <c r="D39" s="17"/>
      <c r="E39" s="17"/>
      <c r="F39" s="17"/>
      <c r="G39" s="17"/>
      <c r="H39" s="17"/>
      <c r="I39" s="17"/>
      <c r="J39" s="17"/>
      <c r="K39" s="17"/>
      <c r="L39" s="17"/>
      <c r="M39" s="17"/>
      <c r="N39" s="17"/>
      <c r="O39" s="17" t="s">
        <v>258</v>
      </c>
    </row>
    <row r="40" spans="1:15" x14ac:dyDescent="0.25">
      <c r="A40" s="16"/>
      <c r="B40" s="16" t="s">
        <v>28</v>
      </c>
      <c r="C40" s="16">
        <v>1</v>
      </c>
      <c r="D40" s="16"/>
      <c r="E40" s="16"/>
      <c r="F40" s="16"/>
      <c r="G40" s="16"/>
      <c r="H40" s="16"/>
      <c r="I40" s="16"/>
      <c r="J40" s="16"/>
      <c r="K40" s="16"/>
      <c r="L40" s="16"/>
      <c r="M40" s="16"/>
      <c r="N40" s="16"/>
      <c r="O40" s="16" t="s">
        <v>256</v>
      </c>
    </row>
    <row r="41" spans="1:15" x14ac:dyDescent="0.25">
      <c r="A41" s="17"/>
      <c r="B41" s="17" t="s">
        <v>29</v>
      </c>
      <c r="C41" s="17">
        <v>4</v>
      </c>
      <c r="D41" s="17"/>
      <c r="E41" s="17"/>
      <c r="F41" s="17"/>
      <c r="G41" s="17"/>
      <c r="H41" s="17"/>
      <c r="I41" s="17"/>
      <c r="J41" s="17"/>
      <c r="K41" s="17"/>
      <c r="L41" s="17"/>
      <c r="M41" s="17"/>
      <c r="N41" s="17"/>
      <c r="O41" s="17" t="s">
        <v>259</v>
      </c>
    </row>
    <row r="42" spans="1:15" x14ac:dyDescent="0.25">
      <c r="A42" s="18"/>
      <c r="B42" s="18" t="s">
        <v>447</v>
      </c>
      <c r="C42" s="18"/>
      <c r="D42" s="18"/>
      <c r="E42" s="18"/>
      <c r="F42" s="18"/>
      <c r="G42" s="18"/>
      <c r="H42" s="18"/>
      <c r="I42" s="18"/>
      <c r="J42" s="18"/>
      <c r="K42" s="18"/>
      <c r="L42" s="18"/>
      <c r="M42" s="18"/>
      <c r="N42" s="18"/>
      <c r="O42" s="18" t="s">
        <v>257</v>
      </c>
    </row>
    <row r="43" spans="1:15" x14ac:dyDescent="0.25">
      <c r="A43" s="16"/>
      <c r="B43" s="16" t="s">
        <v>30</v>
      </c>
      <c r="C43" s="16">
        <f>Nozzle_Diameter*4</f>
        <v>2.4</v>
      </c>
      <c r="D43" s="16"/>
      <c r="E43" s="16"/>
      <c r="F43" s="16"/>
      <c r="G43" s="16"/>
      <c r="H43" s="16"/>
      <c r="I43" s="16"/>
      <c r="J43" s="16"/>
      <c r="K43" s="16"/>
      <c r="L43" s="16"/>
      <c r="M43" s="16"/>
      <c r="N43" s="16"/>
      <c r="O43" s="16"/>
    </row>
    <row r="44" spans="1:15" x14ac:dyDescent="0.25">
      <c r="A44" s="18" t="s">
        <v>230</v>
      </c>
      <c r="B44" s="18" t="s">
        <v>448</v>
      </c>
      <c r="C44" s="18"/>
      <c r="D44" s="18"/>
      <c r="E44" s="18"/>
      <c r="F44" s="18"/>
      <c r="G44" s="18"/>
      <c r="H44" s="18"/>
      <c r="I44" s="18"/>
      <c r="J44" s="18"/>
      <c r="K44" s="18"/>
      <c r="L44" s="18"/>
      <c r="M44" s="18"/>
      <c r="N44" s="18"/>
      <c r="O44" s="18"/>
    </row>
    <row r="45" spans="1:15" x14ac:dyDescent="0.25">
      <c r="A45" s="16"/>
      <c r="B45" s="16" t="s">
        <v>31</v>
      </c>
      <c r="C45" s="16">
        <v>0</v>
      </c>
      <c r="D45" s="16"/>
      <c r="E45" s="16"/>
      <c r="F45" s="16"/>
      <c r="G45" s="16"/>
      <c r="H45" s="16"/>
      <c r="I45" s="16"/>
      <c r="J45" s="16"/>
      <c r="K45" s="16"/>
      <c r="L45" s="16"/>
      <c r="M45" s="16"/>
      <c r="N45" s="16"/>
      <c r="O45" s="16"/>
    </row>
    <row r="46" spans="1:15" x14ac:dyDescent="0.25">
      <c r="A46" s="17"/>
      <c r="B46" s="17" t="s">
        <v>32</v>
      </c>
      <c r="C46" s="17">
        <v>1</v>
      </c>
      <c r="D46" s="17"/>
      <c r="E46" s="17"/>
      <c r="F46" s="17"/>
      <c r="G46" s="17"/>
      <c r="H46" s="17"/>
      <c r="I46" s="17"/>
      <c r="J46" s="17"/>
      <c r="K46" s="17"/>
      <c r="L46" s="17"/>
      <c r="M46" s="17"/>
      <c r="N46" s="17"/>
      <c r="O46" s="17" t="s">
        <v>260</v>
      </c>
    </row>
    <row r="47" spans="1:15" x14ac:dyDescent="0.25">
      <c r="A47" s="16"/>
      <c r="B47" s="16" t="s">
        <v>33</v>
      </c>
      <c r="C47" s="16">
        <v>0</v>
      </c>
      <c r="D47" s="16"/>
      <c r="E47" s="16"/>
      <c r="F47" s="16"/>
      <c r="G47" s="16"/>
      <c r="H47" s="16"/>
      <c r="I47" s="16"/>
      <c r="J47" s="16"/>
      <c r="K47" s="16"/>
      <c r="L47" s="16"/>
      <c r="M47" s="16"/>
      <c r="N47" s="16"/>
      <c r="O47" s="16" t="s">
        <v>261</v>
      </c>
    </row>
    <row r="48" spans="1:15" x14ac:dyDescent="0.25">
      <c r="A48" s="17"/>
      <c r="B48" s="17" t="s">
        <v>34</v>
      </c>
      <c r="C48" s="17">
        <v>1</v>
      </c>
      <c r="D48" s="17"/>
      <c r="E48" s="17"/>
      <c r="F48" s="17"/>
      <c r="G48" s="17"/>
      <c r="H48" s="17"/>
      <c r="I48" s="17"/>
      <c r="J48" s="17"/>
      <c r="K48" s="17"/>
      <c r="L48" s="17"/>
      <c r="M48" s="17"/>
      <c r="N48" s="17"/>
      <c r="O48" s="17"/>
    </row>
    <row r="49" spans="1:15" x14ac:dyDescent="0.25">
      <c r="A49" s="18"/>
      <c r="B49" s="18" t="s">
        <v>449</v>
      </c>
      <c r="C49" s="18"/>
      <c r="D49" s="18"/>
      <c r="E49" s="18"/>
      <c r="F49" s="18"/>
      <c r="G49" s="18"/>
      <c r="H49" s="18"/>
      <c r="I49" s="18"/>
      <c r="J49" s="18"/>
      <c r="K49" s="18"/>
      <c r="L49" s="18"/>
      <c r="M49" s="18"/>
      <c r="N49" s="18"/>
      <c r="O49" s="18"/>
    </row>
    <row r="50" spans="1:15" x14ac:dyDescent="0.25">
      <c r="A50" s="16"/>
      <c r="B50" s="16" t="s">
        <v>35</v>
      </c>
      <c r="C50" s="16">
        <v>0</v>
      </c>
      <c r="D50" s="16"/>
      <c r="E50" s="16"/>
      <c r="F50" s="16"/>
      <c r="G50" s="16"/>
      <c r="H50" s="16"/>
      <c r="I50" s="16"/>
      <c r="J50" s="16"/>
      <c r="K50" s="16"/>
      <c r="L50" s="16"/>
      <c r="M50" s="16"/>
      <c r="N50" s="16"/>
      <c r="O50" s="16"/>
    </row>
    <row r="51" spans="1:15" x14ac:dyDescent="0.25">
      <c r="A51" s="18"/>
      <c r="B51" s="18" t="s">
        <v>450</v>
      </c>
      <c r="C51" s="18"/>
      <c r="D51" s="18"/>
      <c r="E51" s="18"/>
      <c r="F51" s="18"/>
      <c r="G51" s="18"/>
      <c r="H51" s="18"/>
      <c r="I51" s="18"/>
      <c r="J51" s="18"/>
      <c r="K51" s="18"/>
      <c r="L51" s="18"/>
      <c r="M51" s="18"/>
      <c r="N51" s="18"/>
      <c r="O51" s="18"/>
    </row>
    <row r="52" spans="1:15" x14ac:dyDescent="0.25">
      <c r="A52" s="16"/>
      <c r="B52" s="16" t="s">
        <v>36</v>
      </c>
      <c r="C52" s="16">
        <v>0.2</v>
      </c>
      <c r="D52" s="16">
        <v>0.2</v>
      </c>
      <c r="E52" s="16">
        <v>0.2</v>
      </c>
      <c r="F52" s="16">
        <v>0.24</v>
      </c>
      <c r="G52" s="16">
        <v>0.28000000000000003</v>
      </c>
      <c r="H52" s="16">
        <v>0.32</v>
      </c>
      <c r="I52" s="16">
        <v>0.4</v>
      </c>
      <c r="J52" s="16">
        <v>0.48</v>
      </c>
      <c r="K52" s="16">
        <v>0.56000000000000005</v>
      </c>
      <c r="L52" s="16">
        <v>0.64</v>
      </c>
      <c r="M52" s="16">
        <v>0.72</v>
      </c>
      <c r="N52" s="16">
        <v>0.8</v>
      </c>
      <c r="O52" s="16" t="s">
        <v>263</v>
      </c>
    </row>
    <row r="53" spans="1:15" x14ac:dyDescent="0.25">
      <c r="A53" s="17"/>
      <c r="B53" s="17" t="s">
        <v>37</v>
      </c>
      <c r="C53" s="17" t="s">
        <v>17</v>
      </c>
      <c r="D53" s="17"/>
      <c r="E53" s="17"/>
      <c r="F53" s="17"/>
      <c r="G53" s="17"/>
      <c r="H53" s="17"/>
      <c r="I53" s="17"/>
      <c r="J53" s="17"/>
      <c r="K53" s="17"/>
      <c r="L53" s="17"/>
      <c r="M53" s="17"/>
      <c r="N53" s="17"/>
      <c r="O53" s="17"/>
    </row>
    <row r="54" spans="1:15" x14ac:dyDescent="0.25">
      <c r="A54" s="16"/>
      <c r="B54" s="16" t="s">
        <v>38</v>
      </c>
      <c r="C54" s="16">
        <v>1</v>
      </c>
      <c r="D54" s="16"/>
      <c r="E54" s="16"/>
      <c r="F54" s="16"/>
      <c r="G54" s="16"/>
      <c r="H54" s="16"/>
      <c r="I54" s="16"/>
      <c r="J54" s="16"/>
      <c r="K54" s="16"/>
      <c r="L54" s="16"/>
      <c r="M54" s="16"/>
      <c r="N54" s="16"/>
      <c r="O54" s="16"/>
    </row>
    <row r="55" spans="1:15" x14ac:dyDescent="0.25">
      <c r="A55" s="17"/>
      <c r="B55" s="17" t="s">
        <v>39</v>
      </c>
      <c r="C55" s="17">
        <f>Nozzle_Diameter*5</f>
        <v>3</v>
      </c>
      <c r="D55" s="17"/>
      <c r="E55" s="17"/>
      <c r="F55" s="17"/>
      <c r="G55" s="17"/>
      <c r="H55" s="17"/>
      <c r="I55" s="17"/>
      <c r="J55" s="17"/>
      <c r="K55" s="17"/>
      <c r="L55" s="17"/>
      <c r="M55" s="17"/>
      <c r="N55" s="17"/>
      <c r="O55" s="17" t="s">
        <v>341</v>
      </c>
    </row>
    <row r="56" spans="1:15" x14ac:dyDescent="0.25">
      <c r="A56" s="16"/>
      <c r="B56" s="16" t="s">
        <v>40</v>
      </c>
      <c r="C56" s="16">
        <v>45</v>
      </c>
      <c r="D56" s="16"/>
      <c r="E56" s="16"/>
      <c r="F56" s="16"/>
      <c r="G56" s="16"/>
      <c r="H56" s="16"/>
      <c r="I56" s="16"/>
      <c r="J56" s="16"/>
      <c r="K56" s="16"/>
      <c r="L56" s="16"/>
      <c r="M56" s="16"/>
      <c r="N56" s="16"/>
      <c r="O56" s="16"/>
    </row>
    <row r="57" spans="1:15" x14ac:dyDescent="0.25">
      <c r="A57" s="19"/>
      <c r="B57" s="19" t="s">
        <v>392</v>
      </c>
      <c r="C57" s="19">
        <v>2.5</v>
      </c>
      <c r="D57" s="19"/>
      <c r="E57" s="19"/>
      <c r="F57" s="19"/>
      <c r="G57" s="19"/>
      <c r="H57" s="19"/>
      <c r="I57" s="19"/>
      <c r="J57" s="19"/>
      <c r="K57" s="19"/>
      <c r="L57" s="19"/>
      <c r="M57" s="19"/>
      <c r="N57" s="19"/>
      <c r="O57" s="19"/>
    </row>
    <row r="58" spans="1:15" x14ac:dyDescent="0.25">
      <c r="A58" s="19"/>
      <c r="B58" s="19" t="s">
        <v>393</v>
      </c>
      <c r="C58" s="19">
        <v>10</v>
      </c>
      <c r="D58" s="19"/>
      <c r="E58" s="19"/>
      <c r="F58" s="19"/>
      <c r="G58" s="19"/>
      <c r="H58" s="19"/>
      <c r="I58" s="19"/>
      <c r="J58" s="19"/>
      <c r="K58" s="19"/>
      <c r="L58" s="19"/>
      <c r="M58" s="19"/>
      <c r="N58" s="19"/>
      <c r="O58" s="19"/>
    </row>
    <row r="59" spans="1:15" x14ac:dyDescent="0.25">
      <c r="A59" s="16"/>
      <c r="B59" s="16" t="s">
        <v>41</v>
      </c>
      <c r="C59" s="16">
        <v>2</v>
      </c>
      <c r="D59" s="16"/>
      <c r="E59" s="16"/>
      <c r="F59" s="16"/>
      <c r="G59" s="16"/>
      <c r="H59" s="16"/>
      <c r="I59" s="16"/>
      <c r="J59" s="16"/>
      <c r="K59" s="16"/>
      <c r="L59" s="16"/>
      <c r="M59" s="16"/>
      <c r="N59" s="16"/>
      <c r="O59" s="16" t="s">
        <v>264</v>
      </c>
    </row>
    <row r="60" spans="1:15" x14ac:dyDescent="0.25">
      <c r="A60" s="17"/>
      <c r="B60" s="17" t="s">
        <v>42</v>
      </c>
      <c r="C60" s="17">
        <f>Nozzle_Diameter</f>
        <v>0.6</v>
      </c>
      <c r="D60" s="17"/>
      <c r="E60" s="17"/>
      <c r="F60" s="17"/>
      <c r="G60" s="17"/>
      <c r="H60" s="17"/>
      <c r="I60" s="17"/>
      <c r="J60" s="17"/>
      <c r="K60" s="17"/>
      <c r="L60" s="17"/>
      <c r="M60" s="17"/>
      <c r="N60" s="17"/>
      <c r="O60" s="17" t="s">
        <v>265</v>
      </c>
    </row>
    <row r="61" spans="1:15" x14ac:dyDescent="0.25">
      <c r="A61" s="16"/>
      <c r="B61" s="16" t="s">
        <v>43</v>
      </c>
      <c r="C61" s="16">
        <v>0</v>
      </c>
      <c r="D61" s="16"/>
      <c r="E61" s="16"/>
      <c r="F61" s="16"/>
      <c r="G61" s="16"/>
      <c r="H61" s="16"/>
      <c r="I61" s="16"/>
      <c r="J61" s="16"/>
      <c r="K61" s="16"/>
      <c r="L61" s="16"/>
      <c r="M61" s="16"/>
      <c r="N61" s="16"/>
      <c r="O61" s="16" t="s">
        <v>266</v>
      </c>
    </row>
    <row r="62" spans="1:15" x14ac:dyDescent="0.25">
      <c r="A62" s="17"/>
      <c r="B62" s="17" t="s">
        <v>44</v>
      </c>
      <c r="C62" s="17">
        <v>1</v>
      </c>
      <c r="D62" s="17"/>
      <c r="E62" s="17"/>
      <c r="F62" s="17"/>
      <c r="G62" s="17"/>
      <c r="H62" s="17"/>
      <c r="I62" s="17"/>
      <c r="J62" s="17"/>
      <c r="K62" s="17"/>
      <c r="L62" s="17"/>
      <c r="M62" s="17"/>
      <c r="N62" s="17"/>
      <c r="O62" s="17"/>
    </row>
    <row r="63" spans="1:15" x14ac:dyDescent="0.25">
      <c r="A63" s="16"/>
      <c r="B63" s="16" t="s">
        <v>45</v>
      </c>
      <c r="C63" s="16">
        <f>Nozzle_Diameter * 2</f>
        <v>1.2</v>
      </c>
      <c r="D63" s="16"/>
      <c r="E63" s="16"/>
      <c r="F63" s="16"/>
      <c r="G63" s="16"/>
      <c r="H63" s="16"/>
      <c r="I63" s="16"/>
      <c r="J63" s="16"/>
      <c r="K63" s="16"/>
      <c r="L63" s="16"/>
      <c r="M63" s="16"/>
      <c r="N63" s="16"/>
      <c r="O63" s="16" t="s">
        <v>342</v>
      </c>
    </row>
    <row r="64" spans="1:15" x14ac:dyDescent="0.25">
      <c r="A64" s="17"/>
      <c r="B64" s="17" t="s">
        <v>11</v>
      </c>
      <c r="C64" s="17">
        <v>1</v>
      </c>
      <c r="D64" s="17"/>
      <c r="E64" s="17"/>
      <c r="F64" s="17"/>
      <c r="G64" s="17"/>
      <c r="H64" s="17"/>
      <c r="I64" s="17"/>
      <c r="J64" s="17"/>
      <c r="K64" s="17"/>
      <c r="L64" s="17"/>
      <c r="M64" s="17"/>
      <c r="N64" s="17"/>
      <c r="O64" s="17" t="s">
        <v>269</v>
      </c>
    </row>
    <row r="65" spans="1:15" x14ac:dyDescent="0.25">
      <c r="A65" s="16"/>
      <c r="B65" s="16" t="s">
        <v>46</v>
      </c>
      <c r="C65" s="16">
        <v>0</v>
      </c>
      <c r="D65" s="16"/>
      <c r="E65" s="16"/>
      <c r="F65" s="16"/>
      <c r="G65" s="16"/>
      <c r="H65" s="16"/>
      <c r="I65" s="16"/>
      <c r="J65" s="16"/>
      <c r="K65" s="16"/>
      <c r="L65" s="16"/>
      <c r="M65" s="16"/>
      <c r="N65" s="16"/>
      <c r="O65" s="16"/>
    </row>
    <row r="66" spans="1:15" x14ac:dyDescent="0.25">
      <c r="A66" s="18" t="s">
        <v>231</v>
      </c>
      <c r="B66" s="18" t="s">
        <v>451</v>
      </c>
      <c r="C66" s="18"/>
      <c r="D66" s="18"/>
      <c r="E66" s="18"/>
      <c r="F66" s="18"/>
      <c r="G66" s="18"/>
      <c r="H66" s="18"/>
      <c r="I66" s="18"/>
      <c r="J66" s="18"/>
      <c r="K66" s="18"/>
      <c r="L66" s="18"/>
      <c r="M66" s="18"/>
      <c r="N66" s="18"/>
      <c r="O66" s="18"/>
    </row>
    <row r="67" spans="1:15" x14ac:dyDescent="0.25">
      <c r="A67" s="19"/>
      <c r="B67" s="19" t="s">
        <v>467</v>
      </c>
      <c r="C67" s="19" t="str">
        <f ca="1">SUBSTITUTE(RIGHT(CELL("filename",A1),LEN(CELL("filename",A1))-FIND("]",CELL("filename",A1),1)),"print_","")</f>
        <v>PET</v>
      </c>
      <c r="D67" s="25">
        <f t="shared" ref="D67:N67" ca="1" si="0" xml:space="preserve"> IF(SpeedType &lt;&gt; "ForceVolumetric",D$89, IFERROR(D$90/((Nozzle_Diameter*1.2)*D$1),0))</f>
        <v>92.592592592592609</v>
      </c>
      <c r="E67" s="25">
        <f t="shared" ca="1" si="0"/>
        <v>55.555555555555557</v>
      </c>
      <c r="F67" s="25">
        <f t="shared" ca="1" si="0"/>
        <v>46.296296296296305</v>
      </c>
      <c r="G67" s="25">
        <f t="shared" ca="1" si="0"/>
        <v>39.682539682539684</v>
      </c>
      <c r="H67" s="25">
        <f t="shared" ca="1" si="0"/>
        <v>34.722222222222221</v>
      </c>
      <c r="I67" s="25">
        <f t="shared" ca="1" si="0"/>
        <v>27.777777777777779</v>
      </c>
      <c r="J67" s="25">
        <f t="shared" ca="1" si="0"/>
        <v>23.148148148148152</v>
      </c>
      <c r="K67" s="25">
        <f t="shared" ca="1" si="0"/>
        <v>19.841269841269842</v>
      </c>
      <c r="L67" s="25">
        <f t="shared" ca="1" si="0"/>
        <v>17.361111111111111</v>
      </c>
      <c r="M67" s="25">
        <f t="shared" ca="1" si="0"/>
        <v>15.4320987654321</v>
      </c>
      <c r="N67" s="25">
        <f t="shared" ca="1" si="0"/>
        <v>13.888888888888889</v>
      </c>
      <c r="O67" s="19"/>
    </row>
    <row r="68" spans="1:15" x14ac:dyDescent="0.25">
      <c r="A68" s="16"/>
      <c r="B68" s="16" t="s">
        <v>47</v>
      </c>
      <c r="C68" s="16">
        <v>30</v>
      </c>
      <c r="D68" s="16">
        <f ca="1">GetSpeed($C68,D$89,D$67)</f>
        <v>30</v>
      </c>
      <c r="E68" s="16">
        <f t="shared" ref="E68:N68" ca="1" si="1">GetSpeed($C68,E$89,E$67)</f>
        <v>30</v>
      </c>
      <c r="F68" s="16">
        <f t="shared" ca="1" si="1"/>
        <v>30</v>
      </c>
      <c r="G68" s="16">
        <f t="shared" ca="1" si="1"/>
        <v>30</v>
      </c>
      <c r="H68" s="16">
        <f t="shared" ca="1" si="1"/>
        <v>30</v>
      </c>
      <c r="I68" s="16">
        <f t="shared" ca="1" si="1"/>
        <v>28</v>
      </c>
      <c r="J68" s="16">
        <f t="shared" ca="1" si="1"/>
        <v>23</v>
      </c>
      <c r="K68" s="16">
        <f t="shared" ca="1" si="1"/>
        <v>20</v>
      </c>
      <c r="L68" s="16">
        <f t="shared" ca="1" si="1"/>
        <v>17</v>
      </c>
      <c r="M68" s="16">
        <f t="shared" ca="1" si="1"/>
        <v>15</v>
      </c>
      <c r="N68" s="16">
        <f t="shared" ca="1" si="1"/>
        <v>14</v>
      </c>
      <c r="O68" s="16"/>
    </row>
    <row r="69" spans="1:15" x14ac:dyDescent="0.25">
      <c r="A69" s="17"/>
      <c r="B69" s="17" t="s">
        <v>48</v>
      </c>
      <c r="C69" s="17">
        <v>25</v>
      </c>
      <c r="D69" s="17">
        <f ca="1">GetSpeed($C$69,D$89,D$67)</f>
        <v>25</v>
      </c>
      <c r="E69" s="17">
        <f t="shared" ref="E69:N69" ca="1" si="2">GetSpeed($C$69,E$89,E$67)</f>
        <v>25</v>
      </c>
      <c r="F69" s="17">
        <f t="shared" ca="1" si="2"/>
        <v>25</v>
      </c>
      <c r="G69" s="17">
        <f t="shared" ca="1" si="2"/>
        <v>25</v>
      </c>
      <c r="H69" s="17">
        <f t="shared" ca="1" si="2"/>
        <v>25</v>
      </c>
      <c r="I69" s="17">
        <f t="shared" ca="1" si="2"/>
        <v>25</v>
      </c>
      <c r="J69" s="17">
        <f t="shared" ca="1" si="2"/>
        <v>23</v>
      </c>
      <c r="K69" s="17">
        <f t="shared" ca="1" si="2"/>
        <v>20</v>
      </c>
      <c r="L69" s="17">
        <f t="shared" ca="1" si="2"/>
        <v>17</v>
      </c>
      <c r="M69" s="17">
        <f t="shared" ca="1" si="2"/>
        <v>15</v>
      </c>
      <c r="N69" s="17">
        <f t="shared" ca="1" si="2"/>
        <v>14</v>
      </c>
      <c r="O69" s="17"/>
    </row>
    <row r="70" spans="1:15" x14ac:dyDescent="0.25">
      <c r="A70" s="16"/>
      <c r="B70" s="16" t="s">
        <v>49</v>
      </c>
      <c r="C70" s="16">
        <v>30</v>
      </c>
      <c r="D70" s="16">
        <f ca="1">GetSpeed($C$70,D$89,D$67)</f>
        <v>30</v>
      </c>
      <c r="E70" s="16">
        <f t="shared" ref="E70:N70" ca="1" si="3">GetSpeed($C$70,E$89,E$67)</f>
        <v>30</v>
      </c>
      <c r="F70" s="16">
        <f t="shared" ca="1" si="3"/>
        <v>30</v>
      </c>
      <c r="G70" s="16">
        <f t="shared" ca="1" si="3"/>
        <v>30</v>
      </c>
      <c r="H70" s="16">
        <f t="shared" ca="1" si="3"/>
        <v>30</v>
      </c>
      <c r="I70" s="16">
        <f t="shared" ca="1" si="3"/>
        <v>28</v>
      </c>
      <c r="J70" s="16">
        <f t="shared" ca="1" si="3"/>
        <v>23</v>
      </c>
      <c r="K70" s="16">
        <f t="shared" ca="1" si="3"/>
        <v>20</v>
      </c>
      <c r="L70" s="16">
        <f t="shared" ca="1" si="3"/>
        <v>17</v>
      </c>
      <c r="M70" s="16">
        <f t="shared" ca="1" si="3"/>
        <v>15</v>
      </c>
      <c r="N70" s="16">
        <f t="shared" ca="1" si="3"/>
        <v>14</v>
      </c>
      <c r="O70" s="16"/>
    </row>
    <row r="71" spans="1:15" x14ac:dyDescent="0.25">
      <c r="A71" s="17"/>
      <c r="B71" s="17" t="s">
        <v>50</v>
      </c>
      <c r="C71" s="17">
        <v>30</v>
      </c>
      <c r="D71" s="17">
        <f ca="1">GetSpeed($C$71,D$89,D$67)</f>
        <v>30</v>
      </c>
      <c r="E71" s="17">
        <f t="shared" ref="E71:N71" ca="1" si="4">GetSpeed($C$71,E$89,E$67)</f>
        <v>30</v>
      </c>
      <c r="F71" s="17">
        <f t="shared" ca="1" si="4"/>
        <v>30</v>
      </c>
      <c r="G71" s="17">
        <f t="shared" ca="1" si="4"/>
        <v>30</v>
      </c>
      <c r="H71" s="17">
        <f t="shared" ca="1" si="4"/>
        <v>30</v>
      </c>
      <c r="I71" s="17">
        <f t="shared" ca="1" si="4"/>
        <v>28</v>
      </c>
      <c r="J71" s="17">
        <f t="shared" ca="1" si="4"/>
        <v>23</v>
      </c>
      <c r="K71" s="17">
        <f t="shared" ca="1" si="4"/>
        <v>20</v>
      </c>
      <c r="L71" s="17">
        <f t="shared" ca="1" si="4"/>
        <v>17</v>
      </c>
      <c r="M71" s="17">
        <f t="shared" ca="1" si="4"/>
        <v>15</v>
      </c>
      <c r="N71" s="17">
        <f t="shared" ca="1" si="4"/>
        <v>14</v>
      </c>
      <c r="O71" s="17"/>
    </row>
    <row r="72" spans="1:15" x14ac:dyDescent="0.25">
      <c r="A72" s="16"/>
      <c r="B72" s="16" t="s">
        <v>51</v>
      </c>
      <c r="C72" s="16">
        <v>30</v>
      </c>
      <c r="D72" s="16">
        <f ca="1">GetSpeed($C$72,D$89,D$67)</f>
        <v>30</v>
      </c>
      <c r="E72" s="16">
        <f t="shared" ref="E72:N72" ca="1" si="5">GetSpeed($C$72,E$89,E$67)</f>
        <v>30</v>
      </c>
      <c r="F72" s="16">
        <f t="shared" ca="1" si="5"/>
        <v>30</v>
      </c>
      <c r="G72" s="16">
        <f t="shared" ca="1" si="5"/>
        <v>30</v>
      </c>
      <c r="H72" s="16">
        <f t="shared" ca="1" si="5"/>
        <v>30</v>
      </c>
      <c r="I72" s="16">
        <f t="shared" ca="1" si="5"/>
        <v>28</v>
      </c>
      <c r="J72" s="16">
        <f t="shared" ca="1" si="5"/>
        <v>23</v>
      </c>
      <c r="K72" s="16">
        <f t="shared" ca="1" si="5"/>
        <v>20</v>
      </c>
      <c r="L72" s="16">
        <f t="shared" ca="1" si="5"/>
        <v>17</v>
      </c>
      <c r="M72" s="16">
        <f t="shared" ca="1" si="5"/>
        <v>15</v>
      </c>
      <c r="N72" s="16">
        <f t="shared" ca="1" si="5"/>
        <v>14</v>
      </c>
      <c r="O72" s="16"/>
    </row>
    <row r="73" spans="1:15" x14ac:dyDescent="0.25">
      <c r="A73" s="17"/>
      <c r="B73" s="17" t="s">
        <v>52</v>
      </c>
      <c r="C73" s="17">
        <v>30</v>
      </c>
      <c r="D73" s="17">
        <f ca="1">GetSpeed($C$73,D$89,D$67)</f>
        <v>30</v>
      </c>
      <c r="E73" s="17">
        <f t="shared" ref="E73:N73" ca="1" si="6">GetSpeed($C$73,E$89,E$67)</f>
        <v>30</v>
      </c>
      <c r="F73" s="17">
        <f t="shared" ca="1" si="6"/>
        <v>30</v>
      </c>
      <c r="G73" s="17">
        <f t="shared" ca="1" si="6"/>
        <v>30</v>
      </c>
      <c r="H73" s="17">
        <f t="shared" ca="1" si="6"/>
        <v>30</v>
      </c>
      <c r="I73" s="17">
        <f t="shared" ca="1" si="6"/>
        <v>28</v>
      </c>
      <c r="J73" s="17">
        <f t="shared" ca="1" si="6"/>
        <v>23</v>
      </c>
      <c r="K73" s="17">
        <f t="shared" ca="1" si="6"/>
        <v>20</v>
      </c>
      <c r="L73" s="17">
        <f t="shared" ca="1" si="6"/>
        <v>17</v>
      </c>
      <c r="M73" s="17">
        <f t="shared" ca="1" si="6"/>
        <v>15</v>
      </c>
      <c r="N73" s="17">
        <f t="shared" ca="1" si="6"/>
        <v>14</v>
      </c>
      <c r="O73" s="17"/>
    </row>
    <row r="74" spans="1:15" x14ac:dyDescent="0.25">
      <c r="A74" s="16"/>
      <c r="B74" s="16" t="s">
        <v>53</v>
      </c>
      <c r="C74" s="16">
        <v>30</v>
      </c>
      <c r="D74" s="16">
        <f ca="1">GetSpeed($C$74,D$89,D$67)</f>
        <v>30</v>
      </c>
      <c r="E74" s="16">
        <f t="shared" ref="E74:N74" ca="1" si="7">GetSpeed($C$74,E$89,E$67)</f>
        <v>30</v>
      </c>
      <c r="F74" s="16">
        <f t="shared" ca="1" si="7"/>
        <v>30</v>
      </c>
      <c r="G74" s="16">
        <f t="shared" ca="1" si="7"/>
        <v>30</v>
      </c>
      <c r="H74" s="16">
        <f t="shared" ca="1" si="7"/>
        <v>30</v>
      </c>
      <c r="I74" s="16">
        <f t="shared" ca="1" si="7"/>
        <v>28</v>
      </c>
      <c r="J74" s="16">
        <f t="shared" ca="1" si="7"/>
        <v>23</v>
      </c>
      <c r="K74" s="16">
        <f t="shared" ca="1" si="7"/>
        <v>20</v>
      </c>
      <c r="L74" s="16">
        <f t="shared" ca="1" si="7"/>
        <v>17</v>
      </c>
      <c r="M74" s="16">
        <f t="shared" ca="1" si="7"/>
        <v>15</v>
      </c>
      <c r="N74" s="16">
        <f t="shared" ca="1" si="7"/>
        <v>14</v>
      </c>
      <c r="O74" s="16"/>
    </row>
    <row r="75" spans="1:15" x14ac:dyDescent="0.25">
      <c r="A75" s="17"/>
      <c r="B75" s="17" t="s">
        <v>54</v>
      </c>
      <c r="C75" s="17" t="str">
        <f>"100%"</f>
        <v>100%</v>
      </c>
      <c r="D75" s="17"/>
      <c r="E75" s="17"/>
      <c r="F75" s="17"/>
      <c r="G75" s="17"/>
      <c r="H75" s="17"/>
      <c r="I75" s="17"/>
      <c r="J75" s="17"/>
      <c r="K75" s="17"/>
      <c r="L75" s="17"/>
      <c r="M75" s="17"/>
      <c r="N75" s="17"/>
      <c r="O75" s="17"/>
    </row>
    <row r="76" spans="1:15" x14ac:dyDescent="0.25">
      <c r="A76" s="16"/>
      <c r="B76" s="16" t="s">
        <v>55</v>
      </c>
      <c r="C76" s="16">
        <v>30</v>
      </c>
      <c r="D76" s="16">
        <f ca="1">GetSpeed($C$76,D$89,D$67)</f>
        <v>30</v>
      </c>
      <c r="E76" s="16">
        <f t="shared" ref="E76:N76" ca="1" si="8">GetSpeed($C$76,E$89,E$67)</f>
        <v>30</v>
      </c>
      <c r="F76" s="16">
        <f t="shared" ca="1" si="8"/>
        <v>30</v>
      </c>
      <c r="G76" s="16">
        <f t="shared" ca="1" si="8"/>
        <v>30</v>
      </c>
      <c r="H76" s="16">
        <f t="shared" ca="1" si="8"/>
        <v>30</v>
      </c>
      <c r="I76" s="16">
        <f t="shared" ca="1" si="8"/>
        <v>28</v>
      </c>
      <c r="J76" s="16">
        <f t="shared" ca="1" si="8"/>
        <v>23</v>
      </c>
      <c r="K76" s="16">
        <f t="shared" ca="1" si="8"/>
        <v>20</v>
      </c>
      <c r="L76" s="16">
        <f t="shared" ca="1" si="8"/>
        <v>17</v>
      </c>
      <c r="M76" s="16">
        <f t="shared" ca="1" si="8"/>
        <v>15</v>
      </c>
      <c r="N76" s="16">
        <f t="shared" ca="1" si="8"/>
        <v>14</v>
      </c>
      <c r="O76" s="16"/>
    </row>
    <row r="77" spans="1:15" x14ac:dyDescent="0.25">
      <c r="A77" s="17"/>
      <c r="B77" s="17" t="s">
        <v>56</v>
      </c>
      <c r="C77" s="17">
        <v>20</v>
      </c>
      <c r="D77" s="17">
        <f ca="1">GetSpeed($C$77,D$89,D$67)</f>
        <v>20</v>
      </c>
      <c r="E77" s="17">
        <f t="shared" ref="E77:N77" ca="1" si="9">GetSpeed($C$77,E$89,E$67)</f>
        <v>20</v>
      </c>
      <c r="F77" s="17">
        <f t="shared" ca="1" si="9"/>
        <v>20</v>
      </c>
      <c r="G77" s="17">
        <f t="shared" ca="1" si="9"/>
        <v>20</v>
      </c>
      <c r="H77" s="17">
        <f t="shared" ca="1" si="9"/>
        <v>20</v>
      </c>
      <c r="I77" s="17">
        <f t="shared" ca="1" si="9"/>
        <v>20</v>
      </c>
      <c r="J77" s="17">
        <f t="shared" ca="1" si="9"/>
        <v>20</v>
      </c>
      <c r="K77" s="17">
        <f t="shared" ca="1" si="9"/>
        <v>20</v>
      </c>
      <c r="L77" s="17">
        <f t="shared" ca="1" si="9"/>
        <v>17</v>
      </c>
      <c r="M77" s="17">
        <f t="shared" ca="1" si="9"/>
        <v>15</v>
      </c>
      <c r="N77" s="17">
        <f t="shared" ca="1" si="9"/>
        <v>14</v>
      </c>
      <c r="O77" s="17"/>
    </row>
    <row r="78" spans="1:15" x14ac:dyDescent="0.25">
      <c r="A78" s="18"/>
      <c r="B78" s="18" t="s">
        <v>452</v>
      </c>
      <c r="C78" s="18"/>
      <c r="D78" s="18"/>
      <c r="E78" s="18"/>
      <c r="F78" s="18"/>
      <c r="G78" s="18"/>
      <c r="H78" s="18"/>
      <c r="I78" s="18"/>
      <c r="J78" s="18"/>
      <c r="K78" s="18"/>
      <c r="L78" s="18"/>
      <c r="M78" s="18"/>
      <c r="N78" s="18"/>
      <c r="O78" s="18"/>
    </row>
    <row r="79" spans="1:15" x14ac:dyDescent="0.25">
      <c r="A79" s="16"/>
      <c r="B79" s="16" t="s">
        <v>57</v>
      </c>
      <c r="C79" s="16">
        <v>120</v>
      </c>
      <c r="D79" s="16"/>
      <c r="E79" s="16"/>
      <c r="F79" s="16"/>
      <c r="G79" s="16"/>
      <c r="H79" s="16"/>
      <c r="I79" s="16"/>
      <c r="J79" s="16"/>
      <c r="K79" s="16"/>
      <c r="L79" s="16"/>
      <c r="M79" s="16"/>
      <c r="N79" s="16"/>
      <c r="O79" s="16"/>
    </row>
    <row r="80" spans="1:15" x14ac:dyDescent="0.25">
      <c r="A80" s="18"/>
      <c r="B80" s="18" t="s">
        <v>453</v>
      </c>
      <c r="C80" s="18"/>
      <c r="D80" s="18"/>
      <c r="E80" s="18"/>
      <c r="F80" s="18"/>
      <c r="G80" s="18"/>
      <c r="H80" s="18"/>
      <c r="I80" s="18"/>
      <c r="J80" s="18"/>
      <c r="K80" s="18"/>
      <c r="L80" s="18"/>
      <c r="M80" s="18"/>
      <c r="N80" s="18"/>
      <c r="O80" s="18"/>
    </row>
    <row r="81" spans="1:15" x14ac:dyDescent="0.25">
      <c r="A81" s="16"/>
      <c r="B81" s="16" t="s">
        <v>58</v>
      </c>
      <c r="C81" s="16">
        <v>30</v>
      </c>
      <c r="D81" s="16"/>
      <c r="E81" s="16"/>
      <c r="F81" s="16"/>
      <c r="G81" s="16"/>
      <c r="H81" s="16"/>
      <c r="I81" s="16"/>
      <c r="J81" s="16"/>
      <c r="K81" s="16"/>
      <c r="L81" s="16"/>
      <c r="M81" s="16"/>
      <c r="N81" s="16"/>
      <c r="O81" s="16"/>
    </row>
    <row r="82" spans="1:15" x14ac:dyDescent="0.25">
      <c r="A82" s="18"/>
      <c r="B82" s="18" t="s">
        <v>454</v>
      </c>
      <c r="C82" s="18"/>
      <c r="D82" s="18"/>
      <c r="E82" s="18"/>
      <c r="F82" s="18"/>
      <c r="G82" s="18"/>
      <c r="H82" s="18"/>
      <c r="I82" s="18"/>
      <c r="J82" s="18"/>
      <c r="K82" s="18"/>
      <c r="L82" s="18"/>
      <c r="M82" s="18"/>
      <c r="N82" s="18"/>
      <c r="O82" s="18"/>
    </row>
    <row r="83" spans="1:15" x14ac:dyDescent="0.25">
      <c r="A83" s="16"/>
      <c r="B83" s="16" t="s">
        <v>59</v>
      </c>
      <c r="C83" s="16">
        <f>MAX_ACCELERATION</f>
        <v>700</v>
      </c>
      <c r="D83" s="16"/>
      <c r="E83" s="16"/>
      <c r="F83" s="16"/>
      <c r="G83" s="16"/>
      <c r="H83" s="16"/>
      <c r="I83" s="16"/>
      <c r="J83" s="16"/>
      <c r="K83" s="16"/>
      <c r="L83" s="16"/>
      <c r="M83" s="16"/>
      <c r="N83" s="16"/>
      <c r="O83" s="16"/>
    </row>
    <row r="84" spans="1:15" x14ac:dyDescent="0.25">
      <c r="A84" s="17"/>
      <c r="B84" s="17" t="s">
        <v>60</v>
      </c>
      <c r="C84" s="17">
        <f>MAX_ACCELERATION</f>
        <v>700</v>
      </c>
      <c r="D84" s="17"/>
      <c r="E84" s="17"/>
      <c r="F84" s="17"/>
      <c r="G84" s="17"/>
      <c r="H84" s="17"/>
      <c r="I84" s="17"/>
      <c r="J84" s="17"/>
      <c r="K84" s="17"/>
      <c r="L84" s="17"/>
      <c r="M84" s="17"/>
      <c r="N84" s="17"/>
      <c r="O84" s="17"/>
    </row>
    <row r="85" spans="1:15" x14ac:dyDescent="0.25">
      <c r="A85" s="16"/>
      <c r="B85" s="16" t="s">
        <v>61</v>
      </c>
      <c r="C85" s="16">
        <f>MAX_ACCELERATION</f>
        <v>700</v>
      </c>
      <c r="D85" s="16"/>
      <c r="E85" s="16"/>
      <c r="F85" s="16"/>
      <c r="G85" s="16"/>
      <c r="H85" s="16"/>
      <c r="I85" s="16"/>
      <c r="J85" s="16"/>
      <c r="K85" s="16"/>
      <c r="L85" s="16"/>
      <c r="M85" s="16"/>
      <c r="N85" s="16"/>
      <c r="O85" s="16"/>
    </row>
    <row r="86" spans="1:15" x14ac:dyDescent="0.25">
      <c r="A86" s="17"/>
      <c r="B86" s="17" t="s">
        <v>62</v>
      </c>
      <c r="C86" s="17">
        <f>MAX_ACCELERATION</f>
        <v>700</v>
      </c>
      <c r="D86" s="17"/>
      <c r="E86" s="17"/>
      <c r="F86" s="17"/>
      <c r="G86" s="17"/>
      <c r="H86" s="17"/>
      <c r="I86" s="17"/>
      <c r="J86" s="17"/>
      <c r="K86" s="17"/>
      <c r="L86" s="17"/>
      <c r="M86" s="17"/>
      <c r="N86" s="17"/>
      <c r="O86" s="17"/>
    </row>
    <row r="87" spans="1:15" x14ac:dyDescent="0.25">
      <c r="A87" s="16"/>
      <c r="B87" s="16" t="s">
        <v>63</v>
      </c>
      <c r="C87" s="16">
        <f>MAX_ACCELERATION</f>
        <v>700</v>
      </c>
      <c r="D87" s="16"/>
      <c r="E87" s="16"/>
      <c r="F87" s="16"/>
      <c r="G87" s="16"/>
      <c r="H87" s="16"/>
      <c r="I87" s="16"/>
      <c r="J87" s="16"/>
      <c r="K87" s="16"/>
      <c r="L87" s="16"/>
      <c r="M87" s="16"/>
      <c r="N87" s="16"/>
      <c r="O87" s="16"/>
    </row>
    <row r="88" spans="1:15" x14ac:dyDescent="0.25">
      <c r="A88" s="18"/>
      <c r="B88" s="18" t="s">
        <v>455</v>
      </c>
      <c r="C88" s="18"/>
      <c r="D88" s="18"/>
      <c r="E88" s="18"/>
      <c r="F88" s="18"/>
      <c r="G88" s="18"/>
      <c r="H88" s="18"/>
      <c r="I88" s="18"/>
      <c r="J88" s="18"/>
      <c r="K88" s="18"/>
      <c r="L88" s="18"/>
      <c r="M88" s="18"/>
      <c r="N88" s="18"/>
      <c r="O88" s="18"/>
    </row>
    <row r="89" spans="1:15" x14ac:dyDescent="0.25">
      <c r="A89" s="16"/>
      <c r="B89" s="16" t="s">
        <v>64</v>
      </c>
      <c r="C89" s="16">
        <v>60</v>
      </c>
      <c r="D89" s="16">
        <v>60</v>
      </c>
      <c r="E89" s="16">
        <v>60</v>
      </c>
      <c r="F89" s="16">
        <v>60</v>
      </c>
      <c r="G89" s="16">
        <v>60</v>
      </c>
      <c r="H89" s="16">
        <v>60</v>
      </c>
      <c r="I89" s="16">
        <v>60</v>
      </c>
      <c r="J89" s="16">
        <v>60</v>
      </c>
      <c r="K89" s="16">
        <v>60</v>
      </c>
      <c r="L89" s="16">
        <v>60</v>
      </c>
      <c r="M89" s="16">
        <v>60</v>
      </c>
      <c r="N89" s="16">
        <v>60</v>
      </c>
      <c r="O89" s="16"/>
    </row>
    <row r="90" spans="1:15" x14ac:dyDescent="0.25">
      <c r="A90" s="17"/>
      <c r="B90" s="17" t="s">
        <v>65</v>
      </c>
      <c r="C90" s="17"/>
      <c r="D90" s="17" t="str">
        <f ca="1">IF(SpeedType = "Manual","",Matchfill(INDEX(filament!$A$1:$K$98,MATCH("filament_" &amp; $B$90,filament!$B$1:$B$98,0),MATCH($C$67,filament!$A$1:$K$1,0)),filament!$C$102))</f>
        <v>8</v>
      </c>
      <c r="E90" s="17" t="str">
        <f ca="1">IF(SpeedType = "Manual","",Matchfill(INDEX(filament!$A$1:$K$98,MATCH("filament_" &amp; $B$90,filament!$B$1:$B$98,0),MATCH($C$67,filament!$A$1:$K$1,0)),filament!$C$102))</f>
        <v>8</v>
      </c>
      <c r="F90" s="17" t="str">
        <f ca="1">IF(SpeedType = "Manual","",Matchfill(INDEX(filament!$A$1:$K$98,MATCH("filament_" &amp; $B$90,filament!$B$1:$B$98,0),MATCH($C$67,filament!$A$1:$K$1,0)),filament!$C$102))</f>
        <v>8</v>
      </c>
      <c r="G90" s="17" t="str">
        <f ca="1">IF(SpeedType = "Manual","",Matchfill(INDEX(filament!$A$1:$K$98,MATCH("filament_" &amp; $B$90,filament!$B$1:$B$98,0),MATCH($C$67,filament!$A$1:$K$1,0)),filament!$C$102))</f>
        <v>8</v>
      </c>
      <c r="H90" s="17" t="str">
        <f ca="1">IF(SpeedType = "Manual","",Matchfill(INDEX(filament!$A$1:$K$98,MATCH("filament_" &amp; $B$90,filament!$B$1:$B$98,0),MATCH($C$67,filament!$A$1:$K$1,0)),filament!$C$102))</f>
        <v>8</v>
      </c>
      <c r="I90" s="17" t="str">
        <f ca="1">IF(SpeedType = "Manual","",Matchfill(INDEX(filament!$A$1:$K$98,MATCH("filament_" &amp; $B$90,filament!$B$1:$B$98,0),MATCH($C$67,filament!$A$1:$K$1,0)),filament!$C$102))</f>
        <v>8</v>
      </c>
      <c r="J90" s="17" t="str">
        <f ca="1">IF(SpeedType = "Manual","",Matchfill(INDEX(filament!$A$1:$K$98,MATCH("filament_" &amp; $B$90,filament!$B$1:$B$98,0),MATCH($C$67,filament!$A$1:$K$1,0)),filament!$C$102))</f>
        <v>8</v>
      </c>
      <c r="K90" s="17" t="str">
        <f ca="1">IF(SpeedType = "Manual","",Matchfill(INDEX(filament!$A$1:$K$98,MATCH("filament_" &amp; $B$90,filament!$B$1:$B$98,0),MATCH($C$67,filament!$A$1:$K$1,0)),filament!$C$102))</f>
        <v>8</v>
      </c>
      <c r="L90" s="17" t="str">
        <f ca="1">IF(SpeedType = "Manual","",Matchfill(INDEX(filament!$A$1:$K$98,MATCH("filament_" &amp; $B$90,filament!$B$1:$B$98,0),MATCH($C$67,filament!$A$1:$K$1,0)),filament!$C$102))</f>
        <v>8</v>
      </c>
      <c r="M90" s="17" t="str">
        <f ca="1">IF(SpeedType = "Manual","",Matchfill(INDEX(filament!$A$1:$K$98,MATCH("filament_" &amp; $B$90,filament!$B$1:$B$98,0),MATCH($C$67,filament!$A$1:$K$1,0)),filament!$C$102))</f>
        <v>8</v>
      </c>
      <c r="N90" s="17" t="str">
        <f ca="1">IF(SpeedType = "Manual","",Matchfill(INDEX(filament!$A$1:$K$98,MATCH("filament_" &amp; $B$90,filament!$B$1:$B$98,0),MATCH($C$67,filament!$A$1:$K$1,0)),filament!$C$102))</f>
        <v>8</v>
      </c>
      <c r="O90" s="17"/>
    </row>
    <row r="91" spans="1:15" x14ac:dyDescent="0.25">
      <c r="A91" s="18" t="s">
        <v>232</v>
      </c>
      <c r="B91" s="18" t="s">
        <v>456</v>
      </c>
      <c r="C91" s="18"/>
      <c r="D91" s="18"/>
      <c r="E91" s="18"/>
      <c r="F91" s="18"/>
      <c r="G91" s="18"/>
      <c r="H91" s="18"/>
      <c r="I91" s="18"/>
      <c r="J91" s="18"/>
      <c r="K91" s="18"/>
      <c r="L91" s="18"/>
      <c r="M91" s="18"/>
      <c r="N91" s="18"/>
      <c r="O91" s="18"/>
    </row>
    <row r="92" spans="1:15" x14ac:dyDescent="0.25">
      <c r="A92" s="16"/>
      <c r="B92" s="16" t="s">
        <v>66</v>
      </c>
      <c r="C92" s="16">
        <v>1</v>
      </c>
      <c r="D92" s="16"/>
      <c r="E92" s="16"/>
      <c r="F92" s="16"/>
      <c r="G92" s="16"/>
      <c r="H92" s="16"/>
      <c r="I92" s="16"/>
      <c r="J92" s="16"/>
      <c r="K92" s="16"/>
      <c r="L92" s="16"/>
      <c r="M92" s="16"/>
      <c r="N92" s="16"/>
      <c r="O92" s="16"/>
    </row>
    <row r="93" spans="1:15" x14ac:dyDescent="0.25">
      <c r="A93" s="17"/>
      <c r="B93" s="17" t="s">
        <v>67</v>
      </c>
      <c r="C93" s="17">
        <v>1</v>
      </c>
      <c r="D93" s="17"/>
      <c r="E93" s="17"/>
      <c r="F93" s="17"/>
      <c r="G93" s="17"/>
      <c r="H93" s="17"/>
      <c r="I93" s="17"/>
      <c r="J93" s="17"/>
      <c r="K93" s="17"/>
      <c r="L93" s="17"/>
      <c r="M93" s="17"/>
      <c r="N93" s="17"/>
      <c r="O93" s="17"/>
    </row>
    <row r="94" spans="1:15" x14ac:dyDescent="0.25">
      <c r="A94" s="16"/>
      <c r="B94" s="16" t="s">
        <v>68</v>
      </c>
      <c r="C94" s="16">
        <v>1</v>
      </c>
      <c r="D94" s="16"/>
      <c r="E94" s="16"/>
      <c r="F94" s="16"/>
      <c r="G94" s="16"/>
      <c r="H94" s="16"/>
      <c r="I94" s="16"/>
      <c r="J94" s="16"/>
      <c r="K94" s="16"/>
      <c r="L94" s="16"/>
      <c r="M94" s="16"/>
      <c r="N94" s="16"/>
      <c r="O94" s="16"/>
    </row>
    <row r="95" spans="1:15" x14ac:dyDescent="0.25">
      <c r="A95" s="17"/>
      <c r="B95" s="17" t="s">
        <v>69</v>
      </c>
      <c r="C95" s="17">
        <v>1</v>
      </c>
      <c r="D95" s="17"/>
      <c r="E95" s="17"/>
      <c r="F95" s="17"/>
      <c r="G95" s="17"/>
      <c r="H95" s="17"/>
      <c r="I95" s="17"/>
      <c r="J95" s="17"/>
      <c r="K95" s="17"/>
      <c r="L95" s="17"/>
      <c r="M95" s="17"/>
      <c r="N95" s="17"/>
      <c r="O95" s="17"/>
    </row>
    <row r="96" spans="1:15" x14ac:dyDescent="0.25">
      <c r="A96" s="16"/>
      <c r="B96" s="16" t="s">
        <v>70</v>
      </c>
      <c r="C96" s="16">
        <v>1</v>
      </c>
      <c r="D96" s="16"/>
      <c r="E96" s="16"/>
      <c r="F96" s="16"/>
      <c r="G96" s="16"/>
      <c r="H96" s="16"/>
      <c r="I96" s="16"/>
      <c r="J96" s="16"/>
      <c r="K96" s="16"/>
      <c r="L96" s="16"/>
      <c r="M96" s="16"/>
      <c r="N96" s="16"/>
      <c r="O96" s="16"/>
    </row>
    <row r="97" spans="1:15" x14ac:dyDescent="0.25">
      <c r="A97" s="18"/>
      <c r="B97" s="18" t="s">
        <v>457</v>
      </c>
      <c r="C97" s="18"/>
      <c r="D97" s="18"/>
      <c r="E97" s="18"/>
      <c r="F97" s="18"/>
      <c r="G97" s="18"/>
      <c r="H97" s="18"/>
      <c r="I97" s="18"/>
      <c r="J97" s="18"/>
      <c r="K97" s="18"/>
      <c r="L97" s="18"/>
      <c r="M97" s="18"/>
      <c r="N97" s="18"/>
      <c r="O97" s="18"/>
    </row>
    <row r="98" spans="1:15" x14ac:dyDescent="0.25">
      <c r="A98" s="16"/>
      <c r="B98" s="16" t="s">
        <v>71</v>
      </c>
      <c r="C98" s="16"/>
      <c r="D98" s="16"/>
      <c r="E98" s="16"/>
      <c r="F98" s="16"/>
      <c r="G98" s="16"/>
      <c r="H98" s="16"/>
      <c r="I98" s="16"/>
      <c r="J98" s="16"/>
      <c r="K98" s="16"/>
      <c r="L98" s="16"/>
      <c r="M98" s="16"/>
      <c r="N98" s="16"/>
      <c r="O98" s="16"/>
    </row>
    <row r="99" spans="1:15" x14ac:dyDescent="0.25">
      <c r="A99" s="17"/>
      <c r="B99" s="17" t="s">
        <v>72</v>
      </c>
      <c r="C99" s="17"/>
      <c r="D99" s="17"/>
      <c r="E99" s="17"/>
      <c r="F99" s="17"/>
      <c r="G99" s="17"/>
      <c r="H99" s="17"/>
      <c r="I99" s="17"/>
      <c r="J99" s="17"/>
      <c r="K99" s="17"/>
      <c r="L99" s="17"/>
      <c r="M99" s="17"/>
      <c r="N99" s="17"/>
      <c r="O99" s="17"/>
    </row>
    <row r="100" spans="1:15" x14ac:dyDescent="0.25">
      <c r="A100" s="18"/>
      <c r="B100" s="18" t="s">
        <v>458</v>
      </c>
      <c r="C100" s="18"/>
      <c r="D100" s="18"/>
      <c r="E100" s="18"/>
      <c r="F100" s="18"/>
      <c r="G100" s="18"/>
      <c r="H100" s="18"/>
      <c r="I100" s="18"/>
      <c r="J100" s="18"/>
      <c r="K100" s="18"/>
      <c r="L100" s="18"/>
      <c r="M100" s="18"/>
      <c r="N100" s="18"/>
      <c r="O100" s="18"/>
    </row>
    <row r="101" spans="1:15" x14ac:dyDescent="0.25">
      <c r="A101" s="16"/>
      <c r="B101" s="16" t="s">
        <v>73</v>
      </c>
      <c r="C101" s="16"/>
      <c r="D101" s="16"/>
      <c r="E101" s="16"/>
      <c r="F101" s="16"/>
      <c r="G101" s="16"/>
      <c r="H101" s="16"/>
      <c r="I101" s="16"/>
      <c r="J101" s="16"/>
      <c r="K101" s="16"/>
      <c r="L101" s="16"/>
      <c r="M101" s="16"/>
      <c r="N101" s="16"/>
      <c r="O101" s="16"/>
    </row>
    <row r="102" spans="1:15" x14ac:dyDescent="0.25">
      <c r="A102" s="17"/>
      <c r="B102" s="17" t="s">
        <v>74</v>
      </c>
      <c r="C102" s="17"/>
      <c r="D102" s="17"/>
      <c r="E102" s="17"/>
      <c r="F102" s="17"/>
      <c r="G102" s="17"/>
      <c r="H102" s="17"/>
      <c r="I102" s="17"/>
      <c r="J102" s="17"/>
      <c r="K102" s="17"/>
      <c r="L102" s="17"/>
      <c r="M102" s="17"/>
      <c r="N102" s="17"/>
      <c r="O102" s="17"/>
    </row>
    <row r="103" spans="1:15" x14ac:dyDescent="0.25">
      <c r="A103" s="16"/>
      <c r="B103" s="16" t="s">
        <v>75</v>
      </c>
      <c r="C103" s="16"/>
      <c r="D103" s="16"/>
      <c r="E103" s="16"/>
      <c r="F103" s="16"/>
      <c r="G103" s="16"/>
      <c r="H103" s="16"/>
      <c r="I103" s="16"/>
      <c r="J103" s="16"/>
      <c r="K103" s="16"/>
      <c r="L103" s="16"/>
      <c r="M103" s="16"/>
      <c r="N103" s="16"/>
      <c r="O103" s="16"/>
    </row>
    <row r="104" spans="1:15" x14ac:dyDescent="0.25">
      <c r="A104" s="17"/>
      <c r="B104" s="17" t="s">
        <v>76</v>
      </c>
      <c r="C104" s="17"/>
      <c r="D104" s="17"/>
      <c r="E104" s="17"/>
      <c r="F104" s="17"/>
      <c r="G104" s="17"/>
      <c r="H104" s="17"/>
      <c r="I104" s="17"/>
      <c r="J104" s="17"/>
      <c r="K104" s="17"/>
      <c r="L104" s="17"/>
      <c r="M104" s="17"/>
      <c r="N104" s="17"/>
      <c r="O104" s="17"/>
    </row>
    <row r="105" spans="1:15" x14ac:dyDescent="0.25">
      <c r="A105" s="16"/>
      <c r="B105" s="16" t="s">
        <v>77</v>
      </c>
      <c r="C105" s="16"/>
      <c r="D105" s="16"/>
      <c r="E105" s="16"/>
      <c r="F105" s="16"/>
      <c r="G105" s="16"/>
      <c r="H105" s="16"/>
      <c r="I105" s="16"/>
      <c r="J105" s="16"/>
      <c r="K105" s="16"/>
      <c r="L105" s="16"/>
      <c r="M105" s="16"/>
      <c r="N105" s="16"/>
      <c r="O105" s="16"/>
    </row>
    <row r="106" spans="1:15" x14ac:dyDescent="0.25">
      <c r="A106" s="17"/>
      <c r="B106" s="17" t="s">
        <v>78</v>
      </c>
      <c r="C106" s="17"/>
      <c r="D106" s="17"/>
      <c r="E106" s="17"/>
      <c r="F106" s="17"/>
      <c r="G106" s="17"/>
      <c r="H106" s="17"/>
      <c r="I106" s="17"/>
      <c r="J106" s="17"/>
      <c r="K106" s="17"/>
      <c r="L106" s="17"/>
      <c r="M106" s="17"/>
      <c r="N106" s="17"/>
      <c r="O106" s="17"/>
    </row>
    <row r="107" spans="1:15" x14ac:dyDescent="0.25">
      <c r="A107" s="16"/>
      <c r="B107" s="16" t="s">
        <v>79</v>
      </c>
      <c r="C107" s="16"/>
      <c r="D107" s="16"/>
      <c r="E107" s="16"/>
      <c r="F107" s="16"/>
      <c r="G107" s="16"/>
      <c r="H107" s="16"/>
      <c r="I107" s="16"/>
      <c r="J107" s="16"/>
      <c r="K107" s="16"/>
      <c r="L107" s="16"/>
      <c r="M107" s="16"/>
      <c r="N107" s="16"/>
      <c r="O107" s="16"/>
    </row>
    <row r="108" spans="1:15" x14ac:dyDescent="0.25">
      <c r="A108" s="17"/>
      <c r="B108" s="17" t="s">
        <v>391</v>
      </c>
      <c r="C108" s="17"/>
      <c r="D108" s="17"/>
      <c r="E108" s="17"/>
      <c r="F108" s="17"/>
      <c r="G108" s="17"/>
      <c r="H108" s="17"/>
      <c r="I108" s="17"/>
      <c r="J108" s="17"/>
      <c r="K108" s="17"/>
      <c r="L108" s="17"/>
      <c r="M108" s="17"/>
      <c r="N108" s="17"/>
      <c r="O108" s="17"/>
    </row>
    <row r="109" spans="1:15" x14ac:dyDescent="0.25">
      <c r="A109" s="18"/>
      <c r="B109" s="18" t="s">
        <v>416</v>
      </c>
      <c r="C109" s="18"/>
      <c r="D109" s="18"/>
      <c r="E109" s="18"/>
      <c r="F109" s="18"/>
      <c r="G109" s="18"/>
      <c r="H109" s="18"/>
      <c r="I109" s="18"/>
      <c r="J109" s="18"/>
      <c r="K109" s="18"/>
      <c r="L109" s="18"/>
      <c r="M109" s="18"/>
      <c r="N109" s="18"/>
      <c r="O109" s="18"/>
    </row>
    <row r="110" spans="1:15" x14ac:dyDescent="0.25">
      <c r="A110" s="16"/>
      <c r="B110" s="16" t="s">
        <v>80</v>
      </c>
      <c r="C110" s="16"/>
      <c r="D110" s="16"/>
      <c r="E110" s="16"/>
      <c r="F110" s="16"/>
      <c r="G110" s="16"/>
      <c r="H110" s="16"/>
      <c r="I110" s="16"/>
      <c r="J110" s="16"/>
      <c r="K110" s="16"/>
      <c r="L110" s="16"/>
      <c r="M110" s="16"/>
      <c r="N110" s="16"/>
      <c r="O110" s="16"/>
    </row>
    <row r="111" spans="1:15" x14ac:dyDescent="0.25">
      <c r="A111" s="18" t="s">
        <v>234</v>
      </c>
      <c r="B111" s="18" t="s">
        <v>459</v>
      </c>
      <c r="C111" s="18"/>
      <c r="D111" s="18"/>
      <c r="E111" s="18"/>
      <c r="F111" s="18"/>
      <c r="G111" s="18"/>
      <c r="H111" s="18"/>
      <c r="I111" s="18"/>
      <c r="J111" s="18"/>
      <c r="K111" s="18"/>
      <c r="L111" s="18"/>
      <c r="M111" s="18"/>
      <c r="N111" s="18"/>
      <c r="O111" s="18"/>
    </row>
    <row r="112" spans="1:15" x14ac:dyDescent="0.25">
      <c r="A112" s="16"/>
      <c r="B112" s="16" t="s">
        <v>81</v>
      </c>
      <c r="C112" s="16">
        <f t="shared" ref="C112:C119" si="10">Nozzle_Diameter</f>
        <v>0.6</v>
      </c>
      <c r="D112" s="16"/>
      <c r="E112" s="16"/>
      <c r="F112" s="16"/>
      <c r="G112" s="16"/>
      <c r="H112" s="16"/>
      <c r="I112" s="16"/>
      <c r="J112" s="16"/>
      <c r="K112" s="16"/>
      <c r="L112" s="16"/>
      <c r="M112" s="16"/>
      <c r="N112" s="16"/>
      <c r="O112" s="16"/>
    </row>
    <row r="113" spans="1:15" x14ac:dyDescent="0.25">
      <c r="A113" s="17"/>
      <c r="B113" s="17" t="s">
        <v>82</v>
      </c>
      <c r="C113" s="17">
        <f t="shared" si="10"/>
        <v>0.6</v>
      </c>
      <c r="D113" s="17"/>
      <c r="E113" s="17"/>
      <c r="F113" s="17"/>
      <c r="G113" s="17"/>
      <c r="H113" s="17"/>
      <c r="I113" s="17"/>
      <c r="J113" s="17"/>
      <c r="K113" s="17"/>
      <c r="L113" s="17"/>
      <c r="M113" s="17"/>
      <c r="N113" s="17"/>
      <c r="O113" s="17"/>
    </row>
    <row r="114" spans="1:15" ht="14.25" customHeight="1" x14ac:dyDescent="0.25">
      <c r="A114" s="16"/>
      <c r="B114" s="16" t="s">
        <v>83</v>
      </c>
      <c r="C114" s="16">
        <f t="shared" si="10"/>
        <v>0.6</v>
      </c>
      <c r="D114" s="16"/>
      <c r="E114" s="16"/>
      <c r="F114" s="16"/>
      <c r="G114" s="16"/>
      <c r="H114" s="16"/>
      <c r="I114" s="16"/>
      <c r="J114" s="16"/>
      <c r="K114" s="16"/>
      <c r="L114" s="16"/>
      <c r="M114" s="16"/>
      <c r="N114" s="16"/>
      <c r="O114" s="16"/>
    </row>
    <row r="115" spans="1:15" x14ac:dyDescent="0.25">
      <c r="A115" s="17"/>
      <c r="B115" s="17" t="s">
        <v>84</v>
      </c>
      <c r="C115" s="17">
        <f t="shared" si="10"/>
        <v>0.6</v>
      </c>
      <c r="D115" s="17"/>
      <c r="E115" s="17"/>
      <c r="F115" s="17"/>
      <c r="G115" s="17"/>
      <c r="H115" s="17"/>
      <c r="I115" s="17"/>
      <c r="J115" s="17"/>
      <c r="K115" s="17"/>
      <c r="L115" s="17"/>
      <c r="M115" s="17"/>
      <c r="N115" s="17"/>
      <c r="O115" s="17"/>
    </row>
    <row r="116" spans="1:15" x14ac:dyDescent="0.25">
      <c r="A116" s="16"/>
      <c r="B116" s="16" t="s">
        <v>85</v>
      </c>
      <c r="C116" s="16">
        <f t="shared" si="10"/>
        <v>0.6</v>
      </c>
      <c r="D116" s="16"/>
      <c r="E116" s="16"/>
      <c r="F116" s="16"/>
      <c r="G116" s="16"/>
      <c r="H116" s="16"/>
      <c r="I116" s="16"/>
      <c r="J116" s="16"/>
      <c r="K116" s="16"/>
      <c r="L116" s="16"/>
      <c r="M116" s="16"/>
      <c r="N116" s="16"/>
      <c r="O116" s="16"/>
    </row>
    <row r="117" spans="1:15" x14ac:dyDescent="0.25">
      <c r="A117" s="17"/>
      <c r="B117" s="17" t="s">
        <v>86</v>
      </c>
      <c r="C117" s="17">
        <f t="shared" si="10"/>
        <v>0.6</v>
      </c>
      <c r="D117" s="17"/>
      <c r="E117" s="17"/>
      <c r="F117" s="17"/>
      <c r="G117" s="17"/>
      <c r="H117" s="17"/>
      <c r="I117" s="17"/>
      <c r="J117" s="17"/>
      <c r="K117" s="17"/>
      <c r="L117" s="17"/>
      <c r="M117" s="17"/>
      <c r="N117" s="17"/>
      <c r="O117" s="17"/>
    </row>
    <row r="118" spans="1:15" x14ac:dyDescent="0.25">
      <c r="A118" s="16"/>
      <c r="B118" s="16" t="s">
        <v>87</v>
      </c>
      <c r="C118" s="16">
        <f t="shared" si="10"/>
        <v>0.6</v>
      </c>
      <c r="D118" s="16"/>
      <c r="E118" s="16"/>
      <c r="F118" s="16"/>
      <c r="G118" s="16"/>
      <c r="H118" s="16"/>
      <c r="I118" s="16"/>
      <c r="J118" s="16"/>
      <c r="K118" s="16"/>
      <c r="L118" s="16"/>
      <c r="M118" s="16"/>
      <c r="N118" s="16"/>
      <c r="O118" s="16"/>
    </row>
    <row r="119" spans="1:15" x14ac:dyDescent="0.25">
      <c r="A119" s="17"/>
      <c r="B119" s="17" t="s">
        <v>88</v>
      </c>
      <c r="C119" s="17">
        <f t="shared" si="10"/>
        <v>0.6</v>
      </c>
      <c r="D119" s="17"/>
      <c r="E119" s="17"/>
      <c r="F119" s="17"/>
      <c r="G119" s="17"/>
      <c r="H119" s="17"/>
      <c r="I119" s="17"/>
      <c r="J119" s="17"/>
      <c r="K119" s="17"/>
      <c r="L119" s="17"/>
      <c r="M119" s="17"/>
      <c r="N119" s="17"/>
      <c r="O119" s="17"/>
    </row>
    <row r="120" spans="1:15" x14ac:dyDescent="0.25">
      <c r="A120" s="18"/>
      <c r="B120" s="18" t="s">
        <v>460</v>
      </c>
      <c r="C120" s="18"/>
      <c r="D120" s="18"/>
      <c r="E120" s="18"/>
      <c r="F120" s="18"/>
      <c r="G120" s="18"/>
      <c r="H120" s="18"/>
      <c r="I120" s="18"/>
      <c r="J120" s="18"/>
      <c r="K120" s="18"/>
      <c r="L120" s="18"/>
      <c r="M120" s="18"/>
      <c r="N120" s="18"/>
      <c r="O120" s="18"/>
    </row>
    <row r="121" spans="1:15" x14ac:dyDescent="0.25">
      <c r="A121" s="16"/>
      <c r="B121" s="16" t="s">
        <v>89</v>
      </c>
      <c r="C121" s="16" t="str">
        <f>"8%"</f>
        <v>8%</v>
      </c>
      <c r="D121" s="16"/>
      <c r="E121" s="16"/>
      <c r="F121" s="16"/>
      <c r="G121" s="16"/>
      <c r="H121" s="16"/>
      <c r="I121" s="16"/>
      <c r="J121" s="16"/>
      <c r="K121" s="16"/>
      <c r="L121" s="16"/>
      <c r="M121" s="16"/>
      <c r="N121" s="16"/>
      <c r="O121" s="16"/>
    </row>
    <row r="122" spans="1:15" x14ac:dyDescent="0.25">
      <c r="A122" s="18"/>
      <c r="B122" s="18" t="s">
        <v>461</v>
      </c>
      <c r="C122" s="18"/>
      <c r="D122" s="18"/>
      <c r="E122" s="18"/>
      <c r="F122" s="18"/>
      <c r="G122" s="18"/>
      <c r="H122" s="18"/>
      <c r="I122" s="18"/>
      <c r="J122" s="18"/>
      <c r="K122" s="18"/>
      <c r="L122" s="18"/>
      <c r="M122" s="18"/>
      <c r="N122" s="18"/>
      <c r="O122" s="18"/>
    </row>
    <row r="123" spans="1:15" x14ac:dyDescent="0.25">
      <c r="A123" s="16"/>
      <c r="B123" s="16" t="s">
        <v>90</v>
      </c>
      <c r="C123" s="16">
        <v>0.8</v>
      </c>
      <c r="D123" s="16"/>
      <c r="E123" s="16"/>
      <c r="F123" s="16"/>
      <c r="G123" s="16"/>
      <c r="H123" s="16"/>
      <c r="I123" s="16"/>
      <c r="J123" s="16"/>
      <c r="K123" s="16"/>
      <c r="L123" s="16"/>
      <c r="M123" s="16"/>
      <c r="N123" s="16"/>
      <c r="O123" s="16"/>
    </row>
    <row r="124" spans="1:15" x14ac:dyDescent="0.25">
      <c r="A124" s="18"/>
      <c r="B124" s="18" t="s">
        <v>462</v>
      </c>
      <c r="C124" s="18"/>
      <c r="D124" s="18"/>
      <c r="E124" s="18"/>
      <c r="F124" s="18"/>
      <c r="G124" s="18"/>
      <c r="H124" s="18"/>
      <c r="I124" s="18"/>
      <c r="J124" s="18"/>
      <c r="K124" s="18"/>
      <c r="L124" s="18"/>
      <c r="M124" s="18"/>
      <c r="N124" s="18"/>
      <c r="O124" s="18"/>
    </row>
    <row r="125" spans="1:15" x14ac:dyDescent="0.25">
      <c r="A125" s="16"/>
      <c r="B125" s="16" t="s">
        <v>91</v>
      </c>
      <c r="C125" s="16">
        <v>1</v>
      </c>
      <c r="D125" s="16"/>
      <c r="E125" s="16"/>
      <c r="F125" s="16"/>
      <c r="G125" s="16"/>
      <c r="H125" s="16"/>
      <c r="I125" s="16"/>
      <c r="J125" s="16"/>
      <c r="K125" s="16"/>
      <c r="L125" s="16"/>
      <c r="M125" s="16"/>
      <c r="N125" s="16"/>
      <c r="O125" s="16"/>
    </row>
    <row r="126" spans="1:15" x14ac:dyDescent="0.25">
      <c r="A126" s="17"/>
      <c r="B126" s="17" t="s">
        <v>92</v>
      </c>
      <c r="C126" s="17"/>
      <c r="D126" s="17"/>
      <c r="E126" s="17"/>
      <c r="F126" s="17"/>
      <c r="G126" s="17"/>
      <c r="H126" s="17"/>
      <c r="I126" s="17"/>
      <c r="J126" s="17"/>
      <c r="K126" s="17"/>
      <c r="L126" s="17"/>
      <c r="M126" s="17"/>
      <c r="N126" s="17"/>
      <c r="O126" s="17"/>
    </row>
    <row r="127" spans="1:15" x14ac:dyDescent="0.25">
      <c r="A127" s="16"/>
      <c r="B127" s="16" t="s">
        <v>93</v>
      </c>
      <c r="C127" s="16"/>
      <c r="D127" s="16"/>
      <c r="E127" s="16"/>
      <c r="F127" s="16"/>
      <c r="G127" s="16"/>
      <c r="H127" s="16"/>
      <c r="I127" s="16"/>
      <c r="J127" s="16"/>
      <c r="K127" s="16"/>
      <c r="L127" s="16"/>
      <c r="M127" s="16"/>
      <c r="N127" s="16"/>
      <c r="O127" s="16"/>
    </row>
    <row r="128" spans="1:15" x14ac:dyDescent="0.25">
      <c r="A128" s="17"/>
      <c r="B128" s="17" t="s">
        <v>312</v>
      </c>
      <c r="C128" s="17"/>
      <c r="D128" s="17"/>
      <c r="E128" s="17"/>
      <c r="F128" s="17"/>
      <c r="G128" s="17"/>
      <c r="H128" s="17"/>
      <c r="I128" s="17"/>
      <c r="J128" s="17"/>
      <c r="K128" s="17"/>
      <c r="L128" s="17"/>
      <c r="M128" s="17"/>
      <c r="N128" s="17"/>
      <c r="O128" s="17"/>
    </row>
    <row r="129" spans="1:15" x14ac:dyDescent="0.25">
      <c r="A129" s="16"/>
      <c r="B129" s="16" t="s">
        <v>94</v>
      </c>
      <c r="C129" s="16">
        <v>0</v>
      </c>
      <c r="D129" s="16"/>
      <c r="E129" s="16"/>
      <c r="F129" s="16"/>
      <c r="G129" s="16"/>
      <c r="H129" s="16"/>
      <c r="I129" s="16"/>
      <c r="J129" s="16"/>
      <c r="K129" s="16"/>
      <c r="L129" s="16"/>
      <c r="M129" s="16"/>
      <c r="N129" s="16"/>
      <c r="O129" s="16"/>
    </row>
    <row r="130" spans="1:15" x14ac:dyDescent="0.25">
      <c r="A130" s="18" t="s">
        <v>235</v>
      </c>
      <c r="B130" s="18" t="s">
        <v>463</v>
      </c>
      <c r="C130" s="18"/>
      <c r="D130" s="18"/>
      <c r="E130" s="18"/>
      <c r="F130" s="18"/>
      <c r="G130" s="18"/>
      <c r="H130" s="18"/>
      <c r="I130" s="18"/>
      <c r="J130" s="18"/>
      <c r="K130" s="18"/>
      <c r="L130" s="18"/>
      <c r="M130" s="18"/>
      <c r="N130" s="18"/>
      <c r="O130" s="18"/>
    </row>
    <row r="131" spans="1:15" x14ac:dyDescent="0.25">
      <c r="A131" s="16"/>
      <c r="B131" s="16" t="s">
        <v>95</v>
      </c>
      <c r="C131" s="16"/>
      <c r="D131" s="16"/>
      <c r="E131" s="16"/>
      <c r="F131" s="16"/>
      <c r="G131" s="16"/>
      <c r="H131" s="16"/>
      <c r="I131" s="16"/>
      <c r="J131" s="16"/>
      <c r="K131" s="16"/>
      <c r="L131" s="16"/>
      <c r="M131" s="16"/>
      <c r="N131" s="16"/>
      <c r="O131" s="16"/>
    </row>
    <row r="132" spans="1:15" x14ac:dyDescent="0.25">
      <c r="A132" s="17"/>
      <c r="B132" s="17" t="s">
        <v>96</v>
      </c>
      <c r="C132" s="17"/>
      <c r="D132" s="17"/>
      <c r="E132" s="17"/>
      <c r="F132" s="17"/>
      <c r="G132" s="17"/>
      <c r="H132" s="17"/>
      <c r="I132" s="17"/>
      <c r="J132" s="17"/>
      <c r="K132" s="17"/>
      <c r="L132" s="17"/>
      <c r="M132" s="17"/>
      <c r="N132" s="17"/>
      <c r="O132" s="17"/>
    </row>
    <row r="133" spans="1:15" x14ac:dyDescent="0.25">
      <c r="A133" s="16"/>
      <c r="B133" s="16" t="s">
        <v>97</v>
      </c>
      <c r="C133" s="16"/>
      <c r="D133" s="16"/>
      <c r="E133" s="16"/>
      <c r="F133" s="16"/>
      <c r="G133" s="16"/>
      <c r="H133" s="16"/>
      <c r="I133" s="16"/>
      <c r="J133" s="16"/>
      <c r="K133" s="16"/>
      <c r="L133" s="16"/>
      <c r="M133" s="16"/>
      <c r="N133" s="16"/>
      <c r="O133" s="16"/>
    </row>
    <row r="134" spans="1:15" x14ac:dyDescent="0.25">
      <c r="A134" s="18"/>
      <c r="B134" s="18" t="s">
        <v>464</v>
      </c>
      <c r="C134" s="18"/>
      <c r="D134" s="18"/>
      <c r="E134" s="18"/>
      <c r="F134" s="18"/>
      <c r="G134" s="18"/>
      <c r="H134" s="18"/>
      <c r="I134" s="18"/>
      <c r="J134" s="18"/>
      <c r="K134" s="18"/>
      <c r="L134" s="18"/>
      <c r="M134" s="18"/>
      <c r="N134" s="18"/>
      <c r="O134" s="18"/>
    </row>
    <row r="135" spans="1:15" x14ac:dyDescent="0.25">
      <c r="A135" s="16"/>
      <c r="B135" s="16" t="s">
        <v>98</v>
      </c>
      <c r="C135" s="16">
        <v>1</v>
      </c>
      <c r="D135" s="16"/>
      <c r="E135" s="16"/>
      <c r="F135" s="16"/>
      <c r="G135" s="16"/>
      <c r="H135" s="16"/>
      <c r="I135" s="16"/>
      <c r="J135" s="16"/>
      <c r="K135" s="16"/>
      <c r="L135" s="16"/>
      <c r="M135" s="16"/>
      <c r="N135" s="16"/>
      <c r="O135" s="16"/>
    </row>
    <row r="136" spans="1:15" x14ac:dyDescent="0.25">
      <c r="A136" s="17"/>
      <c r="B136" s="17" t="s">
        <v>311</v>
      </c>
      <c r="C136" s="17">
        <v>1</v>
      </c>
      <c r="D136" s="17"/>
      <c r="E136" s="17"/>
      <c r="F136" s="17"/>
      <c r="G136" s="17"/>
      <c r="H136" s="17"/>
      <c r="I136" s="17"/>
      <c r="J136" s="17"/>
      <c r="K136" s="17"/>
      <c r="L136" s="17"/>
      <c r="M136" s="17"/>
      <c r="N136" s="17"/>
      <c r="O136" s="17"/>
    </row>
    <row r="137" spans="1:15" x14ac:dyDescent="0.25">
      <c r="A137" s="16"/>
      <c r="B137" s="16" t="s">
        <v>99</v>
      </c>
      <c r="C137" s="16" t="s">
        <v>100</v>
      </c>
      <c r="D137" s="16"/>
      <c r="E137" s="16"/>
      <c r="F137" s="16"/>
      <c r="G137" s="16"/>
      <c r="H137" s="16"/>
      <c r="I137" s="16"/>
      <c r="J137" s="16"/>
      <c r="K137" s="16"/>
      <c r="L137" s="16"/>
      <c r="M137" s="16"/>
      <c r="N137" s="16"/>
      <c r="O137" s="16"/>
    </row>
    <row r="138" spans="1:15" x14ac:dyDescent="0.25">
      <c r="A138" s="18"/>
      <c r="B138" s="18" t="s">
        <v>465</v>
      </c>
      <c r="C138" s="18"/>
      <c r="D138" s="18"/>
      <c r="E138" s="18"/>
      <c r="F138" s="18"/>
      <c r="G138" s="18"/>
      <c r="H138" s="18"/>
      <c r="I138" s="18"/>
      <c r="J138" s="18"/>
      <c r="K138" s="18"/>
      <c r="L138" s="18"/>
      <c r="M138" s="18"/>
      <c r="N138" s="18"/>
      <c r="O138" s="18"/>
    </row>
    <row r="139" spans="1:15" x14ac:dyDescent="0.25">
      <c r="A139" s="16"/>
      <c r="B139" s="16" t="s">
        <v>101</v>
      </c>
      <c r="C139" s="16"/>
      <c r="D139" s="16"/>
      <c r="E139" s="16"/>
      <c r="F139" s="16"/>
      <c r="G139" s="16"/>
      <c r="H139" s="16"/>
      <c r="I139" s="16"/>
      <c r="J139" s="16"/>
      <c r="K139" s="16"/>
      <c r="L139" s="16"/>
      <c r="M139" s="16"/>
      <c r="N139" s="16"/>
      <c r="O139" s="16"/>
    </row>
    <row r="140" spans="1:15" x14ac:dyDescent="0.25">
      <c r="A140" s="18" t="s">
        <v>236</v>
      </c>
      <c r="B140" s="18" t="s">
        <v>427</v>
      </c>
      <c r="C140" s="18"/>
      <c r="D140" s="18"/>
      <c r="E140" s="18"/>
      <c r="F140" s="18"/>
      <c r="G140" s="18"/>
      <c r="H140" s="18"/>
      <c r="I140" s="18"/>
      <c r="J140" s="18"/>
      <c r="K140" s="18"/>
      <c r="L140" s="18"/>
      <c r="M140" s="18"/>
      <c r="N140" s="18"/>
      <c r="O140" s="18"/>
    </row>
    <row r="141" spans="1:15" x14ac:dyDescent="0.25">
      <c r="A141" s="16"/>
      <c r="B141" s="16" t="s">
        <v>102</v>
      </c>
      <c r="C141" s="16"/>
      <c r="D141" s="16"/>
      <c r="E141" s="16"/>
      <c r="F141" s="16"/>
      <c r="G141" s="16"/>
      <c r="H141" s="16"/>
      <c r="I141" s="16"/>
      <c r="J141" s="16"/>
      <c r="K141" s="16"/>
      <c r="L141" s="16"/>
      <c r="M141" s="16"/>
      <c r="N141" s="16"/>
      <c r="O141" s="16"/>
    </row>
    <row r="142" spans="1:15" x14ac:dyDescent="0.25">
      <c r="A142" s="18" t="s">
        <v>237</v>
      </c>
      <c r="B142" s="18" t="s">
        <v>466</v>
      </c>
      <c r="C142" s="18"/>
      <c r="D142" s="18"/>
      <c r="E142" s="18"/>
      <c r="F142" s="18"/>
      <c r="G142" s="18"/>
      <c r="H142" s="18"/>
      <c r="I142" s="18"/>
      <c r="J142" s="18"/>
      <c r="K142" s="18"/>
      <c r="L142" s="18"/>
      <c r="M142" s="18"/>
      <c r="N142" s="18"/>
      <c r="O142" s="18"/>
    </row>
    <row r="143" spans="1:15" x14ac:dyDescent="0.25">
      <c r="A143" s="16"/>
      <c r="B143" s="16" t="s">
        <v>141</v>
      </c>
      <c r="C143" s="16" t="str">
        <f>Printer_Name</f>
        <v>AnyCubic E3D V6 0.6 mm PET</v>
      </c>
      <c r="D143" s="16"/>
      <c r="E143" s="16"/>
      <c r="F143" s="16"/>
      <c r="G143" s="16"/>
      <c r="H143" s="16"/>
      <c r="I143" s="16"/>
      <c r="J143" s="16"/>
      <c r="K143" s="16"/>
      <c r="L143" s="16"/>
      <c r="M143" s="16"/>
      <c r="N143" s="16"/>
      <c r="O143" s="16"/>
    </row>
    <row r="144" spans="1:15" x14ac:dyDescent="0.25">
      <c r="A144" s="17"/>
      <c r="B144" s="17" t="s">
        <v>142</v>
      </c>
      <c r="C144" s="17"/>
      <c r="D144" s="17"/>
      <c r="E144" s="17"/>
      <c r="F144" s="17"/>
      <c r="G144" s="17"/>
      <c r="H144" s="17"/>
      <c r="I144" s="17"/>
      <c r="J144" s="17"/>
      <c r="K144" s="17"/>
      <c r="L144" s="17"/>
      <c r="M144" s="17"/>
      <c r="N144" s="17"/>
      <c r="O144" s="17"/>
    </row>
    <row r="145" spans="1:15" x14ac:dyDescent="0.25">
      <c r="A145" s="16"/>
      <c r="B145" s="16" t="s">
        <v>404</v>
      </c>
      <c r="C145" s="16"/>
      <c r="D145" s="16"/>
      <c r="E145" s="16"/>
      <c r="F145" s="16"/>
      <c r="G145" s="16"/>
      <c r="H145" s="16"/>
      <c r="I145" s="16"/>
      <c r="J145" s="16"/>
      <c r="K145" s="16"/>
      <c r="L145" s="16"/>
      <c r="M145" s="16"/>
      <c r="N145" s="16"/>
      <c r="O145" s="16"/>
    </row>
    <row r="146" spans="1:15" x14ac:dyDescent="0.25">
      <c r="A146" s="17"/>
      <c r="B146" s="17" t="s">
        <v>411</v>
      </c>
      <c r="C146" s="17"/>
      <c r="D146" s="17"/>
      <c r="E146" s="17"/>
      <c r="F146" s="17"/>
      <c r="G146" s="17"/>
      <c r="H146" s="17"/>
      <c r="I146" s="17"/>
      <c r="J146" s="17"/>
      <c r="K146" s="17"/>
      <c r="L146" s="17"/>
      <c r="M146" s="17"/>
      <c r="N146" s="17"/>
      <c r="O146" s="1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2" activePane="bottomLeft" state="frozen"/>
      <selection activeCell="B30" sqref="B30"/>
      <selection pane="bottomLeft" activeCell="C77" sqref="C77"/>
    </sheetView>
  </sheetViews>
  <sheetFormatPr defaultRowHeight="15" x14ac:dyDescent="0.25"/>
  <cols>
    <col min="1" max="1" width="16.7109375" customWidth="1"/>
    <col min="2" max="2" width="35.28515625" bestFit="1" customWidth="1"/>
    <col min="3" max="3" width="25.7109375" customWidth="1"/>
    <col min="4" max="4" width="13.28515625" customWidth="1"/>
    <col min="11" max="11" width="37.5703125" customWidth="1"/>
  </cols>
  <sheetData>
    <row r="1" spans="1:11" x14ac:dyDescent="0.25">
      <c r="A1" s="15" t="s">
        <v>226</v>
      </c>
      <c r="B1" s="15" t="s">
        <v>204</v>
      </c>
      <c r="C1" s="15" t="s">
        <v>103</v>
      </c>
      <c r="D1" s="15" t="s">
        <v>144</v>
      </c>
      <c r="E1" s="15" t="s">
        <v>143</v>
      </c>
      <c r="F1" s="15" t="s">
        <v>145</v>
      </c>
      <c r="G1" s="15" t="s">
        <v>326</v>
      </c>
      <c r="H1" s="15" t="s">
        <v>291</v>
      </c>
      <c r="I1" s="15" t="s">
        <v>293</v>
      </c>
      <c r="J1" s="15" t="s">
        <v>146</v>
      </c>
      <c r="K1" s="15" t="s">
        <v>215</v>
      </c>
    </row>
    <row r="2" spans="1:11" x14ac:dyDescent="0.25">
      <c r="A2" s="18" t="s">
        <v>270</v>
      </c>
      <c r="B2" s="18" t="s">
        <v>430</v>
      </c>
      <c r="C2" s="18"/>
      <c r="D2" s="18"/>
      <c r="E2" s="18"/>
      <c r="F2" s="18"/>
      <c r="G2" s="18"/>
      <c r="H2" s="18"/>
      <c r="I2" s="18"/>
      <c r="J2" s="18"/>
      <c r="K2" s="18"/>
    </row>
    <row r="3" spans="1:11" x14ac:dyDescent="0.25">
      <c r="A3" s="16"/>
      <c r="B3" s="16" t="s">
        <v>104</v>
      </c>
      <c r="C3" s="16" t="s">
        <v>105</v>
      </c>
      <c r="D3" s="16" t="s">
        <v>294</v>
      </c>
      <c r="E3" s="16" t="s">
        <v>295</v>
      </c>
      <c r="F3" s="16" t="s">
        <v>296</v>
      </c>
      <c r="G3" s="16" t="s">
        <v>327</v>
      </c>
      <c r="H3" s="16" t="s">
        <v>292</v>
      </c>
      <c r="I3" s="16" t="s">
        <v>297</v>
      </c>
      <c r="J3" s="16" t="s">
        <v>298</v>
      </c>
      <c r="K3" s="16"/>
    </row>
    <row r="4" spans="1:11" x14ac:dyDescent="0.25">
      <c r="A4" s="17"/>
      <c r="B4" s="17" t="s">
        <v>106</v>
      </c>
      <c r="C4" s="17">
        <v>1.75</v>
      </c>
      <c r="D4" s="17"/>
      <c r="E4" s="17"/>
      <c r="F4" s="17"/>
      <c r="G4" s="17"/>
      <c r="H4" s="17"/>
      <c r="I4" s="17"/>
      <c r="J4" s="17"/>
      <c r="K4" s="17"/>
    </row>
    <row r="5" spans="1:11" x14ac:dyDescent="0.25">
      <c r="A5" s="16"/>
      <c r="B5" s="16" t="s">
        <v>107</v>
      </c>
      <c r="C5" s="16">
        <v>1</v>
      </c>
      <c r="D5" s="16">
        <v>0.93</v>
      </c>
      <c r="E5" s="16">
        <v>0.9</v>
      </c>
      <c r="F5" s="16"/>
      <c r="G5" s="16"/>
      <c r="H5" s="16"/>
      <c r="I5" s="16"/>
      <c r="J5" s="16"/>
      <c r="K5" s="16"/>
    </row>
    <row r="6" spans="1:11" x14ac:dyDescent="0.25">
      <c r="A6" s="17"/>
      <c r="B6" s="17" t="s">
        <v>108</v>
      </c>
      <c r="C6" s="17">
        <v>0</v>
      </c>
      <c r="D6" s="17">
        <v>1.24</v>
      </c>
      <c r="E6" s="17">
        <v>1.38</v>
      </c>
      <c r="F6" s="17">
        <v>1.1000000000000001</v>
      </c>
      <c r="G6" s="17">
        <v>1.1000000000000001</v>
      </c>
      <c r="H6" s="17">
        <v>1.1399999999999999</v>
      </c>
      <c r="I6" s="17">
        <v>0.89</v>
      </c>
      <c r="J6" s="17">
        <v>1.22</v>
      </c>
      <c r="K6" s="17"/>
    </row>
    <row r="7" spans="1:11" x14ac:dyDescent="0.25">
      <c r="A7" s="16"/>
      <c r="B7" s="16" t="s">
        <v>109</v>
      </c>
      <c r="C7" s="16">
        <v>0</v>
      </c>
      <c r="D7" s="16">
        <v>17</v>
      </c>
      <c r="E7" s="16">
        <v>18</v>
      </c>
      <c r="F7" s="16">
        <v>15</v>
      </c>
      <c r="G7" s="16">
        <v>15</v>
      </c>
      <c r="H7" s="16">
        <v>25</v>
      </c>
      <c r="I7" s="16">
        <v>25</v>
      </c>
      <c r="J7" s="16">
        <v>25</v>
      </c>
      <c r="K7" s="16" t="s">
        <v>299</v>
      </c>
    </row>
    <row r="8" spans="1:11" x14ac:dyDescent="0.25">
      <c r="A8" s="18"/>
      <c r="B8" s="18" t="s">
        <v>431</v>
      </c>
      <c r="C8" s="18"/>
      <c r="D8" s="18"/>
      <c r="E8" s="18"/>
      <c r="F8" s="18"/>
      <c r="G8" s="18"/>
      <c r="H8" s="18"/>
      <c r="I8" s="18"/>
      <c r="J8" s="18"/>
      <c r="K8" s="18"/>
    </row>
    <row r="9" spans="1:11" x14ac:dyDescent="0.25">
      <c r="A9" s="16"/>
      <c r="B9" s="16" t="s">
        <v>110</v>
      </c>
      <c r="C9" s="16">
        <v>220</v>
      </c>
      <c r="D9" s="16"/>
      <c r="E9" s="16">
        <v>240</v>
      </c>
      <c r="F9" s="16">
        <v>230</v>
      </c>
      <c r="G9" s="16">
        <v>230</v>
      </c>
      <c r="H9" s="16">
        <v>245</v>
      </c>
      <c r="I9" s="16">
        <v>220</v>
      </c>
      <c r="J9" s="16">
        <v>230</v>
      </c>
      <c r="K9" s="16"/>
    </row>
    <row r="10" spans="1:11" x14ac:dyDescent="0.25">
      <c r="A10" s="17"/>
      <c r="B10" s="17" t="s">
        <v>111</v>
      </c>
      <c r="C10" s="17">
        <v>215</v>
      </c>
      <c r="D10" s="17"/>
      <c r="E10" s="17">
        <v>245</v>
      </c>
      <c r="F10" s="17">
        <v>230</v>
      </c>
      <c r="G10" s="17">
        <v>230</v>
      </c>
      <c r="H10" s="17">
        <v>245</v>
      </c>
      <c r="I10" s="17">
        <v>220</v>
      </c>
      <c r="J10" s="17">
        <v>230</v>
      </c>
      <c r="K10" s="17"/>
    </row>
    <row r="11" spans="1:11" x14ac:dyDescent="0.25">
      <c r="A11" s="16"/>
      <c r="B11" s="16" t="s">
        <v>112</v>
      </c>
      <c r="C11" s="16">
        <v>60</v>
      </c>
      <c r="D11" s="16"/>
      <c r="E11" s="16">
        <v>80</v>
      </c>
      <c r="F11" s="16">
        <v>80</v>
      </c>
      <c r="G11" s="16">
        <v>80</v>
      </c>
      <c r="H11" s="16">
        <v>60</v>
      </c>
      <c r="I11" s="16">
        <v>100</v>
      </c>
      <c r="J11" s="16">
        <v>0</v>
      </c>
      <c r="K11" s="16"/>
    </row>
    <row r="12" spans="1:11" x14ac:dyDescent="0.25">
      <c r="A12" s="17"/>
      <c r="B12" s="17" t="s">
        <v>113</v>
      </c>
      <c r="C12" s="17">
        <v>60</v>
      </c>
      <c r="D12" s="17"/>
      <c r="E12" s="17">
        <v>70</v>
      </c>
      <c r="F12" s="17">
        <v>80</v>
      </c>
      <c r="G12" s="17">
        <v>80</v>
      </c>
      <c r="H12" s="17">
        <v>60</v>
      </c>
      <c r="I12" s="17">
        <v>100</v>
      </c>
      <c r="J12" s="17">
        <v>0</v>
      </c>
      <c r="K12" s="17"/>
    </row>
    <row r="13" spans="1:11" x14ac:dyDescent="0.25">
      <c r="A13" s="18" t="s">
        <v>273</v>
      </c>
      <c r="B13" s="18" t="s">
        <v>432</v>
      </c>
      <c r="C13" s="18"/>
      <c r="D13" s="18"/>
      <c r="E13" s="18"/>
      <c r="F13" s="18"/>
      <c r="G13" s="18"/>
      <c r="H13" s="18"/>
      <c r="I13" s="18"/>
      <c r="J13" s="18"/>
      <c r="K13" s="18"/>
    </row>
    <row r="14" spans="1:11" x14ac:dyDescent="0.25">
      <c r="A14" s="16"/>
      <c r="B14" s="16" t="s">
        <v>114</v>
      </c>
      <c r="C14" s="16">
        <v>1</v>
      </c>
      <c r="D14" s="16"/>
      <c r="E14" s="16"/>
      <c r="F14" s="16">
        <v>0</v>
      </c>
      <c r="G14" s="16"/>
      <c r="H14" s="16"/>
      <c r="I14" s="16"/>
      <c r="J14" s="16"/>
      <c r="K14" s="16"/>
    </row>
    <row r="15" spans="1:11" x14ac:dyDescent="0.25">
      <c r="A15" s="17"/>
      <c r="B15" s="17" t="s">
        <v>115</v>
      </c>
      <c r="C15" s="17">
        <v>1</v>
      </c>
      <c r="D15" s="17"/>
      <c r="E15" s="17"/>
      <c r="F15" s="17"/>
      <c r="G15" s="17"/>
      <c r="H15" s="17"/>
      <c r="I15" s="17"/>
      <c r="J15" s="17"/>
      <c r="K15" s="17"/>
    </row>
    <row r="16" spans="1:11" x14ac:dyDescent="0.25">
      <c r="A16" s="18"/>
      <c r="B16" s="18" t="s">
        <v>433</v>
      </c>
      <c r="C16" s="18"/>
      <c r="D16" s="18"/>
      <c r="E16" s="18"/>
      <c r="F16" s="18"/>
      <c r="G16" s="18"/>
      <c r="H16" s="18"/>
      <c r="I16" s="18"/>
      <c r="J16" s="18"/>
      <c r="K16" s="18"/>
    </row>
    <row r="17" spans="1:11" x14ac:dyDescent="0.25">
      <c r="A17" s="16"/>
      <c r="B17" s="16" t="s">
        <v>116</v>
      </c>
      <c r="C17" s="16">
        <v>0</v>
      </c>
      <c r="D17" s="16"/>
      <c r="E17" s="16">
        <v>0</v>
      </c>
      <c r="F17" s="16"/>
      <c r="G17" s="16"/>
      <c r="H17" s="16"/>
      <c r="I17" s="16"/>
      <c r="J17" s="16"/>
      <c r="K17" s="16"/>
    </row>
    <row r="18" spans="1:11" x14ac:dyDescent="0.25">
      <c r="A18" s="17"/>
      <c r="B18" s="17" t="s">
        <v>117</v>
      </c>
      <c r="C18" s="17">
        <v>100</v>
      </c>
      <c r="D18" s="17"/>
      <c r="E18" s="17">
        <v>0</v>
      </c>
      <c r="F18" s="17"/>
      <c r="G18" s="17"/>
      <c r="H18" s="17"/>
      <c r="I18" s="17"/>
      <c r="J18" s="17"/>
      <c r="K18" s="17"/>
    </row>
    <row r="19" spans="1:11" x14ac:dyDescent="0.25">
      <c r="A19" s="16"/>
      <c r="B19" s="16" t="s">
        <v>118</v>
      </c>
      <c r="C19" s="16">
        <v>1</v>
      </c>
      <c r="D19" s="16"/>
      <c r="E19" s="16"/>
      <c r="F19" s="16"/>
      <c r="G19" s="16"/>
      <c r="H19" s="16"/>
      <c r="I19" s="16"/>
      <c r="J19" s="16"/>
      <c r="K19" s="16"/>
    </row>
    <row r="20" spans="1:11" x14ac:dyDescent="0.25">
      <c r="A20" s="17"/>
      <c r="B20" s="17" t="s">
        <v>119</v>
      </c>
      <c r="C20" s="17">
        <v>1</v>
      </c>
      <c r="D20" s="17"/>
      <c r="E20" s="17">
        <v>2</v>
      </c>
      <c r="F20" s="17"/>
      <c r="G20" s="17"/>
      <c r="H20" s="17"/>
      <c r="I20" s="17"/>
      <c r="J20" s="17"/>
      <c r="K20" s="17"/>
    </row>
    <row r="21" spans="1:11" x14ac:dyDescent="0.25">
      <c r="A21" s="18"/>
      <c r="B21" s="18" t="s">
        <v>434</v>
      </c>
      <c r="C21" s="18"/>
      <c r="D21" s="18"/>
      <c r="E21" s="18"/>
      <c r="F21" s="18"/>
      <c r="G21" s="18"/>
      <c r="H21" s="18"/>
      <c r="I21" s="18"/>
      <c r="J21" s="18"/>
      <c r="K21" s="18"/>
    </row>
    <row r="22" spans="1:11" x14ac:dyDescent="0.25">
      <c r="A22" s="16"/>
      <c r="B22" s="16" t="s">
        <v>120</v>
      </c>
      <c r="C22" s="16">
        <v>20</v>
      </c>
      <c r="D22" s="16"/>
      <c r="E22" s="16"/>
      <c r="F22" s="16"/>
      <c r="G22" s="16"/>
      <c r="H22" s="16"/>
      <c r="I22" s="16"/>
      <c r="J22" s="16"/>
      <c r="K22" s="16" t="s">
        <v>271</v>
      </c>
    </row>
    <row r="23" spans="1:11" x14ac:dyDescent="0.25">
      <c r="A23" s="17"/>
      <c r="B23" s="17" t="s">
        <v>121</v>
      </c>
      <c r="C23" s="17">
        <v>5</v>
      </c>
      <c r="D23" s="17"/>
      <c r="E23" s="17"/>
      <c r="F23" s="17"/>
      <c r="G23" s="17"/>
      <c r="H23" s="17"/>
      <c r="I23" s="17"/>
      <c r="J23" s="17"/>
      <c r="K23" s="17" t="s">
        <v>274</v>
      </c>
    </row>
    <row r="24" spans="1:11" x14ac:dyDescent="0.25">
      <c r="A24" s="16"/>
      <c r="B24" s="16" t="s">
        <v>122</v>
      </c>
      <c r="C24" s="16">
        <v>10</v>
      </c>
      <c r="D24" s="16"/>
      <c r="E24" s="16"/>
      <c r="F24" s="16"/>
      <c r="G24" s="16"/>
      <c r="H24" s="16"/>
      <c r="I24" s="16"/>
      <c r="J24" s="16"/>
      <c r="K24" s="16"/>
    </row>
    <row r="25" spans="1:11" x14ac:dyDescent="0.25">
      <c r="A25" s="18" t="s">
        <v>234</v>
      </c>
      <c r="B25" s="18" t="s">
        <v>435</v>
      </c>
      <c r="C25" s="18"/>
      <c r="D25" s="18"/>
      <c r="E25" s="18"/>
      <c r="F25" s="18"/>
      <c r="G25" s="18"/>
      <c r="H25" s="18"/>
      <c r="I25" s="18"/>
      <c r="J25" s="18"/>
      <c r="K25" s="18"/>
    </row>
    <row r="26" spans="1:11" x14ac:dyDescent="0.25">
      <c r="A26" s="16"/>
      <c r="B26" s="16" t="s">
        <v>123</v>
      </c>
      <c r="C26" s="16" t="s">
        <v>144</v>
      </c>
      <c r="D26" s="16" t="s">
        <v>144</v>
      </c>
      <c r="E26" s="16" t="s">
        <v>143</v>
      </c>
      <c r="F26" s="16" t="s">
        <v>145</v>
      </c>
      <c r="G26" s="16" t="s">
        <v>326</v>
      </c>
      <c r="H26" s="16" t="s">
        <v>213</v>
      </c>
      <c r="I26" s="16" t="s">
        <v>213</v>
      </c>
      <c r="J26" s="16" t="s">
        <v>213</v>
      </c>
      <c r="K26" s="16"/>
    </row>
    <row r="27" spans="1:11" x14ac:dyDescent="0.25">
      <c r="A27" s="17"/>
      <c r="B27" s="17" t="s">
        <v>124</v>
      </c>
      <c r="C27" s="17">
        <v>0</v>
      </c>
      <c r="D27" s="17"/>
      <c r="E27" s="17"/>
      <c r="F27" s="17"/>
      <c r="G27" s="17"/>
      <c r="H27" s="17"/>
      <c r="I27" s="17"/>
      <c r="J27" s="17"/>
      <c r="K27" s="17"/>
    </row>
    <row r="28" spans="1:11" x14ac:dyDescent="0.25">
      <c r="A28" s="18"/>
      <c r="B28" s="18" t="s">
        <v>436</v>
      </c>
      <c r="C28" s="18"/>
      <c r="D28" s="18"/>
      <c r="E28" s="18"/>
      <c r="F28" s="18"/>
      <c r="G28" s="18"/>
      <c r="H28" s="18"/>
      <c r="I28" s="18"/>
      <c r="J28" s="18"/>
      <c r="K28" s="18"/>
    </row>
    <row r="29" spans="1:11" x14ac:dyDescent="0.25">
      <c r="A29" s="19"/>
      <c r="B29" s="19" t="s">
        <v>315</v>
      </c>
      <c r="C29" s="19">
        <v>0</v>
      </c>
      <c r="D29" s="19"/>
      <c r="E29" s="19"/>
      <c r="F29" s="19"/>
      <c r="G29" s="19"/>
      <c r="H29" s="19"/>
      <c r="I29" s="19"/>
      <c r="J29" s="19"/>
      <c r="K29" s="19"/>
    </row>
    <row r="30" spans="1:11" x14ac:dyDescent="0.25">
      <c r="A30" s="16"/>
      <c r="B30" s="16" t="s">
        <v>125</v>
      </c>
      <c r="C30" s="16"/>
      <c r="D30" s="16" t="str">
        <f>IF(SpeedType = "Manual","",Matchfill(INDEX(spec_speed!$A$3:$B$17,MATCH(D$1,spec_speed!$A$3:$A$17,0),2),$C$30))</f>
        <v>11.5</v>
      </c>
      <c r="E30" s="16" t="str">
        <f>IF(SpeedType = "Manual","",Matchfill(INDEX(spec_speed!$A$3:$B$17,MATCH(E$1,spec_speed!$A$3:$A$17,0),2),$C$30))</f>
        <v>8</v>
      </c>
      <c r="F30" s="16" t="str">
        <f>IF(SpeedType = "Manual","",Matchfill(INDEX(spec_speed!$A$3:$B$17,MATCH(F$1,spec_speed!$A$3:$A$17,0),2),$C$30))</f>
        <v>10</v>
      </c>
      <c r="G30" s="16" t="str">
        <f>IF(SpeedType = "Manual","",Matchfill(INDEX(spec_speed!$A$3:$B$17,MATCH(G$1,spec_speed!$A$3:$A$17,0),2),$C$30))</f>
        <v>10</v>
      </c>
      <c r="H30" s="16" t="str">
        <f>IF(SpeedType = "Manual","",Matchfill(INDEX(spec_speed!$A$3:$B$17,MATCH(H$1,spec_speed!$A$3:$A$17,0),2),$C$30))</f>
        <v>8</v>
      </c>
      <c r="I30" s="16" t="str">
        <f>IF(SpeedType = "Manual","",Matchfill(INDEX(spec_speed!$A$3:$B$17,MATCH(I$1,spec_speed!$A$3:$A$17,0),2),$C$30))</f>
        <v>8</v>
      </c>
      <c r="J30" s="16" t="str">
        <f>IF(SpeedType = "Manual","",Matchfill(INDEX(spec_speed!$A$3:$B$17,MATCH(J$1,spec_speed!$A$3:$A$17,0),2),$C$30))</f>
        <v>6</v>
      </c>
      <c r="K30" s="16" t="s">
        <v>275</v>
      </c>
    </row>
    <row r="31" spans="1:11" x14ac:dyDescent="0.25">
      <c r="A31" s="18"/>
      <c r="B31" s="18" t="s">
        <v>437</v>
      </c>
      <c r="C31" s="18"/>
      <c r="D31" s="18"/>
      <c r="E31" s="18"/>
      <c r="F31" s="18"/>
      <c r="G31" s="18"/>
      <c r="H31" s="18"/>
      <c r="I31" s="18"/>
      <c r="J31" s="18"/>
      <c r="K31" s="18"/>
    </row>
    <row r="32" spans="1:11" x14ac:dyDescent="0.25">
      <c r="A32" s="16"/>
      <c r="B32" s="16" t="s">
        <v>126</v>
      </c>
      <c r="C32" s="16">
        <v>3</v>
      </c>
      <c r="D32" s="16"/>
      <c r="E32" s="16"/>
      <c r="F32" s="16"/>
      <c r="G32" s="16"/>
      <c r="H32" s="16"/>
      <c r="I32" s="16"/>
      <c r="J32" s="16"/>
      <c r="K32" s="16"/>
    </row>
    <row r="33" spans="1:11" x14ac:dyDescent="0.25">
      <c r="A33" s="17"/>
      <c r="B33" s="17" t="s">
        <v>127</v>
      </c>
      <c r="C33" s="17">
        <v>28</v>
      </c>
      <c r="D33" s="17"/>
      <c r="E33" s="17"/>
      <c r="F33" s="17"/>
      <c r="G33" s="17"/>
      <c r="H33" s="17"/>
      <c r="I33" s="17"/>
      <c r="J33" s="17"/>
      <c r="K33" s="17"/>
    </row>
    <row r="34" spans="1:11" x14ac:dyDescent="0.25">
      <c r="A34" s="16"/>
      <c r="B34" s="16" t="s">
        <v>128</v>
      </c>
      <c r="C34" s="16">
        <v>100</v>
      </c>
      <c r="D34" s="16"/>
      <c r="E34" s="16"/>
      <c r="F34" s="16"/>
      <c r="G34" s="16"/>
      <c r="H34" s="16"/>
      <c r="I34" s="16"/>
      <c r="J34" s="16"/>
      <c r="K34" s="16"/>
    </row>
    <row r="35" spans="1:11" x14ac:dyDescent="0.25">
      <c r="A35" s="17"/>
      <c r="B35" s="17" t="s">
        <v>129</v>
      </c>
      <c r="C35" s="17">
        <v>90</v>
      </c>
      <c r="D35" s="17"/>
      <c r="E35" s="17"/>
      <c r="F35" s="17"/>
      <c r="G35" s="17"/>
      <c r="H35" s="17"/>
      <c r="I35" s="17"/>
      <c r="J35" s="17"/>
      <c r="K35" s="17"/>
    </row>
    <row r="36" spans="1:11" x14ac:dyDescent="0.25">
      <c r="A36" s="16"/>
      <c r="B36" s="16" t="s">
        <v>130</v>
      </c>
      <c r="C36" s="16">
        <v>0</v>
      </c>
      <c r="D36" s="16"/>
      <c r="E36" s="16"/>
      <c r="F36" s="16"/>
      <c r="G36" s="16"/>
      <c r="H36" s="16"/>
      <c r="I36" s="16"/>
      <c r="J36" s="16"/>
      <c r="K36" s="16"/>
    </row>
    <row r="37" spans="1:11" x14ac:dyDescent="0.25">
      <c r="A37" s="17"/>
      <c r="B37" s="17" t="s">
        <v>131</v>
      </c>
      <c r="C37" s="17">
        <v>0</v>
      </c>
      <c r="D37" s="17"/>
      <c r="E37" s="17"/>
      <c r="F37" s="17"/>
      <c r="G37" s="17"/>
      <c r="H37" s="17"/>
      <c r="I37" s="17"/>
      <c r="J37" s="17"/>
      <c r="K37" s="17"/>
    </row>
    <row r="38" spans="1:11" x14ac:dyDescent="0.25">
      <c r="A38" s="16"/>
      <c r="B38" s="16" t="s">
        <v>132</v>
      </c>
      <c r="C38" s="16">
        <v>0</v>
      </c>
      <c r="D38" s="16"/>
      <c r="E38" s="16"/>
      <c r="F38" s="16"/>
      <c r="G38" s="16"/>
      <c r="H38" s="16"/>
      <c r="I38" s="16"/>
      <c r="J38" s="16"/>
      <c r="K38" s="16" t="s">
        <v>272</v>
      </c>
    </row>
    <row r="39" spans="1:11" x14ac:dyDescent="0.25">
      <c r="A39" s="17"/>
      <c r="B39" s="17" t="s">
        <v>133</v>
      </c>
      <c r="C39" s="17">
        <v>4</v>
      </c>
      <c r="D39" s="17"/>
      <c r="E39" s="17"/>
      <c r="F39" s="17"/>
      <c r="G39" s="17"/>
      <c r="H39" s="17"/>
      <c r="I39" s="17"/>
      <c r="J39" s="17"/>
      <c r="K39" s="17" t="s">
        <v>276</v>
      </c>
    </row>
    <row r="40" spans="1:11" x14ac:dyDescent="0.25">
      <c r="A40" s="16"/>
      <c r="B40" s="16" t="s">
        <v>134</v>
      </c>
      <c r="C40" s="16">
        <v>2.2000000000000002</v>
      </c>
      <c r="D40" s="16"/>
      <c r="E40" s="16"/>
      <c r="F40" s="16"/>
      <c r="G40" s="16"/>
      <c r="H40" s="16"/>
      <c r="I40" s="16"/>
      <c r="J40" s="16"/>
      <c r="K40" s="16" t="s">
        <v>277</v>
      </c>
    </row>
    <row r="41" spans="1:11" x14ac:dyDescent="0.25">
      <c r="A41" s="17"/>
      <c r="B41" s="17" t="s">
        <v>135</v>
      </c>
      <c r="C41" s="17">
        <v>3.4</v>
      </c>
      <c r="D41" s="17"/>
      <c r="E41" s="17"/>
      <c r="F41" s="17"/>
      <c r="G41" s="17"/>
      <c r="H41" s="17"/>
      <c r="I41" s="17"/>
      <c r="J41" s="17"/>
      <c r="K41" s="17" t="s">
        <v>278</v>
      </c>
    </row>
    <row r="42" spans="1:11" x14ac:dyDescent="0.25">
      <c r="A42" s="16"/>
      <c r="B42" s="16" t="s">
        <v>136</v>
      </c>
      <c r="C42" s="16">
        <v>15</v>
      </c>
      <c r="D42" s="16"/>
      <c r="E42" s="16"/>
      <c r="F42" s="16"/>
      <c r="G42" s="16"/>
      <c r="H42" s="16"/>
      <c r="I42" s="16"/>
      <c r="J42" s="16"/>
      <c r="K42" s="16" t="s">
        <v>279</v>
      </c>
    </row>
    <row r="43" spans="1:11" x14ac:dyDescent="0.25">
      <c r="A43" s="17"/>
      <c r="B43" s="17" t="s">
        <v>137</v>
      </c>
      <c r="C43" s="17"/>
      <c r="D43" s="17"/>
      <c r="E43" s="17"/>
      <c r="F43" s="17"/>
      <c r="G43" s="17"/>
      <c r="H43" s="17"/>
      <c r="I43" s="17"/>
      <c r="J43" s="17"/>
      <c r="K43" s="17" t="s">
        <v>280</v>
      </c>
    </row>
    <row r="44" spans="1:11" x14ac:dyDescent="0.25">
      <c r="A44" s="18" t="s">
        <v>236</v>
      </c>
      <c r="B44" s="18" t="s">
        <v>427</v>
      </c>
      <c r="C44" s="18"/>
      <c r="D44" s="18"/>
      <c r="E44" s="18"/>
      <c r="F44" s="18"/>
      <c r="G44" s="18"/>
      <c r="H44" s="18"/>
      <c r="I44" s="18"/>
      <c r="J44" s="18"/>
      <c r="K44" s="18"/>
    </row>
    <row r="45" spans="1:11" x14ac:dyDescent="0.25">
      <c r="A45" s="16"/>
      <c r="B45" s="16" t="s">
        <v>140</v>
      </c>
      <c r="C45" s="16"/>
      <c r="D45" s="16"/>
      <c r="E45" s="16"/>
      <c r="F45" s="16"/>
      <c r="G45" s="16"/>
      <c r="H45" s="16"/>
      <c r="I45" s="16"/>
      <c r="J45" s="16"/>
      <c r="K45" s="16"/>
    </row>
    <row r="46" spans="1:11" x14ac:dyDescent="0.25">
      <c r="A46" s="18" t="s">
        <v>237</v>
      </c>
      <c r="B46" s="18" t="s">
        <v>438</v>
      </c>
      <c r="C46" s="18"/>
      <c r="D46" s="18"/>
      <c r="E46" s="18"/>
      <c r="F46" s="18"/>
      <c r="G46" s="18"/>
      <c r="H46" s="18"/>
      <c r="I46" s="18"/>
      <c r="J46" s="18"/>
      <c r="K46" s="18"/>
    </row>
    <row r="47" spans="1:11" x14ac:dyDescent="0.25">
      <c r="A47" s="16"/>
      <c r="B47" s="16" t="s">
        <v>304</v>
      </c>
      <c r="C47" s="16"/>
      <c r="D47" s="16"/>
      <c r="E47" s="16"/>
      <c r="F47" s="16"/>
      <c r="G47" s="16"/>
      <c r="H47" s="16"/>
      <c r="I47" s="16"/>
      <c r="J47" s="16"/>
      <c r="K47" s="16"/>
    </row>
    <row r="48" spans="1:11" x14ac:dyDescent="0.25">
      <c r="A48" s="17"/>
      <c r="B48" s="17" t="s">
        <v>141</v>
      </c>
      <c r="C48" s="17" t="str">
        <f>Printer_Name</f>
        <v>AnyCubic E3D V6 0.6 mm PET</v>
      </c>
      <c r="D48" s="17"/>
      <c r="E48" s="17"/>
      <c r="F48" s="17"/>
      <c r="G48" s="17"/>
      <c r="H48" s="17"/>
      <c r="I48" s="17"/>
      <c r="J48" s="17"/>
      <c r="K48" s="17"/>
    </row>
    <row r="49" spans="1:11" x14ac:dyDescent="0.25">
      <c r="A49" s="16"/>
      <c r="B49" s="16" t="s">
        <v>142</v>
      </c>
      <c r="C49" s="16"/>
      <c r="D49" s="16"/>
      <c r="E49" s="16"/>
      <c r="F49" s="16"/>
      <c r="G49" s="16"/>
      <c r="H49" s="16"/>
      <c r="I49" s="16"/>
      <c r="J49" s="16"/>
      <c r="K49" s="16"/>
    </row>
    <row r="50" spans="1:11" x14ac:dyDescent="0.25">
      <c r="A50" s="17"/>
      <c r="B50" s="17" t="s">
        <v>313</v>
      </c>
      <c r="C50" s="17"/>
      <c r="D50" s="17"/>
      <c r="E50" s="17"/>
      <c r="F50" s="17"/>
      <c r="G50" s="17"/>
      <c r="H50" s="17"/>
      <c r="I50" s="17"/>
      <c r="J50" s="17"/>
      <c r="K50" s="17"/>
    </row>
    <row r="51" spans="1:11" x14ac:dyDescent="0.25">
      <c r="A51" s="16"/>
      <c r="B51" s="16" t="s">
        <v>314</v>
      </c>
      <c r="C51" s="16"/>
      <c r="D51" s="16"/>
      <c r="E51" s="16"/>
      <c r="F51" s="16"/>
      <c r="G51" s="16"/>
      <c r="H51" s="16"/>
      <c r="I51" s="16"/>
      <c r="J51" s="16"/>
      <c r="K51" s="16"/>
    </row>
    <row r="52" spans="1:11" x14ac:dyDescent="0.25">
      <c r="A52" s="18" t="s">
        <v>305</v>
      </c>
      <c r="B52" s="18" t="s">
        <v>439</v>
      </c>
      <c r="C52" s="18"/>
      <c r="D52" s="18"/>
      <c r="E52" s="18"/>
      <c r="F52" s="18"/>
      <c r="G52" s="18"/>
      <c r="H52" s="18"/>
      <c r="I52" s="18"/>
      <c r="J52" s="18"/>
      <c r="K52" s="18"/>
    </row>
    <row r="53" spans="1:11" x14ac:dyDescent="0.25">
      <c r="A53" s="19"/>
      <c r="B53" s="19" t="s">
        <v>394</v>
      </c>
      <c r="C53" s="19">
        <v>0</v>
      </c>
      <c r="D53" s="19">
        <v>0.05</v>
      </c>
      <c r="E53" s="19">
        <v>0.08</v>
      </c>
      <c r="F53" s="19"/>
      <c r="G53" s="19"/>
      <c r="H53" s="19"/>
      <c r="I53" s="19"/>
      <c r="J53" s="19"/>
      <c r="K53" s="19"/>
    </row>
    <row r="54" spans="1:11" x14ac:dyDescent="0.25">
      <c r="A54" s="19"/>
      <c r="B54" s="19" t="s">
        <v>395</v>
      </c>
      <c r="C54" s="19">
        <v>0</v>
      </c>
      <c r="D54" s="19"/>
      <c r="E54" s="19"/>
      <c r="F54" s="19"/>
      <c r="G54" s="19"/>
      <c r="H54" s="19"/>
      <c r="I54" s="19"/>
      <c r="J54" s="19"/>
      <c r="K54" s="19" t="s">
        <v>338</v>
      </c>
    </row>
    <row r="55" spans="1:11" x14ac:dyDescent="0.25">
      <c r="A55" s="19"/>
      <c r="B55" s="19" t="s">
        <v>396</v>
      </c>
      <c r="C55" s="19">
        <v>0</v>
      </c>
      <c r="D55" s="19"/>
      <c r="E55" s="19">
        <v>0.04</v>
      </c>
      <c r="F55" s="19"/>
      <c r="G55" s="19"/>
      <c r="H55" s="19"/>
      <c r="I55" s="19"/>
      <c r="J55" s="19"/>
      <c r="K55" s="19"/>
    </row>
    <row r="56" spans="1:11" x14ac:dyDescent="0.25">
      <c r="A56" s="16"/>
      <c r="B56" s="16" t="s">
        <v>329</v>
      </c>
      <c r="C56" s="16">
        <v>0.8</v>
      </c>
      <c r="D56" s="16"/>
      <c r="E56" s="16"/>
      <c r="F56" s="16"/>
      <c r="G56" s="16"/>
      <c r="H56" s="16"/>
      <c r="I56" s="16"/>
      <c r="J56" s="16"/>
      <c r="K56" s="16"/>
    </row>
    <row r="57" spans="1:11" x14ac:dyDescent="0.25">
      <c r="A57" s="17"/>
      <c r="B57" s="17" t="s">
        <v>330</v>
      </c>
      <c r="C57" s="17">
        <v>0.4</v>
      </c>
      <c r="D57" s="17"/>
      <c r="E57" s="17"/>
      <c r="F57" s="17"/>
      <c r="G57" s="17"/>
      <c r="H57" s="17"/>
      <c r="I57" s="17"/>
      <c r="J57" s="17"/>
      <c r="K57" s="17"/>
    </row>
    <row r="58" spans="1:11" x14ac:dyDescent="0.25">
      <c r="A58" s="16"/>
      <c r="B58" s="16" t="s">
        <v>331</v>
      </c>
      <c r="C58" s="16">
        <v>35</v>
      </c>
      <c r="D58" s="16"/>
      <c r="E58" s="16">
        <v>25</v>
      </c>
      <c r="F58" s="16"/>
      <c r="G58" s="16"/>
      <c r="H58" s="16"/>
      <c r="I58" s="16"/>
      <c r="J58" s="16"/>
      <c r="K58" s="16"/>
    </row>
    <row r="59" spans="1:11" x14ac:dyDescent="0.25">
      <c r="A59" s="17"/>
      <c r="B59" s="17" t="s">
        <v>332</v>
      </c>
      <c r="C59" s="17">
        <v>35</v>
      </c>
      <c r="D59" s="17"/>
      <c r="E59" s="17">
        <v>20</v>
      </c>
      <c r="F59" s="17"/>
      <c r="G59" s="17"/>
      <c r="H59" s="17"/>
      <c r="I59" s="17"/>
      <c r="J59" s="17"/>
      <c r="K59" s="17"/>
    </row>
    <row r="60" spans="1:11" x14ac:dyDescent="0.25">
      <c r="A60" s="16"/>
      <c r="B60" s="16" t="s">
        <v>333</v>
      </c>
      <c r="C60" s="16">
        <v>0</v>
      </c>
      <c r="D60" s="16"/>
      <c r="E60" s="16"/>
      <c r="F60" s="16"/>
      <c r="G60" s="16"/>
      <c r="H60" s="16"/>
      <c r="I60" s="16"/>
      <c r="J60" s="16"/>
      <c r="K60" s="16"/>
    </row>
    <row r="61" spans="1:11" x14ac:dyDescent="0.25">
      <c r="A61" s="17"/>
      <c r="B61" s="17" t="s">
        <v>335</v>
      </c>
      <c r="C61" s="17">
        <v>1</v>
      </c>
      <c r="D61" s="17"/>
      <c r="E61" s="17"/>
      <c r="F61" s="17"/>
      <c r="G61" s="17"/>
      <c r="H61" s="17"/>
      <c r="I61" s="17"/>
      <c r="J61" s="17"/>
      <c r="K61" s="17"/>
    </row>
    <row r="62" spans="1:11" x14ac:dyDescent="0.25">
      <c r="A62" s="16"/>
      <c r="B62" s="16" t="s">
        <v>334</v>
      </c>
      <c r="C62" s="16">
        <v>1</v>
      </c>
      <c r="D62" s="16"/>
      <c r="E62" s="16"/>
      <c r="F62" s="16"/>
      <c r="G62" s="16"/>
      <c r="H62" s="16"/>
      <c r="I62" s="16"/>
      <c r="J62" s="16"/>
      <c r="K62" s="16"/>
    </row>
    <row r="63" spans="1:11" x14ac:dyDescent="0.25">
      <c r="A63" s="17"/>
      <c r="B63" s="17" t="s">
        <v>336</v>
      </c>
      <c r="C63" s="17">
        <v>1</v>
      </c>
      <c r="D63" s="17"/>
      <c r="E63" s="17"/>
      <c r="F63" s="17"/>
      <c r="G63" s="17"/>
      <c r="H63" s="17"/>
      <c r="I63" s="17"/>
      <c r="J63" s="17"/>
      <c r="K63" s="17"/>
    </row>
    <row r="64" spans="1:11" x14ac:dyDescent="0.25">
      <c r="A64" s="16"/>
      <c r="B64" s="16" t="s">
        <v>337</v>
      </c>
      <c r="C64" s="16">
        <v>80</v>
      </c>
      <c r="D64" s="16"/>
      <c r="E64" s="16"/>
      <c r="F64" s="16"/>
      <c r="G64" s="16"/>
      <c r="H64" s="16"/>
      <c r="I64" s="16"/>
      <c r="J64" s="16"/>
      <c r="K64" s="16"/>
    </row>
    <row r="65" spans="1:11" x14ac:dyDescent="0.25">
      <c r="A65" s="18" t="s">
        <v>281</v>
      </c>
      <c r="B65" s="18" t="s">
        <v>429</v>
      </c>
      <c r="C65" s="18"/>
      <c r="D65" s="18"/>
      <c r="E65" s="18"/>
      <c r="F65" s="18"/>
      <c r="G65" s="18"/>
      <c r="H65" s="18"/>
      <c r="I65" s="18"/>
      <c r="J65" s="18"/>
      <c r="K65" s="18"/>
    </row>
    <row r="66" spans="1:11" x14ac:dyDescent="0.25">
      <c r="A66" s="16"/>
      <c r="B66" s="16" t="s">
        <v>138</v>
      </c>
      <c r="C66" s="16"/>
      <c r="D66" s="16" t="str">
        <f>Get_filament_Start_Gcode(D53,D55)</f>
        <v xml:space="preserve">; Filament Start G-code
; End of filament start GCode
</v>
      </c>
      <c r="E66" s="16" t="str">
        <f t="shared" ref="E66:J66" si="0">Get_filament_Start_Gcode(E53,E55)</f>
        <v xml:space="preserve">; Filament Start G-code
; End of filament start GCode
</v>
      </c>
      <c r="F66" s="16" t="str">
        <f t="shared" si="0"/>
        <v xml:space="preserve">; Filament Start G-code
; End of filament start GCode
</v>
      </c>
      <c r="G66" s="16" t="str">
        <f t="shared" si="0"/>
        <v xml:space="preserve">; Filament Start G-code
; End of filament start GCode
</v>
      </c>
      <c r="H66" s="16" t="str">
        <f t="shared" si="0"/>
        <v xml:space="preserve">; Filament Start G-code
; End of filament start GCode
</v>
      </c>
      <c r="I66" s="16" t="str">
        <f t="shared" si="0"/>
        <v xml:space="preserve">; Filament Start G-code
; End of filament start GCode
</v>
      </c>
      <c r="J66" s="16" t="str">
        <f t="shared" si="0"/>
        <v xml:space="preserve">; Filament Start G-code
; End of filament start GCode
</v>
      </c>
      <c r="K66" s="16"/>
    </row>
    <row r="67" spans="1:11" x14ac:dyDescent="0.25">
      <c r="A67" s="17"/>
      <c r="B67" s="17" t="s">
        <v>139</v>
      </c>
      <c r="C67" s="17"/>
      <c r="D67" s="17" t="str">
        <f>Get_filament_end_Gcode()</f>
        <v xml:space="preserve">; Filament End G-code
; End of filament end GCode
</v>
      </c>
      <c r="E67" s="17" t="str">
        <f t="shared" ref="E67:J67" si="1">Get_filament_end_Gcode()</f>
        <v xml:space="preserve">; Filament End G-code
; End of filament end GCode
</v>
      </c>
      <c r="F67" s="17" t="str">
        <f t="shared" si="1"/>
        <v xml:space="preserve">; Filament End G-code
; End of filament end GCode
</v>
      </c>
      <c r="G67" s="17" t="str">
        <f t="shared" si="1"/>
        <v xml:space="preserve">; Filament End G-code
; End of filament end GCode
</v>
      </c>
      <c r="H67" s="17" t="str">
        <f t="shared" si="1"/>
        <v xml:space="preserve">; Filament End G-code
; End of filament end GCode
</v>
      </c>
      <c r="I67" s="17" t="str">
        <f t="shared" si="1"/>
        <v xml:space="preserve">; Filament End G-code
; End of filament end GCode
</v>
      </c>
      <c r="J67" s="17" t="str">
        <f t="shared" si="1"/>
        <v xml:space="preserve">; Filament End G-code
; End of filament end GCode
</v>
      </c>
      <c r="K67" s="17"/>
    </row>
    <row r="68" spans="1:11" x14ac:dyDescent="0.25">
      <c r="A68" s="16"/>
      <c r="B68" s="16"/>
      <c r="C68" s="16"/>
      <c r="D68" s="16"/>
      <c r="E68" s="16"/>
      <c r="F68" s="16"/>
      <c r="G68" s="16"/>
      <c r="H68" s="16"/>
      <c r="I68" s="16"/>
      <c r="J68" s="16"/>
      <c r="K68" s="16"/>
    </row>
    <row r="69" spans="1:11" x14ac:dyDescent="0.25">
      <c r="A69" s="17"/>
      <c r="B69" s="17"/>
      <c r="C69" s="17"/>
      <c r="D69" s="17"/>
      <c r="E69" s="17"/>
      <c r="F69" s="17"/>
      <c r="G69" s="17"/>
      <c r="H69" s="17"/>
      <c r="I69" s="17"/>
      <c r="J69" s="17"/>
      <c r="K69" s="17"/>
    </row>
    <row r="70" spans="1:11" x14ac:dyDescent="0.25">
      <c r="A70" s="16"/>
      <c r="B70" s="16"/>
      <c r="C70" s="16"/>
      <c r="D70" s="16"/>
      <c r="E70" s="16"/>
      <c r="F70" s="16"/>
      <c r="G70" s="16"/>
      <c r="H70" s="16"/>
      <c r="I70" s="16"/>
      <c r="J70" s="16"/>
      <c r="K70" s="16"/>
    </row>
    <row r="71" spans="1:11" x14ac:dyDescent="0.25">
      <c r="A71" s="17"/>
      <c r="B71" s="17"/>
      <c r="C71" s="17"/>
      <c r="D71" s="17"/>
      <c r="E71" s="17"/>
      <c r="F71" s="17"/>
      <c r="G71" s="17"/>
      <c r="H71" s="17"/>
      <c r="I71" s="17"/>
      <c r="J71" s="17"/>
      <c r="K71" s="17"/>
    </row>
    <row r="72" spans="1:11" x14ac:dyDescent="0.25">
      <c r="A72" s="16"/>
      <c r="B72" s="16"/>
      <c r="C72" s="16"/>
      <c r="D72" s="16"/>
      <c r="E72" s="16"/>
      <c r="F72" s="16"/>
      <c r="G72" s="16"/>
      <c r="H72" s="16"/>
      <c r="I72" s="16"/>
      <c r="J72" s="16"/>
      <c r="K72" s="16"/>
    </row>
    <row r="73" spans="1:11" x14ac:dyDescent="0.25">
      <c r="A73" s="17"/>
      <c r="B73" s="17"/>
      <c r="C73" s="17"/>
      <c r="D73" s="17"/>
      <c r="E73" s="17"/>
      <c r="F73" s="17"/>
      <c r="G73" s="17"/>
      <c r="H73" s="17"/>
      <c r="I73" s="17"/>
      <c r="J73" s="17"/>
      <c r="K73" s="17"/>
    </row>
    <row r="74" spans="1:11" x14ac:dyDescent="0.25">
      <c r="A74" s="16"/>
      <c r="B74" s="16"/>
      <c r="C74" s="16"/>
      <c r="D74" s="16"/>
      <c r="E74" s="16"/>
      <c r="F74" s="16"/>
      <c r="G74" s="16"/>
      <c r="H74" s="16"/>
      <c r="I74" s="16"/>
      <c r="J74" s="16"/>
      <c r="K74" s="16"/>
    </row>
    <row r="75" spans="1:11" x14ac:dyDescent="0.25">
      <c r="A75" s="17"/>
      <c r="B75" s="17"/>
      <c r="C75" s="17"/>
      <c r="D75" s="17"/>
      <c r="E75" s="17"/>
      <c r="F75" s="17"/>
      <c r="G75" s="17"/>
      <c r="H75" s="17"/>
      <c r="I75" s="17"/>
      <c r="J75" s="17"/>
      <c r="K75" s="17"/>
    </row>
    <row r="76" spans="1:11" x14ac:dyDescent="0.25">
      <c r="A76" s="16"/>
      <c r="B76" s="16"/>
      <c r="C76" s="16"/>
      <c r="D76" s="16"/>
      <c r="E76" s="16"/>
      <c r="F76" s="16"/>
      <c r="G76" s="16"/>
      <c r="H76" s="16"/>
      <c r="I76" s="16"/>
      <c r="J76" s="16"/>
      <c r="K76" s="16"/>
    </row>
    <row r="77" spans="1:11" x14ac:dyDescent="0.25">
      <c r="A77" s="17"/>
      <c r="B77" s="17"/>
      <c r="C77" s="17"/>
      <c r="D77" s="17"/>
      <c r="E77" s="17"/>
      <c r="F77" s="17"/>
      <c r="G77" s="17"/>
      <c r="H77" s="17"/>
      <c r="I77" s="17"/>
      <c r="J77" s="17"/>
      <c r="K77" s="17"/>
    </row>
    <row r="78" spans="1:11" x14ac:dyDescent="0.25">
      <c r="A78" s="16"/>
      <c r="B78" s="16"/>
      <c r="C78" s="16"/>
      <c r="D78" s="16"/>
      <c r="E78" s="16"/>
      <c r="F78" s="16"/>
      <c r="G78" s="16"/>
      <c r="H78" s="16"/>
      <c r="I78" s="16"/>
      <c r="J78" s="16"/>
      <c r="K78" s="16"/>
    </row>
  </sheetData>
  <phoneticPr fontId="2"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100"/>
  <sheetViews>
    <sheetView tabSelected="1" workbookViewId="0">
      <pane ySplit="1" topLeftCell="A95" activePane="bottomLeft" state="frozen"/>
      <selection activeCell="B30" sqref="B30"/>
      <selection pane="bottomLeft" activeCell="C95" sqref="C95"/>
    </sheetView>
  </sheetViews>
  <sheetFormatPr defaultRowHeight="15" x14ac:dyDescent="0.25"/>
  <cols>
    <col min="1" max="1" width="13.7109375" bestFit="1" customWidth="1"/>
    <col min="2" max="2" width="36.28515625" customWidth="1"/>
    <col min="3" max="3" width="146" customWidth="1"/>
    <col min="4" max="4" width="82.28515625" customWidth="1"/>
  </cols>
  <sheetData>
    <row r="1" spans="1:4" x14ac:dyDescent="0.25">
      <c r="A1" s="15" t="s">
        <v>226</v>
      </c>
      <c r="B1" s="15" t="s">
        <v>204</v>
      </c>
      <c r="C1" s="15" t="s">
        <v>385</v>
      </c>
      <c r="D1" s="15" t="s">
        <v>215</v>
      </c>
    </row>
    <row r="2" spans="1:4" x14ac:dyDescent="0.25">
      <c r="A2" s="18" t="s">
        <v>282</v>
      </c>
      <c r="B2" s="18" t="s">
        <v>412</v>
      </c>
      <c r="C2" s="18"/>
      <c r="D2" s="18"/>
    </row>
    <row r="3" spans="1:4" x14ac:dyDescent="0.25">
      <c r="A3" s="16"/>
      <c r="B3" s="16" t="s">
        <v>406</v>
      </c>
      <c r="C3" s="16"/>
      <c r="D3" s="16"/>
    </row>
    <row r="4" spans="1:4" x14ac:dyDescent="0.25">
      <c r="A4" s="17"/>
      <c r="B4" s="17" t="s">
        <v>407</v>
      </c>
      <c r="C4" s="17" t="s">
        <v>408</v>
      </c>
      <c r="D4" s="17"/>
    </row>
    <row r="5" spans="1:4" x14ac:dyDescent="0.25">
      <c r="A5" s="16"/>
      <c r="B5" s="16" t="s">
        <v>147</v>
      </c>
      <c r="C5" s="16" t="s">
        <v>387</v>
      </c>
      <c r="D5" s="16"/>
    </row>
    <row r="6" spans="1:4" x14ac:dyDescent="0.25">
      <c r="A6" s="17"/>
      <c r="B6" s="17" t="s">
        <v>398</v>
      </c>
      <c r="C6" s="17"/>
      <c r="D6" s="17"/>
    </row>
    <row r="7" spans="1:4" x14ac:dyDescent="0.25">
      <c r="A7" s="16"/>
      <c r="B7" s="16" t="s">
        <v>399</v>
      </c>
      <c r="C7" s="16"/>
      <c r="D7" s="16"/>
    </row>
    <row r="8" spans="1:4" x14ac:dyDescent="0.25">
      <c r="A8" s="17"/>
      <c r="B8" s="17" t="s">
        <v>148</v>
      </c>
      <c r="C8" s="17">
        <v>200</v>
      </c>
      <c r="D8" s="17"/>
    </row>
    <row r="9" spans="1:4" x14ac:dyDescent="0.25">
      <c r="A9" s="19"/>
      <c r="B9" s="19" t="s">
        <v>395</v>
      </c>
      <c r="C9" s="19" t="str">
        <f>Matchfill(INDEX(filament!$A$1:$K$98,MATCH(B9,filament!$B$1:$B$98,0),MATCH(FILAMENT_NAME,filament!$A$1:$K$1,0)),filament!$C$1)</f>
        <v>0</v>
      </c>
      <c r="D9" s="19"/>
    </row>
    <row r="10" spans="1:4" x14ac:dyDescent="0.25">
      <c r="A10" s="19"/>
      <c r="B10" s="19" t="s">
        <v>396</v>
      </c>
      <c r="C10" s="19" t="str">
        <f>Matchfill(INDEX(filament!$A$1:$K$98,MATCH(B10,filament!$B$1:$B$98,0),MATCH(FILAMENT_NAME,filament!$A$1:$K$1,0)),filament!$C$1)</f>
        <v>0.04</v>
      </c>
      <c r="D10" s="19"/>
    </row>
    <row r="11" spans="1:4" x14ac:dyDescent="0.25">
      <c r="A11" s="18"/>
      <c r="B11" s="18" t="s">
        <v>413</v>
      </c>
      <c r="C11" s="18"/>
      <c r="D11" s="18"/>
    </row>
    <row r="12" spans="1:4" x14ac:dyDescent="0.25">
      <c r="A12" s="19"/>
      <c r="B12" s="19" t="s">
        <v>233</v>
      </c>
      <c r="C12" s="19">
        <v>1</v>
      </c>
      <c r="D12" s="19"/>
    </row>
    <row r="13" spans="1:4" x14ac:dyDescent="0.25">
      <c r="A13" s="16"/>
      <c r="B13" s="16" t="s">
        <v>150</v>
      </c>
      <c r="C13" s="16">
        <v>0</v>
      </c>
      <c r="D13" s="16"/>
    </row>
    <row r="14" spans="1:4" x14ac:dyDescent="0.25">
      <c r="A14" s="18"/>
      <c r="B14" s="18" t="s">
        <v>414</v>
      </c>
      <c r="C14" s="18"/>
      <c r="D14" s="18"/>
    </row>
    <row r="15" spans="1:4" x14ac:dyDescent="0.25">
      <c r="A15" s="16"/>
      <c r="B15" s="16" t="s">
        <v>151</v>
      </c>
      <c r="C15" s="16" t="s">
        <v>152</v>
      </c>
      <c r="D15" s="16"/>
    </row>
    <row r="16" spans="1:4" x14ac:dyDescent="0.25">
      <c r="A16" s="17"/>
      <c r="B16" s="17" t="s">
        <v>286</v>
      </c>
      <c r="C16" s="17" t="s">
        <v>382</v>
      </c>
      <c r="D16" s="17"/>
    </row>
    <row r="17" spans="1:4" x14ac:dyDescent="0.25">
      <c r="A17" s="16"/>
      <c r="B17" s="16" t="s">
        <v>285</v>
      </c>
      <c r="C17" s="16" t="s">
        <v>383</v>
      </c>
      <c r="D17" s="16"/>
    </row>
    <row r="18" spans="1:4" x14ac:dyDescent="0.25">
      <c r="A18" s="18"/>
      <c r="B18" s="18" t="s">
        <v>415</v>
      </c>
      <c r="C18" s="18"/>
      <c r="D18" s="18"/>
    </row>
    <row r="19" spans="1:4" x14ac:dyDescent="0.25">
      <c r="A19" s="16"/>
      <c r="B19" s="16" t="s">
        <v>153</v>
      </c>
      <c r="C19" s="16" t="s">
        <v>154</v>
      </c>
      <c r="D19" s="16"/>
    </row>
    <row r="20" spans="1:4" x14ac:dyDescent="0.25">
      <c r="A20" s="17"/>
      <c r="B20" s="17" t="s">
        <v>155</v>
      </c>
      <c r="C20" s="17">
        <v>0</v>
      </c>
      <c r="D20" s="17"/>
    </row>
    <row r="21" spans="1:4" x14ac:dyDescent="0.25">
      <c r="A21" s="16"/>
      <c r="B21" s="16" t="s">
        <v>156</v>
      </c>
      <c r="C21" s="16">
        <v>0</v>
      </c>
      <c r="D21" s="16"/>
    </row>
    <row r="22" spans="1:4" x14ac:dyDescent="0.25">
      <c r="A22" s="18"/>
      <c r="B22" s="18" t="s">
        <v>416</v>
      </c>
      <c r="C22" s="18"/>
      <c r="D22" s="18"/>
    </row>
    <row r="23" spans="1:4" x14ac:dyDescent="0.25">
      <c r="A23" s="16"/>
      <c r="B23" s="16" t="s">
        <v>157</v>
      </c>
      <c r="C23" s="16">
        <v>1</v>
      </c>
      <c r="D23" s="16"/>
    </row>
    <row r="24" spans="1:4" x14ac:dyDescent="0.25">
      <c r="A24" s="17"/>
      <c r="B24" s="17" t="s">
        <v>158</v>
      </c>
      <c r="C24" s="17">
        <v>0</v>
      </c>
      <c r="D24" s="17"/>
    </row>
    <row r="25" spans="1:4" x14ac:dyDescent="0.25">
      <c r="A25" s="16"/>
      <c r="B25" s="16" t="s">
        <v>159</v>
      </c>
      <c r="C25" s="16">
        <v>0</v>
      </c>
      <c r="D25" s="16"/>
    </row>
    <row r="26" spans="1:4" x14ac:dyDescent="0.25">
      <c r="A26" s="17"/>
      <c r="B26" s="17" t="s">
        <v>160</v>
      </c>
      <c r="C26" s="17">
        <v>1</v>
      </c>
      <c r="D26" s="17"/>
    </row>
    <row r="27" spans="1:4" x14ac:dyDescent="0.25">
      <c r="A27" s="19"/>
      <c r="B27" s="19" t="s">
        <v>394</v>
      </c>
      <c r="C27" s="19" t="str">
        <f>Matchfill(INDEX(filament!$A$1:$K$96,MATCH(B27,filament!$B$1:$B$96,0),MATCH(FILAMENT_NAME,filament!$A$1:$K$1,0)),filament!$C$1)</f>
        <v>0.08</v>
      </c>
      <c r="D27" s="19"/>
    </row>
    <row r="28" spans="1:4" x14ac:dyDescent="0.25">
      <c r="A28" s="19"/>
      <c r="B28" s="19" t="s">
        <v>397</v>
      </c>
      <c r="C28" s="19"/>
      <c r="D28" s="19"/>
    </row>
    <row r="29" spans="1:4" x14ac:dyDescent="0.25">
      <c r="A29" s="18" t="s">
        <v>283</v>
      </c>
      <c r="B29" s="18" t="s">
        <v>417</v>
      </c>
      <c r="C29" s="18"/>
      <c r="D29" s="18"/>
    </row>
    <row r="30" spans="1:4" x14ac:dyDescent="0.25">
      <c r="A30" s="16"/>
      <c r="B30" s="16" t="s">
        <v>166</v>
      </c>
      <c r="C30" s="16">
        <v>150</v>
      </c>
      <c r="D30" s="16"/>
    </row>
    <row r="31" spans="1:4" x14ac:dyDescent="0.25">
      <c r="A31" s="17"/>
      <c r="B31" s="17" t="s">
        <v>167</v>
      </c>
      <c r="C31" s="17">
        <v>150</v>
      </c>
      <c r="D31" s="17"/>
    </row>
    <row r="32" spans="1:4" x14ac:dyDescent="0.25">
      <c r="A32" s="16"/>
      <c r="B32" s="16" t="s">
        <v>168</v>
      </c>
      <c r="C32" s="16">
        <v>20</v>
      </c>
      <c r="D32" s="16"/>
    </row>
    <row r="33" spans="1:4" x14ac:dyDescent="0.25">
      <c r="A33" s="17"/>
      <c r="B33" s="17" t="s">
        <v>169</v>
      </c>
      <c r="C33" s="17">
        <v>100</v>
      </c>
      <c r="D33" s="17"/>
    </row>
    <row r="34" spans="1:4" x14ac:dyDescent="0.25">
      <c r="A34" s="18"/>
      <c r="B34" s="18" t="s">
        <v>418</v>
      </c>
      <c r="C34" s="18"/>
      <c r="D34" s="18"/>
    </row>
    <row r="35" spans="1:4" x14ac:dyDescent="0.25">
      <c r="A35" s="16"/>
      <c r="B35" s="16" t="s">
        <v>170</v>
      </c>
      <c r="C35" s="16">
        <f>MAX_ACCELERATION</f>
        <v>700</v>
      </c>
      <c r="D35" s="16"/>
    </row>
    <row r="36" spans="1:4" x14ac:dyDescent="0.25">
      <c r="A36" s="17"/>
      <c r="B36" s="17" t="s">
        <v>171</v>
      </c>
      <c r="C36" s="17">
        <f>MAX_ACCELERATION</f>
        <v>700</v>
      </c>
      <c r="D36" s="17"/>
    </row>
    <row r="37" spans="1:4" x14ac:dyDescent="0.25">
      <c r="A37" s="16"/>
      <c r="B37" s="16" t="s">
        <v>172</v>
      </c>
      <c r="C37" s="16">
        <v>70</v>
      </c>
      <c r="D37" s="16"/>
    </row>
    <row r="38" spans="1:4" x14ac:dyDescent="0.25">
      <c r="A38" s="17"/>
      <c r="B38" s="17" t="s">
        <v>173</v>
      </c>
      <c r="C38" s="17">
        <v>15000</v>
      </c>
      <c r="D38" s="17"/>
    </row>
    <row r="39" spans="1:4" x14ac:dyDescent="0.25">
      <c r="A39" s="16"/>
      <c r="B39" s="16" t="s">
        <v>174</v>
      </c>
      <c r="C39" s="16">
        <v>15000</v>
      </c>
      <c r="D39" s="16"/>
    </row>
    <row r="40" spans="1:4" x14ac:dyDescent="0.25">
      <c r="A40" s="17"/>
      <c r="B40" s="17" t="s">
        <v>175</v>
      </c>
      <c r="C40" s="17">
        <v>15000</v>
      </c>
      <c r="D40" s="17"/>
    </row>
    <row r="41" spans="1:4" x14ac:dyDescent="0.25">
      <c r="A41" s="18"/>
      <c r="B41" s="18" t="s">
        <v>419</v>
      </c>
      <c r="C41" s="18"/>
      <c r="D41" s="18"/>
    </row>
    <row r="42" spans="1:4" x14ac:dyDescent="0.25">
      <c r="A42" s="16"/>
      <c r="B42" s="16" t="s">
        <v>176</v>
      </c>
      <c r="C42" s="16">
        <v>8.1999999999999993</v>
      </c>
      <c r="D42" s="16"/>
    </row>
    <row r="43" spans="1:4" x14ac:dyDescent="0.25">
      <c r="A43" s="17"/>
      <c r="B43" s="17" t="s">
        <v>177</v>
      </c>
      <c r="C43" s="17">
        <v>8.1999999999999993</v>
      </c>
      <c r="D43" s="17"/>
    </row>
    <row r="44" spans="1:4" x14ac:dyDescent="0.25">
      <c r="A44" s="16"/>
      <c r="B44" s="16" t="s">
        <v>178</v>
      </c>
      <c r="C44" s="16">
        <v>0.2</v>
      </c>
      <c r="D44" s="16"/>
    </row>
    <row r="45" spans="1:4" x14ac:dyDescent="0.25">
      <c r="A45" s="17"/>
      <c r="B45" s="17" t="s">
        <v>179</v>
      </c>
      <c r="C45" s="17">
        <v>10</v>
      </c>
      <c r="D45" s="17"/>
    </row>
    <row r="46" spans="1:4" x14ac:dyDescent="0.25">
      <c r="A46" s="19"/>
      <c r="B46" s="19" t="s">
        <v>410</v>
      </c>
      <c r="C46" s="19">
        <v>3.9E-2</v>
      </c>
      <c r="D46" s="19"/>
    </row>
    <row r="47" spans="1:4" x14ac:dyDescent="0.25">
      <c r="A47" s="18"/>
      <c r="B47" s="18" t="s">
        <v>420</v>
      </c>
      <c r="C47" s="18"/>
      <c r="D47" s="18"/>
    </row>
    <row r="48" spans="1:4" x14ac:dyDescent="0.25">
      <c r="A48" s="16"/>
      <c r="B48" s="16" t="s">
        <v>180</v>
      </c>
      <c r="C48" s="16"/>
      <c r="D48" s="16"/>
    </row>
    <row r="49" spans="1:4" x14ac:dyDescent="0.25">
      <c r="A49" s="17"/>
      <c r="B49" s="17" t="s">
        <v>181</v>
      </c>
      <c r="C49" s="17"/>
      <c r="D49" s="17"/>
    </row>
    <row r="50" spans="1:4" x14ac:dyDescent="0.25">
      <c r="A50" s="18" t="s">
        <v>284</v>
      </c>
      <c r="B50" s="18" t="s">
        <v>421</v>
      </c>
      <c r="C50" s="18"/>
      <c r="D50" s="18"/>
    </row>
    <row r="51" spans="1:4" x14ac:dyDescent="0.25">
      <c r="A51" s="16"/>
      <c r="B51" s="16" t="s">
        <v>149</v>
      </c>
      <c r="C51" s="16">
        <f>Nozzle_Diameter</f>
        <v>0.6</v>
      </c>
      <c r="D51" s="16"/>
    </row>
    <row r="52" spans="1:4" x14ac:dyDescent="0.25">
      <c r="A52" s="18"/>
      <c r="B52" s="18" t="s">
        <v>422</v>
      </c>
      <c r="C52" s="18"/>
      <c r="D52" s="18"/>
    </row>
    <row r="53" spans="1:4" x14ac:dyDescent="0.25">
      <c r="A53" s="16"/>
      <c r="B53" s="16" t="s">
        <v>182</v>
      </c>
      <c r="C53" s="16">
        <f>Min_Layer_Height</f>
        <v>0.12</v>
      </c>
      <c r="D53" s="16"/>
    </row>
    <row r="54" spans="1:4" x14ac:dyDescent="0.25">
      <c r="A54" s="17"/>
      <c r="B54" s="17" t="s">
        <v>183</v>
      </c>
      <c r="C54" s="17">
        <f>Max_Layer_Height</f>
        <v>0.48</v>
      </c>
      <c r="D54" s="17"/>
    </row>
    <row r="55" spans="1:4" x14ac:dyDescent="0.25">
      <c r="A55" s="18"/>
      <c r="B55" s="18" t="s">
        <v>423</v>
      </c>
      <c r="C55" s="18"/>
      <c r="D55" s="18"/>
    </row>
    <row r="56" spans="1:4" x14ac:dyDescent="0.25">
      <c r="A56" s="16"/>
      <c r="B56" s="16" t="s">
        <v>184</v>
      </c>
      <c r="C56" s="16"/>
      <c r="D56" s="16"/>
    </row>
    <row r="57" spans="1:4" x14ac:dyDescent="0.25">
      <c r="A57" s="18"/>
      <c r="B57" s="18" t="s">
        <v>424</v>
      </c>
      <c r="C57" s="18"/>
      <c r="D57" s="18"/>
    </row>
    <row r="58" spans="1:4" x14ac:dyDescent="0.25">
      <c r="A58" s="16"/>
      <c r="B58" s="16" t="s">
        <v>185</v>
      </c>
      <c r="C58" s="16" t="str">
        <f>Matchfill(INDEX(filament!$A$1:$K$98,MATCH("filament_" &amp; $B58,filament!$B$1:$B$98,0),MATCH(FILAMENT_NAME,filament!$A$1:$K$1,0)),filament!$C$1)</f>
        <v>0.8</v>
      </c>
      <c r="D58" s="16"/>
    </row>
    <row r="59" spans="1:4" x14ac:dyDescent="0.25">
      <c r="A59" s="17"/>
      <c r="B59" s="17" t="s">
        <v>186</v>
      </c>
      <c r="C59" s="17" t="str">
        <f>Matchfill(INDEX(filament!$A$1:$K$98,MATCH("filament_" &amp; $B59,filament!$B$1:$B$98,0),MATCH(FILAMENT_NAME,filament!$A$1:$K$1,0)),filament!$C$1)</f>
        <v>0.4</v>
      </c>
      <c r="D59" s="17"/>
    </row>
    <row r="60" spans="1:4" x14ac:dyDescent="0.25">
      <c r="A60" s="16"/>
      <c r="B60" s="16" t="s">
        <v>187</v>
      </c>
      <c r="C60" s="16">
        <v>0</v>
      </c>
      <c r="D60" s="16"/>
    </row>
    <row r="61" spans="1:4" x14ac:dyDescent="0.25">
      <c r="A61" s="17"/>
      <c r="B61" s="17" t="s">
        <v>188</v>
      </c>
      <c r="C61" s="17">
        <v>200</v>
      </c>
      <c r="D61" s="17"/>
    </row>
    <row r="62" spans="1:4" x14ac:dyDescent="0.25">
      <c r="A62" s="16"/>
      <c r="B62" s="16" t="s">
        <v>189</v>
      </c>
      <c r="C62" s="16" t="str">
        <f>Matchfill(INDEX(filament!$A$1:$J$99,MATCH("filament_" &amp; $B62,filament!$B$1:$B$99,0),MATCH(FILAMENT_NAME,filament!$A$1:$J$1,0)),filament!$C$1)</f>
        <v>25</v>
      </c>
      <c r="D62" s="16"/>
    </row>
    <row r="63" spans="1:4" x14ac:dyDescent="0.25">
      <c r="A63" s="17"/>
      <c r="B63" s="17" t="s">
        <v>190</v>
      </c>
      <c r="C63" s="17" t="str">
        <f>Matchfill(INDEX(filament!$A$1:$K$98,MATCH("filament_" &amp; $B63,filament!$B$1:$B$98,0),MATCH(FILAMENT_NAME,filament!$A$1:$K$1,0)),filament!$C$1)</f>
        <v>20</v>
      </c>
      <c r="D63" s="17"/>
    </row>
    <row r="64" spans="1:4" x14ac:dyDescent="0.25">
      <c r="A64" s="16"/>
      <c r="B64" s="16" t="s">
        <v>191</v>
      </c>
      <c r="C64" s="16" t="str">
        <f>Matchfill(INDEX(filament!$A$1:$K$98,MATCH("filament_" &amp; $B64,filament!$B$1:$B$98,0),MATCH(FILAMENT_NAME,filament!$A$1:$K$1,0)),filament!$C$1)</f>
        <v>0</v>
      </c>
      <c r="D64" s="16"/>
    </row>
    <row r="65" spans="1:4" x14ac:dyDescent="0.25">
      <c r="A65" s="17"/>
      <c r="B65" s="17" t="s">
        <v>192</v>
      </c>
      <c r="C65" s="17" t="str">
        <f>Matchfill(INDEX(filament!$A$1:$K$98,MATCH("filament_" &amp; $B65,filament!$B$1:$B$98,0),MATCH(FILAMENT_NAME,filament!$A$1:$K$1,0)),filament!$C$1)</f>
        <v>1</v>
      </c>
      <c r="D65" s="17"/>
    </row>
    <row r="66" spans="1:4" x14ac:dyDescent="0.25">
      <c r="A66" s="16"/>
      <c r="B66" s="16" t="s">
        <v>193</v>
      </c>
      <c r="C66" s="16" t="str">
        <f>Matchfill(INDEX(filament!$A$1:$K$98,MATCH("filament_" &amp; $B66,filament!$B$1:$B$98,0),MATCH(FILAMENT_NAME,filament!$A$1:$K$1,0)),filament!$C$1)</f>
        <v>1</v>
      </c>
      <c r="D66" s="16"/>
    </row>
    <row r="67" spans="1:4" x14ac:dyDescent="0.25">
      <c r="A67" s="17"/>
      <c r="B67" s="17" t="s">
        <v>194</v>
      </c>
      <c r="C67" s="17">
        <v>1</v>
      </c>
      <c r="D67" s="17"/>
    </row>
    <row r="68" spans="1:4" x14ac:dyDescent="0.25">
      <c r="A68" s="16"/>
      <c r="B68" s="16" t="s">
        <v>308</v>
      </c>
      <c r="C68" s="16">
        <v>0</v>
      </c>
      <c r="D68" s="16"/>
    </row>
    <row r="69" spans="1:4" x14ac:dyDescent="0.25">
      <c r="A69" s="17"/>
      <c r="B69" s="17" t="s">
        <v>309</v>
      </c>
      <c r="C69" s="17">
        <v>0</v>
      </c>
      <c r="D69" s="17"/>
    </row>
    <row r="70" spans="1:4" x14ac:dyDescent="0.25">
      <c r="A70" s="16"/>
      <c r="B70" s="16" t="s">
        <v>195</v>
      </c>
      <c r="C70" s="16" t="str">
        <f>Matchfill(INDEX(filament!$A$1:$K$98,MATCH("filament_" &amp; $B70,filament!$B$1:$B$98,0),MATCH(FILAMENT_NAME,filament!$A$1:$K$1,0)),filament!$C$1)</f>
        <v>80</v>
      </c>
      <c r="D70" s="16"/>
    </row>
    <row r="71" spans="1:4" x14ac:dyDescent="0.25">
      <c r="A71" s="18"/>
      <c r="B71" s="18" t="s">
        <v>425</v>
      </c>
      <c r="C71" s="18"/>
      <c r="D71" s="18"/>
    </row>
    <row r="72" spans="1:4" x14ac:dyDescent="0.25">
      <c r="A72" s="16"/>
      <c r="B72" s="16" t="s">
        <v>196</v>
      </c>
      <c r="C72" s="16"/>
      <c r="D72" s="16"/>
    </row>
    <row r="73" spans="1:4" x14ac:dyDescent="0.25">
      <c r="A73" s="17"/>
      <c r="B73" s="17" t="s">
        <v>197</v>
      </c>
      <c r="C73" s="17"/>
      <c r="D73" s="17"/>
    </row>
    <row r="74" spans="1:4" x14ac:dyDescent="0.25">
      <c r="A74" s="18"/>
      <c r="B74" s="18" t="s">
        <v>426</v>
      </c>
      <c r="C74" s="18"/>
      <c r="D74" s="18"/>
    </row>
    <row r="75" spans="1:4" x14ac:dyDescent="0.25">
      <c r="A75" s="16"/>
      <c r="B75" s="16" t="s">
        <v>198</v>
      </c>
      <c r="C75" s="16" t="s">
        <v>199</v>
      </c>
      <c r="D75" s="16"/>
    </row>
    <row r="76" spans="1:4" x14ac:dyDescent="0.25">
      <c r="A76" s="18" t="s">
        <v>236</v>
      </c>
      <c r="B76" s="18" t="s">
        <v>427</v>
      </c>
      <c r="C76" s="18"/>
      <c r="D76" s="18"/>
    </row>
    <row r="77" spans="1:4" ht="60" x14ac:dyDescent="0.25">
      <c r="A77" s="16"/>
      <c r="B77" s="16" t="s">
        <v>214</v>
      </c>
      <c r="C77" s="16"/>
      <c r="D77" s="27" t="s">
        <v>386</v>
      </c>
    </row>
    <row r="78" spans="1:4" x14ac:dyDescent="0.25">
      <c r="A78" s="17"/>
      <c r="B78" s="17" t="s">
        <v>400</v>
      </c>
      <c r="C78" s="17"/>
      <c r="D78" s="17"/>
    </row>
    <row r="79" spans="1:4" x14ac:dyDescent="0.25">
      <c r="A79" s="16"/>
      <c r="B79" s="16" t="s">
        <v>401</v>
      </c>
      <c r="C79" s="16"/>
      <c r="D79" s="16"/>
    </row>
    <row r="80" spans="1:4" x14ac:dyDescent="0.25">
      <c r="A80" s="17"/>
      <c r="B80" s="17" t="s">
        <v>402</v>
      </c>
      <c r="C80" s="17"/>
      <c r="D80" s="17"/>
    </row>
    <row r="81" spans="1:4" x14ac:dyDescent="0.25">
      <c r="A81" s="16"/>
      <c r="B81" s="16" t="s">
        <v>403</v>
      </c>
      <c r="C81" s="16"/>
      <c r="D81" s="16"/>
    </row>
    <row r="82" spans="1:4" x14ac:dyDescent="0.25">
      <c r="A82" s="17"/>
      <c r="B82" s="17" t="s">
        <v>404</v>
      </c>
      <c r="C82" s="17"/>
      <c r="D82" s="17"/>
    </row>
    <row r="83" spans="1:4" x14ac:dyDescent="0.25">
      <c r="A83" s="16"/>
      <c r="B83" s="16" t="s">
        <v>405</v>
      </c>
      <c r="C83" s="16"/>
      <c r="D83" s="16"/>
    </row>
    <row r="84" spans="1:4" x14ac:dyDescent="0.25">
      <c r="A84" s="17"/>
      <c r="B84" s="17" t="s">
        <v>409</v>
      </c>
      <c r="C84" s="17"/>
      <c r="D84" s="17"/>
    </row>
    <row r="85" spans="1:4" x14ac:dyDescent="0.25">
      <c r="A85" s="18" t="s">
        <v>237</v>
      </c>
      <c r="B85" s="18" t="s">
        <v>428</v>
      </c>
      <c r="C85" s="18"/>
      <c r="D85" s="18"/>
    </row>
    <row r="86" spans="1:4" x14ac:dyDescent="0.25">
      <c r="A86" s="16"/>
      <c r="B86" s="16" t="s">
        <v>203</v>
      </c>
      <c r="C86" s="16"/>
      <c r="D86" s="16"/>
    </row>
    <row r="87" spans="1:4" x14ac:dyDescent="0.25">
      <c r="A87" s="17"/>
      <c r="B87" s="17" t="s">
        <v>202</v>
      </c>
      <c r="C87" s="17"/>
      <c r="D87" s="17"/>
    </row>
    <row r="88" spans="1:4" x14ac:dyDescent="0.25">
      <c r="A88" s="16"/>
      <c r="B88" s="16" t="s">
        <v>201</v>
      </c>
      <c r="C88" s="16">
        <f>C51</f>
        <v>0.6</v>
      </c>
      <c r="D88" s="16"/>
    </row>
    <row r="89" spans="1:4" x14ac:dyDescent="0.25">
      <c r="A89" s="17"/>
      <c r="B89" s="17" t="s">
        <v>287</v>
      </c>
      <c r="C89" s="17" t="s">
        <v>385</v>
      </c>
      <c r="D89" s="17"/>
    </row>
    <row r="90" spans="1:4" x14ac:dyDescent="0.25">
      <c r="A90" s="16"/>
      <c r="B90" s="16" t="s">
        <v>200</v>
      </c>
      <c r="C90" s="16"/>
      <c r="D90" s="16"/>
    </row>
    <row r="91" spans="1:4" x14ac:dyDescent="0.25">
      <c r="A91" s="17"/>
      <c r="B91" s="17" t="s">
        <v>288</v>
      </c>
      <c r="C91" s="17"/>
      <c r="D91" s="17"/>
    </row>
    <row r="92" spans="1:4" x14ac:dyDescent="0.25">
      <c r="A92" s="16"/>
      <c r="B92" s="16" t="s">
        <v>289</v>
      </c>
      <c r="C92" s="16"/>
      <c r="D92" s="16"/>
    </row>
    <row r="93" spans="1:4" x14ac:dyDescent="0.25">
      <c r="A93" s="17"/>
      <c r="B93" s="17" t="s">
        <v>290</v>
      </c>
      <c r="C93" s="17">
        <v>250000</v>
      </c>
      <c r="D93" s="17"/>
    </row>
    <row r="94" spans="1:4" x14ac:dyDescent="0.25">
      <c r="A94" s="18" t="s">
        <v>281</v>
      </c>
      <c r="B94" s="18" t="s">
        <v>429</v>
      </c>
      <c r="C94" s="18"/>
      <c r="D94" s="18"/>
    </row>
    <row r="95" spans="1:4" ht="409.5" x14ac:dyDescent="0.25">
      <c r="A95" s="16"/>
      <c r="B95" s="16" t="s">
        <v>161</v>
      </c>
      <c r="C95" s="27" t="str">
        <f>Get_printer_start_Gcode(pressure_advance_klipper,z_offset_klipper,junction_deviation)</f>
        <v xml:space="preserve">; Printer Start G-code
; begin heating bed, glass has to heat up, it always does slowly
M140 S[first_layer_bed_temperature]
M900 K0.08 ; set pressure advance
M205 J0.039 ; set junction deviation
G21 ; set units to millimeters
G90 ; use absolute coordinates
G28 ; Home all axes
; Wait for bed temp
M190 S[first_layer_bed_temperature]
; begin heating nozzle
M104 S[first_layer_temperature]
; Wait for nozzle temp
M109 S[first_layer_temperature]
G21 ; set units to millimeters
G90 ; use absolute coordinates
G92 E0 ; Reset Extruder
G1 Z0.04 F500 ; Set ZOffset by Moving to KnownLocation + Z Offset value
G92 Z0 ; Set this as KnownLocation
G1 Z2.0 F3000 ; Move Z Axis up little to prevent scratching of Heat Bed
G1 X12 Y20 Z0.3 F5000.0 ; Move to start position
G1 X12 Y180.0 Z0.3 F1500.0 E15 ; Draw the first line
G1 X12.3 Y180.0 Z0.3 F5000.0 ; Move to side a little
G1 X12.3 Y20 Z0.3 F1500.0 E30 ; Draw the second line
G1 X12.6 Y20 Z0.3 F5000.0 ; Move to side a little
G1 X12.6 Y180.0 Z0.3 F1500.0 E15 ; Draw the third line
G92 E0 ; Reset Extruder
G1 X20 Z2.0 F3000 ; Move Z Axis up little to prevent scratching of Heat Bed
; End of Printer start GCode
; printing object STARTGCODE
</v>
      </c>
      <c r="D95" s="16"/>
    </row>
    <row r="96" spans="1:4" ht="205.9" customHeight="1" x14ac:dyDescent="0.25">
      <c r="A96" s="17"/>
      <c r="B96" s="17" t="s">
        <v>162</v>
      </c>
      <c r="C96" s="26" t="str">
        <f>Get_printer_end_Gcode()</f>
        <v xml:space="preserve">;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Y200 F3600 ; Move print head to rear of the printer
G1 Z200 F3600 ; Move Head Bed to bottom of the printer
M84 ; Disable stepper motors
; End of Printer end GCode
</v>
      </c>
      <c r="D96" s="17"/>
    </row>
    <row r="97" spans="1:4" x14ac:dyDescent="0.25">
      <c r="A97" s="16"/>
      <c r="B97" s="16" t="s">
        <v>163</v>
      </c>
      <c r="C97" s="16" t="str">
        <f>GetBefore_Layer_Gcode()</f>
        <v xml:space="preserve">;BEFORE_LAYER_CHANGE
;Layer [layer_num]
;[layer_z]mm
;Printing layer [layer_num] at [layer_z]mm
</v>
      </c>
      <c r="D97" s="16"/>
    </row>
    <row r="98" spans="1:4" x14ac:dyDescent="0.25">
      <c r="A98" s="17"/>
      <c r="B98" s="17" t="s">
        <v>164</v>
      </c>
      <c r="C98" s="17" t="str">
        <f>GetAfter_Layer_Gcode()</f>
        <v xml:space="preserve">;AFTER_LAYER_CHANGE
;Layer [layer_num]
;[layer_z]mm
;Printing layer [layer_num] at [layer_z]mm
</v>
      </c>
      <c r="D98" s="17"/>
    </row>
    <row r="99" spans="1:4" x14ac:dyDescent="0.25">
      <c r="A99" s="16"/>
      <c r="B99" s="16" t="s">
        <v>165</v>
      </c>
      <c r="C99" s="16"/>
      <c r="D99" s="16"/>
    </row>
    <row r="100" spans="1:4" x14ac:dyDescent="0.25">
      <c r="A100" s="17"/>
      <c r="B100" s="17" t="s">
        <v>205</v>
      </c>
      <c r="C100" s="17"/>
      <c r="D100" s="17"/>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2020-01-02T03:22:04Z</dcterms:modified>
</cp:coreProperties>
</file>