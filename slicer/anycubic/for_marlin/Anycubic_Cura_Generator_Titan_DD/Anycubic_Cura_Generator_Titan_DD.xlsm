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56909992b2604a19"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228" codeName="{144559BF-596A-2B24-0A50-F0D1D4C42CD1}"/>
  <workbookPr codeName="ThisWorkbook" defaultThemeVersion="166925"/>
  <mc:AlternateContent xmlns:mc="http://schemas.openxmlformats.org/markup-compatibility/2006">
    <mc:Choice Requires="x15">
      <x15ac:absPath xmlns:x15ac="http://schemas.microsoft.com/office/spreadsheetml/2010/11/ac" url="C:\GitHub\3DPrint\slicer\anycubic\for_marlin\Anycubic_Cura_Generator_Titan_DD\"/>
    </mc:Choice>
  </mc:AlternateContent>
  <xr:revisionPtr revIDLastSave="0" documentId="13_ncr:1_{9499E654-4715-4DFA-A43E-EC588078C025}" xr6:coauthVersionLast="45" xr6:coauthVersionMax="45" xr10:uidLastSave="{00000000-0000-0000-0000-000000000000}"/>
  <bookViews>
    <workbookView xWindow="-108" yWindow="-108" windowWidth="30936" windowHeight="16920" activeTab="5" xr2:uid="{E8DF9499-C68D-4AF3-B2AA-BB8266EB0F5B}"/>
  </bookViews>
  <sheets>
    <sheet name="spec" sheetId="6" r:id="rId1"/>
    <sheet name="spec_filament" sheetId="21" r:id="rId2"/>
    <sheet name="spec_speed" sheetId="20" r:id="rId3"/>
    <sheet name="quality" sheetId="2" r:id="rId4"/>
    <sheet name="quality_PETG" sheetId="14" r:id="rId5"/>
    <sheet name="quality_PLA" sheetId="13" r:id="rId6"/>
  </sheets>
  <functionGroups builtInGroupCount="19"/>
  <definedNames>
    <definedName name="APPDATA_FOLDER">spec!$B$20</definedName>
    <definedName name="FILAMENT_NAME">spec!$B$8</definedName>
    <definedName name="HotendType">spec!$B$13</definedName>
    <definedName name="MACHINE_START_GCODE">#REF!</definedName>
    <definedName name="MACHINE_STOP_GCODE">#REF!</definedName>
    <definedName name="MAX_ACCELERATION">spec!$B$9</definedName>
    <definedName name="Max_Layer_Height">spec!$B$7</definedName>
    <definedName name="MAX_PRINT_ACCELERATION">spec!$B$10</definedName>
    <definedName name="Meterial_Thickness">spec!$B$12</definedName>
    <definedName name="Min_Layer_Height">spec!$B$6</definedName>
    <definedName name="Nozzle_Diameter">spec!$B$2</definedName>
    <definedName name="PRINTER_DEF">spec!$B$5</definedName>
    <definedName name="Printer_Name">spec!$B$4</definedName>
    <definedName name="SpeedType">spec!$B$11</definedName>
  </definedNam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D62" i="14" l="1"/>
  <c r="D62" i="13"/>
  <c r="D9" i="14"/>
  <c r="D9" i="13"/>
  <c r="E1" i="13"/>
  <c r="F1" i="13"/>
  <c r="G1" i="13"/>
  <c r="H1" i="13"/>
  <c r="I1" i="13"/>
  <c r="J1" i="13"/>
  <c r="K1" i="13"/>
  <c r="L1" i="13"/>
  <c r="M1" i="13"/>
  <c r="N1" i="13"/>
  <c r="O1" i="13"/>
  <c r="P1" i="13"/>
  <c r="D1" i="13"/>
  <c r="O5" i="14"/>
  <c r="P1" i="14"/>
  <c r="E1" i="14"/>
  <c r="F1" i="14"/>
  <c r="G1" i="14"/>
  <c r="H1" i="14"/>
  <c r="I1" i="14"/>
  <c r="J1" i="14"/>
  <c r="K1" i="14"/>
  <c r="L1" i="14"/>
  <c r="M1" i="14"/>
  <c r="N1" i="14"/>
  <c r="O1" i="14"/>
  <c r="D1" i="14"/>
  <c r="D3" i="14"/>
  <c r="F2" i="14"/>
  <c r="G2" i="14"/>
  <c r="H2" i="14"/>
  <c r="I2" i="14"/>
  <c r="J2" i="14"/>
  <c r="K2" i="14"/>
  <c r="L2" i="14"/>
  <c r="M2" i="14"/>
  <c r="N2" i="14"/>
  <c r="O2" i="14"/>
  <c r="E2" i="14"/>
  <c r="F2" i="13"/>
  <c r="G2" i="13"/>
  <c r="H2" i="13"/>
  <c r="I2" i="13"/>
  <c r="J2" i="13"/>
  <c r="K2" i="13"/>
  <c r="L2" i="13"/>
  <c r="M2" i="13"/>
  <c r="N2" i="13"/>
  <c r="O2" i="13"/>
  <c r="E2" i="13"/>
  <c r="D3" i="13"/>
  <c r="E6" i="13"/>
  <c r="F6" i="13"/>
  <c r="G6" i="13"/>
  <c r="H6" i="13"/>
  <c r="I6" i="13"/>
  <c r="J6" i="13"/>
  <c r="K6" i="13"/>
  <c r="L6" i="13"/>
  <c r="M6" i="13"/>
  <c r="N6" i="13"/>
  <c r="O6" i="13"/>
  <c r="E5" i="13"/>
  <c r="F5" i="13"/>
  <c r="G5" i="13"/>
  <c r="H5" i="13"/>
  <c r="I5" i="13"/>
  <c r="J5" i="13"/>
  <c r="K5" i="13"/>
  <c r="L5" i="13"/>
  <c r="M5" i="13"/>
  <c r="N5" i="13"/>
  <c r="O5" i="13"/>
  <c r="D5" i="13"/>
  <c r="E6" i="14"/>
  <c r="F6" i="14"/>
  <c r="G6" i="14"/>
  <c r="H6" i="14"/>
  <c r="I6" i="14"/>
  <c r="J6" i="14"/>
  <c r="K6" i="14"/>
  <c r="L6" i="14"/>
  <c r="M6" i="14"/>
  <c r="N6" i="14"/>
  <c r="O6" i="14"/>
  <c r="E5" i="14"/>
  <c r="F5" i="14"/>
  <c r="G5" i="14"/>
  <c r="H5" i="14"/>
  <c r="I5" i="14"/>
  <c r="J5" i="14"/>
  <c r="K5" i="14"/>
  <c r="L5" i="14"/>
  <c r="M5" i="14"/>
  <c r="N5" i="14"/>
  <c r="D5" i="14"/>
  <c r="D7" i="13"/>
  <c r="D7" i="14"/>
  <c r="D8" i="13"/>
  <c r="D8" i="14"/>
  <c r="D79" i="2" l="1"/>
  <c r="D80" i="2"/>
  <c r="D78" i="2"/>
  <c r="B4" i="6" l="1"/>
  <c r="B5" i="6" s="1"/>
  <c r="A4" i="20" l="1"/>
  <c r="A5" i="20"/>
  <c r="A6" i="20"/>
  <c r="A7" i="20"/>
  <c r="A8" i="20"/>
  <c r="A9" i="20"/>
  <c r="A10" i="20"/>
  <c r="A11" i="20"/>
  <c r="A12" i="20"/>
  <c r="A13" i="20"/>
  <c r="A14" i="20"/>
  <c r="A15" i="20"/>
  <c r="A16" i="20"/>
  <c r="A17" i="20"/>
  <c r="A3" i="20"/>
  <c r="O4" i="20" l="1"/>
  <c r="O5" i="20"/>
  <c r="O6" i="20"/>
  <c r="O7" i="20"/>
  <c r="O8" i="20"/>
  <c r="O9" i="20"/>
  <c r="O10" i="20"/>
  <c r="O11" i="20"/>
  <c r="O12" i="20"/>
  <c r="O13" i="20"/>
  <c r="O14" i="20"/>
  <c r="O15" i="20"/>
  <c r="O16" i="20"/>
  <c r="O17" i="20"/>
  <c r="O3" i="20"/>
  <c r="M16" i="21" l="1"/>
  <c r="M15" i="21"/>
  <c r="M14" i="21"/>
  <c r="M13" i="21"/>
  <c r="M12" i="21"/>
  <c r="M11" i="21"/>
  <c r="M10" i="21"/>
  <c r="M9" i="21"/>
  <c r="M8" i="21"/>
  <c r="M7" i="21"/>
  <c r="M6" i="21"/>
  <c r="M5" i="21"/>
  <c r="M4" i="21"/>
  <c r="M3" i="21"/>
  <c r="M2" i="21"/>
  <c r="T17" i="20" l="1"/>
  <c r="T16" i="20"/>
  <c r="T15" i="20"/>
  <c r="T14" i="20"/>
  <c r="T13" i="20"/>
  <c r="T12" i="20"/>
  <c r="S12" i="20"/>
  <c r="R12" i="20"/>
  <c r="T11" i="20"/>
  <c r="S11" i="20"/>
  <c r="R11" i="20"/>
  <c r="T10" i="20"/>
  <c r="S10" i="20"/>
  <c r="R10" i="20"/>
  <c r="T9" i="20"/>
  <c r="S9" i="20"/>
  <c r="R9" i="20"/>
  <c r="T8" i="20"/>
  <c r="S8" i="20"/>
  <c r="R8" i="20"/>
  <c r="T7" i="20"/>
  <c r="S7" i="20"/>
  <c r="R7" i="20"/>
  <c r="T6" i="20"/>
  <c r="S6" i="20"/>
  <c r="R6" i="20"/>
  <c r="T5" i="20"/>
  <c r="S5" i="20"/>
  <c r="R5" i="20"/>
  <c r="T4" i="20"/>
  <c r="S4" i="20"/>
  <c r="R4" i="20"/>
  <c r="T3" i="20"/>
  <c r="B17" i="20"/>
  <c r="B3" i="20"/>
  <c r="B5" i="20"/>
  <c r="B13" i="20"/>
  <c r="B14" i="20"/>
  <c r="B4" i="20"/>
  <c r="B7" i="20"/>
  <c r="B11" i="20"/>
  <c r="B15" i="20"/>
  <c r="B9" i="20"/>
  <c r="B10" i="20"/>
  <c r="H5" i="20" l="1"/>
  <c r="F5" i="20"/>
  <c r="M5" i="20"/>
  <c r="E5" i="20"/>
  <c r="K5" i="20"/>
  <c r="C5" i="20"/>
  <c r="G5" i="20"/>
  <c r="L5" i="20"/>
  <c r="D5" i="20"/>
  <c r="I5" i="20"/>
  <c r="J5" i="20"/>
  <c r="J13" i="20"/>
  <c r="I13" i="20"/>
  <c r="H13" i="20"/>
  <c r="K13" i="20"/>
  <c r="G13" i="20"/>
  <c r="D13" i="20"/>
  <c r="M13" i="20"/>
  <c r="C13" i="20"/>
  <c r="L13" i="20"/>
  <c r="F7" i="20"/>
  <c r="M7" i="20"/>
  <c r="E7" i="20"/>
  <c r="L7" i="20"/>
  <c r="D7" i="20"/>
  <c r="K7" i="20"/>
  <c r="C7" i="20"/>
  <c r="J7" i="20"/>
  <c r="I7" i="20"/>
  <c r="G7" i="20"/>
  <c r="H7" i="20"/>
  <c r="J11" i="20"/>
  <c r="I11" i="20"/>
  <c r="H11" i="20"/>
  <c r="G11" i="20"/>
  <c r="F11" i="20"/>
  <c r="C11" i="20"/>
  <c r="M11" i="20"/>
  <c r="E11" i="20"/>
  <c r="L11" i="20"/>
  <c r="D11" i="20"/>
  <c r="K11" i="20"/>
  <c r="K10" i="20"/>
  <c r="C10" i="20"/>
  <c r="J10" i="20"/>
  <c r="I10" i="20"/>
  <c r="H10" i="20"/>
  <c r="D10" i="20"/>
  <c r="G10" i="20"/>
  <c r="F10" i="20"/>
  <c r="M10" i="20"/>
  <c r="E10" i="20"/>
  <c r="L10" i="20"/>
  <c r="L9" i="20"/>
  <c r="D9" i="20"/>
  <c r="K9" i="20"/>
  <c r="C9" i="20"/>
  <c r="J9" i="20"/>
  <c r="I9" i="20"/>
  <c r="H9" i="20"/>
  <c r="G9" i="20"/>
  <c r="E9" i="20"/>
  <c r="F9" i="20"/>
  <c r="M9" i="20"/>
  <c r="H3" i="20"/>
  <c r="F3" i="20"/>
  <c r="M3" i="20"/>
  <c r="E3" i="20"/>
  <c r="K3" i="20"/>
  <c r="C3" i="20"/>
  <c r="L3" i="20"/>
  <c r="D3" i="20"/>
  <c r="I3" i="20"/>
  <c r="G3" i="20"/>
  <c r="J3" i="20"/>
  <c r="H15" i="20"/>
  <c r="G15" i="20"/>
  <c r="D15" i="20"/>
  <c r="I15" i="20"/>
  <c r="M15" i="20"/>
  <c r="C15" i="20"/>
  <c r="L15" i="20"/>
  <c r="K15" i="20"/>
  <c r="J15" i="20"/>
  <c r="I4" i="20"/>
  <c r="G4" i="20"/>
  <c r="F4" i="20"/>
  <c r="D4" i="20"/>
  <c r="J4" i="20"/>
  <c r="M4" i="20"/>
  <c r="E4" i="20"/>
  <c r="H4" i="20"/>
  <c r="L4" i="20"/>
  <c r="K4" i="20"/>
  <c r="C4" i="20"/>
  <c r="M14" i="20"/>
  <c r="C14" i="20"/>
  <c r="L14" i="20"/>
  <c r="K14" i="20"/>
  <c r="D14" i="20"/>
  <c r="J14" i="20"/>
  <c r="I14" i="20"/>
  <c r="H14" i="20"/>
  <c r="G14" i="20"/>
  <c r="G114" i="2"/>
  <c r="H114" i="2"/>
  <c r="J33" i="6"/>
  <c r="I23" i="6"/>
  <c r="I34" i="6" s="1"/>
  <c r="J23" i="6"/>
  <c r="J34" i="6" s="1"/>
  <c r="I22" i="6"/>
  <c r="I33" i="6" s="1"/>
  <c r="J22" i="6"/>
  <c r="I21" i="6"/>
  <c r="I32" i="6" s="1"/>
  <c r="J21" i="6"/>
  <c r="J32" i="6" s="1"/>
  <c r="I8" i="6"/>
  <c r="J8" i="6"/>
  <c r="I7" i="6"/>
  <c r="J7" i="6"/>
  <c r="I6" i="6"/>
  <c r="J6" i="6"/>
  <c r="I5" i="6"/>
  <c r="J5" i="6"/>
  <c r="I4" i="6"/>
  <c r="J4" i="6"/>
  <c r="I3" i="6"/>
  <c r="J3" i="6"/>
  <c r="G62" i="14"/>
  <c r="H62" i="14"/>
  <c r="G62" i="13"/>
  <c r="H62" i="13"/>
  <c r="G18" i="2"/>
  <c r="G19" i="2"/>
  <c r="H19" i="2"/>
  <c r="H18" i="2"/>
  <c r="B6" i="20"/>
  <c r="B12" i="20"/>
  <c r="B8" i="20"/>
  <c r="B16" i="20"/>
  <c r="H68" i="13"/>
  <c r="H70" i="13"/>
  <c r="G65" i="13"/>
  <c r="G67" i="13"/>
  <c r="H67" i="13"/>
  <c r="G64" i="13"/>
  <c r="H66" i="13"/>
  <c r="G68" i="13"/>
  <c r="H69" i="13"/>
  <c r="G69" i="13"/>
  <c r="G66" i="13"/>
  <c r="H64" i="13"/>
  <c r="G70" i="13"/>
  <c r="H65" i="13"/>
  <c r="H67" i="14"/>
  <c r="G64" i="14"/>
  <c r="H64" i="14"/>
  <c r="G70" i="14"/>
  <c r="G69" i="14"/>
  <c r="H65" i="14"/>
  <c r="H69" i="14"/>
  <c r="G68" i="14"/>
  <c r="H66" i="14"/>
  <c r="G67" i="14"/>
  <c r="G66" i="14"/>
  <c r="G65" i="14"/>
  <c r="H68" i="14"/>
  <c r="H70" i="14"/>
  <c r="I12" i="20" l="1"/>
  <c r="H12" i="20"/>
  <c r="G12" i="20"/>
  <c r="J12" i="20"/>
  <c r="F12" i="20"/>
  <c r="M12" i="20"/>
  <c r="E12" i="20"/>
  <c r="L12" i="20"/>
  <c r="D12" i="20"/>
  <c r="K12" i="20"/>
  <c r="C12" i="20"/>
  <c r="M8" i="20"/>
  <c r="E8" i="20"/>
  <c r="L8" i="20"/>
  <c r="D8" i="20"/>
  <c r="K8" i="20"/>
  <c r="C8" i="20"/>
  <c r="J8" i="20"/>
  <c r="I8" i="20"/>
  <c r="F8" i="20"/>
  <c r="H8" i="20"/>
  <c r="G8" i="20"/>
  <c r="G6" i="20"/>
  <c r="M6" i="20"/>
  <c r="E6" i="20"/>
  <c r="L6" i="20"/>
  <c r="D6" i="20"/>
  <c r="H6" i="20"/>
  <c r="K6" i="20"/>
  <c r="C6" i="20"/>
  <c r="J6" i="20"/>
  <c r="I6" i="20"/>
  <c r="F6" i="20"/>
  <c r="K16" i="20"/>
  <c r="J16" i="20"/>
  <c r="I16" i="20"/>
  <c r="H16" i="20"/>
  <c r="G16" i="20"/>
  <c r="D16" i="20"/>
  <c r="M16" i="20"/>
  <c r="C16" i="20"/>
  <c r="L16" i="20"/>
  <c r="E62" i="14"/>
  <c r="D76" i="2"/>
  <c r="D44" i="2"/>
  <c r="D125" i="2"/>
  <c r="D124" i="2"/>
  <c r="D116" i="2"/>
  <c r="D115" i="2"/>
  <c r="I62" i="14"/>
  <c r="I114" i="2"/>
  <c r="J114" i="2"/>
  <c r="K114" i="2"/>
  <c r="L114" i="2"/>
  <c r="M114" i="2"/>
  <c r="N114" i="2"/>
  <c r="O114" i="2"/>
  <c r="E114" i="2"/>
  <c r="F114" i="2"/>
  <c r="I70" i="14"/>
  <c r="E70" i="14"/>
  <c r="I66" i="14"/>
  <c r="I69" i="14"/>
  <c r="I65" i="14"/>
  <c r="I68" i="14"/>
  <c r="E66" i="14"/>
  <c r="E68" i="14"/>
  <c r="E69" i="14"/>
  <c r="I67" i="14"/>
  <c r="E67" i="14"/>
  <c r="E64" i="14"/>
  <c r="E65" i="14"/>
  <c r="I64" i="14"/>
  <c r="O62" i="14" l="1"/>
  <c r="N62" i="14"/>
  <c r="M62" i="14"/>
  <c r="L62" i="14"/>
  <c r="K62" i="14"/>
  <c r="J62" i="14"/>
  <c r="F62" i="14"/>
  <c r="O62" i="13"/>
  <c r="N62" i="13"/>
  <c r="M62" i="13"/>
  <c r="L62" i="13"/>
  <c r="K62" i="13"/>
  <c r="J62" i="13"/>
  <c r="I62" i="13"/>
  <c r="F62" i="13"/>
  <c r="E62" i="13"/>
  <c r="E68" i="13"/>
  <c r="F65" i="13"/>
  <c r="E70" i="13"/>
  <c r="F69" i="13"/>
  <c r="L69" i="13"/>
  <c r="J68" i="13"/>
  <c r="N65" i="13"/>
  <c r="E66" i="13"/>
  <c r="O70" i="13"/>
  <c r="O64" i="13"/>
  <c r="J65" i="13"/>
  <c r="J64" i="13"/>
  <c r="L67" i="13"/>
  <c r="O68" i="13"/>
  <c r="L68" i="13"/>
  <c r="N70" i="13"/>
  <c r="K66" i="13"/>
  <c r="K65" i="13"/>
  <c r="K70" i="13"/>
  <c r="E65" i="13"/>
  <c r="M64" i="13"/>
  <c r="N68" i="13"/>
  <c r="J70" i="13"/>
  <c r="N66" i="13"/>
  <c r="I66" i="13"/>
  <c r="F70" i="13"/>
  <c r="I70" i="13"/>
  <c r="K64" i="13"/>
  <c r="E64" i="13"/>
  <c r="L65" i="13"/>
  <c r="N67" i="13"/>
  <c r="O65" i="13"/>
  <c r="I65" i="13"/>
  <c r="O66" i="13"/>
  <c r="J66" i="13"/>
  <c r="F64" i="13"/>
  <c r="M68" i="13"/>
  <c r="M65" i="13"/>
  <c r="I68" i="13"/>
  <c r="L64" i="13"/>
  <c r="L66" i="13"/>
  <c r="N64" i="13"/>
  <c r="F66" i="13"/>
  <c r="N69" i="13"/>
  <c r="K67" i="13"/>
  <c r="M66" i="13"/>
  <c r="L70" i="13"/>
  <c r="F68" i="13"/>
  <c r="K69" i="13"/>
  <c r="M67" i="13"/>
  <c r="K68" i="13"/>
  <c r="I69" i="13"/>
  <c r="E69" i="13"/>
  <c r="O67" i="13"/>
  <c r="F67" i="13"/>
  <c r="M70" i="13"/>
  <c r="J67" i="13"/>
  <c r="J69" i="13"/>
  <c r="E67" i="13"/>
  <c r="I64" i="13"/>
  <c r="I67" i="13"/>
  <c r="O69" i="13"/>
  <c r="M69" i="13"/>
  <c r="N69" i="14"/>
  <c r="F67" i="14"/>
  <c r="K68" i="14"/>
  <c r="L70" i="14"/>
  <c r="L66" i="14"/>
  <c r="K69" i="14"/>
  <c r="O69" i="14"/>
  <c r="M66" i="14"/>
  <c r="M70" i="14"/>
  <c r="J67" i="14"/>
  <c r="N68" i="14"/>
  <c r="F66" i="14"/>
  <c r="K65" i="14"/>
  <c r="O65" i="14"/>
  <c r="O66" i="14"/>
  <c r="M65" i="14"/>
  <c r="J69" i="14"/>
  <c r="J70" i="14"/>
  <c r="O70" i="14"/>
  <c r="F68" i="14"/>
  <c r="L68" i="14"/>
  <c r="K67" i="14"/>
  <c r="J64" i="14"/>
  <c r="O68" i="14"/>
  <c r="L65" i="14"/>
  <c r="F65" i="14"/>
  <c r="N70" i="14"/>
  <c r="M68" i="14"/>
  <c r="L67" i="14"/>
  <c r="J66" i="14"/>
  <c r="M67" i="14"/>
  <c r="N66" i="14"/>
  <c r="M69" i="14"/>
  <c r="F70" i="14"/>
  <c r="M64" i="14"/>
  <c r="O64" i="14"/>
  <c r="K64" i="14"/>
  <c r="J65" i="14"/>
  <c r="F64" i="14"/>
  <c r="N64" i="14"/>
  <c r="N67" i="14"/>
  <c r="K70" i="14"/>
  <c r="F69" i="14"/>
  <c r="J68" i="14"/>
  <c r="L64" i="14"/>
  <c r="N65" i="14"/>
  <c r="O67" i="14"/>
  <c r="L69" i="14"/>
  <c r="K66" i="14"/>
  <c r="Q23" i="6" l="1"/>
  <c r="Q34" i="6" s="1"/>
  <c r="P23" i="6"/>
  <c r="P34" i="6" s="1"/>
  <c r="O23" i="6"/>
  <c r="O34" i="6" s="1"/>
  <c r="N23" i="6"/>
  <c r="N34" i="6" s="1"/>
  <c r="M23" i="6"/>
  <c r="M34" i="6" s="1"/>
  <c r="L23" i="6"/>
  <c r="L34" i="6" s="1"/>
  <c r="K23" i="6"/>
  <c r="K34" i="6" s="1"/>
  <c r="H23" i="6"/>
  <c r="H34" i="6" s="1"/>
  <c r="G23" i="6"/>
  <c r="G34" i="6" s="1"/>
  <c r="Q22" i="6"/>
  <c r="Q33" i="6" s="1"/>
  <c r="P22" i="6"/>
  <c r="P33" i="6" s="1"/>
  <c r="O22" i="6"/>
  <c r="O33" i="6" s="1"/>
  <c r="N22" i="6"/>
  <c r="N33" i="6" s="1"/>
  <c r="M22" i="6"/>
  <c r="M33" i="6" s="1"/>
  <c r="L22" i="6"/>
  <c r="L33" i="6" s="1"/>
  <c r="K22" i="6"/>
  <c r="K33" i="6" s="1"/>
  <c r="H22" i="6"/>
  <c r="H33" i="6" s="1"/>
  <c r="G22" i="6"/>
  <c r="G33" i="6" s="1"/>
  <c r="Q21" i="6"/>
  <c r="Q32" i="6" s="1"/>
  <c r="P21" i="6"/>
  <c r="P32" i="6" s="1"/>
  <c r="O21" i="6"/>
  <c r="O32" i="6" s="1"/>
  <c r="N21" i="6"/>
  <c r="N32" i="6" s="1"/>
  <c r="M21" i="6"/>
  <c r="M32" i="6" s="1"/>
  <c r="L21" i="6"/>
  <c r="L32" i="6" s="1"/>
  <c r="K21" i="6"/>
  <c r="K32" i="6" s="1"/>
  <c r="H21" i="6"/>
  <c r="H32" i="6" s="1"/>
  <c r="G21" i="6"/>
  <c r="G32" i="6" s="1"/>
  <c r="Q8" i="6"/>
  <c r="P8" i="6"/>
  <c r="O8" i="6"/>
  <c r="N8" i="6"/>
  <c r="M8" i="6"/>
  <c r="L8" i="6"/>
  <c r="K8" i="6"/>
  <c r="H8" i="6"/>
  <c r="G8" i="6"/>
  <c r="Q7" i="6"/>
  <c r="P7" i="6"/>
  <c r="O7" i="6"/>
  <c r="N7" i="6"/>
  <c r="M7" i="6"/>
  <c r="L7" i="6"/>
  <c r="K7" i="6"/>
  <c r="H7" i="6"/>
  <c r="G7" i="6"/>
  <c r="Q6" i="6"/>
  <c r="P6" i="6"/>
  <c r="O6" i="6"/>
  <c r="N6" i="6"/>
  <c r="M6" i="6"/>
  <c r="L6" i="6"/>
  <c r="K6" i="6"/>
  <c r="H6" i="6"/>
  <c r="G6" i="6"/>
  <c r="Q5" i="6"/>
  <c r="P5" i="6"/>
  <c r="O5" i="6"/>
  <c r="N5" i="6"/>
  <c r="M5" i="6"/>
  <c r="L5" i="6"/>
  <c r="K5" i="6"/>
  <c r="H5" i="6"/>
  <c r="G5" i="6"/>
  <c r="Q4" i="6"/>
  <c r="P4" i="6"/>
  <c r="O4" i="6"/>
  <c r="N4" i="6"/>
  <c r="M4" i="6"/>
  <c r="L4" i="6"/>
  <c r="K4" i="6"/>
  <c r="H4" i="6"/>
  <c r="G4" i="6"/>
  <c r="Q3" i="6"/>
  <c r="P3" i="6"/>
  <c r="O3" i="6"/>
  <c r="N3" i="6"/>
  <c r="M3" i="6"/>
  <c r="L3" i="6"/>
  <c r="K3" i="6"/>
  <c r="H3" i="6"/>
  <c r="G3" i="6"/>
  <c r="C63" i="13"/>
  <c r="C62" i="13"/>
  <c r="B63" i="13"/>
  <c r="B62" i="13"/>
  <c r="B62" i="14"/>
  <c r="C64" i="14"/>
  <c r="C62" i="14"/>
  <c r="C63" i="14"/>
  <c r="B63" i="14"/>
  <c r="D94" i="14" l="1"/>
  <c r="D94" i="13"/>
  <c r="D92" i="14"/>
  <c r="D91" i="14"/>
  <c r="D92" i="13"/>
  <c r="D91" i="13"/>
  <c r="D149" i="2" l="1"/>
  <c r="D150" i="2"/>
  <c r="D155" i="2"/>
  <c r="D156" i="2"/>
  <c r="D157" i="2"/>
  <c r="D158" i="2"/>
  <c r="D53" i="14"/>
  <c r="D52" i="14"/>
  <c r="C140" i="14"/>
  <c r="C49" i="14"/>
  <c r="D136" i="2" l="1"/>
  <c r="D131" i="2"/>
  <c r="D121" i="2"/>
  <c r="D113" i="2"/>
  <c r="D112" i="2"/>
  <c r="D104" i="2"/>
  <c r="D105" i="2"/>
  <c r="D85" i="2"/>
  <c r="D81" i="2"/>
  <c r="D77" i="2"/>
  <c r="D45" i="2"/>
  <c r="D43" i="2"/>
  <c r="D61" i="2"/>
  <c r="D36" i="2"/>
  <c r="D35" i="2"/>
  <c r="D29" i="2"/>
  <c r="D28" i="2"/>
  <c r="D27" i="2"/>
  <c r="D26" i="2"/>
  <c r="D38" i="2"/>
  <c r="D39" i="2"/>
  <c r="D40" i="2"/>
  <c r="D24" i="2"/>
  <c r="D22" i="2"/>
  <c r="D23" i="2"/>
  <c r="D21" i="2"/>
  <c r="D9" i="2"/>
  <c r="E10" i="2"/>
  <c r="F10" i="2"/>
  <c r="I10" i="2"/>
  <c r="J10" i="2"/>
  <c r="K10" i="2"/>
  <c r="L10" i="2"/>
  <c r="M10" i="2"/>
  <c r="N10" i="2"/>
  <c r="O10" i="2"/>
  <c r="D4" i="13" l="1"/>
  <c r="D4" i="14"/>
  <c r="D4" i="2"/>
  <c r="B6" i="6"/>
  <c r="B7" i="6"/>
  <c r="N18" i="2"/>
  <c r="O19" i="2"/>
  <c r="F18" i="2"/>
  <c r="O18" i="2"/>
  <c r="I19" i="2"/>
  <c r="N19" i="2"/>
  <c r="K19" i="2"/>
  <c r="J18" i="2"/>
  <c r="I18" i="2"/>
  <c r="E19" i="2"/>
  <c r="M19" i="2"/>
  <c r="M18" i="2"/>
  <c r="L19" i="2"/>
  <c r="J19" i="2"/>
  <c r="L18" i="2"/>
  <c r="F19" i="2"/>
  <c r="K18" i="2"/>
  <c r="E18" i="2"/>
  <c r="D5" i="2" l="1"/>
  <c r="D10" i="2" s="1"/>
  <c r="B301" i="13"/>
  <c r="B104" i="13"/>
  <c r="B296" i="13"/>
  <c r="B139" i="13"/>
  <c r="B56" i="13"/>
  <c r="B270" i="13"/>
  <c r="C300" i="13"/>
  <c r="B190" i="13"/>
  <c r="B127" i="13"/>
  <c r="B37" i="13"/>
  <c r="C185" i="13"/>
  <c r="C48" i="13"/>
  <c r="C266" i="13"/>
  <c r="B39" i="13"/>
  <c r="B194" i="13"/>
  <c r="C199" i="13"/>
  <c r="B235" i="13"/>
  <c r="C212" i="13"/>
  <c r="B239" i="13"/>
  <c r="B120" i="13"/>
  <c r="C97" i="13"/>
  <c r="C235" i="13"/>
  <c r="C247" i="13"/>
  <c r="C181" i="13"/>
  <c r="B126" i="13"/>
  <c r="C23" i="13"/>
  <c r="C246" i="13"/>
  <c r="B53" i="13"/>
  <c r="C93" i="13"/>
  <c r="B264" i="13"/>
  <c r="B69" i="13"/>
  <c r="C186" i="13"/>
  <c r="C17" i="13"/>
  <c r="C175" i="13"/>
  <c r="C68" i="13"/>
  <c r="C188" i="13"/>
  <c r="C255" i="13"/>
  <c r="B132" i="13"/>
  <c r="C111" i="13"/>
  <c r="B286" i="13"/>
  <c r="B137" i="13"/>
  <c r="C53" i="13"/>
  <c r="C135" i="13"/>
  <c r="C264" i="13"/>
  <c r="C280" i="13"/>
  <c r="B182" i="13"/>
  <c r="C142" i="13"/>
  <c r="B59" i="13"/>
  <c r="B243" i="13"/>
  <c r="C40" i="13"/>
  <c r="B227" i="13"/>
  <c r="C102" i="13"/>
  <c r="C268" i="13"/>
  <c r="B261" i="13"/>
  <c r="C196" i="13"/>
  <c r="C158" i="13"/>
  <c r="C171" i="13"/>
  <c r="C274" i="13"/>
  <c r="B160" i="13"/>
  <c r="C269" i="13"/>
  <c r="C113" i="13"/>
  <c r="C67" i="13"/>
  <c r="C252" i="13"/>
  <c r="C70" i="13"/>
  <c r="B75" i="13"/>
  <c r="C190" i="13"/>
  <c r="C265" i="13"/>
  <c r="B54" i="13"/>
  <c r="C37" i="13"/>
  <c r="B189" i="13"/>
  <c r="C160" i="13"/>
  <c r="C273" i="13"/>
  <c r="C15" i="13"/>
  <c r="B159" i="13"/>
  <c r="C214" i="13"/>
  <c r="C302" i="13"/>
  <c r="C195" i="13"/>
  <c r="B16" i="13"/>
  <c r="B128" i="13"/>
  <c r="C99" i="13"/>
  <c r="B280" i="13"/>
  <c r="C258" i="13"/>
  <c r="C108" i="13"/>
  <c r="B221" i="13"/>
  <c r="C16" i="13"/>
  <c r="C125" i="13"/>
  <c r="B216" i="13"/>
  <c r="C146" i="13"/>
  <c r="C210" i="13"/>
  <c r="B85" i="13"/>
  <c r="C206" i="13"/>
  <c r="C137" i="13"/>
  <c r="B165" i="13"/>
  <c r="B38" i="13"/>
  <c r="C301" i="13"/>
  <c r="B222" i="13"/>
  <c r="C100" i="13"/>
  <c r="B157" i="13"/>
  <c r="C245" i="13"/>
  <c r="B65" i="13"/>
  <c r="B285" i="13"/>
  <c r="C240" i="13"/>
  <c r="C88" i="13"/>
  <c r="B57" i="13"/>
  <c r="B115" i="13"/>
  <c r="B277" i="13"/>
  <c r="B224" i="13"/>
  <c r="C163" i="13"/>
  <c r="B228" i="13"/>
  <c r="B173" i="13"/>
  <c r="C38" i="13"/>
  <c r="C127" i="13"/>
  <c r="C207" i="13"/>
  <c r="B276" i="13"/>
  <c r="C115" i="13"/>
  <c r="C208" i="13"/>
  <c r="B47" i="13"/>
  <c r="C91" i="13"/>
  <c r="C298" i="13"/>
  <c r="B97" i="13"/>
  <c r="B245" i="13"/>
  <c r="B12" i="13"/>
  <c r="B244" i="13"/>
  <c r="C85" i="13"/>
  <c r="C288" i="13"/>
  <c r="C232" i="13"/>
  <c r="B31" i="13"/>
  <c r="B259" i="13"/>
  <c r="C123" i="13"/>
  <c r="B29" i="13"/>
  <c r="C28" i="13"/>
  <c r="B201" i="13"/>
  <c r="C157" i="13"/>
  <c r="C215" i="13"/>
  <c r="B144" i="13"/>
  <c r="C18" i="13"/>
  <c r="C101" i="13"/>
  <c r="B205" i="13"/>
  <c r="C35" i="13"/>
  <c r="B230" i="13"/>
  <c r="B274" i="13"/>
  <c r="C259" i="13"/>
  <c r="C249" i="13"/>
  <c r="C219" i="13"/>
  <c r="C80" i="13"/>
  <c r="B184" i="13"/>
  <c r="C201" i="13"/>
  <c r="C251" i="13"/>
  <c r="C283" i="13"/>
  <c r="C297" i="13"/>
  <c r="B192" i="13"/>
  <c r="B289" i="13"/>
  <c r="B91" i="13"/>
  <c r="C241" i="13"/>
  <c r="B156" i="13"/>
  <c r="C293" i="13"/>
  <c r="B253" i="13"/>
  <c r="C141" i="13"/>
  <c r="B254" i="13"/>
  <c r="B163" i="13"/>
  <c r="B43" i="13"/>
  <c r="C198" i="13"/>
  <c r="C279" i="13"/>
  <c r="B284" i="13"/>
  <c r="B79" i="13"/>
  <c r="C289" i="13"/>
  <c r="B169" i="13"/>
  <c r="B302" i="13"/>
  <c r="B154" i="13"/>
  <c r="C218" i="13"/>
  <c r="C72" i="13"/>
  <c r="B170" i="13"/>
  <c r="B247" i="13"/>
  <c r="B44" i="13"/>
  <c r="B162" i="13"/>
  <c r="B113" i="13"/>
  <c r="B256" i="13"/>
  <c r="B229" i="13"/>
  <c r="B297" i="13"/>
  <c r="C132" i="13"/>
  <c r="C77" i="13"/>
  <c r="B17" i="13"/>
  <c r="B111" i="13"/>
  <c r="B271" i="13"/>
  <c r="B134" i="13"/>
  <c r="C112" i="13"/>
  <c r="C244" i="13"/>
  <c r="B142" i="13"/>
  <c r="C25" i="13"/>
  <c r="B112" i="13"/>
  <c r="C74" i="13"/>
  <c r="B96" i="13"/>
  <c r="C271" i="13"/>
  <c r="B183" i="13"/>
  <c r="C120" i="13"/>
  <c r="C13" i="13"/>
  <c r="B273" i="13"/>
  <c r="C51" i="13"/>
  <c r="B41" i="13"/>
  <c r="C257" i="13"/>
  <c r="B263" i="13"/>
  <c r="C295" i="13"/>
  <c r="C256" i="13"/>
  <c r="B114" i="13"/>
  <c r="C149" i="13"/>
  <c r="C69" i="13"/>
  <c r="C178" i="13"/>
  <c r="B23" i="13"/>
  <c r="B219" i="13"/>
  <c r="B36" i="13"/>
  <c r="C213" i="13"/>
  <c r="C220" i="13"/>
  <c r="C228" i="13"/>
  <c r="C248" i="13"/>
  <c r="B177" i="13"/>
  <c r="C177" i="13"/>
  <c r="C58" i="13"/>
  <c r="C151" i="13"/>
  <c r="C24" i="13"/>
  <c r="B164" i="13"/>
  <c r="B179" i="13"/>
  <c r="C33" i="13"/>
  <c r="C39" i="13"/>
  <c r="B147" i="13"/>
  <c r="B67" i="13"/>
  <c r="C285" i="13"/>
  <c r="C19" i="13"/>
  <c r="C34" i="13"/>
  <c r="B136" i="13"/>
  <c r="C209" i="13"/>
  <c r="C237" i="13"/>
  <c r="C104" i="13"/>
  <c r="B99" i="13"/>
  <c r="B86" i="13"/>
  <c r="B129" i="13"/>
  <c r="C86" i="13"/>
  <c r="B141" i="13"/>
  <c r="B207" i="13"/>
  <c r="B255" i="13"/>
  <c r="C75" i="13"/>
  <c r="B51" i="13"/>
  <c r="B106" i="13"/>
  <c r="B84" i="13"/>
  <c r="C57" i="13"/>
  <c r="B206" i="13"/>
  <c r="C66" i="13"/>
  <c r="C87" i="13"/>
  <c r="C234" i="13"/>
  <c r="C193" i="13"/>
  <c r="B300" i="13"/>
  <c r="C107" i="13"/>
  <c r="C78" i="13"/>
  <c r="B70" i="13"/>
  <c r="B138" i="13"/>
  <c r="B33" i="13"/>
  <c r="C170" i="13"/>
  <c r="C116" i="13"/>
  <c r="C45" i="13"/>
  <c r="C216" i="13"/>
  <c r="B298" i="13"/>
  <c r="B34" i="13"/>
  <c r="C172" i="13"/>
  <c r="B92" i="13"/>
  <c r="B281" i="13"/>
  <c r="B266" i="13"/>
  <c r="C230" i="13"/>
  <c r="C118" i="13"/>
  <c r="B258" i="13"/>
  <c r="B48" i="13"/>
  <c r="B13" i="13"/>
  <c r="C106" i="13"/>
  <c r="B152" i="13"/>
  <c r="B10" i="13"/>
  <c r="B88" i="13"/>
  <c r="B26" i="13"/>
  <c r="B241" i="13"/>
  <c r="C10" i="13"/>
  <c r="B83" i="13"/>
  <c r="C187" i="13"/>
  <c r="B71" i="13"/>
  <c r="C154" i="13"/>
  <c r="B161" i="13"/>
  <c r="B186" i="13"/>
  <c r="B20" i="13"/>
  <c r="B93" i="13"/>
  <c r="C291" i="13"/>
  <c r="B291" i="13"/>
  <c r="B145" i="13"/>
  <c r="B66" i="13"/>
  <c r="B288" i="13"/>
  <c r="B153" i="13"/>
  <c r="B197" i="13"/>
  <c r="B109" i="13"/>
  <c r="C194" i="13"/>
  <c r="B196" i="13"/>
  <c r="B167" i="13"/>
  <c r="C103" i="13"/>
  <c r="C61" i="13"/>
  <c r="B225" i="13"/>
  <c r="C128" i="13"/>
  <c r="B238" i="13"/>
  <c r="C126" i="13"/>
  <c r="B232" i="13"/>
  <c r="C21" i="13"/>
  <c r="B268" i="13"/>
  <c r="C121" i="13"/>
  <c r="B188" i="13"/>
  <c r="B55" i="13"/>
  <c r="C260" i="13"/>
  <c r="C11" i="13"/>
  <c r="C59" i="13"/>
  <c r="B199" i="13"/>
  <c r="C225" i="13"/>
  <c r="B101" i="13"/>
  <c r="C166" i="13"/>
  <c r="B50" i="13"/>
  <c r="B292" i="13"/>
  <c r="C82" i="13"/>
  <c r="C227" i="13"/>
  <c r="C144" i="13"/>
  <c r="C263" i="13"/>
  <c r="B133" i="13"/>
  <c r="C275" i="13"/>
  <c r="B117" i="13"/>
  <c r="B195" i="13"/>
  <c r="C143" i="13"/>
  <c r="C84" i="13"/>
  <c r="C191" i="13"/>
  <c r="C174" i="13"/>
  <c r="C150" i="13"/>
  <c r="C299" i="13"/>
  <c r="C54" i="13"/>
  <c r="C296" i="13"/>
  <c r="B214" i="13"/>
  <c r="B121" i="13"/>
  <c r="B269" i="13"/>
  <c r="C46" i="13"/>
  <c r="B168" i="13"/>
  <c r="B233" i="13"/>
  <c r="C217" i="13"/>
  <c r="C26" i="13"/>
  <c r="C165" i="13"/>
  <c r="B89" i="13"/>
  <c r="C79" i="13"/>
  <c r="B267" i="13"/>
  <c r="C140" i="13"/>
  <c r="B124" i="13"/>
  <c r="C76" i="13"/>
  <c r="C117" i="13"/>
  <c r="C122" i="13"/>
  <c r="B103" i="13"/>
  <c r="B283" i="13"/>
  <c r="B49" i="13"/>
  <c r="B151" i="13"/>
  <c r="B278" i="13"/>
  <c r="C98" i="13"/>
  <c r="B146" i="13"/>
  <c r="B28" i="13"/>
  <c r="C155" i="13"/>
  <c r="B61" i="13"/>
  <c r="B58" i="13"/>
  <c r="C47" i="13"/>
  <c r="B181" i="13"/>
  <c r="B82" i="13"/>
  <c r="C89" i="13"/>
  <c r="C119" i="13"/>
  <c r="B64" i="13"/>
  <c r="B234" i="13"/>
  <c r="C81" i="13"/>
  <c r="C223" i="13"/>
  <c r="B265" i="13"/>
  <c r="B77" i="13"/>
  <c r="B130" i="13"/>
  <c r="C31" i="13"/>
  <c r="C229" i="13"/>
  <c r="B107" i="13"/>
  <c r="C236" i="13"/>
  <c r="C267" i="13"/>
  <c r="B287" i="13"/>
  <c r="C43" i="13"/>
  <c r="C50" i="13"/>
  <c r="C44" i="13"/>
  <c r="C110" i="13"/>
  <c r="C287" i="13"/>
  <c r="C90" i="13"/>
  <c r="B131" i="13"/>
  <c r="C168" i="13"/>
  <c r="B193" i="13"/>
  <c r="C278" i="13"/>
  <c r="C36" i="13"/>
  <c r="C114" i="13"/>
  <c r="B45" i="13"/>
  <c r="B251" i="13"/>
  <c r="C197" i="13"/>
  <c r="B122" i="13"/>
  <c r="B294" i="13"/>
  <c r="B252" i="13"/>
  <c r="C238" i="13"/>
  <c r="B98" i="13"/>
  <c r="B211" i="13"/>
  <c r="C262" i="13"/>
  <c r="B94" i="13"/>
  <c r="B95" i="13"/>
  <c r="B248" i="13"/>
  <c r="C83" i="13"/>
  <c r="C156" i="13"/>
  <c r="B203" i="13"/>
  <c r="B290" i="13"/>
  <c r="C55" i="13"/>
  <c r="B191" i="13"/>
  <c r="B242" i="13"/>
  <c r="B198" i="13"/>
  <c r="B18" i="13"/>
  <c r="B143" i="13"/>
  <c r="B46" i="13"/>
  <c r="B218" i="13"/>
  <c r="C94" i="13"/>
  <c r="C254" i="13"/>
  <c r="B52" i="13"/>
  <c r="B81" i="13"/>
  <c r="B125" i="13"/>
  <c r="C164" i="13"/>
  <c r="B149" i="13"/>
  <c r="C205" i="13"/>
  <c r="C29" i="13"/>
  <c r="C277" i="13"/>
  <c r="B35" i="13"/>
  <c r="B174" i="13"/>
  <c r="C180" i="13"/>
  <c r="C64" i="13"/>
  <c r="B175" i="13"/>
  <c r="B217" i="13"/>
  <c r="B236" i="13"/>
  <c r="C270" i="13"/>
  <c r="B148" i="13"/>
  <c r="C200" i="13"/>
  <c r="B260" i="13"/>
  <c r="B215" i="13"/>
  <c r="B293" i="13"/>
  <c r="C292" i="13"/>
  <c r="C60" i="13"/>
  <c r="B74" i="13"/>
  <c r="B68" i="13"/>
  <c r="B275" i="13"/>
  <c r="B123" i="13"/>
  <c r="B172" i="13"/>
  <c r="C147" i="13"/>
  <c r="C145" i="13"/>
  <c r="B110" i="13"/>
  <c r="B21" i="13"/>
  <c r="C95" i="13"/>
  <c r="B102" i="13"/>
  <c r="B246" i="13"/>
  <c r="C182" i="13"/>
  <c r="B257" i="13"/>
  <c r="C22" i="13"/>
  <c r="C167" i="13"/>
  <c r="B108" i="13"/>
  <c r="C52" i="13"/>
  <c r="B185" i="13"/>
  <c r="B119" i="13"/>
  <c r="C14" i="13"/>
  <c r="C96" i="13"/>
  <c r="B212" i="13"/>
  <c r="B116" i="13"/>
  <c r="C233" i="13"/>
  <c r="C129" i="13"/>
  <c r="C56" i="13"/>
  <c r="B25" i="13"/>
  <c r="B105" i="13"/>
  <c r="C159" i="13"/>
  <c r="C136" i="13"/>
  <c r="C226" i="13"/>
  <c r="B210" i="13"/>
  <c r="B32" i="13"/>
  <c r="B150" i="13"/>
  <c r="B220" i="13"/>
  <c r="B27" i="13"/>
  <c r="C243" i="13"/>
  <c r="B295" i="13"/>
  <c r="C224" i="13"/>
  <c r="C73" i="13"/>
  <c r="C105" i="13"/>
  <c r="B100" i="13"/>
  <c r="C294" i="13"/>
  <c r="B171" i="13"/>
  <c r="C49" i="13"/>
  <c r="B24" i="13"/>
  <c r="B42" i="13"/>
  <c r="C42" i="13"/>
  <c r="C282" i="13"/>
  <c r="C173" i="13"/>
  <c r="B282" i="13"/>
  <c r="B250" i="13"/>
  <c r="C131" i="13"/>
  <c r="C204" i="13"/>
  <c r="B178" i="13"/>
  <c r="C183" i="13"/>
  <c r="C179" i="13"/>
  <c r="B176" i="13"/>
  <c r="B299" i="13"/>
  <c r="B80" i="13"/>
  <c r="C153" i="13"/>
  <c r="C134" i="13"/>
  <c r="B14" i="13"/>
  <c r="B76" i="13"/>
  <c r="C92" i="13"/>
  <c r="B155" i="13"/>
  <c r="B166" i="13"/>
  <c r="B187" i="13"/>
  <c r="B249" i="13"/>
  <c r="C221" i="13"/>
  <c r="C138" i="13"/>
  <c r="B158" i="13"/>
  <c r="C290" i="13"/>
  <c r="C109" i="13"/>
  <c r="B118" i="13"/>
  <c r="B213" i="13"/>
  <c r="B90" i="13"/>
  <c r="B78" i="13"/>
  <c r="B15" i="13"/>
  <c r="B40" i="13"/>
  <c r="C231" i="13"/>
  <c r="C130" i="13"/>
  <c r="C192" i="13"/>
  <c r="B272" i="13"/>
  <c r="C139" i="13"/>
  <c r="B19" i="13"/>
  <c r="C12" i="13"/>
  <c r="B135" i="13"/>
  <c r="C32" i="13"/>
  <c r="C253" i="13"/>
  <c r="B72" i="13"/>
  <c r="C184" i="13"/>
  <c r="B73" i="13"/>
  <c r="B204" i="13"/>
  <c r="C30" i="13"/>
  <c r="B200" i="13"/>
  <c r="B140" i="13"/>
  <c r="C250" i="13"/>
  <c r="C202" i="13"/>
  <c r="C276" i="13"/>
  <c r="C65" i="13"/>
  <c r="B226" i="13"/>
  <c r="C169" i="13"/>
  <c r="B30" i="13"/>
  <c r="C71" i="13"/>
  <c r="B240" i="13"/>
  <c r="C124" i="13"/>
  <c r="C41" i="13"/>
  <c r="C222" i="13"/>
  <c r="B180" i="13"/>
  <c r="C161" i="13"/>
  <c r="C239" i="13"/>
  <c r="B237" i="13"/>
  <c r="C286" i="13"/>
  <c r="C27" i="13"/>
  <c r="C211" i="13"/>
  <c r="B60" i="13"/>
  <c r="C281" i="13"/>
  <c r="C242" i="13"/>
  <c r="B279" i="13"/>
  <c r="C152" i="13"/>
  <c r="C133" i="13"/>
  <c r="C148" i="13"/>
  <c r="B262" i="13"/>
  <c r="C272" i="13"/>
  <c r="B231" i="13"/>
  <c r="B223" i="13"/>
  <c r="B202" i="13"/>
  <c r="B209" i="13"/>
  <c r="C162" i="13"/>
  <c r="B208" i="13"/>
  <c r="C189" i="13"/>
  <c r="B22" i="13"/>
  <c r="C20" i="13"/>
  <c r="B11" i="13"/>
  <c r="B87" i="13"/>
  <c r="C203" i="13"/>
  <c r="C261" i="13"/>
  <c r="C284" i="13"/>
  <c r="C176" i="13"/>
  <c r="C262" i="14"/>
  <c r="C258" i="14"/>
  <c r="B162" i="14"/>
  <c r="C18" i="14"/>
  <c r="C111" i="14"/>
  <c r="C237" i="14"/>
  <c r="B293" i="14"/>
  <c r="C209" i="14"/>
  <c r="C99" i="14"/>
  <c r="B281" i="14"/>
  <c r="C266" i="14"/>
  <c r="C184" i="14"/>
  <c r="C207" i="14"/>
  <c r="C121" i="14"/>
  <c r="B218" i="14"/>
  <c r="B152" i="14"/>
  <c r="C60" i="14"/>
  <c r="C293" i="14"/>
  <c r="C136" i="14"/>
  <c r="C16" i="14"/>
  <c r="B137" i="14"/>
  <c r="C290" i="14"/>
  <c r="C92" i="14"/>
  <c r="B71" i="14"/>
  <c r="B279" i="14"/>
  <c r="B27" i="14"/>
  <c r="B197" i="14"/>
  <c r="C284" i="14"/>
  <c r="B167" i="14"/>
  <c r="C73" i="14"/>
  <c r="C212" i="14"/>
  <c r="C280" i="14"/>
  <c r="C166" i="14"/>
  <c r="B241" i="14"/>
  <c r="C109" i="14"/>
  <c r="B302" i="14"/>
  <c r="B115" i="14"/>
  <c r="C197" i="14"/>
  <c r="C14" i="14"/>
  <c r="C225" i="14"/>
  <c r="B20" i="14"/>
  <c r="B253" i="14"/>
  <c r="B288" i="14"/>
  <c r="C13" i="14"/>
  <c r="C250" i="14"/>
  <c r="C298" i="14"/>
  <c r="C248" i="14"/>
  <c r="B252" i="14"/>
  <c r="B138" i="14"/>
  <c r="C174" i="14"/>
  <c r="B148" i="14"/>
  <c r="B266" i="14"/>
  <c r="B232" i="14"/>
  <c r="C56" i="14"/>
  <c r="C10" i="14"/>
  <c r="C271" i="14"/>
  <c r="C205" i="14"/>
  <c r="C82" i="14"/>
  <c r="C87" i="14"/>
  <c r="B172" i="14"/>
  <c r="B236" i="14"/>
  <c r="B35" i="14"/>
  <c r="C122" i="14"/>
  <c r="B248" i="14"/>
  <c r="C129" i="14"/>
  <c r="C22" i="14"/>
  <c r="C243" i="14"/>
  <c r="B105" i="14"/>
  <c r="C151" i="14"/>
  <c r="C246" i="14"/>
  <c r="B200" i="14"/>
  <c r="B265" i="14"/>
  <c r="B222" i="14"/>
  <c r="C164" i="14"/>
  <c r="C74" i="14"/>
  <c r="B91" i="14"/>
  <c r="B21" i="14"/>
  <c r="B269" i="14"/>
  <c r="B191" i="14"/>
  <c r="B225" i="14"/>
  <c r="B243" i="14"/>
  <c r="C192" i="14"/>
  <c r="C34" i="14"/>
  <c r="B61" i="14"/>
  <c r="C236" i="14"/>
  <c r="C241" i="14"/>
  <c r="C126" i="14"/>
  <c r="C194" i="14"/>
  <c r="C114" i="14"/>
  <c r="B297" i="14"/>
  <c r="C172" i="14"/>
  <c r="B283" i="14"/>
  <c r="B289" i="14"/>
  <c r="C75" i="14"/>
  <c r="C165" i="14"/>
  <c r="C259" i="14"/>
  <c r="B10" i="14"/>
  <c r="B42" i="14"/>
  <c r="C277" i="14"/>
  <c r="B65" i="14"/>
  <c r="C286" i="14"/>
  <c r="C108" i="14"/>
  <c r="B117" i="14"/>
  <c r="B50" i="14"/>
  <c r="B96" i="14"/>
  <c r="B104" i="14"/>
  <c r="B52" i="14"/>
  <c r="B113" i="14"/>
  <c r="B81" i="14"/>
  <c r="B199" i="14"/>
  <c r="B75" i="14"/>
  <c r="B106" i="14"/>
  <c r="C85" i="14"/>
  <c r="B11" i="14"/>
  <c r="B217" i="14"/>
  <c r="C76" i="14"/>
  <c r="B244" i="14"/>
  <c r="C224" i="14"/>
  <c r="B224" i="14"/>
  <c r="C40" i="14"/>
  <c r="C125" i="14"/>
  <c r="B144" i="14"/>
  <c r="C147" i="14"/>
  <c r="C264" i="14"/>
  <c r="C233" i="14"/>
  <c r="B38" i="14"/>
  <c r="B67" i="14"/>
  <c r="B194" i="14"/>
  <c r="C273" i="14"/>
  <c r="C202" i="14"/>
  <c r="B64" i="14"/>
  <c r="B109" i="14"/>
  <c r="C146" i="14"/>
  <c r="B33" i="14"/>
  <c r="C157" i="14"/>
  <c r="B168" i="14"/>
  <c r="C281" i="14"/>
  <c r="C117" i="14"/>
  <c r="B285" i="14"/>
  <c r="C253" i="14"/>
  <c r="B48" i="14"/>
  <c r="B70" i="14"/>
  <c r="C221" i="14"/>
  <c r="C260" i="14"/>
  <c r="B56" i="14"/>
  <c r="C110" i="14"/>
  <c r="C95" i="14"/>
  <c r="B163" i="14"/>
  <c r="C222" i="14"/>
  <c r="C161" i="14"/>
  <c r="C11" i="14"/>
  <c r="B175" i="14"/>
  <c r="C255" i="14"/>
  <c r="B36" i="14"/>
  <c r="C178" i="14"/>
  <c r="C188" i="14"/>
  <c r="B226" i="14"/>
  <c r="C41" i="14"/>
  <c r="B132" i="14"/>
  <c r="B128" i="14"/>
  <c r="B189" i="14"/>
  <c r="C39" i="14"/>
  <c r="C72" i="14"/>
  <c r="C26" i="14"/>
  <c r="B290" i="14"/>
  <c r="B143" i="14"/>
  <c r="C230" i="14"/>
  <c r="B114" i="14"/>
  <c r="C52" i="14"/>
  <c r="C77" i="14"/>
  <c r="B184" i="14"/>
  <c r="B282" i="14"/>
  <c r="B83" i="14"/>
  <c r="C226" i="14"/>
  <c r="C294" i="14"/>
  <c r="C17" i="14"/>
  <c r="C301" i="14"/>
  <c r="B300" i="14"/>
  <c r="C103" i="14"/>
  <c r="C206" i="14"/>
  <c r="C116" i="14"/>
  <c r="B118" i="14"/>
  <c r="B270" i="14"/>
  <c r="B286" i="14"/>
  <c r="C94" i="14"/>
  <c r="B121" i="14"/>
  <c r="B296" i="14"/>
  <c r="B39" i="14"/>
  <c r="C217" i="14"/>
  <c r="B216" i="14"/>
  <c r="C254" i="14"/>
  <c r="C23" i="14"/>
  <c r="B295" i="14"/>
  <c r="B193" i="14"/>
  <c r="C105" i="14"/>
  <c r="B221" i="14"/>
  <c r="C249" i="14"/>
  <c r="C132" i="14"/>
  <c r="C235" i="14"/>
  <c r="B46" i="14"/>
  <c r="C163" i="14"/>
  <c r="B73" i="14"/>
  <c r="B116" i="14"/>
  <c r="B284" i="14"/>
  <c r="C57" i="14"/>
  <c r="C30" i="14"/>
  <c r="B157" i="14"/>
  <c r="B14" i="14"/>
  <c r="C162" i="14"/>
  <c r="B173" i="14"/>
  <c r="C90" i="14"/>
  <c r="B245" i="14"/>
  <c r="C276" i="14"/>
  <c r="B22" i="14"/>
  <c r="C20" i="14"/>
  <c r="B150" i="14"/>
  <c r="B90" i="14"/>
  <c r="B230" i="14"/>
  <c r="C198" i="14"/>
  <c r="C231" i="14"/>
  <c r="B95" i="14"/>
  <c r="C158" i="14"/>
  <c r="C247" i="14"/>
  <c r="B203" i="14"/>
  <c r="B219" i="14"/>
  <c r="B250" i="14"/>
  <c r="C229" i="14"/>
  <c r="C170" i="14"/>
  <c r="C201" i="14"/>
  <c r="B123" i="14"/>
  <c r="C168" i="14"/>
  <c r="C123" i="14"/>
  <c r="B103" i="14"/>
  <c r="B135" i="14"/>
  <c r="B215" i="14"/>
  <c r="B92" i="14"/>
  <c r="C261" i="14"/>
  <c r="B214" i="14"/>
  <c r="B264" i="14"/>
  <c r="C91" i="14"/>
  <c r="C283" i="14"/>
  <c r="C104" i="14"/>
  <c r="C124" i="14"/>
  <c r="B40" i="14"/>
  <c r="C43" i="14"/>
  <c r="C54" i="14"/>
  <c r="C68" i="14"/>
  <c r="C48" i="14"/>
  <c r="B196" i="14"/>
  <c r="B169" i="14"/>
  <c r="C268" i="14"/>
  <c r="B53" i="14"/>
  <c r="C186" i="14"/>
  <c r="B87" i="14"/>
  <c r="B43" i="14"/>
  <c r="B198" i="14"/>
  <c r="C119" i="14"/>
  <c r="B98" i="14"/>
  <c r="C275" i="14"/>
  <c r="B235" i="14"/>
  <c r="B186" i="14"/>
  <c r="C127" i="14"/>
  <c r="C88" i="14"/>
  <c r="B84" i="14"/>
  <c r="C80" i="14"/>
  <c r="B180" i="14"/>
  <c r="B34" i="14"/>
  <c r="B55" i="14"/>
  <c r="B202" i="14"/>
  <c r="B31" i="14"/>
  <c r="B158" i="14"/>
  <c r="C215" i="14"/>
  <c r="C251" i="14"/>
  <c r="B260" i="14"/>
  <c r="C31" i="14"/>
  <c r="C27" i="14"/>
  <c r="B274" i="14"/>
  <c r="C267" i="14"/>
  <c r="B176" i="14"/>
  <c r="C113" i="14"/>
  <c r="B79" i="14"/>
  <c r="C25" i="14"/>
  <c r="C24" i="14"/>
  <c r="B49" i="14"/>
  <c r="B205" i="14"/>
  <c r="C128" i="14"/>
  <c r="B155" i="14"/>
  <c r="B124" i="14"/>
  <c r="B102" i="14"/>
  <c r="C61" i="14"/>
  <c r="C173" i="14"/>
  <c r="C149" i="14"/>
  <c r="C269" i="14"/>
  <c r="C239" i="14"/>
  <c r="B97" i="14"/>
  <c r="B237" i="14"/>
  <c r="C190" i="14"/>
  <c r="B268" i="14"/>
  <c r="C21" i="14"/>
  <c r="B165" i="14"/>
  <c r="B229" i="14"/>
  <c r="C193" i="14"/>
  <c r="C213" i="14"/>
  <c r="B278" i="14"/>
  <c r="B77" i="14"/>
  <c r="C107" i="14"/>
  <c r="C227" i="14"/>
  <c r="B171" i="14"/>
  <c r="C84" i="14"/>
  <c r="B159" i="14"/>
  <c r="C218" i="14"/>
  <c r="B201" i="14"/>
  <c r="C216" i="14"/>
  <c r="B66" i="14"/>
  <c r="B17" i="14"/>
  <c r="B26" i="14"/>
  <c r="B89" i="14"/>
  <c r="B228" i="14"/>
  <c r="C120" i="14"/>
  <c r="B213" i="14"/>
  <c r="B151" i="14"/>
  <c r="C278" i="14"/>
  <c r="C101" i="14"/>
  <c r="C181" i="14"/>
  <c r="B208" i="14"/>
  <c r="B267" i="14"/>
  <c r="C44" i="14"/>
  <c r="C35" i="14"/>
  <c r="B263" i="14"/>
  <c r="B145" i="14"/>
  <c r="B195" i="14"/>
  <c r="C203" i="14"/>
  <c r="B287" i="14"/>
  <c r="B249" i="14"/>
  <c r="C171" i="14"/>
  <c r="C183" i="14"/>
  <c r="C28" i="14"/>
  <c r="B127" i="14"/>
  <c r="C176" i="14"/>
  <c r="C180" i="14"/>
  <c r="B82" i="14"/>
  <c r="B210" i="14"/>
  <c r="B277" i="14"/>
  <c r="C238" i="14"/>
  <c r="B37" i="14"/>
  <c r="C69" i="14"/>
  <c r="B154" i="14"/>
  <c r="B273" i="14"/>
  <c r="B93" i="14"/>
  <c r="C282" i="14"/>
  <c r="B41" i="14"/>
  <c r="C220" i="14"/>
  <c r="C296" i="14"/>
  <c r="C79" i="14"/>
  <c r="B101" i="14"/>
  <c r="C208" i="14"/>
  <c r="B188" i="14"/>
  <c r="B110" i="14"/>
  <c r="C102" i="14"/>
  <c r="B140" i="14"/>
  <c r="B178" i="14"/>
  <c r="B107" i="14"/>
  <c r="B255" i="14"/>
  <c r="B242" i="14"/>
  <c r="B234" i="14"/>
  <c r="B141" i="14"/>
  <c r="B238" i="14"/>
  <c r="B182" i="14"/>
  <c r="B28" i="14"/>
  <c r="C71" i="14"/>
  <c r="C36" i="14"/>
  <c r="B134" i="14"/>
  <c r="C155" i="14"/>
  <c r="C244" i="14"/>
  <c r="C139" i="14"/>
  <c r="B231" i="14"/>
  <c r="B129" i="14"/>
  <c r="C58" i="14"/>
  <c r="C81" i="14"/>
  <c r="C270" i="14"/>
  <c r="B174" i="14"/>
  <c r="C118" i="14"/>
  <c r="B206" i="14"/>
  <c r="B142" i="14"/>
  <c r="C187" i="14"/>
  <c r="C150" i="14"/>
  <c r="C131" i="14"/>
  <c r="C78" i="14"/>
  <c r="C50" i="14"/>
  <c r="B136" i="14"/>
  <c r="B51" i="14"/>
  <c r="B122" i="14"/>
  <c r="C133" i="14"/>
  <c r="C51" i="14"/>
  <c r="C182" i="14"/>
  <c r="B59" i="14"/>
  <c r="C265" i="14"/>
  <c r="B147" i="14"/>
  <c r="B291" i="14"/>
  <c r="C300" i="14"/>
  <c r="C196" i="14"/>
  <c r="C141" i="14"/>
  <c r="C160" i="14"/>
  <c r="B47" i="14"/>
  <c r="B153" i="14"/>
  <c r="B262" i="14"/>
  <c r="C245" i="14"/>
  <c r="B18" i="14"/>
  <c r="C272" i="14"/>
  <c r="C302" i="14"/>
  <c r="B85" i="14"/>
  <c r="C175" i="14"/>
  <c r="B276" i="14"/>
  <c r="B254" i="14"/>
  <c r="C199" i="14"/>
  <c r="B181" i="14"/>
  <c r="B139" i="14"/>
  <c r="B100" i="14"/>
  <c r="C279" i="14"/>
  <c r="C97" i="14"/>
  <c r="C214" i="14"/>
  <c r="C200" i="14"/>
  <c r="C256" i="14"/>
  <c r="B108" i="14"/>
  <c r="C115" i="14"/>
  <c r="C53" i="14"/>
  <c r="C223" i="14"/>
  <c r="B239" i="14"/>
  <c r="C93" i="14"/>
  <c r="C297" i="14"/>
  <c r="B247" i="14"/>
  <c r="B69" i="14"/>
  <c r="B126" i="14"/>
  <c r="C257" i="14"/>
  <c r="C152" i="14"/>
  <c r="B240" i="14"/>
  <c r="C219" i="14"/>
  <c r="B185" i="14"/>
  <c r="B223" i="14"/>
  <c r="C134" i="14"/>
  <c r="B161" i="14"/>
  <c r="B99" i="14"/>
  <c r="B111" i="14"/>
  <c r="C153" i="14"/>
  <c r="B246" i="14"/>
  <c r="B170" i="14"/>
  <c r="C195" i="14"/>
  <c r="B72" i="14"/>
  <c r="B146" i="14"/>
  <c r="B131" i="14"/>
  <c r="B45" i="14"/>
  <c r="B192" i="14"/>
  <c r="C137" i="14"/>
  <c r="B190" i="14"/>
  <c r="B301" i="14"/>
  <c r="C130" i="14"/>
  <c r="B25" i="14"/>
  <c r="B12" i="14"/>
  <c r="C33" i="14"/>
  <c r="C242" i="14"/>
  <c r="B166" i="14"/>
  <c r="C142" i="14"/>
  <c r="B280" i="14"/>
  <c r="C37" i="14"/>
  <c r="C210" i="14"/>
  <c r="C38" i="14"/>
  <c r="C204" i="14"/>
  <c r="C211" i="14"/>
  <c r="B227" i="14"/>
  <c r="B24" i="14"/>
  <c r="C285" i="14"/>
  <c r="C106" i="14"/>
  <c r="B76" i="14"/>
  <c r="B257" i="14"/>
  <c r="B57" i="14"/>
  <c r="C42" i="14"/>
  <c r="C154" i="14"/>
  <c r="B32" i="14"/>
  <c r="B133" i="14"/>
  <c r="B23" i="14"/>
  <c r="B120" i="14"/>
  <c r="B112" i="14"/>
  <c r="B211" i="14"/>
  <c r="C145" i="14"/>
  <c r="C288" i="14"/>
  <c r="B164" i="14"/>
  <c r="C12" i="14"/>
  <c r="C159" i="14"/>
  <c r="B119" i="14"/>
  <c r="B233" i="14"/>
  <c r="B294" i="14"/>
  <c r="C100" i="14"/>
  <c r="B259" i="14"/>
  <c r="C185" i="14"/>
  <c r="B204" i="14"/>
  <c r="C98" i="14"/>
  <c r="B179" i="14"/>
  <c r="C83" i="14"/>
  <c r="C289" i="14"/>
  <c r="B149" i="14"/>
  <c r="C47" i="14"/>
  <c r="C135" i="14"/>
  <c r="B86" i="14"/>
  <c r="B13" i="14"/>
  <c r="C287" i="14"/>
  <c r="B16" i="14"/>
  <c r="B275" i="14"/>
  <c r="B60" i="14"/>
  <c r="B94" i="14"/>
  <c r="C55" i="14"/>
  <c r="C274" i="14"/>
  <c r="C299" i="14"/>
  <c r="C295" i="14"/>
  <c r="C191" i="14"/>
  <c r="C240" i="14"/>
  <c r="C89" i="14"/>
  <c r="B156" i="14"/>
  <c r="B256" i="14"/>
  <c r="B209" i="14"/>
  <c r="B58" i="14"/>
  <c r="C138" i="14"/>
  <c r="B30" i="14"/>
  <c r="B187" i="14"/>
  <c r="C67" i="14"/>
  <c r="B299" i="14"/>
  <c r="B44" i="14"/>
  <c r="C234" i="14"/>
  <c r="B78" i="14"/>
  <c r="C189" i="14"/>
  <c r="B271" i="14"/>
  <c r="C292" i="14"/>
  <c r="C66" i="14"/>
  <c r="C156" i="14"/>
  <c r="B207" i="14"/>
  <c r="B125" i="14"/>
  <c r="C169" i="14"/>
  <c r="C177" i="14"/>
  <c r="C179" i="14"/>
  <c r="C252" i="14"/>
  <c r="C144" i="14"/>
  <c r="C228" i="14"/>
  <c r="C29" i="14"/>
  <c r="C45" i="14"/>
  <c r="B261" i="14"/>
  <c r="B183" i="14"/>
  <c r="C143" i="14"/>
  <c r="C65" i="14"/>
  <c r="C263" i="14"/>
  <c r="B220" i="14"/>
  <c r="B251" i="14"/>
  <c r="B272" i="14"/>
  <c r="C167" i="14"/>
  <c r="B29" i="14"/>
  <c r="C96" i="14"/>
  <c r="B258" i="14"/>
  <c r="B298" i="14"/>
  <c r="C19" i="14"/>
  <c r="B177" i="14"/>
  <c r="B88" i="14"/>
  <c r="B19" i="14"/>
  <c r="C70" i="14"/>
  <c r="B130" i="14"/>
  <c r="C46" i="14"/>
  <c r="C15" i="14"/>
  <c r="C86" i="14"/>
  <c r="B74" i="14"/>
  <c r="B292" i="14"/>
  <c r="C32" i="14"/>
  <c r="C148" i="14"/>
  <c r="B212" i="14"/>
  <c r="C232" i="14"/>
  <c r="C59" i="14"/>
  <c r="C112" i="14"/>
  <c r="B54" i="14"/>
  <c r="B80" i="14"/>
  <c r="B160" i="14"/>
  <c r="B68" i="14"/>
  <c r="B15" i="14"/>
  <c r="C291" i="1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Kannan Krishnamoorthy</author>
  </authors>
  <commentList>
    <comment ref="A2" authorId="0" shapeId="0" xr:uid="{5B9D64C9-6F69-4415-B3B5-4E2E98E47788}">
      <text>
        <r>
          <rPr>
            <b/>
            <sz val="9"/>
            <color indexed="81"/>
            <rFont val="Tahoma"/>
            <family val="2"/>
          </rPr>
          <t>Kannan Krishnamoorthy:</t>
        </r>
        <r>
          <rPr>
            <sz val="9"/>
            <color indexed="81"/>
            <rFont val="Tahoma"/>
            <family val="2"/>
          </rPr>
          <t xml:space="preserve">
Is sticky and can expand, which can create jamming in the hot-end. Lays on the print bed with little to no shrinkage. Can be used with open framed printers with little/no fear of warping, cracking, or prints lifting from the bed.
Strong, but more brittle than other plastics.
Parts that need to hold up in 60°C temperatures (prints will sag); parts that will be dropped frequently, or parts with thin portions (will break after bending slightly).</t>
        </r>
      </text>
    </comment>
    <comment ref="B2" authorId="0" shapeId="0" xr:uid="{A65B3000-4E00-4C8E-82B7-7AC030FAB8DE}">
      <text>
        <r>
          <rPr>
            <b/>
            <sz val="9"/>
            <color indexed="81"/>
            <rFont val="Tahoma"/>
            <family val="2"/>
          </rPr>
          <t>Kannan Krishnamoorthy:</t>
        </r>
        <r>
          <rPr>
            <sz val="9"/>
            <color indexed="81"/>
            <rFont val="Tahoma"/>
            <family val="2"/>
          </rPr>
          <t xml:space="preserve">
25-100mm/sec</t>
        </r>
      </text>
    </comment>
    <comment ref="C2" authorId="0" shapeId="0" xr:uid="{F9800327-DF0C-45A6-86DE-8018111E3044}">
      <text>
        <r>
          <rPr>
            <b/>
            <sz val="9"/>
            <color indexed="81"/>
            <rFont val="Tahoma"/>
            <family val="2"/>
          </rPr>
          <t>Kannan Krishnamoorthy:</t>
        </r>
        <r>
          <rPr>
            <sz val="9"/>
            <color indexed="81"/>
            <rFont val="Tahoma"/>
            <family val="2"/>
          </rPr>
          <t xml:space="preserve">
To properly 3D-Print with PLA filament, a nozzle temperature between 200 – 220 oC is required. To start, choosing a temperature of 210 oC would be recommended.</t>
        </r>
      </text>
    </comment>
    <comment ref="E2" authorId="0" shapeId="0" xr:uid="{28990808-BC86-4A17-9BBE-F85CBF8ADA80}">
      <text>
        <r>
          <rPr>
            <b/>
            <sz val="9"/>
            <color indexed="81"/>
            <rFont val="Tahoma"/>
            <family val="2"/>
          </rPr>
          <t>Kannan Krishnamoorthy:</t>
        </r>
        <r>
          <rPr>
            <sz val="9"/>
            <color indexed="81"/>
            <rFont val="Tahoma"/>
            <family val="2"/>
          </rPr>
          <t xml:space="preserve">
Blue painters tape
PVA glue (Elmer’s glue stick)
or acrylic bed</t>
        </r>
      </text>
    </comment>
    <comment ref="A3" authorId="0" shapeId="0" xr:uid="{D99B15D2-97B5-49B9-B8F3-048770B4484D}">
      <text>
        <r>
          <rPr>
            <b/>
            <sz val="9"/>
            <color indexed="81"/>
            <rFont val="Tahoma"/>
            <family val="2"/>
          </rPr>
          <t>Kannan Krishnamoorthy:</t>
        </r>
        <r>
          <rPr>
            <sz val="9"/>
            <color indexed="81"/>
            <rFont val="Tahoma"/>
            <family val="2"/>
          </rPr>
          <t xml:space="preserve">
The layer adhesion is excellent. Expect less trouble with warping or shrinking of prints. Material is highly impact resistant. Overheating regular PET makes it hazy and brittle. Not with PETG filament: The added glycol prevents the material from crystallizing and becoming breakable.
Strong, temperature-resistant, more durable than PLA, easy to print like PLA, impact-resistant.
Objects that could be dropped or if dimensional stability is critical.
No heated bed or parts that must withstand high temperature.
Print Speed: We recommend printing with lower than average print speed if the desire is to achieve better strength properties due to better layer adhesion.
Storage: Store the filament in dry areas since it absorbs moisture.</t>
        </r>
      </text>
    </comment>
    <comment ref="B3" authorId="0" shapeId="0" xr:uid="{48E8C518-4CC3-4E11-83E5-6483644C66A8}">
      <text>
        <r>
          <rPr>
            <b/>
            <sz val="9"/>
            <color indexed="81"/>
            <rFont val="Tahoma"/>
            <family val="2"/>
          </rPr>
          <t>Kannan Krishnamoorthy:</t>
        </r>
        <r>
          <rPr>
            <sz val="9"/>
            <color indexed="81"/>
            <rFont val="Tahoma"/>
            <family val="2"/>
          </rPr>
          <t xml:space="preserve">
25-50mm/sec</t>
        </r>
      </text>
    </comment>
    <comment ref="C3" authorId="0" shapeId="0" xr:uid="{B5D9819A-2EEF-49C6-91E5-FD2E80F49515}">
      <text>
        <r>
          <rPr>
            <b/>
            <sz val="9"/>
            <color indexed="81"/>
            <rFont val="Tahoma"/>
            <family val="2"/>
          </rPr>
          <t>Kannan Krishnamoorthy:</t>
        </r>
        <r>
          <rPr>
            <sz val="9"/>
            <color indexed="81"/>
            <rFont val="Tahoma"/>
            <family val="2"/>
          </rPr>
          <t xml:space="preserve">
To properly 3D-Print with PETG filament, a nozzle temperature between  240 – 260 oC is required. To start, choosing a temperature of 250 oC would be recommended. </t>
        </r>
      </text>
    </comment>
    <comment ref="E3" authorId="0" shapeId="0" xr:uid="{3BECE01B-4E2D-4EC1-991D-AC5ADEC0D554}">
      <text>
        <r>
          <rPr>
            <b/>
            <sz val="9"/>
            <color indexed="81"/>
            <rFont val="Tahoma"/>
            <family val="2"/>
          </rPr>
          <t>Kannan Krishnamoorthy:</t>
        </r>
        <r>
          <rPr>
            <sz val="9"/>
            <color indexed="81"/>
            <rFont val="Tahoma"/>
            <family val="2"/>
          </rPr>
          <t xml:space="preserve">
Kapton Tape / Hairspray</t>
        </r>
      </text>
    </comment>
    <comment ref="A4" authorId="0" shapeId="0" xr:uid="{2C5D7C48-4A1C-40EC-97A9-20E1BE19DBF7}">
      <text>
        <r>
          <rPr>
            <b/>
            <sz val="9"/>
            <color indexed="81"/>
            <rFont val="Tahoma"/>
            <family val="2"/>
          </rPr>
          <t>Kannan Krishnamoorthy:</t>
        </r>
        <r>
          <rPr>
            <sz val="9"/>
            <color indexed="81"/>
            <rFont val="Tahoma"/>
            <family val="2"/>
          </rPr>
          <t xml:space="preserve">
Extrudes well. Can be printed quickly and resists stringiness. It shrinks as it cools which can cause issues with the print lifting from the bed and layers cracking/splitting.
Not for use on a non-heated bed or in a cool or drafty environment. Large or very long prints have a high likelihood of warping.
Temperature: ABS is very sensitive to temperature fluctuations during the printing process. It often cracks or warps as different layers cool differently. To ensure this issue is mitigated, our printers come with an enclosure system and heated bed to produce better results.</t>
        </r>
      </text>
    </comment>
    <comment ref="B4" authorId="0" shapeId="0" xr:uid="{B145ED42-6B8B-44CC-9C22-D386537F46F7}">
      <text>
        <r>
          <rPr>
            <b/>
            <sz val="9"/>
            <color indexed="81"/>
            <rFont val="Tahoma"/>
            <family val="2"/>
          </rPr>
          <t>Kannan Krishnamoorthy:</t>
        </r>
        <r>
          <rPr>
            <sz val="9"/>
            <color indexed="81"/>
            <rFont val="Tahoma"/>
            <family val="2"/>
          </rPr>
          <t xml:space="preserve">
25-100mm/sec
</t>
        </r>
      </text>
    </comment>
    <comment ref="C4" authorId="0" shapeId="0" xr:uid="{D8D06B31-DFE8-4AF1-AFAC-F599F7943272}">
      <text>
        <r>
          <rPr>
            <b/>
            <sz val="9"/>
            <color indexed="81"/>
            <rFont val="Tahoma"/>
            <family val="2"/>
          </rPr>
          <t>Kannan Krishnamoorthy:</t>
        </r>
        <r>
          <rPr>
            <sz val="9"/>
            <color indexed="81"/>
            <rFont val="Tahoma"/>
            <family val="2"/>
          </rPr>
          <t xml:space="preserve">
To properly 3D-Print with ABS filament, a nozzle temperature between 230 – 250 oC is required. To start, choosing a temperature of 240 oC would be recommended. </t>
        </r>
      </text>
    </comment>
    <comment ref="D4" authorId="0" shapeId="0" xr:uid="{8F6CA8AA-A284-47B5-9824-9BFF5A5127D3}">
      <text>
        <r>
          <rPr>
            <b/>
            <sz val="9"/>
            <color indexed="81"/>
            <rFont val="Tahoma"/>
            <family val="2"/>
          </rPr>
          <t>Kannan Krishnamoorthy:</t>
        </r>
        <r>
          <rPr>
            <sz val="9"/>
            <color indexed="81"/>
            <rFont val="Tahoma"/>
            <family val="2"/>
          </rPr>
          <t xml:space="preserve">
3D-Printing with ABS filament requires a heated bed to prevent warping. The temperature of the heated bed needs to be at 90 C minimum. The recommended temperature for the heated bed lies between 90 – 110 oC. </t>
        </r>
      </text>
    </comment>
    <comment ref="E4" authorId="0" shapeId="0" xr:uid="{2FAC6321-4821-413B-AE88-260E79AFCE8A}">
      <text>
        <r>
          <rPr>
            <b/>
            <sz val="9"/>
            <color indexed="81"/>
            <rFont val="Tahoma"/>
            <family val="2"/>
          </rPr>
          <t>Kannan Krishnamoorthy:</t>
        </r>
        <r>
          <rPr>
            <sz val="9"/>
            <color indexed="81"/>
            <rFont val="Tahoma"/>
            <family val="2"/>
          </rPr>
          <t xml:space="preserve">
Glass/Ceramic sheet attached to build plate
AquaNet Extra Super Hold Hairspray
Garnier Fructis Extreme Control Anti Humidity (#5) Hairspray
Kapton Tape
ABS/acetone slurry (messy)</t>
        </r>
      </text>
    </comment>
    <comment ref="A5" authorId="0" shapeId="0" xr:uid="{0AB3C38F-D18C-4EAF-83A3-60398F96E62B}">
      <text>
        <r>
          <rPr>
            <b/>
            <sz val="9"/>
            <color indexed="81"/>
            <rFont val="Tahoma"/>
            <family val="2"/>
          </rPr>
          <t>Kannan Krishnamoorthy:</t>
        </r>
        <r>
          <rPr>
            <sz val="9"/>
            <color indexed="81"/>
            <rFont val="Tahoma"/>
            <family val="2"/>
          </rPr>
          <t xml:space="preserve">
Storage: Nylon filament like some other filaments can absorb moisture from the air and can lead to printing issues.</t>
        </r>
      </text>
    </comment>
    <comment ref="B5" authorId="0" shapeId="0" xr:uid="{A102F9F0-7C55-4DC2-BCDD-4FC39A4C6870}">
      <text>
        <r>
          <rPr>
            <b/>
            <sz val="9"/>
            <color indexed="81"/>
            <rFont val="Tahoma"/>
            <family val="2"/>
          </rPr>
          <t>Kannan Krishnamoorthy:</t>
        </r>
        <r>
          <rPr>
            <sz val="9"/>
            <color indexed="81"/>
            <rFont val="Tahoma"/>
            <family val="2"/>
          </rPr>
          <t xml:space="preserve">
30-60 mm/s
50 – 100 mm/sec</t>
        </r>
      </text>
    </comment>
    <comment ref="C5" authorId="0" shapeId="0" xr:uid="{C983BDB8-EDDB-4CCA-A947-126F6D8F5414}">
      <text>
        <r>
          <rPr>
            <b/>
            <sz val="9"/>
            <color indexed="81"/>
            <rFont val="Tahoma"/>
            <family val="2"/>
          </rPr>
          <t>Kannan Krishnamoorthy:</t>
        </r>
        <r>
          <rPr>
            <sz val="9"/>
            <color indexed="81"/>
            <rFont val="Tahoma"/>
            <family val="2"/>
          </rPr>
          <t xml:space="preserve">
Extruder Temp.: 240°C - 260°C
Start printing at 250°C and adjust in increments of 5°C until you find the right temperature that produces a strong, durable print with a beautiful finishing surface
The right temperature may vary between nylon and nylon-based filaments
The right temperature may vary between brands of nylon and nylon-based filaments</t>
        </r>
      </text>
    </comment>
    <comment ref="D5" authorId="0" shapeId="0" xr:uid="{2DCC8041-04F2-4328-B494-3AF631DFA45D}">
      <text>
        <r>
          <rPr>
            <b/>
            <sz val="9"/>
            <color indexed="81"/>
            <rFont val="Tahoma"/>
            <family val="2"/>
          </rPr>
          <t>Kannan Krishnamoorthy:</t>
        </r>
        <r>
          <rPr>
            <sz val="9"/>
            <color indexed="81"/>
            <rFont val="Tahoma"/>
            <family val="2"/>
          </rPr>
          <t xml:space="preserve">
Bed Temp.: 55-65°C
This is for garolite surfaces with PVA based glue
Bed Temp.: 70-80°C
This is for glass and other surfaces with PVA based glue</t>
        </r>
      </text>
    </comment>
    <comment ref="E5" authorId="0" shapeId="0" xr:uid="{76D709CA-F485-4F06-9D4B-F89EB4E062FB}">
      <text>
        <r>
          <rPr>
            <b/>
            <sz val="9"/>
            <color indexed="81"/>
            <rFont val="Tahoma"/>
            <family val="2"/>
          </rPr>
          <t>Kannan Krishnamoorthy:</t>
        </r>
        <r>
          <rPr>
            <sz val="9"/>
            <color indexed="81"/>
            <rFont val="Tahoma"/>
            <family val="2"/>
          </rPr>
          <t xml:space="preserve">
We've found that a bed heated to 75°C with a thin layer of PVA glue applied in a cross-hatch pattern works best for glass plates.
Take PVA glues and dilute with water.</t>
        </r>
      </text>
    </comment>
    <comment ref="I5" authorId="0" shapeId="0" xr:uid="{0BE2BBF9-EE72-4C1B-92AD-E3A3C54F3279}">
      <text>
        <r>
          <rPr>
            <b/>
            <sz val="9"/>
            <color indexed="81"/>
            <rFont val="Tahoma"/>
            <family val="2"/>
          </rPr>
          <t>Kannan Krishnamoorthy:</t>
        </r>
        <r>
          <rPr>
            <sz val="9"/>
            <color indexed="81"/>
            <rFont val="Tahoma"/>
            <family val="2"/>
          </rPr>
          <t xml:space="preserve">
0.2 mm - 0.4 mm layer heights</t>
        </r>
      </text>
    </comment>
    <comment ref="J5" authorId="0" shapeId="0" xr:uid="{BCD03A3C-FE99-4E99-8881-6E71E84CAE18}">
      <text>
        <r>
          <rPr>
            <b/>
            <sz val="9"/>
            <color indexed="81"/>
            <rFont val="Tahoma"/>
            <family val="2"/>
          </rPr>
          <t>Kannan Krishnamoorthy:</t>
        </r>
        <r>
          <rPr>
            <sz val="9"/>
            <color indexed="81"/>
            <rFont val="Tahoma"/>
            <family val="2"/>
          </rPr>
          <t xml:space="preserve">
Nylon filament is incredibly hygroscopic, meaning it readily absorbs water from the air. Nylon can absorb more than 10% of its weight in water in less than 24 hours which is why it is best to not leave hygroscopic filaments sitting out in the open.</t>
        </r>
      </text>
    </comment>
    <comment ref="A7" authorId="0" shapeId="0" xr:uid="{E5967ED3-D3CE-443C-AFEF-7655028600C6}">
      <text>
        <r>
          <rPr>
            <b/>
            <sz val="9"/>
            <color indexed="81"/>
            <rFont val="Tahoma"/>
            <family val="2"/>
          </rPr>
          <t>Kannan Krishnamoorthy:</t>
        </r>
        <r>
          <rPr>
            <sz val="9"/>
            <color indexed="81"/>
            <rFont val="Tahoma"/>
            <family val="2"/>
          </rPr>
          <t xml:space="preserve">
Layer adhesion is normally excellent. Depending on the hardness of the TPU, the printability can range from easy to difficult. Lower hardness means more flexibility (our flexible material is 85A hardness and our semi-flexible material is 90A hardness).
Good resistance to oils, solvents, oxidation and ozone.
Flexible objects like phone cases.
If rigidity is a key characteristic or if the printer is not setup to handle flexible material.
Print Speed: Use consistent flow rates and also smaller layer heights to ensure better interlayer adhesion.
Storage: Keep flexible filament dry and away from moisture.</t>
        </r>
      </text>
    </comment>
    <comment ref="C7" authorId="0" shapeId="0" xr:uid="{878AEBCB-1615-4869-A3AC-038A5C9C4F81}">
      <text>
        <r>
          <rPr>
            <b/>
            <sz val="9"/>
            <color indexed="81"/>
            <rFont val="Tahoma"/>
            <family val="2"/>
          </rPr>
          <t>Kannan Krishnamoorthy:</t>
        </r>
        <r>
          <rPr>
            <sz val="9"/>
            <color indexed="81"/>
            <rFont val="Tahoma"/>
            <family val="2"/>
          </rPr>
          <t xml:space="preserve">
To properly 3D-Print with Flexible filament, a nozzle temperature between 215 – 235 oC is required. To start, choosing a temperature of 225 oC would be recommended. </t>
        </r>
      </text>
    </comment>
    <comment ref="D7" authorId="0" shapeId="0" xr:uid="{A645ECC9-B5A0-43E9-887D-E4F45DF4EEA8}">
      <text>
        <r>
          <rPr>
            <b/>
            <sz val="9"/>
            <color indexed="81"/>
            <rFont val="Tahoma"/>
            <family val="2"/>
          </rPr>
          <t>Kannan Krishnamoorthy:</t>
        </r>
        <r>
          <rPr>
            <sz val="9"/>
            <color indexed="81"/>
            <rFont val="Tahoma"/>
            <family val="2"/>
          </rPr>
          <t xml:space="preserve">
3D-Printing with Flexible filament requires a heated bed to prevent warping. The temperature of the heated bed needs to be at 60 oC minimum. The recommended temperature for the heated bed lies between 50 – 70 oC.</t>
        </r>
      </text>
    </comment>
    <comment ref="E7" authorId="0" shapeId="0" xr:uid="{27835CCE-9186-487D-9687-BED0D2198536}">
      <text>
        <r>
          <rPr>
            <b/>
            <sz val="9"/>
            <color indexed="81"/>
            <rFont val="Tahoma"/>
            <family val="2"/>
          </rPr>
          <t>Kannan Krishnamoorthy:</t>
        </r>
        <r>
          <rPr>
            <sz val="9"/>
            <color indexed="81"/>
            <rFont val="Tahoma"/>
            <family val="2"/>
          </rPr>
          <t xml:space="preserve">
Blue painters tape
PVA glue (Elmer’s glue stick)
Kapton Tape
or acrylic bed</t>
        </r>
      </text>
    </comment>
    <comment ref="G7" authorId="0" shapeId="0" xr:uid="{09608DA0-547F-4129-8941-E46E4ABB47F7}">
      <text>
        <r>
          <rPr>
            <b/>
            <sz val="9"/>
            <color indexed="81"/>
            <rFont val="Tahoma"/>
            <family val="2"/>
          </rPr>
          <t>Kannan Krishnamoorthy:</t>
        </r>
        <r>
          <rPr>
            <sz val="9"/>
            <color indexed="81"/>
            <rFont val="Tahoma"/>
            <family val="2"/>
          </rPr>
          <t xml:space="preserve">
Flexible filament does not suffer much from warping during 3D-Printing. We recommend using your cooling fan on a high or medium setting during 3D-Printing.</t>
        </r>
      </text>
    </comment>
    <comment ref="A8" authorId="0" shapeId="0" xr:uid="{654B2E3F-00EF-461C-BC4F-1C3AA4C30795}">
      <text>
        <r>
          <rPr>
            <b/>
            <sz val="9"/>
            <color indexed="81"/>
            <rFont val="Tahoma"/>
            <family val="2"/>
          </rPr>
          <t>Kannan Krishnamoorthy:</t>
        </r>
        <r>
          <rPr>
            <sz val="9"/>
            <color indexed="81"/>
            <rFont val="Tahoma"/>
            <family val="2"/>
          </rPr>
          <t xml:space="preserve">
Heated Bed: Temperature affects HIPS when printing and you need to ensure better management for better printing results.
</t>
        </r>
      </text>
    </comment>
    <comment ref="B8" authorId="0" shapeId="0" xr:uid="{62E0CDB7-CAA7-4F7C-AC80-9FA47903CD0D}">
      <text>
        <r>
          <rPr>
            <b/>
            <sz val="9"/>
            <color indexed="81"/>
            <rFont val="Tahoma"/>
            <family val="2"/>
          </rPr>
          <t>Kannan Krishnamoorthy:</t>
        </r>
        <r>
          <rPr>
            <sz val="9"/>
            <color indexed="81"/>
            <rFont val="Tahoma"/>
            <family val="2"/>
          </rPr>
          <t xml:space="preserve">
25-100mm/sec</t>
        </r>
      </text>
    </comment>
    <comment ref="C8" authorId="0" shapeId="0" xr:uid="{4F2FC335-72AB-4384-B3BA-36C2663CB1D8}">
      <text>
        <r>
          <rPr>
            <b/>
            <sz val="9"/>
            <color indexed="81"/>
            <rFont val="Tahoma"/>
            <family val="2"/>
          </rPr>
          <t>Kannan Krishnamoorthy:</t>
        </r>
        <r>
          <rPr>
            <sz val="9"/>
            <color indexed="81"/>
            <rFont val="Tahoma"/>
            <family val="2"/>
          </rPr>
          <t xml:space="preserve">
To properly 3D-Print with HIPS filament, a nozzle temperature between 230 – 250 oC is required. To start, choosing a temperature of 240 oC would be recommended.</t>
        </r>
      </text>
    </comment>
    <comment ref="D8" authorId="0" shapeId="0" xr:uid="{7C6F0C1B-4B1E-4B80-A92D-F1C6C0E94A1C}">
      <text>
        <r>
          <rPr>
            <b/>
            <sz val="9"/>
            <color indexed="81"/>
            <rFont val="Tahoma"/>
            <family val="2"/>
          </rPr>
          <t>Kannan Krishnamoorthy:</t>
        </r>
        <r>
          <rPr>
            <sz val="9"/>
            <color indexed="81"/>
            <rFont val="Tahoma"/>
            <family val="2"/>
          </rPr>
          <t xml:space="preserve">
3D-Printing with HIPS filament requires a heated bed to prevent warping. The temperature of the heated bed needs to be at 90 oC minimum. The recommended temperature for the heated bed lies between 90 – 110 oC.</t>
        </r>
      </text>
    </comment>
    <comment ref="E8" authorId="0" shapeId="0" xr:uid="{6EB77D23-C2F5-4847-83B8-EB532193B439}">
      <text>
        <r>
          <rPr>
            <b/>
            <sz val="9"/>
            <color indexed="81"/>
            <rFont val="Tahoma"/>
            <family val="2"/>
          </rPr>
          <t>Kannan Krishnamoorthy:</t>
        </r>
        <r>
          <rPr>
            <sz val="9"/>
            <color indexed="81"/>
            <rFont val="Tahoma"/>
            <family val="2"/>
          </rPr>
          <t xml:space="preserve">
Hairspray</t>
        </r>
      </text>
    </comment>
    <comment ref="B9" authorId="0" shapeId="0" xr:uid="{33905638-1255-4738-BBAB-B74790C49AF6}">
      <text>
        <r>
          <rPr>
            <b/>
            <sz val="9"/>
            <color indexed="81"/>
            <rFont val="Tahoma"/>
            <family val="2"/>
          </rPr>
          <t>Kannan Krishnamoorthy:</t>
        </r>
        <r>
          <rPr>
            <sz val="9"/>
            <color indexed="81"/>
            <rFont val="Tahoma"/>
            <family val="2"/>
          </rPr>
          <t xml:space="preserve">
50 – 120 mm/sec</t>
        </r>
      </text>
    </comment>
    <comment ref="E9" authorId="0" shapeId="0" xr:uid="{1F5BAE7B-2106-45AC-8FC2-214E59611F16}">
      <text>
        <r>
          <rPr>
            <b/>
            <sz val="9"/>
            <color indexed="81"/>
            <rFont val="Tahoma"/>
            <family val="2"/>
          </rPr>
          <t>Kannan Krishnamoorthy:</t>
        </r>
        <r>
          <rPr>
            <sz val="9"/>
            <color indexed="81"/>
            <rFont val="Tahoma"/>
            <family val="2"/>
          </rPr>
          <t xml:space="preserve">
Hairspray</t>
        </r>
      </text>
    </comment>
    <comment ref="A10" authorId="0" shapeId="0" xr:uid="{6F97F57F-1B0A-43F9-A854-CA4DD9730663}">
      <text>
        <r>
          <rPr>
            <b/>
            <sz val="9"/>
            <color indexed="81"/>
            <rFont val="Tahoma"/>
            <family val="2"/>
          </rPr>
          <t>Kannan Krishnamoorthy:</t>
        </r>
        <r>
          <rPr>
            <sz val="9"/>
            <color indexed="81"/>
            <rFont val="Tahoma"/>
            <family val="2"/>
          </rPr>
          <t xml:space="preserve">
Temperature: Printing with Polypropylene requires planning and careful temperature management to ensure successful prints. It is a material that is not as forgiving as E-PLA during the printing process.
Storage: Store the filament in dry areas since it absorbs moisture. </t>
        </r>
      </text>
    </comment>
    <comment ref="E10" authorId="0" shapeId="0" xr:uid="{4DF9FFEF-5EA1-4062-82FE-B099597125D1}">
      <text>
        <r>
          <rPr>
            <b/>
            <sz val="9"/>
            <color indexed="81"/>
            <rFont val="Tahoma"/>
            <family val="2"/>
          </rPr>
          <t>Kannan Krishnamoorthy:</t>
        </r>
        <r>
          <rPr>
            <sz val="9"/>
            <color indexed="81"/>
            <rFont val="Tahoma"/>
            <family val="2"/>
          </rPr>
          <t xml:space="preserve">
Most packaging tape is made with Polypropylene and it will stick to that, otherwise it won't work. </t>
        </r>
      </text>
    </comment>
  </commentList>
</comments>
</file>

<file path=xl/sharedStrings.xml><?xml version="1.0" encoding="utf-8"?>
<sst xmlns="http://schemas.openxmlformats.org/spreadsheetml/2006/main" count="393" uniqueCount="305">
  <si>
    <t>layer_height</t>
  </si>
  <si>
    <t>brim_width</t>
  </si>
  <si>
    <t>infill_overlap</t>
  </si>
  <si>
    <t>Common</t>
  </si>
  <si>
    <t>bridge_fan_speed</t>
  </si>
  <si>
    <t>Parameters</t>
  </si>
  <si>
    <t>Nozzle Diameter</t>
  </si>
  <si>
    <t>Spec</t>
  </si>
  <si>
    <t>Value</t>
  </si>
  <si>
    <t>Printer Name</t>
  </si>
  <si>
    <t>Min Layer Height</t>
  </si>
  <si>
    <t>Max Layer Height</t>
  </si>
  <si>
    <t>Remarks</t>
  </si>
  <si>
    <t>fine</t>
  </si>
  <si>
    <t>quality</t>
  </si>
  <si>
    <t>draft</t>
  </si>
  <si>
    <t>fast</t>
  </si>
  <si>
    <t>medium</t>
  </si>
  <si>
    <t>rough</t>
  </si>
  <si>
    <t>big</t>
  </si>
  <si>
    <t>large</t>
  </si>
  <si>
    <t>giant</t>
  </si>
  <si>
    <t>Infill</t>
  </si>
  <si>
    <t>Speed</t>
  </si>
  <si>
    <t>0.12</t>
  </si>
  <si>
    <t>0.2</t>
  </si>
  <si>
    <t>0.32</t>
  </si>
  <si>
    <t>0.4</t>
  </si>
  <si>
    <t>0.48</t>
  </si>
  <si>
    <t>0.56</t>
  </si>
  <si>
    <t>0.64</t>
  </si>
  <si>
    <t>0.72</t>
  </si>
  <si>
    <t>0.8</t>
  </si>
  <si>
    <t>Filament</t>
  </si>
  <si>
    <t>Cooling</t>
  </si>
  <si>
    <t>Max Acceleration</t>
  </si>
  <si>
    <t>Printer Definition</t>
  </si>
  <si>
    <t>Quality</t>
  </si>
  <si>
    <t>wall_line_width</t>
  </si>
  <si>
    <t>skin_line_width</t>
  </si>
  <si>
    <t>skirt_brim_line_width</t>
  </si>
  <si>
    <t>support_line_width</t>
  </si>
  <si>
    <t>support_interface_line_width</t>
  </si>
  <si>
    <t>infill_line_width</t>
  </si>
  <si>
    <t>Shell</t>
  </si>
  <si>
    <t>wall_thickness</t>
  </si>
  <si>
    <t>top_bottom_thickness</t>
  </si>
  <si>
    <t>top_bottom_pattern</t>
  </si>
  <si>
    <t>zigzag</t>
  </si>
  <si>
    <t>optimize_wall_printing_order</t>
  </si>
  <si>
    <t>outer_inset_first</t>
  </si>
  <si>
    <t>fill_perimeter_gaps</t>
  </si>
  <si>
    <t>fill_outline_gaps</t>
  </si>
  <si>
    <t>ironing_enabled</t>
  </si>
  <si>
    <t>ironing_only_highest_layer</t>
  </si>
  <si>
    <t>infill_pattern</t>
  </si>
  <si>
    <t>connect_infill_polygons</t>
  </si>
  <si>
    <t>infill_before_walls</t>
  </si>
  <si>
    <t>min_infill_area</t>
  </si>
  <si>
    <t>Material</t>
  </si>
  <si>
    <t>material_flow_layer_0</t>
  </si>
  <si>
    <t>material_flow</t>
  </si>
  <si>
    <t>retraction_enable</t>
  </si>
  <si>
    <t>retract_at_layer_change</t>
  </si>
  <si>
    <t>retraction_amount</t>
  </si>
  <si>
    <t>retraction_retract_speed</t>
  </si>
  <si>
    <t>retraction_prime_speed</t>
  </si>
  <si>
    <t>retraction_extra_prime_amount</t>
  </si>
  <si>
    <t>retraction_min_travel</t>
  </si>
  <si>
    <t>limit_support_retractions</t>
  </si>
  <si>
    <t>speed_print</t>
  </si>
  <si>
    <t>speed_infill</t>
  </si>
  <si>
    <t>speed_wall</t>
  </si>
  <si>
    <t>speed_wall_0</t>
  </si>
  <si>
    <t>speed_wall_x</t>
  </si>
  <si>
    <t>speed_topbottom</t>
  </si>
  <si>
    <t>speed_support</t>
  </si>
  <si>
    <t>speed_travel</t>
  </si>
  <si>
    <t>speed_layer_0</t>
  </si>
  <si>
    <t>speed_slowdown_layers</t>
  </si>
  <si>
    <t>acceleration_enabled</t>
  </si>
  <si>
    <t>acceleration_print</t>
  </si>
  <si>
    <t>acceleration_travel</t>
  </si>
  <si>
    <t>acceleration_layer_0</t>
  </si>
  <si>
    <t>jerk_enabled</t>
  </si>
  <si>
    <t>jerk_print</t>
  </si>
  <si>
    <t>Travel</t>
  </si>
  <si>
    <t>retraction_combing</t>
  </si>
  <si>
    <t>retraction_combing_max_distance</t>
  </si>
  <si>
    <t>travel_retract_before_outer_wall</t>
  </si>
  <si>
    <t>retraction_hop_enabled</t>
  </si>
  <si>
    <t>retraction_hop</t>
  </si>
  <si>
    <t>cool_fan_enabled</t>
  </si>
  <si>
    <t>cool_fan_speed</t>
  </si>
  <si>
    <t>cool_fan_speed_min</t>
  </si>
  <si>
    <t>cool_fan_speed_max</t>
  </si>
  <si>
    <t>cool_min_layer_time_fan_speed_max</t>
  </si>
  <si>
    <t>cool_fan_full_at_height</t>
  </si>
  <si>
    <t>cool_min_layer_time</t>
  </si>
  <si>
    <t>cool_min_speed</t>
  </si>
  <si>
    <t>cool_lift_head</t>
  </si>
  <si>
    <t>Support</t>
  </si>
  <si>
    <t>support_enable</t>
  </si>
  <si>
    <t>support_type</t>
  </si>
  <si>
    <t>buildplate</t>
  </si>
  <si>
    <t>support_angle</t>
  </si>
  <si>
    <t>support_infill_rate</t>
  </si>
  <si>
    <t>support_brim_enable</t>
  </si>
  <si>
    <t>support_brim_width</t>
  </si>
  <si>
    <t>support_tree_branch_distance</t>
  </si>
  <si>
    <t>support_use_towers</t>
  </si>
  <si>
    <t>support_tree_enable</t>
  </si>
  <si>
    <t>support_z_distance</t>
  </si>
  <si>
    <t>support_xy_distance</t>
  </si>
  <si>
    <t>support_xy_distance_overhang</t>
  </si>
  <si>
    <t>support_interface_enable</t>
  </si>
  <si>
    <t>support_interface_density</t>
  </si>
  <si>
    <t>support_roof_line_distance</t>
  </si>
  <si>
    <t>support_bottom_line_distance</t>
  </si>
  <si>
    <t>relative_extrusion</t>
  </si>
  <si>
    <t>support_skip_some_zags</t>
  </si>
  <si>
    <t>speed_equalize_flow_enabled</t>
  </si>
  <si>
    <t>cool_fan_full_layer</t>
  </si>
  <si>
    <t>Build Plate Adhesion</t>
  </si>
  <si>
    <t>adhesion_type</t>
  </si>
  <si>
    <t>skirt_line_count</t>
  </si>
  <si>
    <t>skirt_gap</t>
  </si>
  <si>
    <t>brim_outside_only</t>
  </si>
  <si>
    <t>Special Modes</t>
  </si>
  <si>
    <t>Experimental</t>
  </si>
  <si>
    <t>infill_enable_travel_optimization</t>
  </si>
  <si>
    <t>brim</t>
  </si>
  <si>
    <t>coasting_enable</t>
  </si>
  <si>
    <t>coasting_volume</t>
  </si>
  <si>
    <t>coasting_min_volume</t>
  </si>
  <si>
    <t>skin_alternate_rotation</t>
  </si>
  <si>
    <t>adaptive_layer_height_enabled</t>
  </si>
  <si>
    <t>adaptive_layer_height_variation</t>
  </si>
  <si>
    <t>adaptive_layer_height_variation_step</t>
  </si>
  <si>
    <t>bridge_settings_enabled</t>
  </si>
  <si>
    <t>zig_zaggify_infill</t>
  </si>
  <si>
    <t>material_print_temperature</t>
  </si>
  <si>
    <t>material_print_temperature_layer_0</t>
  </si>
  <si>
    <t>material_bed_temperature</t>
  </si>
  <si>
    <t>material_bed_temperature_layer_0</t>
  </si>
  <si>
    <t>GUI</t>
  </si>
  <si>
    <t>Section</t>
  </si>
  <si>
    <t>general</t>
  </si>
  <si>
    <t>version</t>
  </si>
  <si>
    <t>name</t>
  </si>
  <si>
    <t>definition</t>
  </si>
  <si>
    <t>metadata</t>
  </si>
  <si>
    <t>quality_type</t>
  </si>
  <si>
    <t>type</t>
  </si>
  <si>
    <t>setting_version</t>
  </si>
  <si>
    <t>global_quality</t>
  </si>
  <si>
    <t>values</t>
  </si>
  <si>
    <t>Fine</t>
  </si>
  <si>
    <t>Draft</t>
  </si>
  <si>
    <t>Fast</t>
  </si>
  <si>
    <t>Medium</t>
  </si>
  <si>
    <t>Rough</t>
  </si>
  <si>
    <t>Big</t>
  </si>
  <si>
    <t>Large</t>
  </si>
  <si>
    <t>Giant</t>
  </si>
  <si>
    <t>material</t>
  </si>
  <si>
    <t>brim_line_count</t>
  </si>
  <si>
    <t>z_seam_type</t>
  </si>
  <si>
    <t>shortest</t>
  </si>
  <si>
    <t>True</t>
  </si>
  <si>
    <t>False</t>
  </si>
  <si>
    <t>=round(coasting_volume,1)</t>
  </si>
  <si>
    <t>=3.141 * line_width * line_width * line_width</t>
  </si>
  <si>
    <t>line_width</t>
  </si>
  <si>
    <t>connect_skin_polygons</t>
  </si>
  <si>
    <t>alternate_extra_perimeter</t>
  </si>
  <si>
    <t>travel_compensate_overlapping_walls_enabled</t>
  </si>
  <si>
    <t>filter_out_tiny_gaps</t>
  </si>
  <si>
    <t>xy_offset</t>
  </si>
  <si>
    <t>xy_offset_layer_0</t>
  </si>
  <si>
    <t>z_seam_corner</t>
  </si>
  <si>
    <t>skin_no_small_gaps_heuristic</t>
  </si>
  <si>
    <t>ironing_flow</t>
  </si>
  <si>
    <t>infill_sparse_thickness</t>
  </si>
  <si>
    <t>infill_support_enabled</t>
  </si>
  <si>
    <t>retraction_count_max</t>
  </si>
  <si>
    <t>retraction_extrusion_window</t>
  </si>
  <si>
    <t>speed_print_layer_0</t>
  </si>
  <si>
    <t>speed_travel_layer_0</t>
  </si>
  <si>
    <t>jerk_travel</t>
  </si>
  <si>
    <t>jerk_layer_0</t>
  </si>
  <si>
    <t>travel_avoid_other_parts</t>
  </si>
  <si>
    <t>travel_avoid_supports</t>
  </si>
  <si>
    <t>start_layers_at_same_position</t>
  </si>
  <si>
    <t>retraction_hop_only_when_collides</t>
  </si>
  <si>
    <t>cool_fan_speed_0</t>
  </si>
  <si>
    <t>support_wall_count</t>
  </si>
  <si>
    <t>zig_zaggify_support</t>
  </si>
  <si>
    <t>support_connect_zigzags</t>
  </si>
  <si>
    <t>support_join_distance</t>
  </si>
  <si>
    <t>support_offset</t>
  </si>
  <si>
    <t>support_infill_sparse_thickness</t>
  </si>
  <si>
    <t>minimum_support_area</t>
  </si>
  <si>
    <t>support_interface_height</t>
  </si>
  <si>
    <t>support_interface_pattern</t>
  </si>
  <si>
    <t>minimum_interface_area</t>
  </si>
  <si>
    <t>support_interface_offset</t>
  </si>
  <si>
    <t>support_fan_enable</t>
  </si>
  <si>
    <t>support_supported_skin_fan_speed</t>
  </si>
  <si>
    <t>skirt_brim_minimal_length</t>
  </si>
  <si>
    <t>brim_replaces_support</t>
  </si>
  <si>
    <t>roofing_line_width</t>
  </si>
  <si>
    <t>roofing_pattern</t>
  </si>
  <si>
    <t>roofing_angles</t>
  </si>
  <si>
    <t>draft_shield_enabled</t>
  </si>
  <si>
    <t>conical_overhang_enabled</t>
  </si>
  <si>
    <t>spaghetti_infill_enabled</t>
  </si>
  <si>
    <t>support_conical_enabled</t>
  </si>
  <si>
    <t>magic_fuzzy_skin_enabled</t>
  </si>
  <si>
    <t>wireframe_enabled</t>
  </si>
  <si>
    <t>wall_overhang_angle</t>
  </si>
  <si>
    <t>wall_overhang_speed_factor</t>
  </si>
  <si>
    <t>bridge_wall_min_length</t>
  </si>
  <si>
    <t>bridge_skin_support_threshold</t>
  </si>
  <si>
    <t>bridge_wall_coast</t>
  </si>
  <si>
    <t>bridge_wall_speed</t>
  </si>
  <si>
    <t>bridge_wall_material_flow</t>
  </si>
  <si>
    <t>bridge_skin_speed</t>
  </si>
  <si>
    <t>bridge_skin_material_flow</t>
  </si>
  <si>
    <t>bridge_skin_density</t>
  </si>
  <si>
    <t>bridge_enable_more_layers</t>
  </si>
  <si>
    <t>Cura AppData folder</t>
  </si>
  <si>
    <t>adhesion_z_offset_adjust</t>
  </si>
  <si>
    <t>placeholder_skip</t>
  </si>
  <si>
    <t>pressure_advance_adjust</t>
  </si>
  <si>
    <t>C:\Users\softk\AppData\Roaming\cura\4.0</t>
  </si>
  <si>
    <t>Max Speed Per Layer Height (mm/s)</t>
  </si>
  <si>
    <t>Material Thickness Recommendations</t>
  </si>
  <si>
    <t>Max Volumetric Speed</t>
  </si>
  <si>
    <t>Meterial</t>
  </si>
  <si>
    <t>Recommended (mm)</t>
  </si>
  <si>
    <t>Absolute Min (mm)</t>
  </si>
  <si>
    <t>PLA</t>
  </si>
  <si>
    <t>ABS</t>
  </si>
  <si>
    <t>Nylon</t>
  </si>
  <si>
    <t>PP</t>
  </si>
  <si>
    <t>TPU</t>
  </si>
  <si>
    <t>Thickness Per Layer Height (mm)</t>
  </si>
  <si>
    <t>Layer Type</t>
  </si>
  <si>
    <t>bottom_solid_layers</t>
  </si>
  <si>
    <t>Thickness Per Layer Height (line count)</t>
  </si>
  <si>
    <t>Volumetric</t>
  </si>
  <si>
    <t>#Manual Max</t>
  </si>
  <si>
    <t>#Volumetric Max</t>
  </si>
  <si>
    <t>coarse</t>
  </si>
  <si>
    <t>quick</t>
  </si>
  <si>
    <t>Coarse</t>
  </si>
  <si>
    <t>Quick</t>
  </si>
  <si>
    <t>0.24</t>
  </si>
  <si>
    <t>0.28</t>
  </si>
  <si>
    <t>Max Volumetric Speed Per Layer Height (mm/s)</t>
  </si>
  <si>
    <t>Volumetric Speed Of Hotend Type (mm^3/s)</t>
  </si>
  <si>
    <t xml:space="preserve">Filament  </t>
  </si>
  <si>
    <t>Generic</t>
  </si>
  <si>
    <t>E3D V6</t>
  </si>
  <si>
    <t>E3D Volcano</t>
  </si>
  <si>
    <t>E3D Super Volcano</t>
  </si>
  <si>
    <t>CR-10</t>
  </si>
  <si>
    <t>Filaments</t>
  </si>
  <si>
    <t>Max Speed</t>
  </si>
  <si>
    <t>Hotend Temperature</t>
  </si>
  <si>
    <t>Bed Temperature</t>
  </si>
  <si>
    <t>Adhesion</t>
  </si>
  <si>
    <t>Enclosure Temperature</t>
  </si>
  <si>
    <t>Cooling Layer Start</t>
  </si>
  <si>
    <t>Layer Heights</t>
  </si>
  <si>
    <t>Dryer</t>
  </si>
  <si>
    <t>Z-Offset</t>
  </si>
  <si>
    <t>Heat Deflection Temperature in C</t>
  </si>
  <si>
    <t>Heat Deflection Temperature in F</t>
  </si>
  <si>
    <t>Maximum service temperature in air (C)</t>
  </si>
  <si>
    <t>Filament Dryer in F</t>
  </si>
  <si>
    <t>Layer Bonding</t>
  </si>
  <si>
    <t>Open</t>
  </si>
  <si>
    <t>Normal</t>
  </si>
  <si>
    <t>Hygroscopic</t>
  </si>
  <si>
    <t>High</t>
  </si>
  <si>
    <t xml:space="preserve">Enclosure </t>
  </si>
  <si>
    <t>Low</t>
  </si>
  <si>
    <t>High Hygroscopic</t>
  </si>
  <si>
    <t>60-100</t>
  </si>
  <si>
    <t>HIPS</t>
  </si>
  <si>
    <t>ASA</t>
  </si>
  <si>
    <t>TPE</t>
  </si>
  <si>
    <t>Hotend Type</t>
  </si>
  <si>
    <t>Meterial Thickness</t>
  </si>
  <si>
    <t>Recommended</t>
  </si>
  <si>
    <t>4MaxPro Speed</t>
  </si>
  <si>
    <t>Printer Model</t>
  </si>
  <si>
    <t>C:\Users\krishnkr\AppData\Roaming\cura\4.4</t>
  </si>
  <si>
    <t>Max Print Acceleration</t>
  </si>
  <si>
    <t>junction_deviation</t>
  </si>
  <si>
    <t>E:\CAD\Cura36Portable\Data\AppData_Cura\4.4</t>
  </si>
  <si>
    <t>PETG</t>
  </si>
  <si>
    <t>CPE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</si>
</sst>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b/>
      <sz val="11"/>
      <color theme="0"/>
      <name val="Calibri"/>
      <family val="2"/>
      <scheme val="minor"/>
    </font>
    <font>
      <b/>
      <sz val="11"/>
      <color theme="1"/>
      <name val="Calibri"/>
      <family val="2"/>
      <scheme val="minor"/>
    </font>
    <font>
      <b/>
      <sz val="9"/>
      <color indexed="81"/>
      <name val="Tahoma"/>
      <family val="2"/>
    </font>
    <font>
      <sz val="9"/>
      <color indexed="81"/>
      <name val="Tahoma"/>
      <family val="2"/>
    </font>
  </fonts>
  <fills count="13">
    <fill>
      <patternFill patternType="none"/>
    </fill>
    <fill>
      <patternFill patternType="gray125"/>
    </fill>
    <fill>
      <patternFill patternType="solid">
        <fgColor rgb="FFFFFF00"/>
        <bgColor indexed="6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theme="5" tint="0.39997558519241921"/>
        <bgColor indexed="64"/>
      </patternFill>
    </fill>
    <fill>
      <patternFill patternType="solid">
        <fgColor rgb="FFA9D08E"/>
        <bgColor indexed="64"/>
      </patternFill>
    </fill>
    <fill>
      <patternFill patternType="solid">
        <fgColor rgb="FFB4C6E7"/>
        <bgColor indexed="64"/>
      </patternFill>
    </fill>
    <fill>
      <patternFill patternType="solid">
        <fgColor rgb="FFD9E1F2"/>
        <bgColor indexed="64"/>
      </patternFill>
    </fill>
    <fill>
      <patternFill patternType="solid">
        <fgColor rgb="FFB4C6E7"/>
        <bgColor theme="4" tint="0.59999389629810485"/>
      </patternFill>
    </fill>
    <fill>
      <patternFill patternType="solid">
        <fgColor rgb="FFD9E1F2"/>
        <bgColor theme="4" tint="0.79998168889431442"/>
      </patternFill>
    </fill>
    <fill>
      <patternFill patternType="solid">
        <fgColor rgb="FFB4C6E7"/>
        <bgColor theme="4" tint="0.79998168889431442"/>
      </patternFill>
    </fill>
    <fill>
      <patternFill patternType="solid">
        <fgColor rgb="FFD9E1F2"/>
        <bgColor theme="4" tint="0.59999389629810485"/>
      </patternFill>
    </fill>
  </fills>
  <borders count="10">
    <border>
      <left/>
      <right/>
      <top/>
      <bottom/>
      <diagonal/>
    </border>
    <border>
      <left style="thin">
        <color theme="0"/>
      </left>
      <right/>
      <top style="thin">
        <color theme="0"/>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rgb="FFFFFFFF"/>
      </left>
      <right style="thin">
        <color rgb="FFFFFFFF"/>
      </right>
      <top style="thin">
        <color rgb="FFFFFFFF"/>
      </top>
      <bottom style="thin">
        <color rgb="FFFFFFFF"/>
      </bottom>
      <diagonal/>
    </border>
    <border>
      <left style="thin">
        <color rgb="FFFFFFFF"/>
      </left>
      <right/>
      <top style="thin">
        <color rgb="FFFFFFFF"/>
      </top>
      <bottom style="thin">
        <color rgb="FFFFFFFF"/>
      </bottom>
      <diagonal/>
    </border>
    <border>
      <left style="thin">
        <color rgb="FFFFFFFF"/>
      </left>
      <right style="thin">
        <color rgb="FFFFFFFF"/>
      </right>
      <top style="thin">
        <color rgb="FFFFFFFF"/>
      </top>
      <bottom/>
      <diagonal/>
    </border>
    <border>
      <left style="thin">
        <color rgb="FFFFFFFF"/>
      </left>
      <right/>
      <top style="thin">
        <color rgb="FFFFFFFF"/>
      </top>
      <bottom/>
      <diagonal/>
    </border>
  </borders>
  <cellStyleXfs count="1">
    <xf numFmtId="0" fontId="0" fillId="0" borderId="0"/>
  </cellStyleXfs>
  <cellXfs count="54">
    <xf numFmtId="0" fontId="0" fillId="0" borderId="0" xfId="0"/>
    <xf numFmtId="0" fontId="0" fillId="3" borderId="1" xfId="0" applyFont="1" applyFill="1" applyBorder="1"/>
    <xf numFmtId="0" fontId="0" fillId="4" borderId="1" xfId="0" applyFont="1" applyFill="1" applyBorder="1"/>
    <xf numFmtId="0" fontId="0" fillId="6" borderId="6" xfId="0" applyFill="1" applyBorder="1" applyAlignment="1">
      <alignment wrapText="1"/>
    </xf>
    <xf numFmtId="0" fontId="0" fillId="7" borderId="6" xfId="0" applyFill="1" applyBorder="1"/>
    <xf numFmtId="0" fontId="0" fillId="8" borderId="6" xfId="0" applyFill="1" applyBorder="1"/>
    <xf numFmtId="0" fontId="0" fillId="8" borderId="6" xfId="0" applyFill="1" applyBorder="1" applyAlignment="1">
      <alignment horizontal="right"/>
    </xf>
    <xf numFmtId="0" fontId="0" fillId="0" borderId="0" xfId="0" applyFill="1" applyBorder="1"/>
    <xf numFmtId="0" fontId="0" fillId="0" borderId="0" xfId="0" applyFill="1" applyBorder="1" applyAlignment="1">
      <alignment horizontal="right"/>
    </xf>
    <xf numFmtId="0" fontId="0" fillId="0" borderId="0" xfId="0" applyFill="1" applyBorder="1" applyAlignment="1">
      <alignment horizontal="left"/>
    </xf>
    <xf numFmtId="0" fontId="2" fillId="6" borderId="6" xfId="0" applyFont="1" applyFill="1" applyBorder="1"/>
    <xf numFmtId="0" fontId="2" fillId="6" borderId="6" xfId="0" applyFont="1" applyFill="1" applyBorder="1" applyAlignment="1">
      <alignment horizontal="right"/>
    </xf>
    <xf numFmtId="49" fontId="2" fillId="6" borderId="6" xfId="0" applyNumberFormat="1" applyFont="1" applyFill="1" applyBorder="1" applyAlignment="1">
      <alignment horizontal="left"/>
    </xf>
    <xf numFmtId="0" fontId="0" fillId="6" borderId="6" xfId="0" applyFill="1" applyBorder="1"/>
    <xf numFmtId="0" fontId="0" fillId="7" borderId="6" xfId="0" applyFont="1" applyFill="1" applyBorder="1"/>
    <xf numFmtId="0" fontId="0" fillId="7" borderId="6" xfId="0" applyFont="1" applyFill="1" applyBorder="1" applyAlignment="1">
      <alignment horizontal="right"/>
    </xf>
    <xf numFmtId="0" fontId="0" fillId="7" borderId="6" xfId="0" applyFont="1" applyFill="1" applyBorder="1" applyAlignment="1">
      <alignment horizontal="left"/>
    </xf>
    <xf numFmtId="0" fontId="0" fillId="8" borderId="6" xfId="0" applyFont="1" applyFill="1" applyBorder="1"/>
    <xf numFmtId="0" fontId="0" fillId="8" borderId="6" xfId="0" applyFont="1" applyFill="1" applyBorder="1" applyAlignment="1">
      <alignment horizontal="right"/>
    </xf>
    <xf numFmtId="0" fontId="0" fillId="8" borderId="6" xfId="0" applyFont="1" applyFill="1" applyBorder="1" applyAlignment="1">
      <alignment horizontal="left"/>
    </xf>
    <xf numFmtId="49" fontId="0" fillId="7" borderId="6" xfId="0" applyNumberFormat="1" applyFont="1" applyFill="1" applyBorder="1" applyAlignment="1">
      <alignment horizontal="left"/>
    </xf>
    <xf numFmtId="9" fontId="0" fillId="8" borderId="6" xfId="0" applyNumberFormat="1" applyFont="1" applyFill="1" applyBorder="1" applyAlignment="1">
      <alignment horizontal="right"/>
    </xf>
    <xf numFmtId="1" fontId="0" fillId="7" borderId="6" xfId="0" applyNumberFormat="1" applyFont="1" applyFill="1" applyBorder="1" applyAlignment="1">
      <alignment horizontal="left"/>
    </xf>
    <xf numFmtId="0" fontId="0" fillId="8" borderId="6" xfId="0" applyFont="1" applyFill="1" applyBorder="1" applyAlignment="1">
      <alignment wrapText="1"/>
    </xf>
    <xf numFmtId="9" fontId="0" fillId="7" borderId="6" xfId="0" applyNumberFormat="1" applyFont="1" applyFill="1" applyBorder="1" applyAlignment="1">
      <alignment horizontal="right"/>
    </xf>
    <xf numFmtId="1" fontId="0" fillId="8" borderId="6" xfId="0" applyNumberFormat="1" applyFont="1" applyFill="1" applyBorder="1" applyAlignment="1">
      <alignment horizontal="left"/>
    </xf>
    <xf numFmtId="0" fontId="0" fillId="7" borderId="6" xfId="0" applyFont="1" applyFill="1" applyBorder="1" applyAlignment="1">
      <alignment wrapText="1"/>
    </xf>
    <xf numFmtId="0" fontId="1" fillId="6" borderId="6" xfId="0" applyFont="1" applyFill="1" applyBorder="1"/>
    <xf numFmtId="0" fontId="1" fillId="6" borderId="6" xfId="0" applyFont="1" applyFill="1" applyBorder="1" applyAlignment="1">
      <alignment wrapText="1"/>
    </xf>
    <xf numFmtId="1" fontId="0" fillId="7" borderId="6" xfId="0" applyNumberFormat="1" applyFill="1" applyBorder="1"/>
    <xf numFmtId="1" fontId="0" fillId="8" borderId="6" xfId="0" applyNumberFormat="1" applyFill="1" applyBorder="1"/>
    <xf numFmtId="0" fontId="1" fillId="6" borderId="7" xfId="0" applyFont="1" applyFill="1" applyBorder="1"/>
    <xf numFmtId="1" fontId="0" fillId="7" borderId="7" xfId="0" applyNumberFormat="1" applyFill="1" applyBorder="1"/>
    <xf numFmtId="1" fontId="0" fillId="8" borderId="7" xfId="0" applyNumberFormat="1" applyFill="1" applyBorder="1"/>
    <xf numFmtId="0" fontId="0" fillId="7" borderId="8" xfId="0" applyFill="1" applyBorder="1"/>
    <xf numFmtId="0" fontId="0" fillId="7" borderId="9" xfId="0" applyFill="1" applyBorder="1"/>
    <xf numFmtId="1" fontId="0" fillId="0" borderId="0" xfId="0" applyNumberFormat="1" applyFill="1" applyBorder="1"/>
    <xf numFmtId="2" fontId="0" fillId="2" borderId="6" xfId="0" applyNumberFormat="1" applyFill="1" applyBorder="1"/>
    <xf numFmtId="2" fontId="0" fillId="7" borderId="6" xfId="0" applyNumberFormat="1" applyFill="1" applyBorder="1"/>
    <xf numFmtId="2" fontId="0" fillId="8" borderId="6" xfId="0" applyNumberFormat="1" applyFill="1" applyBorder="1"/>
    <xf numFmtId="0" fontId="0" fillId="9" borderId="6" xfId="0" applyFont="1" applyFill="1" applyBorder="1"/>
    <xf numFmtId="0" fontId="0" fillId="10" borderId="6" xfId="0" applyFont="1" applyFill="1" applyBorder="1"/>
    <xf numFmtId="0" fontId="0" fillId="11" borderId="6" xfId="0" applyFont="1" applyFill="1" applyBorder="1"/>
    <xf numFmtId="0" fontId="0" fillId="12" borderId="6" xfId="0" applyFont="1" applyFill="1" applyBorder="1"/>
    <xf numFmtId="0" fontId="0" fillId="9" borderId="6" xfId="0" applyFill="1" applyBorder="1" applyAlignment="1">
      <alignment horizontal="right"/>
    </xf>
    <xf numFmtId="0" fontId="0" fillId="12" borderId="6" xfId="0" applyFill="1" applyBorder="1"/>
    <xf numFmtId="0" fontId="0" fillId="12" borderId="6" xfId="0" applyFill="1" applyBorder="1" applyAlignment="1">
      <alignment horizontal="right"/>
    </xf>
    <xf numFmtId="0" fontId="0" fillId="9" borderId="6" xfId="0" applyFill="1" applyBorder="1"/>
    <xf numFmtId="0" fontId="0" fillId="5" borderId="2" xfId="0" applyFill="1" applyBorder="1" applyAlignment="1">
      <alignment horizontal="center"/>
    </xf>
    <xf numFmtId="0" fontId="0" fillId="5" borderId="3" xfId="0" applyFill="1" applyBorder="1" applyAlignment="1">
      <alignment horizontal="center"/>
    </xf>
    <xf numFmtId="0" fontId="0" fillId="5" borderId="4" xfId="0" applyFill="1" applyBorder="1" applyAlignment="1">
      <alignment horizontal="center"/>
    </xf>
    <xf numFmtId="0" fontId="0" fillId="5" borderId="5" xfId="0" applyFill="1" applyBorder="1" applyAlignment="1">
      <alignment horizontal="center"/>
    </xf>
    <xf numFmtId="0" fontId="2" fillId="6" borderId="6" xfId="0" applyFont="1" applyFill="1" applyBorder="1" applyAlignment="1">
      <alignment horizontal="left"/>
    </xf>
    <xf numFmtId="0" fontId="2" fillId="6" borderId="6" xfId="0" applyFont="1" applyFill="1" applyBorder="1" applyAlignmen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DD364F-F1A3-4F5B-8BE4-C3053DB080D9}">
  <sheetPr codeName="Sheet4"/>
  <dimension ref="A1:U40"/>
  <sheetViews>
    <sheetView workbookViewId="0">
      <selection activeCell="B38" sqref="B38"/>
    </sheetView>
  </sheetViews>
  <sheetFormatPr defaultRowHeight="14.4" x14ac:dyDescent="0.3"/>
  <cols>
    <col min="1" max="1" width="23" bestFit="1" customWidth="1"/>
    <col min="2" max="2" width="51" bestFit="1" customWidth="1"/>
    <col min="3" max="3" width="9.88671875" customWidth="1"/>
    <col min="5" max="5" width="19.44140625" bestFit="1" customWidth="1"/>
    <col min="7" max="7" width="17.33203125" bestFit="1" customWidth="1"/>
    <col min="21" max="21" width="18.5546875" bestFit="1" customWidth="1"/>
  </cols>
  <sheetData>
    <row r="1" spans="1:21" x14ac:dyDescent="0.3">
      <c r="A1" s="27" t="s">
        <v>7</v>
      </c>
      <c r="B1" s="27" t="s">
        <v>8</v>
      </c>
      <c r="C1" s="27" t="s">
        <v>12</v>
      </c>
      <c r="E1" s="48" t="s">
        <v>236</v>
      </c>
      <c r="F1" s="49"/>
      <c r="G1" s="49"/>
      <c r="H1" s="49"/>
      <c r="I1" s="49"/>
      <c r="J1" s="49"/>
      <c r="K1" s="49"/>
      <c r="L1" s="49"/>
      <c r="M1" s="49"/>
      <c r="N1" s="49"/>
      <c r="O1" s="49"/>
      <c r="P1" s="49"/>
      <c r="Q1" s="50"/>
      <c r="S1" s="51" t="s">
        <v>237</v>
      </c>
      <c r="T1" s="51"/>
      <c r="U1" s="51"/>
    </row>
    <row r="2" spans="1:21" x14ac:dyDescent="0.3">
      <c r="A2" s="40" t="s">
        <v>6</v>
      </c>
      <c r="B2" s="14">
        <v>0.6</v>
      </c>
      <c r="C2" s="40"/>
      <c r="E2" s="27" t="s">
        <v>33</v>
      </c>
      <c r="F2" s="27" t="s">
        <v>238</v>
      </c>
      <c r="G2" s="27">
        <v>0.12</v>
      </c>
      <c r="H2" s="27">
        <v>0.2</v>
      </c>
      <c r="I2" s="27">
        <v>0.24</v>
      </c>
      <c r="J2" s="27">
        <v>0.28000000000000003</v>
      </c>
      <c r="K2" s="27">
        <v>0.32</v>
      </c>
      <c r="L2" s="27">
        <v>0.4</v>
      </c>
      <c r="M2" s="27">
        <v>0.48</v>
      </c>
      <c r="N2" s="27">
        <v>0.56000000000000005</v>
      </c>
      <c r="O2" s="27">
        <v>0.64</v>
      </c>
      <c r="P2" s="27">
        <v>0.72</v>
      </c>
      <c r="Q2" s="27">
        <v>0.8</v>
      </c>
      <c r="S2" s="27" t="s">
        <v>239</v>
      </c>
      <c r="T2" s="27" t="s">
        <v>240</v>
      </c>
      <c r="U2" s="27" t="s">
        <v>241</v>
      </c>
    </row>
    <row r="3" spans="1:21" x14ac:dyDescent="0.3">
      <c r="A3" s="41" t="s">
        <v>298</v>
      </c>
      <c r="B3" s="41" t="s">
        <v>297</v>
      </c>
      <c r="C3" s="41"/>
      <c r="E3" s="4" t="s">
        <v>242</v>
      </c>
      <c r="F3" s="4">
        <v>11.5</v>
      </c>
      <c r="G3" s="29">
        <f t="shared" ref="G3:Q8" si="0">$F3/((Nozzle_Diameter*1.2)*G$2)</f>
        <v>133.10185185185188</v>
      </c>
      <c r="H3" s="29">
        <f t="shared" si="0"/>
        <v>79.861111111111114</v>
      </c>
      <c r="I3" s="29">
        <f t="shared" si="0"/>
        <v>66.550925925925938</v>
      </c>
      <c r="J3" s="29">
        <f t="shared" si="0"/>
        <v>57.043650793650791</v>
      </c>
      <c r="K3" s="29">
        <f t="shared" si="0"/>
        <v>49.913194444444443</v>
      </c>
      <c r="L3" s="29">
        <f t="shared" si="0"/>
        <v>39.930555555555557</v>
      </c>
      <c r="M3" s="29">
        <f t="shared" si="0"/>
        <v>33.275462962962969</v>
      </c>
      <c r="N3" s="29">
        <f t="shared" si="0"/>
        <v>28.521825396825395</v>
      </c>
      <c r="O3" s="29">
        <f t="shared" si="0"/>
        <v>24.956597222222221</v>
      </c>
      <c r="P3" s="29">
        <f t="shared" si="0"/>
        <v>22.183641975308642</v>
      </c>
      <c r="Q3" s="29">
        <f t="shared" si="0"/>
        <v>19.965277777777779</v>
      </c>
      <c r="S3" s="4" t="s">
        <v>242</v>
      </c>
      <c r="T3" s="38">
        <v>1.5</v>
      </c>
      <c r="U3" s="38">
        <v>0.8</v>
      </c>
    </row>
    <row r="4" spans="1:21" x14ac:dyDescent="0.3">
      <c r="A4" s="40" t="s">
        <v>9</v>
      </c>
      <c r="B4" s="14" t="str">
        <f>TRIM(B3 &amp;" " &amp; " " &amp; Nozzle_Diameter &amp; "mm Nozzle")</f>
        <v>4MaxPro Speed 0.6mm Nozzle</v>
      </c>
      <c r="C4" s="42"/>
      <c r="E4" s="5" t="s">
        <v>303</v>
      </c>
      <c r="F4" s="5">
        <v>8</v>
      </c>
      <c r="G4" s="30">
        <f t="shared" si="0"/>
        <v>92.592592592592609</v>
      </c>
      <c r="H4" s="30">
        <f t="shared" si="0"/>
        <v>55.555555555555557</v>
      </c>
      <c r="I4" s="30">
        <f t="shared" si="0"/>
        <v>46.296296296296305</v>
      </c>
      <c r="J4" s="30">
        <f t="shared" si="0"/>
        <v>39.682539682539684</v>
      </c>
      <c r="K4" s="30">
        <f t="shared" si="0"/>
        <v>34.722222222222221</v>
      </c>
      <c r="L4" s="30">
        <f t="shared" si="0"/>
        <v>27.777777777777779</v>
      </c>
      <c r="M4" s="30">
        <f t="shared" si="0"/>
        <v>23.148148148148152</v>
      </c>
      <c r="N4" s="30">
        <f t="shared" si="0"/>
        <v>19.841269841269842</v>
      </c>
      <c r="O4" s="30">
        <f t="shared" si="0"/>
        <v>17.361111111111111</v>
      </c>
      <c r="P4" s="30">
        <f t="shared" si="0"/>
        <v>15.4320987654321</v>
      </c>
      <c r="Q4" s="30">
        <f>$F4/((Nozzle_Diameter*1.2)*Q$2)</f>
        <v>13.888888888888889</v>
      </c>
      <c r="S4" s="5" t="s">
        <v>303</v>
      </c>
      <c r="T4" s="39">
        <v>1.5</v>
      </c>
      <c r="U4" s="39">
        <v>0.8</v>
      </c>
    </row>
    <row r="5" spans="1:21" x14ac:dyDescent="0.3">
      <c r="A5" s="43" t="s">
        <v>36</v>
      </c>
      <c r="B5" s="17" t="str">
        <f>LOWER(SUBSTITUTE(SUBSTITUTE(TRIM(Printer_Name)," ","_"),".","_"))</f>
        <v>4maxpro_speed_0_6mm_nozzle</v>
      </c>
      <c r="C5" s="43"/>
      <c r="E5" s="4" t="s">
        <v>243</v>
      </c>
      <c r="F5" s="4">
        <v>10</v>
      </c>
      <c r="G5" s="29">
        <f t="shared" si="0"/>
        <v>115.74074074074075</v>
      </c>
      <c r="H5" s="29">
        <f t="shared" si="0"/>
        <v>69.444444444444443</v>
      </c>
      <c r="I5" s="29">
        <f t="shared" si="0"/>
        <v>57.870370370370374</v>
      </c>
      <c r="J5" s="29">
        <f t="shared" si="0"/>
        <v>49.603174603174601</v>
      </c>
      <c r="K5" s="29">
        <f t="shared" si="0"/>
        <v>43.402777777777779</v>
      </c>
      <c r="L5" s="29">
        <f t="shared" si="0"/>
        <v>34.722222222222221</v>
      </c>
      <c r="M5" s="29">
        <f t="shared" si="0"/>
        <v>28.935185185185187</v>
      </c>
      <c r="N5" s="29">
        <f t="shared" si="0"/>
        <v>24.801587301587301</v>
      </c>
      <c r="O5" s="29">
        <f t="shared" si="0"/>
        <v>21.701388888888889</v>
      </c>
      <c r="P5" s="29">
        <f t="shared" si="0"/>
        <v>19.290123456790123</v>
      </c>
      <c r="Q5" s="29">
        <f t="shared" si="0"/>
        <v>17.361111111111111</v>
      </c>
      <c r="S5" s="4" t="s">
        <v>243</v>
      </c>
      <c r="T5" s="38">
        <v>1.5</v>
      </c>
      <c r="U5" s="38">
        <v>0.8</v>
      </c>
    </row>
    <row r="6" spans="1:21" x14ac:dyDescent="0.3">
      <c r="A6" s="42" t="s">
        <v>10</v>
      </c>
      <c r="B6" s="42">
        <f>Nozzle_Diameter*0.2</f>
        <v>0.12</v>
      </c>
      <c r="C6" s="40"/>
      <c r="E6" s="5" t="s">
        <v>244</v>
      </c>
      <c r="F6" s="5">
        <v>6</v>
      </c>
      <c r="G6" s="30">
        <f t="shared" si="0"/>
        <v>69.444444444444457</v>
      </c>
      <c r="H6" s="30">
        <f t="shared" si="0"/>
        <v>41.666666666666671</v>
      </c>
      <c r="I6" s="30">
        <f t="shared" si="0"/>
        <v>34.722222222222229</v>
      </c>
      <c r="J6" s="30">
        <f t="shared" si="0"/>
        <v>29.761904761904763</v>
      </c>
      <c r="K6" s="30">
        <f t="shared" si="0"/>
        <v>26.041666666666668</v>
      </c>
      <c r="L6" s="30">
        <f t="shared" si="0"/>
        <v>20.833333333333336</v>
      </c>
      <c r="M6" s="30">
        <f t="shared" si="0"/>
        <v>17.361111111111114</v>
      </c>
      <c r="N6" s="30">
        <f t="shared" si="0"/>
        <v>14.880952380952381</v>
      </c>
      <c r="O6" s="30">
        <f t="shared" si="0"/>
        <v>13.020833333333334</v>
      </c>
      <c r="P6" s="30">
        <f t="shared" si="0"/>
        <v>11.574074074074074</v>
      </c>
      <c r="Q6" s="30">
        <f t="shared" si="0"/>
        <v>10.416666666666668</v>
      </c>
      <c r="S6" s="5" t="s">
        <v>244</v>
      </c>
      <c r="T6" s="39">
        <v>1.5</v>
      </c>
      <c r="U6" s="39">
        <v>0.8</v>
      </c>
    </row>
    <row r="7" spans="1:21" x14ac:dyDescent="0.3">
      <c r="A7" s="43" t="s">
        <v>11</v>
      </c>
      <c r="B7" s="43">
        <f>Nozzle_Diameter*0.8</f>
        <v>0.48</v>
      </c>
      <c r="C7" s="41"/>
      <c r="E7" s="4" t="s">
        <v>245</v>
      </c>
      <c r="F7" s="4">
        <v>6</v>
      </c>
      <c r="G7" s="29">
        <f t="shared" si="0"/>
        <v>69.444444444444457</v>
      </c>
      <c r="H7" s="29">
        <f t="shared" si="0"/>
        <v>41.666666666666671</v>
      </c>
      <c r="I7" s="29">
        <f t="shared" si="0"/>
        <v>34.722222222222229</v>
      </c>
      <c r="J7" s="29">
        <f t="shared" si="0"/>
        <v>29.761904761904763</v>
      </c>
      <c r="K7" s="29">
        <f t="shared" si="0"/>
        <v>26.041666666666668</v>
      </c>
      <c r="L7" s="29">
        <f t="shared" si="0"/>
        <v>20.833333333333336</v>
      </c>
      <c r="M7" s="29">
        <f t="shared" si="0"/>
        <v>17.361111111111114</v>
      </c>
      <c r="N7" s="29">
        <f t="shared" si="0"/>
        <v>14.880952380952381</v>
      </c>
      <c r="O7" s="29">
        <f t="shared" si="0"/>
        <v>13.020833333333334</v>
      </c>
      <c r="P7" s="29">
        <f t="shared" si="0"/>
        <v>11.574074074074074</v>
      </c>
      <c r="Q7" s="29">
        <f t="shared" si="0"/>
        <v>10.416666666666668</v>
      </c>
      <c r="S7" s="4" t="s">
        <v>245</v>
      </c>
      <c r="T7" s="38">
        <v>1.5</v>
      </c>
      <c r="U7" s="38">
        <v>0.8</v>
      </c>
    </row>
    <row r="8" spans="1:21" x14ac:dyDescent="0.3">
      <c r="A8" s="40" t="s">
        <v>33</v>
      </c>
      <c r="B8" s="44" t="s">
        <v>242</v>
      </c>
      <c r="C8" s="40"/>
      <c r="E8" s="5" t="s">
        <v>246</v>
      </c>
      <c r="F8" s="5">
        <v>6</v>
      </c>
      <c r="G8" s="30">
        <f t="shared" si="0"/>
        <v>69.444444444444457</v>
      </c>
      <c r="H8" s="30">
        <f t="shared" si="0"/>
        <v>41.666666666666671</v>
      </c>
      <c r="I8" s="30">
        <f t="shared" si="0"/>
        <v>34.722222222222229</v>
      </c>
      <c r="J8" s="30">
        <f t="shared" si="0"/>
        <v>29.761904761904763</v>
      </c>
      <c r="K8" s="30">
        <f t="shared" si="0"/>
        <v>26.041666666666668</v>
      </c>
      <c r="L8" s="30">
        <f t="shared" si="0"/>
        <v>20.833333333333336</v>
      </c>
      <c r="M8" s="30">
        <f t="shared" si="0"/>
        <v>17.361111111111114</v>
      </c>
      <c r="N8" s="30">
        <f t="shared" si="0"/>
        <v>14.880952380952381</v>
      </c>
      <c r="O8" s="30">
        <f t="shared" si="0"/>
        <v>13.020833333333334</v>
      </c>
      <c r="P8" s="30">
        <f t="shared" si="0"/>
        <v>11.574074074074074</v>
      </c>
      <c r="Q8" s="30">
        <f t="shared" si="0"/>
        <v>10.416666666666668</v>
      </c>
      <c r="S8" s="5" t="s">
        <v>246</v>
      </c>
      <c r="T8" s="39">
        <v>1.5</v>
      </c>
      <c r="U8" s="39">
        <v>0.8</v>
      </c>
    </row>
    <row r="9" spans="1:21" x14ac:dyDescent="0.3">
      <c r="A9" s="43" t="s">
        <v>35</v>
      </c>
      <c r="B9" s="43">
        <v>700</v>
      </c>
      <c r="C9" s="43"/>
      <c r="E9" s="4"/>
      <c r="F9" s="4"/>
      <c r="G9" s="29"/>
      <c r="H9" s="29"/>
      <c r="I9" s="29"/>
      <c r="J9" s="29"/>
      <c r="K9" s="29"/>
      <c r="L9" s="29"/>
      <c r="M9" s="29"/>
      <c r="N9" s="29"/>
      <c r="O9" s="29"/>
      <c r="P9" s="29"/>
      <c r="Q9" s="29"/>
      <c r="S9" s="4"/>
      <c r="T9" s="4"/>
      <c r="U9" s="4"/>
    </row>
    <row r="10" spans="1:21" x14ac:dyDescent="0.3">
      <c r="A10" s="40" t="s">
        <v>300</v>
      </c>
      <c r="B10" s="40">
        <v>700</v>
      </c>
      <c r="C10" s="40"/>
      <c r="E10" s="5"/>
      <c r="F10" s="5"/>
      <c r="G10" s="30"/>
      <c r="H10" s="30"/>
      <c r="I10" s="30"/>
      <c r="J10" s="30"/>
      <c r="K10" s="30"/>
      <c r="L10" s="30"/>
      <c r="M10" s="30"/>
      <c r="N10" s="30"/>
      <c r="O10" s="30"/>
      <c r="P10" s="30"/>
      <c r="Q10" s="30"/>
      <c r="S10" s="5"/>
      <c r="T10" s="5"/>
      <c r="U10" s="5"/>
    </row>
    <row r="11" spans="1:21" x14ac:dyDescent="0.3">
      <c r="A11" s="45" t="s">
        <v>23</v>
      </c>
      <c r="B11" s="46" t="s">
        <v>251</v>
      </c>
      <c r="C11" s="43"/>
      <c r="E11" s="4"/>
      <c r="F11" s="4"/>
      <c r="G11" s="29"/>
      <c r="H11" s="29"/>
      <c r="I11" s="29"/>
      <c r="J11" s="29"/>
      <c r="K11" s="29"/>
      <c r="L11" s="29"/>
      <c r="M11" s="29"/>
      <c r="N11" s="29"/>
      <c r="O11" s="29"/>
      <c r="P11" s="29"/>
      <c r="Q11" s="29"/>
      <c r="S11" s="4"/>
      <c r="T11" s="4"/>
      <c r="U11" s="4"/>
    </row>
    <row r="12" spans="1:21" x14ac:dyDescent="0.3">
      <c r="A12" s="47" t="s">
        <v>295</v>
      </c>
      <c r="B12" s="44" t="s">
        <v>296</v>
      </c>
      <c r="C12" s="42"/>
      <c r="E12" s="5"/>
      <c r="F12" s="5"/>
      <c r="G12" s="30"/>
      <c r="H12" s="30"/>
      <c r="I12" s="30"/>
      <c r="J12" s="30"/>
      <c r="K12" s="30"/>
      <c r="L12" s="30"/>
      <c r="M12" s="30"/>
      <c r="N12" s="30"/>
      <c r="O12" s="30"/>
      <c r="P12" s="30"/>
      <c r="Q12" s="30"/>
      <c r="S12" s="5"/>
      <c r="T12" s="5"/>
      <c r="U12" s="5"/>
    </row>
    <row r="13" spans="1:21" x14ac:dyDescent="0.3">
      <c r="A13" s="43" t="s">
        <v>294</v>
      </c>
      <c r="B13" s="46" t="s">
        <v>264</v>
      </c>
      <c r="C13" s="43"/>
      <c r="E13" s="4"/>
      <c r="F13" s="4"/>
      <c r="G13" s="29"/>
      <c r="H13" s="29"/>
      <c r="I13" s="29"/>
      <c r="J13" s="29"/>
      <c r="K13" s="29"/>
      <c r="L13" s="29"/>
      <c r="M13" s="29"/>
      <c r="N13" s="29"/>
      <c r="O13" s="29"/>
      <c r="P13" s="29"/>
      <c r="Q13" s="29"/>
      <c r="S13" s="4"/>
      <c r="T13" s="4"/>
      <c r="U13" s="4"/>
    </row>
    <row r="14" spans="1:21" x14ac:dyDescent="0.3">
      <c r="A14" s="40"/>
      <c r="B14" s="40"/>
      <c r="C14" s="40"/>
      <c r="E14" s="5"/>
      <c r="F14" s="5"/>
      <c r="G14" s="30"/>
      <c r="H14" s="30"/>
      <c r="I14" s="30"/>
      <c r="J14" s="30"/>
      <c r="K14" s="30"/>
      <c r="L14" s="30"/>
      <c r="M14" s="30"/>
      <c r="N14" s="30"/>
      <c r="O14" s="30"/>
      <c r="P14" s="30"/>
      <c r="Q14" s="30"/>
      <c r="S14" s="5"/>
      <c r="T14" s="5"/>
      <c r="U14" s="5"/>
    </row>
    <row r="15" spans="1:21" x14ac:dyDescent="0.3">
      <c r="A15" s="43"/>
      <c r="B15" s="43"/>
      <c r="C15" s="43"/>
      <c r="E15" s="4"/>
      <c r="F15" s="4"/>
      <c r="G15" s="29"/>
      <c r="H15" s="29"/>
      <c r="I15" s="29"/>
      <c r="J15" s="29"/>
      <c r="K15" s="29"/>
      <c r="L15" s="29"/>
      <c r="M15" s="29"/>
      <c r="N15" s="29"/>
      <c r="O15" s="29"/>
      <c r="P15" s="29"/>
      <c r="Q15" s="29"/>
      <c r="S15" s="4"/>
      <c r="T15" s="4"/>
      <c r="U15" s="4"/>
    </row>
    <row r="16" spans="1:21" x14ac:dyDescent="0.3">
      <c r="A16" s="40"/>
      <c r="B16" s="40"/>
      <c r="C16" s="40"/>
      <c r="E16" s="5"/>
      <c r="F16" s="5"/>
      <c r="G16" s="30"/>
      <c r="H16" s="30"/>
      <c r="I16" s="30"/>
      <c r="J16" s="30"/>
      <c r="K16" s="30"/>
      <c r="L16" s="30"/>
      <c r="M16" s="30"/>
      <c r="N16" s="30"/>
      <c r="O16" s="30"/>
      <c r="P16" s="30"/>
      <c r="Q16" s="30"/>
      <c r="S16" s="5"/>
      <c r="T16" s="5"/>
      <c r="U16" s="5"/>
    </row>
    <row r="17" spans="1:21" x14ac:dyDescent="0.3">
      <c r="A17" s="43"/>
      <c r="B17" s="43"/>
      <c r="C17" s="43"/>
      <c r="E17" s="4"/>
      <c r="F17" s="4"/>
      <c r="G17" s="29"/>
      <c r="H17" s="29"/>
      <c r="I17" s="29"/>
      <c r="J17" s="29"/>
      <c r="K17" s="29"/>
      <c r="L17" s="29"/>
      <c r="M17" s="29"/>
      <c r="N17" s="29"/>
      <c r="O17" s="29"/>
      <c r="P17" s="29"/>
      <c r="Q17" s="29"/>
      <c r="S17" s="4"/>
      <c r="T17" s="4"/>
      <c r="U17" s="4"/>
    </row>
    <row r="18" spans="1:21" x14ac:dyDescent="0.3">
      <c r="A18" s="40"/>
      <c r="B18" s="40"/>
      <c r="C18" s="40"/>
      <c r="E18" s="5"/>
      <c r="F18" s="5"/>
      <c r="G18" s="30"/>
      <c r="H18" s="30"/>
      <c r="I18" s="30"/>
      <c r="J18" s="30"/>
      <c r="K18" s="30"/>
      <c r="L18" s="30"/>
      <c r="M18" s="30"/>
      <c r="N18" s="30"/>
      <c r="O18" s="30"/>
      <c r="P18" s="30"/>
      <c r="Q18" s="30"/>
      <c r="S18" s="5"/>
      <c r="T18" s="5"/>
      <c r="U18" s="5"/>
    </row>
    <row r="19" spans="1:21" x14ac:dyDescent="0.3">
      <c r="A19" s="41"/>
      <c r="B19" s="41"/>
      <c r="C19" s="41"/>
      <c r="E19" s="48" t="s">
        <v>247</v>
      </c>
      <c r="F19" s="49"/>
      <c r="G19" s="49"/>
      <c r="H19" s="49"/>
      <c r="I19" s="49"/>
      <c r="J19" s="49"/>
      <c r="K19" s="49"/>
      <c r="L19" s="49"/>
      <c r="M19" s="49"/>
      <c r="N19" s="49"/>
      <c r="O19" s="49"/>
      <c r="P19" s="49"/>
      <c r="Q19" s="50"/>
      <c r="S19" s="4"/>
      <c r="T19" s="4"/>
      <c r="U19" s="4"/>
    </row>
    <row r="20" spans="1:21" x14ac:dyDescent="0.3">
      <c r="A20" s="42" t="s">
        <v>231</v>
      </c>
      <c r="B20" s="42" t="s">
        <v>299</v>
      </c>
      <c r="C20" s="40"/>
      <c r="E20" s="27" t="s">
        <v>248</v>
      </c>
      <c r="F20" s="27"/>
      <c r="G20" s="27">
        <v>0.12</v>
      </c>
      <c r="H20" s="27">
        <v>0.2</v>
      </c>
      <c r="I20" s="27">
        <v>0.24</v>
      </c>
      <c r="J20" s="27">
        <v>0.28000000000000003</v>
      </c>
      <c r="K20" s="27">
        <v>0.32</v>
      </c>
      <c r="L20" s="27">
        <v>0.4</v>
      </c>
      <c r="M20" s="27">
        <v>0.48</v>
      </c>
      <c r="N20" s="27">
        <v>0.56000000000000005</v>
      </c>
      <c r="O20" s="27">
        <v>0.64</v>
      </c>
      <c r="P20" s="27">
        <v>0.72</v>
      </c>
      <c r="Q20" s="27">
        <v>0.8</v>
      </c>
      <c r="S20" s="5"/>
      <c r="T20" s="5"/>
      <c r="U20" s="5"/>
    </row>
    <row r="21" spans="1:21" x14ac:dyDescent="0.3">
      <c r="A21" s="43"/>
      <c r="B21" s="43"/>
      <c r="C21" s="41"/>
      <c r="E21" s="4" t="s">
        <v>45</v>
      </c>
      <c r="F21" s="4">
        <v>1.8</v>
      </c>
      <c r="G21" s="38">
        <f t="shared" ref="G21:Q21" si="1">Nozzle_Diameter*3</f>
        <v>1.7999999999999998</v>
      </c>
      <c r="H21" s="38">
        <f t="shared" si="1"/>
        <v>1.7999999999999998</v>
      </c>
      <c r="I21" s="38">
        <f t="shared" si="1"/>
        <v>1.7999999999999998</v>
      </c>
      <c r="J21" s="38">
        <f t="shared" si="1"/>
        <v>1.7999999999999998</v>
      </c>
      <c r="K21" s="38">
        <f t="shared" si="1"/>
        <v>1.7999999999999998</v>
      </c>
      <c r="L21" s="38">
        <f t="shared" si="1"/>
        <v>1.7999999999999998</v>
      </c>
      <c r="M21" s="38">
        <f t="shared" si="1"/>
        <v>1.7999999999999998</v>
      </c>
      <c r="N21" s="38">
        <f t="shared" si="1"/>
        <v>1.7999999999999998</v>
      </c>
      <c r="O21" s="38">
        <f t="shared" si="1"/>
        <v>1.7999999999999998</v>
      </c>
      <c r="P21" s="38">
        <f t="shared" si="1"/>
        <v>1.7999999999999998</v>
      </c>
      <c r="Q21" s="38">
        <f t="shared" si="1"/>
        <v>1.7999999999999998</v>
      </c>
      <c r="S21" s="4"/>
      <c r="T21" s="4"/>
      <c r="U21" s="4"/>
    </row>
    <row r="22" spans="1:21" x14ac:dyDescent="0.3">
      <c r="A22" s="40"/>
      <c r="B22" s="40"/>
      <c r="C22" s="40"/>
      <c r="E22" s="5" t="s">
        <v>46</v>
      </c>
      <c r="F22" s="5">
        <v>0.84</v>
      </c>
      <c r="G22" s="39">
        <f t="shared" ref="G22:G23" si="2">$G$20*7</f>
        <v>0.84</v>
      </c>
      <c r="H22" s="39">
        <f t="shared" ref="H22:J23" si="3">$H$20*4</f>
        <v>0.8</v>
      </c>
      <c r="I22" s="39">
        <f t="shared" si="3"/>
        <v>0.8</v>
      </c>
      <c r="J22" s="39">
        <f t="shared" si="3"/>
        <v>0.8</v>
      </c>
      <c r="K22" s="39">
        <f t="shared" ref="K22:K23" si="4">$K$20*3</f>
        <v>0.96</v>
      </c>
      <c r="L22" s="39">
        <f t="shared" ref="L22:L23" si="5">$L$20*3</f>
        <v>1.2000000000000002</v>
      </c>
      <c r="M22" s="39">
        <f t="shared" ref="M22:M23" si="6">$M$20*3</f>
        <v>1.44</v>
      </c>
      <c r="N22" s="39">
        <f t="shared" ref="N22:N23" si="7">$N$20*3</f>
        <v>1.6800000000000002</v>
      </c>
      <c r="O22" s="39">
        <f t="shared" ref="O22:O23" si="8">$O$20*3</f>
        <v>1.92</v>
      </c>
      <c r="P22" s="39">
        <f t="shared" ref="P22:P23" si="9">$P$20*3</f>
        <v>2.16</v>
      </c>
      <c r="Q22" s="39">
        <f t="shared" ref="Q22:Q23" si="10">Q$20*3</f>
        <v>2.4000000000000004</v>
      </c>
      <c r="S22" s="5"/>
      <c r="T22" s="5"/>
      <c r="U22" s="5"/>
    </row>
    <row r="23" spans="1:21" x14ac:dyDescent="0.3">
      <c r="A23" s="41"/>
      <c r="B23" s="41"/>
      <c r="C23" s="41"/>
      <c r="E23" s="4" t="s">
        <v>249</v>
      </c>
      <c r="F23" s="4">
        <v>0.84</v>
      </c>
      <c r="G23" s="38">
        <f t="shared" si="2"/>
        <v>0.84</v>
      </c>
      <c r="H23" s="38">
        <f t="shared" si="3"/>
        <v>0.8</v>
      </c>
      <c r="I23" s="38">
        <f t="shared" si="3"/>
        <v>0.8</v>
      </c>
      <c r="J23" s="38">
        <f t="shared" si="3"/>
        <v>0.8</v>
      </c>
      <c r="K23" s="38">
        <f t="shared" si="4"/>
        <v>0.96</v>
      </c>
      <c r="L23" s="38">
        <f t="shared" si="5"/>
        <v>1.2000000000000002</v>
      </c>
      <c r="M23" s="38">
        <f t="shared" si="6"/>
        <v>1.44</v>
      </c>
      <c r="N23" s="38">
        <f t="shared" si="7"/>
        <v>1.6800000000000002</v>
      </c>
      <c r="O23" s="38">
        <f t="shared" si="8"/>
        <v>1.92</v>
      </c>
      <c r="P23" s="38">
        <f t="shared" si="9"/>
        <v>2.16</v>
      </c>
      <c r="Q23" s="38">
        <f t="shared" si="10"/>
        <v>2.4000000000000004</v>
      </c>
      <c r="S23" s="4"/>
      <c r="T23" s="4"/>
      <c r="U23" s="4"/>
    </row>
    <row r="24" spans="1:21" x14ac:dyDescent="0.3">
      <c r="A24" s="40"/>
      <c r="B24" s="40"/>
      <c r="C24" s="40"/>
      <c r="E24" s="5"/>
      <c r="F24" s="5"/>
      <c r="G24" s="30"/>
      <c r="H24" s="30"/>
      <c r="I24" s="30"/>
      <c r="J24" s="30"/>
      <c r="K24" s="30"/>
      <c r="L24" s="30"/>
      <c r="M24" s="30"/>
      <c r="N24" s="30"/>
      <c r="O24" s="30"/>
      <c r="P24" s="30"/>
      <c r="Q24" s="30"/>
    </row>
    <row r="25" spans="1:21" x14ac:dyDescent="0.3">
      <c r="A25" s="41"/>
      <c r="B25" s="41"/>
      <c r="C25" s="41"/>
      <c r="E25" s="4"/>
      <c r="F25" s="4"/>
      <c r="G25" s="4"/>
      <c r="H25" s="4"/>
      <c r="I25" s="4"/>
      <c r="J25" s="4"/>
      <c r="K25" s="4"/>
      <c r="L25" s="4"/>
      <c r="M25" s="4"/>
      <c r="N25" s="4"/>
      <c r="O25" s="4"/>
      <c r="P25" s="4"/>
      <c r="Q25" s="4"/>
    </row>
    <row r="26" spans="1:21" x14ac:dyDescent="0.3">
      <c r="E26" s="5"/>
      <c r="F26" s="5"/>
      <c r="G26" s="5"/>
      <c r="H26" s="5"/>
      <c r="I26" s="5"/>
      <c r="J26" s="5"/>
      <c r="K26" s="5"/>
      <c r="L26" s="5"/>
      <c r="M26" s="5"/>
      <c r="N26" s="5"/>
      <c r="O26" s="5"/>
      <c r="P26" s="5"/>
      <c r="Q26" s="5"/>
    </row>
    <row r="27" spans="1:21" x14ac:dyDescent="0.3">
      <c r="E27" s="4"/>
      <c r="F27" s="4"/>
      <c r="G27" s="4"/>
      <c r="H27" s="4"/>
      <c r="I27" s="4"/>
      <c r="J27" s="4"/>
      <c r="K27" s="4"/>
      <c r="L27" s="4"/>
      <c r="M27" s="4"/>
      <c r="N27" s="4"/>
      <c r="O27" s="4"/>
      <c r="P27" s="4"/>
      <c r="Q27" s="4"/>
    </row>
    <row r="28" spans="1:21" x14ac:dyDescent="0.3">
      <c r="B28" s="2" t="s">
        <v>235</v>
      </c>
      <c r="E28" s="5"/>
      <c r="F28" s="5"/>
      <c r="G28" s="5"/>
      <c r="H28" s="5"/>
      <c r="I28" s="5"/>
      <c r="J28" s="5"/>
      <c r="K28" s="5"/>
      <c r="L28" s="5"/>
      <c r="M28" s="5"/>
      <c r="N28" s="5"/>
      <c r="O28" s="5"/>
      <c r="P28" s="5"/>
      <c r="Q28" s="5"/>
    </row>
    <row r="29" spans="1:21" x14ac:dyDescent="0.3">
      <c r="B29" s="1" t="s">
        <v>302</v>
      </c>
      <c r="E29" s="4"/>
      <c r="F29" s="4"/>
      <c r="G29" s="4"/>
      <c r="H29" s="4"/>
      <c r="I29" s="4"/>
      <c r="J29" s="4"/>
      <c r="K29" s="4"/>
      <c r="L29" s="4"/>
      <c r="M29" s="4"/>
      <c r="N29" s="4"/>
      <c r="O29" s="4"/>
      <c r="P29" s="4"/>
      <c r="Q29" s="4"/>
    </row>
    <row r="30" spans="1:21" x14ac:dyDescent="0.3">
      <c r="E30" s="48" t="s">
        <v>250</v>
      </c>
      <c r="F30" s="49"/>
      <c r="G30" s="49"/>
      <c r="H30" s="49"/>
      <c r="I30" s="49"/>
      <c r="J30" s="49"/>
      <c r="K30" s="49"/>
      <c r="L30" s="49"/>
      <c r="M30" s="49"/>
      <c r="N30" s="49"/>
      <c r="O30" s="49"/>
      <c r="P30" s="49"/>
      <c r="Q30" s="50"/>
    </row>
    <row r="31" spans="1:21" x14ac:dyDescent="0.3">
      <c r="E31" s="27" t="s">
        <v>248</v>
      </c>
      <c r="F31" s="27"/>
      <c r="G31" s="27">
        <v>0.12</v>
      </c>
      <c r="H31" s="27">
        <v>0.2</v>
      </c>
      <c r="I31" s="27">
        <v>0.24</v>
      </c>
      <c r="J31" s="27">
        <v>0.28000000000000003</v>
      </c>
      <c r="K31" s="27">
        <v>0.32</v>
      </c>
      <c r="L31" s="27">
        <v>0.4</v>
      </c>
      <c r="M31" s="27">
        <v>0.48</v>
      </c>
      <c r="N31" s="27">
        <v>0.56000000000000005</v>
      </c>
      <c r="O31" s="27">
        <v>0.64</v>
      </c>
      <c r="P31" s="27">
        <v>0.72</v>
      </c>
      <c r="Q31" s="27">
        <v>0.8</v>
      </c>
    </row>
    <row r="32" spans="1:21" x14ac:dyDescent="0.3">
      <c r="E32" s="4" t="s">
        <v>45</v>
      </c>
      <c r="F32" s="4"/>
      <c r="G32" s="38">
        <f t="shared" ref="G32:Q32" si="11">G21/Nozzle_Diameter</f>
        <v>3</v>
      </c>
      <c r="H32" s="38">
        <f t="shared" si="11"/>
        <v>3</v>
      </c>
      <c r="I32" s="38">
        <f t="shared" si="11"/>
        <v>3</v>
      </c>
      <c r="J32" s="38">
        <f t="shared" si="11"/>
        <v>3</v>
      </c>
      <c r="K32" s="38">
        <f t="shared" si="11"/>
        <v>3</v>
      </c>
      <c r="L32" s="38">
        <f t="shared" si="11"/>
        <v>3</v>
      </c>
      <c r="M32" s="38">
        <f t="shared" si="11"/>
        <v>3</v>
      </c>
      <c r="N32" s="38">
        <f t="shared" si="11"/>
        <v>3</v>
      </c>
      <c r="O32" s="38">
        <f t="shared" si="11"/>
        <v>3</v>
      </c>
      <c r="P32" s="38">
        <f t="shared" si="11"/>
        <v>3</v>
      </c>
      <c r="Q32" s="38">
        <f t="shared" si="11"/>
        <v>3</v>
      </c>
    </row>
    <row r="33" spans="5:17" x14ac:dyDescent="0.3">
      <c r="E33" s="5" t="s">
        <v>46</v>
      </c>
      <c r="F33" s="5"/>
      <c r="G33" s="39">
        <f t="shared" ref="G33:Q34" si="12">G22/G$31</f>
        <v>7</v>
      </c>
      <c r="H33" s="39">
        <f t="shared" si="12"/>
        <v>4</v>
      </c>
      <c r="I33" s="39">
        <f t="shared" si="12"/>
        <v>3.3333333333333335</v>
      </c>
      <c r="J33" s="39">
        <f t="shared" si="12"/>
        <v>2.8571428571428572</v>
      </c>
      <c r="K33" s="39">
        <f t="shared" si="12"/>
        <v>3</v>
      </c>
      <c r="L33" s="39">
        <f t="shared" si="12"/>
        <v>3.0000000000000004</v>
      </c>
      <c r="M33" s="39">
        <f t="shared" si="12"/>
        <v>3</v>
      </c>
      <c r="N33" s="39">
        <f t="shared" si="12"/>
        <v>3</v>
      </c>
      <c r="O33" s="39">
        <f t="shared" si="12"/>
        <v>3</v>
      </c>
      <c r="P33" s="39">
        <f t="shared" si="12"/>
        <v>3.0000000000000004</v>
      </c>
      <c r="Q33" s="39">
        <f t="shared" si="12"/>
        <v>3.0000000000000004</v>
      </c>
    </row>
    <row r="34" spans="5:17" x14ac:dyDescent="0.3">
      <c r="E34" s="4" t="s">
        <v>249</v>
      </c>
      <c r="F34" s="4"/>
      <c r="G34" s="38">
        <f t="shared" si="12"/>
        <v>7</v>
      </c>
      <c r="H34" s="38">
        <f t="shared" si="12"/>
        <v>4</v>
      </c>
      <c r="I34" s="38">
        <f t="shared" si="12"/>
        <v>3.3333333333333335</v>
      </c>
      <c r="J34" s="38">
        <f t="shared" si="12"/>
        <v>2.8571428571428572</v>
      </c>
      <c r="K34" s="38">
        <f t="shared" si="12"/>
        <v>3</v>
      </c>
      <c r="L34" s="38">
        <f t="shared" si="12"/>
        <v>3.0000000000000004</v>
      </c>
      <c r="M34" s="38">
        <f t="shared" si="12"/>
        <v>3</v>
      </c>
      <c r="N34" s="38">
        <f t="shared" si="12"/>
        <v>3</v>
      </c>
      <c r="O34" s="38">
        <f t="shared" si="12"/>
        <v>3</v>
      </c>
      <c r="P34" s="38">
        <f t="shared" si="12"/>
        <v>3.0000000000000004</v>
      </c>
      <c r="Q34" s="38">
        <f t="shared" si="12"/>
        <v>3.0000000000000004</v>
      </c>
    </row>
    <row r="35" spans="5:17" x14ac:dyDescent="0.3">
      <c r="E35" s="5"/>
      <c r="F35" s="5"/>
      <c r="G35" s="30"/>
      <c r="H35" s="30"/>
      <c r="I35" s="30"/>
      <c r="J35" s="30"/>
      <c r="K35" s="30"/>
      <c r="L35" s="30"/>
      <c r="M35" s="30"/>
      <c r="N35" s="30"/>
      <c r="O35" s="30"/>
      <c r="P35" s="30"/>
      <c r="Q35" s="30"/>
    </row>
    <row r="36" spans="5:17" x14ac:dyDescent="0.3">
      <c r="E36" s="4"/>
      <c r="F36" s="4"/>
      <c r="G36" s="4"/>
      <c r="H36" s="4"/>
      <c r="I36" s="4"/>
      <c r="J36" s="4"/>
      <c r="K36" s="4"/>
      <c r="L36" s="4"/>
      <c r="M36" s="4"/>
      <c r="N36" s="4"/>
      <c r="O36" s="4"/>
      <c r="P36" s="4"/>
      <c r="Q36" s="4"/>
    </row>
    <row r="37" spans="5:17" x14ac:dyDescent="0.3">
      <c r="E37" s="5"/>
      <c r="F37" s="5"/>
      <c r="G37" s="5"/>
      <c r="H37" s="5"/>
      <c r="I37" s="5"/>
      <c r="J37" s="5"/>
      <c r="K37" s="5"/>
      <c r="L37" s="5"/>
      <c r="M37" s="5"/>
      <c r="N37" s="5"/>
      <c r="O37" s="5"/>
      <c r="P37" s="5"/>
      <c r="Q37" s="5"/>
    </row>
    <row r="38" spans="5:17" x14ac:dyDescent="0.3">
      <c r="E38" s="4"/>
      <c r="F38" s="4"/>
      <c r="G38" s="4"/>
      <c r="H38" s="4"/>
      <c r="I38" s="4"/>
      <c r="J38" s="4"/>
      <c r="K38" s="4"/>
      <c r="L38" s="4"/>
      <c r="M38" s="4"/>
      <c r="N38" s="4"/>
      <c r="O38" s="4"/>
      <c r="P38" s="4"/>
      <c r="Q38" s="4"/>
    </row>
    <row r="39" spans="5:17" x14ac:dyDescent="0.3">
      <c r="E39" s="5"/>
      <c r="F39" s="5"/>
      <c r="G39" s="5"/>
      <c r="H39" s="5"/>
      <c r="I39" s="5"/>
      <c r="J39" s="5"/>
      <c r="K39" s="5"/>
      <c r="L39" s="5"/>
      <c r="M39" s="5"/>
      <c r="N39" s="5"/>
      <c r="O39" s="5"/>
      <c r="P39" s="5"/>
      <c r="Q39" s="5"/>
    </row>
    <row r="40" spans="5:17" x14ac:dyDescent="0.3">
      <c r="E40" s="4"/>
      <c r="F40" s="4"/>
      <c r="G40" s="4"/>
      <c r="H40" s="4"/>
      <c r="I40" s="4"/>
      <c r="J40" s="4"/>
      <c r="K40" s="4"/>
      <c r="L40" s="4"/>
      <c r="M40" s="4"/>
      <c r="N40" s="4"/>
      <c r="O40" s="4"/>
      <c r="P40" s="4"/>
      <c r="Q40" s="4"/>
    </row>
  </sheetData>
  <mergeCells count="4">
    <mergeCell ref="E1:Q1"/>
    <mergeCell ref="S1:U1"/>
    <mergeCell ref="E19:Q19"/>
    <mergeCell ref="E30:Q30"/>
  </mergeCells>
  <dataValidations count="4">
    <dataValidation type="list" allowBlank="1" showInputMessage="1" showErrorMessage="1" sqref="B2" xr:uid="{E3E925ED-0E0D-40C2-A029-5018B37F33A7}">
      <formula1>"0.4,0.5,0.6,0.8,1.0"</formula1>
    </dataValidation>
    <dataValidation type="list" allowBlank="1" showInputMessage="1" showErrorMessage="1" sqref="B8" xr:uid="{E771CCEE-C8BF-41E2-A90A-D5016F2B1FB3}">
      <formula1>$E$3:$E$13</formula1>
    </dataValidation>
    <dataValidation type="list" allowBlank="1" showInputMessage="1" showErrorMessage="1" sqref="B11" xr:uid="{61B47DEF-05E1-45E3-9E6B-7AA0A3842803}">
      <formula1>"Manual,Volumetric"</formula1>
    </dataValidation>
    <dataValidation type="list" allowBlank="1" showInputMessage="1" showErrorMessage="1" sqref="B12" xr:uid="{5FEC6B3F-F3DC-459C-8BB1-2A2400AB91C4}">
      <formula1>"Recommended,Min"</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CE023663-CED6-410D-88A7-870DA494C910}">
          <x14:formula1>
            <xm:f>spec_speed!$Q$2:$T$2</xm:f>
          </x14:formula1>
          <xm:sqref>B13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5FF863-9683-4E79-BD0F-CFBC5F039F08}">
  <sheetPr codeName="Sheet7"/>
  <dimension ref="A1:P29"/>
  <sheetViews>
    <sheetView workbookViewId="0">
      <selection activeCell="H40" sqref="H40"/>
    </sheetView>
  </sheetViews>
  <sheetFormatPr defaultRowHeight="14.4" x14ac:dyDescent="0.3"/>
  <cols>
    <col min="1" max="1" width="10.44140625" customWidth="1"/>
    <col min="3" max="3" width="15.109375" customWidth="1"/>
    <col min="4" max="4" width="12.6640625" customWidth="1"/>
    <col min="5" max="5" width="11.109375" customWidth="1"/>
    <col min="6" max="6" width="13.44140625" customWidth="1"/>
    <col min="10" max="10" width="15" bestFit="1" customWidth="1"/>
    <col min="12" max="12" width="17.6640625" customWidth="1"/>
    <col min="13" max="13" width="19.109375" customWidth="1"/>
    <col min="14" max="14" width="21.109375" customWidth="1"/>
    <col min="15" max="15" width="19.109375" customWidth="1"/>
  </cols>
  <sheetData>
    <row r="1" spans="1:16" ht="43.2" x14ac:dyDescent="0.3">
      <c r="A1" s="3" t="s">
        <v>268</v>
      </c>
      <c r="B1" s="3" t="s">
        <v>269</v>
      </c>
      <c r="C1" s="3" t="s">
        <v>270</v>
      </c>
      <c r="D1" s="3" t="s">
        <v>271</v>
      </c>
      <c r="E1" s="3" t="s">
        <v>272</v>
      </c>
      <c r="F1" s="3" t="s">
        <v>273</v>
      </c>
      <c r="G1" s="3" t="s">
        <v>34</v>
      </c>
      <c r="H1" s="3" t="s">
        <v>274</v>
      </c>
      <c r="I1" s="3" t="s">
        <v>275</v>
      </c>
      <c r="J1" s="3" t="s">
        <v>276</v>
      </c>
      <c r="K1" s="3" t="s">
        <v>277</v>
      </c>
      <c r="L1" s="3" t="s">
        <v>278</v>
      </c>
      <c r="M1" s="3" t="s">
        <v>279</v>
      </c>
      <c r="N1" s="3" t="s">
        <v>280</v>
      </c>
      <c r="O1" s="3" t="s">
        <v>281</v>
      </c>
      <c r="P1" s="3" t="s">
        <v>282</v>
      </c>
    </row>
    <row r="2" spans="1:16" x14ac:dyDescent="0.3">
      <c r="A2" s="4" t="s">
        <v>242</v>
      </c>
      <c r="B2" s="4">
        <v>60</v>
      </c>
      <c r="C2" s="4">
        <v>210</v>
      </c>
      <c r="D2" s="4">
        <v>60</v>
      </c>
      <c r="E2" s="4" t="s">
        <v>283</v>
      </c>
      <c r="F2" s="4">
        <v>40</v>
      </c>
      <c r="G2" s="4">
        <v>100</v>
      </c>
      <c r="H2" s="4">
        <v>2</v>
      </c>
      <c r="I2" s="4"/>
      <c r="J2" s="4" t="s">
        <v>284</v>
      </c>
      <c r="K2" s="4"/>
      <c r="L2" s="4">
        <v>56</v>
      </c>
      <c r="M2" s="4">
        <f>IF(ISBLANK(L2),"",(9/5) * L2  + 32)</f>
        <v>132.80000000000001</v>
      </c>
      <c r="N2" s="4">
        <v>50</v>
      </c>
      <c r="O2" s="4">
        <v>122</v>
      </c>
      <c r="P2" s="4" t="s">
        <v>284</v>
      </c>
    </row>
    <row r="3" spans="1:16" x14ac:dyDescent="0.3">
      <c r="A3" s="5" t="s">
        <v>303</v>
      </c>
      <c r="B3" s="5">
        <v>40</v>
      </c>
      <c r="C3" s="5">
        <v>240</v>
      </c>
      <c r="D3" s="5">
        <v>70</v>
      </c>
      <c r="E3" s="5" t="s">
        <v>283</v>
      </c>
      <c r="F3" s="5">
        <v>40</v>
      </c>
      <c r="G3" s="5">
        <v>30</v>
      </c>
      <c r="H3" s="5">
        <v>3</v>
      </c>
      <c r="I3" s="5"/>
      <c r="J3" s="5" t="s">
        <v>285</v>
      </c>
      <c r="K3" s="5">
        <v>0.08</v>
      </c>
      <c r="L3" s="5">
        <v>70</v>
      </c>
      <c r="M3" s="5">
        <f t="shared" ref="M3:M16" si="0">IF(ISBLANK(L3),"",(9/5) * L3  + 32)</f>
        <v>158</v>
      </c>
      <c r="N3" s="5">
        <v>70</v>
      </c>
      <c r="O3" s="5">
        <v>140</v>
      </c>
      <c r="P3" s="5" t="s">
        <v>286</v>
      </c>
    </row>
    <row r="4" spans="1:16" x14ac:dyDescent="0.3">
      <c r="A4" s="4" t="s">
        <v>243</v>
      </c>
      <c r="B4" s="4">
        <v>60</v>
      </c>
      <c r="C4" s="4">
        <v>230</v>
      </c>
      <c r="D4" s="4">
        <v>110</v>
      </c>
      <c r="E4" s="4" t="s">
        <v>287</v>
      </c>
      <c r="F4" s="4">
        <v>60</v>
      </c>
      <c r="G4" s="4">
        <v>0</v>
      </c>
      <c r="H4" s="4">
        <v>0</v>
      </c>
      <c r="I4" s="4"/>
      <c r="J4" s="4" t="s">
        <v>284</v>
      </c>
      <c r="K4" s="4"/>
      <c r="L4" s="4">
        <v>98</v>
      </c>
      <c r="M4" s="4">
        <f t="shared" si="0"/>
        <v>208.4</v>
      </c>
      <c r="N4" s="4">
        <v>85</v>
      </c>
      <c r="O4" s="4">
        <v>158</v>
      </c>
      <c r="P4" s="4" t="s">
        <v>288</v>
      </c>
    </row>
    <row r="5" spans="1:16" x14ac:dyDescent="0.3">
      <c r="A5" s="5" t="s">
        <v>244</v>
      </c>
      <c r="B5" s="5">
        <v>60</v>
      </c>
      <c r="C5" s="5">
        <v>250</v>
      </c>
      <c r="D5" s="5">
        <v>75</v>
      </c>
      <c r="E5" s="5" t="s">
        <v>287</v>
      </c>
      <c r="F5" s="5">
        <v>45</v>
      </c>
      <c r="G5" s="5">
        <v>0</v>
      </c>
      <c r="H5" s="5">
        <v>0</v>
      </c>
      <c r="I5" s="5">
        <v>0.2</v>
      </c>
      <c r="J5" s="5" t="s">
        <v>289</v>
      </c>
      <c r="K5" s="5"/>
      <c r="L5" s="5">
        <v>110</v>
      </c>
      <c r="M5" s="5">
        <f t="shared" si="0"/>
        <v>230</v>
      </c>
      <c r="N5" s="6" t="s">
        <v>290</v>
      </c>
      <c r="O5" s="5"/>
      <c r="P5" s="5" t="s">
        <v>286</v>
      </c>
    </row>
    <row r="6" spans="1:16" x14ac:dyDescent="0.3">
      <c r="A6" s="4" t="s">
        <v>304</v>
      </c>
      <c r="B6" s="4">
        <v>40</v>
      </c>
      <c r="C6" s="4">
        <v>245</v>
      </c>
      <c r="D6" s="4">
        <v>80</v>
      </c>
      <c r="E6" s="4" t="s">
        <v>283</v>
      </c>
      <c r="F6" s="4">
        <v>40</v>
      </c>
      <c r="G6" s="4">
        <v>30</v>
      </c>
      <c r="H6" s="4">
        <v>3</v>
      </c>
      <c r="I6" s="4"/>
      <c r="J6" s="4" t="s">
        <v>285</v>
      </c>
      <c r="K6" s="4"/>
      <c r="L6" s="4">
        <v>-20</v>
      </c>
      <c r="M6" s="4">
        <f t="shared" si="0"/>
        <v>-4</v>
      </c>
      <c r="N6" s="4"/>
      <c r="O6" s="4"/>
      <c r="P6" s="4" t="s">
        <v>288</v>
      </c>
    </row>
    <row r="7" spans="1:16" x14ac:dyDescent="0.3">
      <c r="A7" s="5" t="s">
        <v>246</v>
      </c>
      <c r="B7" s="5">
        <v>25</v>
      </c>
      <c r="C7" s="5">
        <v>225</v>
      </c>
      <c r="D7" s="5">
        <v>70</v>
      </c>
      <c r="E7" s="5" t="s">
        <v>283</v>
      </c>
      <c r="F7" s="5">
        <v>40</v>
      </c>
      <c r="G7" s="5">
        <v>30</v>
      </c>
      <c r="H7" s="5">
        <v>2</v>
      </c>
      <c r="I7" s="5"/>
      <c r="J7" s="5" t="s">
        <v>284</v>
      </c>
      <c r="K7" s="5"/>
      <c r="L7" s="5">
        <v>-20</v>
      </c>
      <c r="M7" s="5">
        <f t="shared" si="0"/>
        <v>-4</v>
      </c>
      <c r="N7" s="5">
        <v>80</v>
      </c>
      <c r="O7" s="5"/>
      <c r="P7" s="5" t="s">
        <v>286</v>
      </c>
    </row>
    <row r="8" spans="1:16" x14ac:dyDescent="0.3">
      <c r="A8" s="4" t="s">
        <v>291</v>
      </c>
      <c r="B8" s="4">
        <v>60</v>
      </c>
      <c r="C8" s="4">
        <v>240</v>
      </c>
      <c r="D8" s="4">
        <v>60</v>
      </c>
      <c r="E8" s="4" t="s">
        <v>287</v>
      </c>
      <c r="F8" s="4">
        <v>60</v>
      </c>
      <c r="G8" s="4">
        <v>0</v>
      </c>
      <c r="H8" s="4">
        <v>0</v>
      </c>
      <c r="I8" s="4"/>
      <c r="J8" s="4" t="s">
        <v>284</v>
      </c>
      <c r="K8" s="4"/>
      <c r="L8" s="4">
        <v>97</v>
      </c>
      <c r="M8" s="4">
        <f t="shared" si="0"/>
        <v>206.6</v>
      </c>
      <c r="N8" s="4">
        <v>100</v>
      </c>
      <c r="O8" s="4"/>
      <c r="P8" s="4" t="s">
        <v>288</v>
      </c>
    </row>
    <row r="9" spans="1:16" x14ac:dyDescent="0.3">
      <c r="A9" s="5" t="s">
        <v>292</v>
      </c>
      <c r="B9" s="5">
        <v>80</v>
      </c>
      <c r="C9" s="5">
        <v>250</v>
      </c>
      <c r="D9" s="5">
        <v>120</v>
      </c>
      <c r="E9" s="5" t="s">
        <v>287</v>
      </c>
      <c r="F9" s="5">
        <v>60</v>
      </c>
      <c r="G9" s="5">
        <v>20</v>
      </c>
      <c r="H9" s="5">
        <v>2</v>
      </c>
      <c r="I9" s="5"/>
      <c r="J9" s="5" t="s">
        <v>284</v>
      </c>
      <c r="K9" s="5"/>
      <c r="L9" s="5">
        <v>103</v>
      </c>
      <c r="M9" s="5">
        <f t="shared" si="0"/>
        <v>217.4</v>
      </c>
      <c r="N9" s="5"/>
      <c r="O9" s="5"/>
      <c r="P9" s="5" t="s">
        <v>284</v>
      </c>
    </row>
    <row r="10" spans="1:16" x14ac:dyDescent="0.3">
      <c r="A10" s="4" t="s">
        <v>245</v>
      </c>
      <c r="B10" s="4">
        <v>60</v>
      </c>
      <c r="C10" s="4">
        <v>250</v>
      </c>
      <c r="D10" s="4">
        <v>110</v>
      </c>
      <c r="E10" s="4" t="s">
        <v>287</v>
      </c>
      <c r="F10" s="4">
        <v>60</v>
      </c>
      <c r="G10" s="4">
        <v>0</v>
      </c>
      <c r="H10" s="4">
        <v>0</v>
      </c>
      <c r="I10" s="4"/>
      <c r="J10" s="4" t="s">
        <v>284</v>
      </c>
      <c r="K10" s="4"/>
      <c r="L10" s="4">
        <v>-10</v>
      </c>
      <c r="M10" s="4">
        <f t="shared" si="0"/>
        <v>14</v>
      </c>
      <c r="N10" s="4"/>
      <c r="O10" s="4"/>
      <c r="P10" s="4" t="s">
        <v>288</v>
      </c>
    </row>
    <row r="11" spans="1:16" x14ac:dyDescent="0.3">
      <c r="A11" s="5" t="s">
        <v>293</v>
      </c>
      <c r="B11" s="5">
        <v>25</v>
      </c>
      <c r="C11" s="5">
        <v>220</v>
      </c>
      <c r="D11" s="5">
        <v>60</v>
      </c>
      <c r="E11" s="5" t="s">
        <v>283</v>
      </c>
      <c r="F11" s="5">
        <v>40</v>
      </c>
      <c r="G11" s="5">
        <v>0</v>
      </c>
      <c r="H11" s="5">
        <v>0</v>
      </c>
      <c r="I11" s="5"/>
      <c r="J11" s="5" t="s">
        <v>284</v>
      </c>
      <c r="K11" s="5"/>
      <c r="L11" s="5">
        <v>-20</v>
      </c>
      <c r="M11" s="5">
        <f t="shared" si="0"/>
        <v>-4</v>
      </c>
      <c r="N11" s="5"/>
      <c r="O11" s="5"/>
      <c r="P11" s="5" t="s">
        <v>286</v>
      </c>
    </row>
    <row r="12" spans="1:16" x14ac:dyDescent="0.3">
      <c r="A12" s="4"/>
      <c r="B12" s="4"/>
      <c r="C12" s="4"/>
      <c r="D12" s="4"/>
      <c r="E12" s="4"/>
      <c r="F12" s="4"/>
      <c r="G12" s="4"/>
      <c r="H12" s="4"/>
      <c r="I12" s="4"/>
      <c r="J12" s="4"/>
      <c r="K12" s="4"/>
      <c r="L12" s="4"/>
      <c r="M12" s="4" t="str">
        <f t="shared" si="0"/>
        <v/>
      </c>
      <c r="N12" s="4"/>
      <c r="O12" s="4"/>
      <c r="P12" s="4"/>
    </row>
    <row r="13" spans="1:16" x14ac:dyDescent="0.3">
      <c r="A13" s="5"/>
      <c r="B13" s="5"/>
      <c r="C13" s="5"/>
      <c r="D13" s="5"/>
      <c r="E13" s="5"/>
      <c r="F13" s="5"/>
      <c r="G13" s="5"/>
      <c r="H13" s="5"/>
      <c r="I13" s="5"/>
      <c r="J13" s="5"/>
      <c r="K13" s="5"/>
      <c r="L13" s="5"/>
      <c r="M13" s="5" t="str">
        <f t="shared" si="0"/>
        <v/>
      </c>
      <c r="N13" s="5"/>
      <c r="O13" s="5"/>
      <c r="P13" s="5"/>
    </row>
    <row r="14" spans="1:16" x14ac:dyDescent="0.3">
      <c r="A14" s="4"/>
      <c r="B14" s="4"/>
      <c r="C14" s="4"/>
      <c r="D14" s="4"/>
      <c r="E14" s="4"/>
      <c r="F14" s="4"/>
      <c r="G14" s="4"/>
      <c r="H14" s="4"/>
      <c r="I14" s="4"/>
      <c r="J14" s="4"/>
      <c r="K14" s="4"/>
      <c r="L14" s="4"/>
      <c r="M14" s="4" t="str">
        <f t="shared" si="0"/>
        <v/>
      </c>
      <c r="N14" s="4"/>
      <c r="O14" s="4"/>
      <c r="P14" s="4"/>
    </row>
    <row r="15" spans="1:16" x14ac:dyDescent="0.3">
      <c r="A15" s="5"/>
      <c r="B15" s="5"/>
      <c r="C15" s="5"/>
      <c r="D15" s="5"/>
      <c r="E15" s="5"/>
      <c r="F15" s="5"/>
      <c r="G15" s="5"/>
      <c r="H15" s="5"/>
      <c r="I15" s="5"/>
      <c r="J15" s="5"/>
      <c r="K15" s="5"/>
      <c r="L15" s="5"/>
      <c r="M15" s="5" t="str">
        <f t="shared" si="0"/>
        <v/>
      </c>
      <c r="N15" s="5"/>
      <c r="O15" s="5"/>
      <c r="P15" s="5"/>
    </row>
    <row r="16" spans="1:16" x14ac:dyDescent="0.3">
      <c r="A16" s="4"/>
      <c r="B16" s="4"/>
      <c r="C16" s="4"/>
      <c r="D16" s="4"/>
      <c r="E16" s="4"/>
      <c r="F16" s="4"/>
      <c r="G16" s="4"/>
      <c r="H16" s="4"/>
      <c r="I16" s="4"/>
      <c r="J16" s="4"/>
      <c r="K16" s="4"/>
      <c r="L16" s="4"/>
      <c r="M16" s="4" t="str">
        <f t="shared" si="0"/>
        <v/>
      </c>
      <c r="N16" s="4"/>
      <c r="O16" s="4"/>
      <c r="P16" s="4"/>
    </row>
    <row r="17" spans="1:12" x14ac:dyDescent="0.3">
      <c r="A17" s="7"/>
      <c r="B17" s="7"/>
      <c r="C17" s="7"/>
      <c r="D17" s="7"/>
      <c r="E17" s="7"/>
      <c r="F17" s="7"/>
      <c r="G17" s="7"/>
      <c r="H17" s="7"/>
      <c r="I17" s="7"/>
      <c r="J17" s="7"/>
      <c r="K17" s="7"/>
      <c r="L17" s="7"/>
    </row>
    <row r="18" spans="1:12" x14ac:dyDescent="0.3">
      <c r="A18" s="7"/>
      <c r="B18" s="7"/>
      <c r="C18" s="7"/>
      <c r="D18" s="7"/>
      <c r="E18" s="7"/>
      <c r="F18" s="7"/>
      <c r="G18" s="7"/>
      <c r="H18" s="7"/>
      <c r="I18" s="7"/>
      <c r="J18" s="7"/>
      <c r="K18" s="7"/>
      <c r="L18" s="7"/>
    </row>
    <row r="19" spans="1:12" x14ac:dyDescent="0.3">
      <c r="A19" s="7"/>
      <c r="B19" s="7"/>
      <c r="C19" s="7"/>
      <c r="D19" s="7"/>
      <c r="E19" s="7"/>
      <c r="F19" s="7"/>
      <c r="G19" s="7"/>
      <c r="H19" s="7"/>
      <c r="I19" s="7"/>
      <c r="J19" s="7"/>
      <c r="K19" s="7"/>
      <c r="L19" s="7"/>
    </row>
    <row r="20" spans="1:12" x14ac:dyDescent="0.3">
      <c r="A20" s="7"/>
      <c r="B20" s="7"/>
      <c r="C20" s="7"/>
      <c r="D20" s="7"/>
      <c r="E20" s="7"/>
      <c r="F20" s="7"/>
      <c r="G20" s="7"/>
      <c r="H20" s="7"/>
      <c r="I20" s="7"/>
      <c r="J20" s="7"/>
      <c r="K20" s="7"/>
      <c r="L20" s="7"/>
    </row>
    <row r="21" spans="1:12" x14ac:dyDescent="0.3">
      <c r="A21" s="7"/>
      <c r="B21" s="7"/>
      <c r="C21" s="7"/>
      <c r="D21" s="7"/>
      <c r="E21" s="7"/>
      <c r="F21" s="7"/>
      <c r="G21" s="7"/>
      <c r="H21" s="7"/>
      <c r="I21" s="7"/>
      <c r="J21" s="7"/>
      <c r="K21" s="7"/>
      <c r="L21" s="7"/>
    </row>
    <row r="22" spans="1:12" x14ac:dyDescent="0.3">
      <c r="A22" s="7"/>
      <c r="B22" s="7"/>
      <c r="C22" s="7"/>
      <c r="D22" s="7"/>
      <c r="E22" s="7"/>
      <c r="F22" s="7"/>
      <c r="G22" s="7"/>
      <c r="H22" s="7"/>
      <c r="I22" s="7"/>
      <c r="J22" s="7"/>
    </row>
    <row r="23" spans="1:12" x14ac:dyDescent="0.3">
      <c r="A23" s="7"/>
      <c r="B23" s="7"/>
      <c r="C23" s="7"/>
      <c r="D23" s="7"/>
      <c r="E23" s="7"/>
      <c r="F23" s="7"/>
      <c r="G23" s="7"/>
      <c r="H23" s="7"/>
      <c r="I23" s="7"/>
      <c r="J23" s="7"/>
    </row>
    <row r="24" spans="1:12" x14ac:dyDescent="0.3">
      <c r="A24" s="7"/>
      <c r="B24" s="7"/>
      <c r="C24" s="7"/>
      <c r="D24" s="7"/>
      <c r="E24" s="7"/>
      <c r="F24" s="7"/>
      <c r="G24" s="7"/>
      <c r="H24" s="7"/>
      <c r="I24" s="7"/>
      <c r="J24" s="7"/>
    </row>
    <row r="25" spans="1:12" x14ac:dyDescent="0.3">
      <c r="A25" s="7"/>
      <c r="B25" s="7"/>
      <c r="C25" s="7"/>
      <c r="D25" s="7"/>
      <c r="E25" s="7"/>
      <c r="F25" s="7"/>
      <c r="G25" s="7"/>
      <c r="H25" s="7"/>
      <c r="I25" s="7"/>
      <c r="J25" s="7"/>
    </row>
    <row r="26" spans="1:12" x14ac:dyDescent="0.3">
      <c r="A26" s="7"/>
      <c r="B26" s="7"/>
      <c r="C26" s="7"/>
      <c r="D26" s="7"/>
      <c r="E26" s="7"/>
      <c r="F26" s="7"/>
      <c r="G26" s="7"/>
      <c r="H26" s="7"/>
      <c r="I26" s="7"/>
      <c r="J26" s="7"/>
    </row>
    <row r="27" spans="1:12" x14ac:dyDescent="0.3">
      <c r="A27" s="7"/>
      <c r="B27" s="7"/>
      <c r="C27" s="7"/>
      <c r="D27" s="7"/>
      <c r="E27" s="7"/>
      <c r="F27" s="7"/>
      <c r="G27" s="7"/>
      <c r="H27" s="7"/>
      <c r="I27" s="7"/>
      <c r="J27" s="7"/>
    </row>
    <row r="28" spans="1:12" x14ac:dyDescent="0.3">
      <c r="B28" s="7"/>
      <c r="C28" s="7"/>
      <c r="D28" s="7"/>
      <c r="E28" s="7"/>
      <c r="F28" s="7"/>
      <c r="G28" s="7"/>
      <c r="H28" s="7"/>
      <c r="I28" s="7"/>
      <c r="J28" s="7"/>
    </row>
    <row r="29" spans="1:12" x14ac:dyDescent="0.3">
      <c r="E29" s="7"/>
      <c r="F29" s="7"/>
      <c r="G29" s="7"/>
      <c r="H29" s="7"/>
    </row>
  </sheetData>
  <dataValidations count="4">
    <dataValidation type="list" allowBlank="1" showInputMessage="1" showErrorMessage="1" sqref="P2:P16" xr:uid="{D0EC2B3A-4931-4D7D-A598-778B6131BEF6}">
      <formula1>"High,Normal,Low"</formula1>
    </dataValidation>
    <dataValidation type="list" allowBlank="1" showInputMessage="1" showErrorMessage="1" sqref="J2:J16" xr:uid="{0ACFFC31-01D9-4B27-BCD6-67C92113EE7B}">
      <formula1>"High Hygroscopic,Hygroscopic,Normal"</formula1>
    </dataValidation>
    <dataValidation type="list" allowBlank="1" showInputMessage="1" showErrorMessage="1" sqref="G2:G16" xr:uid="{BF394E15-1FA4-4F25-A245-B3AC3C22E1AC}">
      <formula1>"0,100,70,50,30,20"</formula1>
    </dataValidation>
    <dataValidation type="list" allowBlank="1" showInputMessage="1" showErrorMessage="1" sqref="E2:E16" xr:uid="{6E59B68D-EBD8-417D-ACC7-612E260CB14D}">
      <formula1>"Open, Enclosure "</formula1>
    </dataValidation>
  </dataValidations>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E9011A-BA27-45E9-B7C5-310BDC42FD9E}">
  <sheetPr codeName="Sheet3"/>
  <dimension ref="A1:Z18"/>
  <sheetViews>
    <sheetView workbookViewId="0">
      <selection activeCell="F26" sqref="F26"/>
    </sheetView>
  </sheetViews>
  <sheetFormatPr defaultRowHeight="14.4" x14ac:dyDescent="0.3"/>
  <cols>
    <col min="2" max="2" width="11" customWidth="1"/>
    <col min="17" max="17" width="10.33203125" customWidth="1"/>
    <col min="18" max="18" width="11.109375" customWidth="1"/>
    <col min="19" max="19" width="10.33203125" customWidth="1"/>
    <col min="20" max="20" width="10.5546875" customWidth="1"/>
  </cols>
  <sheetData>
    <row r="1" spans="1:26" x14ac:dyDescent="0.3">
      <c r="A1" s="48" t="s">
        <v>260</v>
      </c>
      <c r="B1" s="49"/>
      <c r="C1" s="49"/>
      <c r="D1" s="49"/>
      <c r="E1" s="49"/>
      <c r="F1" s="49"/>
      <c r="G1" s="49"/>
      <c r="H1" s="49"/>
      <c r="I1" s="49"/>
      <c r="J1" s="49"/>
      <c r="K1" s="49"/>
      <c r="L1" s="49"/>
      <c r="M1" s="49"/>
      <c r="N1" s="7"/>
      <c r="O1" s="49" t="s">
        <v>261</v>
      </c>
      <c r="P1" s="49"/>
      <c r="Q1" s="49"/>
      <c r="R1" s="49"/>
      <c r="S1" s="49"/>
      <c r="T1" s="49"/>
      <c r="U1" s="49"/>
      <c r="V1" s="49"/>
      <c r="W1" s="49"/>
      <c r="X1" s="49"/>
      <c r="Y1" s="49"/>
      <c r="Z1" s="50"/>
    </row>
    <row r="2" spans="1:26" ht="43.2" x14ac:dyDescent="0.3">
      <c r="A2" s="27" t="s">
        <v>33</v>
      </c>
      <c r="B2" s="28" t="s">
        <v>238</v>
      </c>
      <c r="C2" s="27">
        <v>0.12</v>
      </c>
      <c r="D2" s="27">
        <v>0.2</v>
      </c>
      <c r="E2" s="27">
        <v>0.24</v>
      </c>
      <c r="F2" s="27">
        <v>0.28000000000000003</v>
      </c>
      <c r="G2" s="27">
        <v>0.32</v>
      </c>
      <c r="H2" s="27">
        <v>0.4</v>
      </c>
      <c r="I2" s="27">
        <v>0.48</v>
      </c>
      <c r="J2" s="27">
        <v>0.56000000000000005</v>
      </c>
      <c r="K2" s="27">
        <v>0.64</v>
      </c>
      <c r="L2" s="27">
        <v>0.72</v>
      </c>
      <c r="M2" s="31">
        <v>0.8</v>
      </c>
      <c r="N2" s="7"/>
      <c r="O2" s="28" t="s">
        <v>262</v>
      </c>
      <c r="P2" s="28" t="s">
        <v>263</v>
      </c>
      <c r="Q2" s="28" t="s">
        <v>264</v>
      </c>
      <c r="R2" s="28" t="s">
        <v>265</v>
      </c>
      <c r="S2" s="28" t="s">
        <v>266</v>
      </c>
      <c r="T2" s="28" t="s">
        <v>267</v>
      </c>
      <c r="U2" s="27"/>
      <c r="V2" s="27"/>
      <c r="W2" s="27"/>
      <c r="X2" s="27"/>
      <c r="Y2" s="27"/>
      <c r="Z2" s="27"/>
    </row>
    <row r="3" spans="1:26" x14ac:dyDescent="0.3">
      <c r="A3" s="4" t="str">
        <f>IF(ISBLANK(spec_filament!A2),"",spec_filament!A2)</f>
        <v>PLA</v>
      </c>
      <c r="B3" s="4" t="str">
        <f t="shared" ref="B3:B17" si="0">Matchfill(INDEX($O$2:$Z$17,MATCH($A3,$O$2:$O$17,0),MATCH(HotendType,$O$2:$Z$2,0)),$P1)</f>
        <v>11.5</v>
      </c>
      <c r="C3" s="29">
        <f t="shared" ref="C3:M16" si="1">IF(LEN($B3) = 0,"",$B3/((Nozzle_Diameter*1.2)*C$2))</f>
        <v>133.10185185185188</v>
      </c>
      <c r="D3" s="29">
        <f t="shared" si="1"/>
        <v>79.861111111111114</v>
      </c>
      <c r="E3" s="29">
        <f t="shared" si="1"/>
        <v>66.550925925925938</v>
      </c>
      <c r="F3" s="29">
        <f t="shared" si="1"/>
        <v>57.043650793650791</v>
      </c>
      <c r="G3" s="29">
        <f t="shared" si="1"/>
        <v>49.913194444444443</v>
      </c>
      <c r="H3" s="29">
        <f t="shared" si="1"/>
        <v>39.930555555555557</v>
      </c>
      <c r="I3" s="29">
        <f t="shared" si="1"/>
        <v>33.275462962962969</v>
      </c>
      <c r="J3" s="29">
        <f t="shared" si="1"/>
        <v>28.521825396825395</v>
      </c>
      <c r="K3" s="29">
        <f t="shared" si="1"/>
        <v>24.956597222222221</v>
      </c>
      <c r="L3" s="29">
        <f t="shared" si="1"/>
        <v>22.183641975308642</v>
      </c>
      <c r="M3" s="32">
        <f t="shared" si="1"/>
        <v>19.965277777777779</v>
      </c>
      <c r="N3" s="7"/>
      <c r="O3" s="4" t="str">
        <f>IF(ISBLANK(spec_filament!A2),"",spec_filament!A2)</f>
        <v>PLA</v>
      </c>
      <c r="P3" s="37">
        <v>11.5</v>
      </c>
      <c r="Q3" s="37">
        <v>11.5</v>
      </c>
      <c r="R3" s="37">
        <v>22</v>
      </c>
      <c r="S3" s="37">
        <v>35</v>
      </c>
      <c r="T3" s="37">
        <f>IF(ISBLANK(Q3),"",Q3)</f>
        <v>11.5</v>
      </c>
      <c r="U3" s="4"/>
      <c r="V3" s="4"/>
      <c r="W3" s="4"/>
      <c r="X3" s="4"/>
      <c r="Y3" s="4"/>
      <c r="Z3" s="4"/>
    </row>
    <row r="4" spans="1:26" x14ac:dyDescent="0.3">
      <c r="A4" s="5" t="str">
        <f>IF(ISBLANK(spec_filament!A3),"",spec_filament!A3)</f>
        <v>PETG</v>
      </c>
      <c r="B4" s="5" t="str">
        <f t="shared" si="0"/>
        <v>8</v>
      </c>
      <c r="C4" s="30">
        <f t="shared" si="1"/>
        <v>92.592592592592609</v>
      </c>
      <c r="D4" s="30">
        <f t="shared" si="1"/>
        <v>55.555555555555557</v>
      </c>
      <c r="E4" s="30">
        <f t="shared" si="1"/>
        <v>46.296296296296305</v>
      </c>
      <c r="F4" s="30">
        <f t="shared" si="1"/>
        <v>39.682539682539684</v>
      </c>
      <c r="G4" s="30">
        <f t="shared" si="1"/>
        <v>34.722222222222221</v>
      </c>
      <c r="H4" s="30">
        <f t="shared" si="1"/>
        <v>27.777777777777779</v>
      </c>
      <c r="I4" s="30">
        <f t="shared" si="1"/>
        <v>23.148148148148152</v>
      </c>
      <c r="J4" s="30">
        <f t="shared" si="1"/>
        <v>19.841269841269842</v>
      </c>
      <c r="K4" s="30">
        <f t="shared" si="1"/>
        <v>17.361111111111111</v>
      </c>
      <c r="L4" s="30">
        <f t="shared" si="1"/>
        <v>15.4320987654321</v>
      </c>
      <c r="M4" s="33">
        <f t="shared" si="1"/>
        <v>13.888888888888889</v>
      </c>
      <c r="N4" s="7"/>
      <c r="O4" s="5" t="str">
        <f>IF(ISBLANK(spec_filament!A3),"",spec_filament!A3)</f>
        <v>PETG</v>
      </c>
      <c r="P4" s="37">
        <v>8</v>
      </c>
      <c r="Q4" s="37">
        <v>8</v>
      </c>
      <c r="R4" s="39">
        <f>($Q4/$Q$3) * $R$3</f>
        <v>15.304347826086957</v>
      </c>
      <c r="S4" s="39">
        <f>($Q4/$Q$3) * $S$3</f>
        <v>24.34782608695652</v>
      </c>
      <c r="T4" s="39">
        <f t="shared" ref="T4:T17" si="2">IF(ISBLANK(Q4),"",Q4)</f>
        <v>8</v>
      </c>
      <c r="U4" s="5"/>
      <c r="V4" s="5"/>
      <c r="W4" s="5"/>
      <c r="X4" s="5"/>
      <c r="Y4" s="5"/>
      <c r="Z4" s="5"/>
    </row>
    <row r="5" spans="1:26" x14ac:dyDescent="0.3">
      <c r="A5" s="4" t="str">
        <f>IF(ISBLANK(spec_filament!A4),"",spec_filament!A4)</f>
        <v>ABS</v>
      </c>
      <c r="B5" s="4" t="str">
        <f t="shared" si="0"/>
        <v>10</v>
      </c>
      <c r="C5" s="29">
        <f t="shared" si="1"/>
        <v>115.74074074074075</v>
      </c>
      <c r="D5" s="29">
        <f t="shared" si="1"/>
        <v>69.444444444444443</v>
      </c>
      <c r="E5" s="29">
        <f t="shared" si="1"/>
        <v>57.870370370370374</v>
      </c>
      <c r="F5" s="29">
        <f t="shared" si="1"/>
        <v>49.603174603174601</v>
      </c>
      <c r="G5" s="29">
        <f t="shared" si="1"/>
        <v>43.402777777777779</v>
      </c>
      <c r="H5" s="29">
        <f t="shared" si="1"/>
        <v>34.722222222222221</v>
      </c>
      <c r="I5" s="29">
        <f t="shared" si="1"/>
        <v>28.935185185185187</v>
      </c>
      <c r="J5" s="29">
        <f t="shared" si="1"/>
        <v>24.801587301587301</v>
      </c>
      <c r="K5" s="29">
        <f t="shared" si="1"/>
        <v>21.701388888888889</v>
      </c>
      <c r="L5" s="29">
        <f t="shared" si="1"/>
        <v>19.290123456790123</v>
      </c>
      <c r="M5" s="32">
        <f t="shared" si="1"/>
        <v>17.361111111111111</v>
      </c>
      <c r="N5" s="7"/>
      <c r="O5" s="4" t="str">
        <f>IF(ISBLANK(spec_filament!A4),"",spec_filament!A4)</f>
        <v>ABS</v>
      </c>
      <c r="P5" s="37">
        <v>10</v>
      </c>
      <c r="Q5" s="37">
        <v>10</v>
      </c>
      <c r="R5" s="38">
        <f t="shared" ref="R5:R12" si="3">($Q5/$Q$3) * $R$3</f>
        <v>19.130434782608695</v>
      </c>
      <c r="S5" s="38">
        <f t="shared" ref="S5:S12" si="4">($Q5/$Q$3) * $S$3</f>
        <v>30.434782608695652</v>
      </c>
      <c r="T5" s="38">
        <f t="shared" si="2"/>
        <v>10</v>
      </c>
      <c r="U5" s="4"/>
      <c r="V5" s="4"/>
      <c r="W5" s="4"/>
      <c r="X5" s="4"/>
      <c r="Y5" s="4"/>
      <c r="Z5" s="4"/>
    </row>
    <row r="6" spans="1:26" x14ac:dyDescent="0.3">
      <c r="A6" s="5" t="str">
        <f>IF(ISBLANK(spec_filament!A5),"",spec_filament!A5)</f>
        <v>Nylon</v>
      </c>
      <c r="B6" s="5" t="str">
        <f t="shared" si="0"/>
        <v>8</v>
      </c>
      <c r="C6" s="30">
        <f t="shared" si="1"/>
        <v>92.592592592592609</v>
      </c>
      <c r="D6" s="30">
        <f t="shared" si="1"/>
        <v>55.555555555555557</v>
      </c>
      <c r="E6" s="30">
        <f t="shared" si="1"/>
        <v>46.296296296296305</v>
      </c>
      <c r="F6" s="30">
        <f t="shared" si="1"/>
        <v>39.682539682539684</v>
      </c>
      <c r="G6" s="30">
        <f t="shared" si="1"/>
        <v>34.722222222222221</v>
      </c>
      <c r="H6" s="30">
        <f t="shared" si="1"/>
        <v>27.777777777777779</v>
      </c>
      <c r="I6" s="30">
        <f t="shared" si="1"/>
        <v>23.148148148148152</v>
      </c>
      <c r="J6" s="30">
        <f t="shared" si="1"/>
        <v>19.841269841269842</v>
      </c>
      <c r="K6" s="30">
        <f t="shared" si="1"/>
        <v>17.361111111111111</v>
      </c>
      <c r="L6" s="30">
        <f t="shared" si="1"/>
        <v>15.4320987654321</v>
      </c>
      <c r="M6" s="33">
        <f t="shared" si="1"/>
        <v>13.888888888888889</v>
      </c>
      <c r="N6" s="7"/>
      <c r="O6" s="5" t="str">
        <f>IF(ISBLANK(spec_filament!A5),"",spec_filament!A5)</f>
        <v>Nylon</v>
      </c>
      <c r="P6" s="37">
        <v>8</v>
      </c>
      <c r="Q6" s="37">
        <v>8</v>
      </c>
      <c r="R6" s="39">
        <f t="shared" si="3"/>
        <v>15.304347826086957</v>
      </c>
      <c r="S6" s="39">
        <f t="shared" si="4"/>
        <v>24.34782608695652</v>
      </c>
      <c r="T6" s="39">
        <f t="shared" si="2"/>
        <v>8</v>
      </c>
      <c r="U6" s="5"/>
      <c r="V6" s="5"/>
      <c r="W6" s="5"/>
      <c r="X6" s="5"/>
      <c r="Y6" s="5"/>
      <c r="Z6" s="5"/>
    </row>
    <row r="7" spans="1:26" x14ac:dyDescent="0.3">
      <c r="A7" s="4" t="str">
        <f>IF(ISBLANK(spec_filament!A6),"",spec_filament!A6)</f>
        <v>CPE</v>
      </c>
      <c r="B7" s="4" t="str">
        <f t="shared" si="0"/>
        <v>8</v>
      </c>
      <c r="C7" s="29">
        <f t="shared" si="1"/>
        <v>92.592592592592609</v>
      </c>
      <c r="D7" s="29">
        <f t="shared" si="1"/>
        <v>55.555555555555557</v>
      </c>
      <c r="E7" s="29">
        <f t="shared" si="1"/>
        <v>46.296296296296305</v>
      </c>
      <c r="F7" s="29">
        <f t="shared" si="1"/>
        <v>39.682539682539684</v>
      </c>
      <c r="G7" s="29">
        <f t="shared" si="1"/>
        <v>34.722222222222221</v>
      </c>
      <c r="H7" s="29">
        <f t="shared" si="1"/>
        <v>27.777777777777779</v>
      </c>
      <c r="I7" s="29">
        <f t="shared" si="1"/>
        <v>23.148148148148152</v>
      </c>
      <c r="J7" s="29">
        <f t="shared" si="1"/>
        <v>19.841269841269842</v>
      </c>
      <c r="K7" s="29">
        <f t="shared" si="1"/>
        <v>17.361111111111111</v>
      </c>
      <c r="L7" s="29">
        <f t="shared" si="1"/>
        <v>15.4320987654321</v>
      </c>
      <c r="M7" s="32">
        <f t="shared" si="1"/>
        <v>13.888888888888889</v>
      </c>
      <c r="N7" s="7"/>
      <c r="O7" s="4" t="str">
        <f>IF(ISBLANK(spec_filament!A6),"",spec_filament!A6)</f>
        <v>CPE</v>
      </c>
      <c r="P7" s="37">
        <v>8</v>
      </c>
      <c r="Q7" s="37">
        <v>8</v>
      </c>
      <c r="R7" s="38">
        <f t="shared" si="3"/>
        <v>15.304347826086957</v>
      </c>
      <c r="S7" s="38">
        <f t="shared" si="4"/>
        <v>24.34782608695652</v>
      </c>
      <c r="T7" s="38">
        <f t="shared" si="2"/>
        <v>8</v>
      </c>
      <c r="U7" s="4"/>
      <c r="V7" s="4"/>
      <c r="W7" s="4"/>
      <c r="X7" s="4"/>
      <c r="Y7" s="4"/>
      <c r="Z7" s="4"/>
    </row>
    <row r="8" spans="1:26" x14ac:dyDescent="0.3">
      <c r="A8" s="5" t="str">
        <f>IF(ISBLANK(spec_filament!A7),"",spec_filament!A7)</f>
        <v>TPU</v>
      </c>
      <c r="B8" s="5" t="str">
        <f t="shared" si="0"/>
        <v>6</v>
      </c>
      <c r="C8" s="30">
        <f t="shared" si="1"/>
        <v>69.444444444444457</v>
      </c>
      <c r="D8" s="30">
        <f t="shared" si="1"/>
        <v>41.666666666666671</v>
      </c>
      <c r="E8" s="30">
        <f t="shared" si="1"/>
        <v>34.722222222222229</v>
      </c>
      <c r="F8" s="30">
        <f t="shared" si="1"/>
        <v>29.761904761904763</v>
      </c>
      <c r="G8" s="30">
        <f t="shared" si="1"/>
        <v>26.041666666666668</v>
      </c>
      <c r="H8" s="30">
        <f t="shared" si="1"/>
        <v>20.833333333333336</v>
      </c>
      <c r="I8" s="30">
        <f t="shared" si="1"/>
        <v>17.361111111111114</v>
      </c>
      <c r="J8" s="30">
        <f t="shared" si="1"/>
        <v>14.880952380952381</v>
      </c>
      <c r="K8" s="30">
        <f t="shared" si="1"/>
        <v>13.020833333333334</v>
      </c>
      <c r="L8" s="30">
        <f t="shared" si="1"/>
        <v>11.574074074074074</v>
      </c>
      <c r="M8" s="33">
        <f t="shared" si="1"/>
        <v>10.416666666666668</v>
      </c>
      <c r="N8" s="7"/>
      <c r="O8" s="5" t="str">
        <f>IF(ISBLANK(spec_filament!A7),"",spec_filament!A7)</f>
        <v>TPU</v>
      </c>
      <c r="P8" s="37">
        <v>6</v>
      </c>
      <c r="Q8" s="37">
        <v>6</v>
      </c>
      <c r="R8" s="39">
        <f t="shared" si="3"/>
        <v>11.478260869565217</v>
      </c>
      <c r="S8" s="39">
        <f t="shared" si="4"/>
        <v>18.260869565217391</v>
      </c>
      <c r="T8" s="39">
        <f t="shared" si="2"/>
        <v>6</v>
      </c>
      <c r="U8" s="5"/>
      <c r="V8" s="5"/>
      <c r="W8" s="5"/>
      <c r="X8" s="5"/>
      <c r="Y8" s="5"/>
      <c r="Z8" s="5"/>
    </row>
    <row r="9" spans="1:26" x14ac:dyDescent="0.3">
      <c r="A9" s="4" t="str">
        <f>IF(ISBLANK(spec_filament!A8),"",spec_filament!A8)</f>
        <v>HIPS</v>
      </c>
      <c r="B9" s="4" t="str">
        <f t="shared" si="0"/>
        <v>10</v>
      </c>
      <c r="C9" s="29">
        <f t="shared" si="1"/>
        <v>115.74074074074075</v>
      </c>
      <c r="D9" s="29">
        <f t="shared" si="1"/>
        <v>69.444444444444443</v>
      </c>
      <c r="E9" s="29">
        <f t="shared" si="1"/>
        <v>57.870370370370374</v>
      </c>
      <c r="F9" s="29">
        <f t="shared" si="1"/>
        <v>49.603174603174601</v>
      </c>
      <c r="G9" s="29">
        <f t="shared" si="1"/>
        <v>43.402777777777779</v>
      </c>
      <c r="H9" s="29">
        <f t="shared" si="1"/>
        <v>34.722222222222221</v>
      </c>
      <c r="I9" s="29">
        <f t="shared" si="1"/>
        <v>28.935185185185187</v>
      </c>
      <c r="J9" s="29">
        <f t="shared" si="1"/>
        <v>24.801587301587301</v>
      </c>
      <c r="K9" s="29">
        <f t="shared" si="1"/>
        <v>21.701388888888889</v>
      </c>
      <c r="L9" s="29">
        <f t="shared" si="1"/>
        <v>19.290123456790123</v>
      </c>
      <c r="M9" s="32">
        <f t="shared" si="1"/>
        <v>17.361111111111111</v>
      </c>
      <c r="N9" s="7"/>
      <c r="O9" s="4" t="str">
        <f>IF(ISBLANK(spec_filament!A8),"",spec_filament!A8)</f>
        <v>HIPS</v>
      </c>
      <c r="P9" s="37">
        <v>10</v>
      </c>
      <c r="Q9" s="37">
        <v>10</v>
      </c>
      <c r="R9" s="38">
        <f t="shared" si="3"/>
        <v>19.130434782608695</v>
      </c>
      <c r="S9" s="38">
        <f t="shared" si="4"/>
        <v>30.434782608695652</v>
      </c>
      <c r="T9" s="38">
        <f t="shared" si="2"/>
        <v>10</v>
      </c>
      <c r="U9" s="4"/>
      <c r="V9" s="4"/>
      <c r="W9" s="4"/>
      <c r="X9" s="4"/>
      <c r="Y9" s="4"/>
      <c r="Z9" s="4"/>
    </row>
    <row r="10" spans="1:26" x14ac:dyDescent="0.3">
      <c r="A10" s="5" t="str">
        <f>IF(ISBLANK(spec_filament!A9),"",spec_filament!A9)</f>
        <v>ASA</v>
      </c>
      <c r="B10" s="5" t="str">
        <f t="shared" si="0"/>
        <v>10</v>
      </c>
      <c r="C10" s="30">
        <f t="shared" si="1"/>
        <v>115.74074074074075</v>
      </c>
      <c r="D10" s="30">
        <f t="shared" si="1"/>
        <v>69.444444444444443</v>
      </c>
      <c r="E10" s="30">
        <f t="shared" si="1"/>
        <v>57.870370370370374</v>
      </c>
      <c r="F10" s="30">
        <f t="shared" si="1"/>
        <v>49.603174603174601</v>
      </c>
      <c r="G10" s="30">
        <f t="shared" si="1"/>
        <v>43.402777777777779</v>
      </c>
      <c r="H10" s="30">
        <f t="shared" si="1"/>
        <v>34.722222222222221</v>
      </c>
      <c r="I10" s="30">
        <f t="shared" si="1"/>
        <v>28.935185185185187</v>
      </c>
      <c r="J10" s="30">
        <f t="shared" si="1"/>
        <v>24.801587301587301</v>
      </c>
      <c r="K10" s="30">
        <f t="shared" si="1"/>
        <v>21.701388888888889</v>
      </c>
      <c r="L10" s="30">
        <f t="shared" si="1"/>
        <v>19.290123456790123</v>
      </c>
      <c r="M10" s="33">
        <f t="shared" si="1"/>
        <v>17.361111111111111</v>
      </c>
      <c r="N10" s="7"/>
      <c r="O10" s="5" t="str">
        <f>IF(ISBLANK(spec_filament!A9),"",spec_filament!A9)</f>
        <v>ASA</v>
      </c>
      <c r="P10" s="37">
        <v>10</v>
      </c>
      <c r="Q10" s="37">
        <v>10</v>
      </c>
      <c r="R10" s="39">
        <f t="shared" si="3"/>
        <v>19.130434782608695</v>
      </c>
      <c r="S10" s="39">
        <f t="shared" si="4"/>
        <v>30.434782608695652</v>
      </c>
      <c r="T10" s="39">
        <f t="shared" si="2"/>
        <v>10</v>
      </c>
      <c r="U10" s="5"/>
      <c r="V10" s="5"/>
      <c r="W10" s="5"/>
      <c r="X10" s="5"/>
      <c r="Y10" s="5"/>
      <c r="Z10" s="5"/>
    </row>
    <row r="11" spans="1:26" x14ac:dyDescent="0.3">
      <c r="A11" s="4" t="str">
        <f>IF(ISBLANK(spec_filament!A10),"",spec_filament!A10)</f>
        <v>PP</v>
      </c>
      <c r="B11" s="4" t="str">
        <f t="shared" si="0"/>
        <v>8</v>
      </c>
      <c r="C11" s="29">
        <f t="shared" si="1"/>
        <v>92.592592592592609</v>
      </c>
      <c r="D11" s="29">
        <f t="shared" si="1"/>
        <v>55.555555555555557</v>
      </c>
      <c r="E11" s="29">
        <f t="shared" si="1"/>
        <v>46.296296296296305</v>
      </c>
      <c r="F11" s="29">
        <f t="shared" si="1"/>
        <v>39.682539682539684</v>
      </c>
      <c r="G11" s="29">
        <f t="shared" si="1"/>
        <v>34.722222222222221</v>
      </c>
      <c r="H11" s="29">
        <f t="shared" si="1"/>
        <v>27.777777777777779</v>
      </c>
      <c r="I11" s="29">
        <f t="shared" si="1"/>
        <v>23.148148148148152</v>
      </c>
      <c r="J11" s="29">
        <f t="shared" si="1"/>
        <v>19.841269841269842</v>
      </c>
      <c r="K11" s="29">
        <f t="shared" si="1"/>
        <v>17.361111111111111</v>
      </c>
      <c r="L11" s="29">
        <f t="shared" si="1"/>
        <v>15.4320987654321</v>
      </c>
      <c r="M11" s="32">
        <f t="shared" si="1"/>
        <v>13.888888888888889</v>
      </c>
      <c r="N11" s="7"/>
      <c r="O11" s="4" t="str">
        <f>IF(ISBLANK(spec_filament!A10),"",spec_filament!A10)</f>
        <v>PP</v>
      </c>
      <c r="P11" s="37">
        <v>8</v>
      </c>
      <c r="Q11" s="37">
        <v>8</v>
      </c>
      <c r="R11" s="38">
        <f t="shared" si="3"/>
        <v>15.304347826086957</v>
      </c>
      <c r="S11" s="38">
        <f t="shared" si="4"/>
        <v>24.34782608695652</v>
      </c>
      <c r="T11" s="38">
        <f t="shared" si="2"/>
        <v>8</v>
      </c>
      <c r="U11" s="4"/>
      <c r="V11" s="4"/>
      <c r="W11" s="4"/>
      <c r="X11" s="4"/>
      <c r="Y11" s="4"/>
      <c r="Z11" s="4"/>
    </row>
    <row r="12" spans="1:26" x14ac:dyDescent="0.3">
      <c r="A12" s="5" t="str">
        <f>IF(ISBLANK(spec_filament!A11),"",spec_filament!A11)</f>
        <v>TPE</v>
      </c>
      <c r="B12" s="5" t="str">
        <f t="shared" si="0"/>
        <v>6</v>
      </c>
      <c r="C12" s="30">
        <f t="shared" si="1"/>
        <v>69.444444444444457</v>
      </c>
      <c r="D12" s="30">
        <f t="shared" si="1"/>
        <v>41.666666666666671</v>
      </c>
      <c r="E12" s="30">
        <f t="shared" si="1"/>
        <v>34.722222222222229</v>
      </c>
      <c r="F12" s="30">
        <f t="shared" si="1"/>
        <v>29.761904761904763</v>
      </c>
      <c r="G12" s="30">
        <f t="shared" si="1"/>
        <v>26.041666666666668</v>
      </c>
      <c r="H12" s="30">
        <f t="shared" si="1"/>
        <v>20.833333333333336</v>
      </c>
      <c r="I12" s="30">
        <f t="shared" si="1"/>
        <v>17.361111111111114</v>
      </c>
      <c r="J12" s="30">
        <f t="shared" si="1"/>
        <v>14.880952380952381</v>
      </c>
      <c r="K12" s="30">
        <f t="shared" si="1"/>
        <v>13.020833333333334</v>
      </c>
      <c r="L12" s="30">
        <f t="shared" si="1"/>
        <v>11.574074074074074</v>
      </c>
      <c r="M12" s="33">
        <f t="shared" si="1"/>
        <v>10.416666666666668</v>
      </c>
      <c r="N12" s="7"/>
      <c r="O12" s="5" t="str">
        <f>IF(ISBLANK(spec_filament!A11),"",spec_filament!A11)</f>
        <v>TPE</v>
      </c>
      <c r="P12" s="37">
        <v>6</v>
      </c>
      <c r="Q12" s="37">
        <v>6</v>
      </c>
      <c r="R12" s="39">
        <f t="shared" si="3"/>
        <v>11.478260869565217</v>
      </c>
      <c r="S12" s="39">
        <f t="shared" si="4"/>
        <v>18.260869565217391</v>
      </c>
      <c r="T12" s="39">
        <f t="shared" si="2"/>
        <v>6</v>
      </c>
      <c r="U12" s="5"/>
      <c r="V12" s="5"/>
      <c r="W12" s="5"/>
      <c r="X12" s="5"/>
      <c r="Y12" s="5"/>
      <c r="Z12" s="5"/>
    </row>
    <row r="13" spans="1:26" x14ac:dyDescent="0.3">
      <c r="A13" s="4" t="str">
        <f>IF(ISBLANK(spec_filament!A12),"",spec_filament!A12)</f>
        <v/>
      </c>
      <c r="B13" s="4" t="str">
        <f t="shared" si="0"/>
        <v/>
      </c>
      <c r="C13" s="29" t="str">
        <f t="shared" si="1"/>
        <v/>
      </c>
      <c r="D13" s="29" t="str">
        <f t="shared" si="1"/>
        <v/>
      </c>
      <c r="E13" s="29"/>
      <c r="F13" s="29"/>
      <c r="G13" s="29" t="str">
        <f t="shared" si="1"/>
        <v/>
      </c>
      <c r="H13" s="29" t="str">
        <f t="shared" si="1"/>
        <v/>
      </c>
      <c r="I13" s="29" t="str">
        <f t="shared" si="1"/>
        <v/>
      </c>
      <c r="J13" s="29" t="str">
        <f t="shared" si="1"/>
        <v/>
      </c>
      <c r="K13" s="29" t="str">
        <f t="shared" si="1"/>
        <v/>
      </c>
      <c r="L13" s="29" t="str">
        <f t="shared" si="1"/>
        <v/>
      </c>
      <c r="M13" s="32" t="str">
        <f t="shared" si="1"/>
        <v/>
      </c>
      <c r="N13" s="7"/>
      <c r="O13" s="4" t="str">
        <f>IF(ISBLANK(spec_filament!A12),"",spec_filament!A12)</f>
        <v/>
      </c>
      <c r="P13" s="4"/>
      <c r="Q13" s="4"/>
      <c r="R13" s="4"/>
      <c r="S13" s="4"/>
      <c r="T13" s="38" t="str">
        <f t="shared" si="2"/>
        <v/>
      </c>
      <c r="U13" s="4"/>
      <c r="V13" s="4"/>
      <c r="W13" s="4"/>
      <c r="X13" s="4"/>
      <c r="Y13" s="4"/>
      <c r="Z13" s="4"/>
    </row>
    <row r="14" spans="1:26" x14ac:dyDescent="0.3">
      <c r="A14" s="5" t="str">
        <f>IF(ISBLANK(spec_filament!A13),"",spec_filament!A13)</f>
        <v/>
      </c>
      <c r="B14" s="5" t="str">
        <f t="shared" si="0"/>
        <v/>
      </c>
      <c r="C14" s="30" t="str">
        <f t="shared" si="1"/>
        <v/>
      </c>
      <c r="D14" s="30" t="str">
        <f t="shared" si="1"/>
        <v/>
      </c>
      <c r="E14" s="30"/>
      <c r="F14" s="30"/>
      <c r="G14" s="30" t="str">
        <f t="shared" si="1"/>
        <v/>
      </c>
      <c r="H14" s="30" t="str">
        <f t="shared" si="1"/>
        <v/>
      </c>
      <c r="I14" s="30" t="str">
        <f t="shared" si="1"/>
        <v/>
      </c>
      <c r="J14" s="30" t="str">
        <f t="shared" si="1"/>
        <v/>
      </c>
      <c r="K14" s="30" t="str">
        <f t="shared" si="1"/>
        <v/>
      </c>
      <c r="L14" s="30" t="str">
        <f t="shared" si="1"/>
        <v/>
      </c>
      <c r="M14" s="33" t="str">
        <f t="shared" si="1"/>
        <v/>
      </c>
      <c r="N14" s="7"/>
      <c r="O14" s="5" t="str">
        <f>IF(ISBLANK(spec_filament!A13),"",spec_filament!A13)</f>
        <v/>
      </c>
      <c r="P14" s="5"/>
      <c r="Q14" s="5"/>
      <c r="R14" s="5"/>
      <c r="S14" s="5"/>
      <c r="T14" s="39" t="str">
        <f t="shared" si="2"/>
        <v/>
      </c>
      <c r="U14" s="5"/>
      <c r="V14" s="5"/>
      <c r="W14" s="5"/>
      <c r="X14" s="5"/>
      <c r="Y14" s="5"/>
      <c r="Z14" s="5"/>
    </row>
    <row r="15" spans="1:26" x14ac:dyDescent="0.3">
      <c r="A15" s="4" t="str">
        <f>IF(ISBLANK(spec_filament!A14),"",spec_filament!A14)</f>
        <v/>
      </c>
      <c r="B15" s="4" t="str">
        <f t="shared" si="0"/>
        <v/>
      </c>
      <c r="C15" s="29" t="str">
        <f t="shared" si="1"/>
        <v/>
      </c>
      <c r="D15" s="29" t="str">
        <f t="shared" si="1"/>
        <v/>
      </c>
      <c r="E15" s="29"/>
      <c r="F15" s="29"/>
      <c r="G15" s="29" t="str">
        <f t="shared" si="1"/>
        <v/>
      </c>
      <c r="H15" s="29" t="str">
        <f t="shared" si="1"/>
        <v/>
      </c>
      <c r="I15" s="29" t="str">
        <f t="shared" si="1"/>
        <v/>
      </c>
      <c r="J15" s="29" t="str">
        <f t="shared" si="1"/>
        <v/>
      </c>
      <c r="K15" s="29" t="str">
        <f t="shared" si="1"/>
        <v/>
      </c>
      <c r="L15" s="29" t="str">
        <f t="shared" si="1"/>
        <v/>
      </c>
      <c r="M15" s="32" t="str">
        <f t="shared" si="1"/>
        <v/>
      </c>
      <c r="N15" s="7"/>
      <c r="O15" s="4" t="str">
        <f>IF(ISBLANK(spec_filament!A14),"",spec_filament!A14)</f>
        <v/>
      </c>
      <c r="P15" s="4"/>
      <c r="Q15" s="4"/>
      <c r="R15" s="4"/>
      <c r="S15" s="4"/>
      <c r="T15" s="38" t="str">
        <f t="shared" si="2"/>
        <v/>
      </c>
      <c r="U15" s="4"/>
      <c r="V15" s="4"/>
      <c r="W15" s="4"/>
      <c r="X15" s="4"/>
      <c r="Y15" s="4"/>
      <c r="Z15" s="4"/>
    </row>
    <row r="16" spans="1:26" x14ac:dyDescent="0.3">
      <c r="A16" s="5" t="str">
        <f>IF(ISBLANK(spec_filament!A15),"",spec_filament!A15)</f>
        <v/>
      </c>
      <c r="B16" s="5" t="str">
        <f t="shared" si="0"/>
        <v/>
      </c>
      <c r="C16" s="30" t="str">
        <f t="shared" si="1"/>
        <v/>
      </c>
      <c r="D16" s="30" t="str">
        <f t="shared" si="1"/>
        <v/>
      </c>
      <c r="E16" s="30"/>
      <c r="F16" s="30"/>
      <c r="G16" s="30" t="str">
        <f t="shared" si="1"/>
        <v/>
      </c>
      <c r="H16" s="30" t="str">
        <f t="shared" si="1"/>
        <v/>
      </c>
      <c r="I16" s="30" t="str">
        <f t="shared" si="1"/>
        <v/>
      </c>
      <c r="J16" s="30" t="str">
        <f t="shared" si="1"/>
        <v/>
      </c>
      <c r="K16" s="30" t="str">
        <f t="shared" si="1"/>
        <v/>
      </c>
      <c r="L16" s="30" t="str">
        <f t="shared" si="1"/>
        <v/>
      </c>
      <c r="M16" s="33" t="str">
        <f t="shared" si="1"/>
        <v/>
      </c>
      <c r="N16" s="7"/>
      <c r="O16" s="5" t="str">
        <f>IF(ISBLANK(spec_filament!A15),"",spec_filament!A15)</f>
        <v/>
      </c>
      <c r="P16" s="5"/>
      <c r="Q16" s="5"/>
      <c r="R16" s="5"/>
      <c r="S16" s="5"/>
      <c r="T16" s="39" t="str">
        <f t="shared" si="2"/>
        <v/>
      </c>
      <c r="U16" s="5"/>
      <c r="V16" s="5"/>
      <c r="W16" s="5"/>
      <c r="X16" s="5"/>
      <c r="Y16" s="5"/>
      <c r="Z16" s="5"/>
    </row>
    <row r="17" spans="1:26" x14ac:dyDescent="0.3">
      <c r="A17" s="34" t="str">
        <f>IF(ISBLANK(spec_filament!A16),"",spec_filament!A16)</f>
        <v/>
      </c>
      <c r="B17" s="34" t="str">
        <f t="shared" si="0"/>
        <v/>
      </c>
      <c r="C17" s="34"/>
      <c r="D17" s="34"/>
      <c r="E17" s="34"/>
      <c r="F17" s="34"/>
      <c r="G17" s="34"/>
      <c r="H17" s="34"/>
      <c r="I17" s="34"/>
      <c r="J17" s="34"/>
      <c r="K17" s="34"/>
      <c r="L17" s="34"/>
      <c r="M17" s="35"/>
      <c r="N17" s="7"/>
      <c r="O17" s="4" t="str">
        <f>IF(ISBLANK(spec_filament!A16),"",spec_filament!A16)</f>
        <v/>
      </c>
      <c r="P17" s="4"/>
      <c r="Q17" s="4"/>
      <c r="R17" s="4"/>
      <c r="S17" s="4"/>
      <c r="T17" s="38" t="str">
        <f t="shared" si="2"/>
        <v/>
      </c>
      <c r="U17" s="4"/>
      <c r="V17" s="4"/>
      <c r="W17" s="4"/>
      <c r="X17" s="4"/>
      <c r="Y17" s="4"/>
      <c r="Z17" s="4"/>
    </row>
    <row r="18" spans="1:26" x14ac:dyDescent="0.3">
      <c r="A18" s="7"/>
      <c r="B18" s="7"/>
      <c r="C18" s="7"/>
      <c r="D18" s="36"/>
      <c r="E18" s="36"/>
      <c r="F18" s="36"/>
      <c r="G18" s="7"/>
      <c r="H18" s="7"/>
      <c r="I18" s="7"/>
      <c r="J18" s="7"/>
      <c r="K18" s="7"/>
      <c r="L18" s="7"/>
      <c r="M18" s="7"/>
      <c r="N18" s="7"/>
    </row>
  </sheetData>
  <mergeCells count="2">
    <mergeCell ref="A1:M1"/>
    <mergeCell ref="O1:Z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D31EEB-60A0-46D1-B0FF-3003E1C761AA}">
  <sheetPr codeName="Sheet1"/>
  <dimension ref="A1:P302"/>
  <sheetViews>
    <sheetView workbookViewId="0">
      <pane ySplit="1" topLeftCell="A2" activePane="bottomLeft" state="frozen"/>
      <selection pane="bottomLeft" activeCell="J32" sqref="J32"/>
    </sheetView>
  </sheetViews>
  <sheetFormatPr defaultRowHeight="14.4" x14ac:dyDescent="0.3"/>
  <cols>
    <col min="1" max="1" width="10.109375" style="7" customWidth="1"/>
    <col min="2" max="2" width="17.6640625" style="7" bestFit="1" customWidth="1"/>
    <col min="3" max="3" width="44.5546875" style="7" bestFit="1" customWidth="1"/>
    <col min="4" max="4" width="21.33203125" style="8" customWidth="1"/>
    <col min="5" max="5" width="11.6640625" style="9" bestFit="1" customWidth="1"/>
    <col min="6" max="6" width="13.44140625" style="9" bestFit="1" customWidth="1"/>
    <col min="7" max="8" width="13.44140625" style="9" customWidth="1"/>
    <col min="9" max="9" width="12.6640625" style="9" bestFit="1" customWidth="1"/>
    <col min="10" max="10" width="10.44140625" style="9" bestFit="1" customWidth="1"/>
    <col min="11" max="11" width="14.6640625" style="9" bestFit="1" customWidth="1"/>
    <col min="12" max="12" width="12.6640625" style="9" bestFit="1" customWidth="1"/>
    <col min="13" max="13" width="11.109375" style="9" customWidth="1"/>
    <col min="14" max="14" width="12.109375" style="9" bestFit="1" customWidth="1"/>
    <col min="15" max="15" width="11.109375" style="9" bestFit="1" customWidth="1"/>
    <col min="16" max="16" width="59.88671875" style="7" customWidth="1"/>
    <col min="17" max="17" width="17.33203125" style="7" bestFit="1" customWidth="1"/>
    <col min="18" max="16384" width="8.88671875" style="7"/>
  </cols>
  <sheetData>
    <row r="1" spans="1:16" x14ac:dyDescent="0.3">
      <c r="A1" s="10" t="s">
        <v>146</v>
      </c>
      <c r="B1" s="10" t="s">
        <v>145</v>
      </c>
      <c r="C1" s="10" t="s">
        <v>5</v>
      </c>
      <c r="D1" s="11" t="s">
        <v>3</v>
      </c>
      <c r="E1" s="12" t="s">
        <v>24</v>
      </c>
      <c r="F1" s="12" t="s">
        <v>25</v>
      </c>
      <c r="G1" s="12" t="s">
        <v>258</v>
      </c>
      <c r="H1" s="12" t="s">
        <v>259</v>
      </c>
      <c r="I1" s="12" t="s">
        <v>26</v>
      </c>
      <c r="J1" s="12" t="s">
        <v>27</v>
      </c>
      <c r="K1" s="12" t="s">
        <v>28</v>
      </c>
      <c r="L1" s="12" t="s">
        <v>29</v>
      </c>
      <c r="M1" s="12" t="s">
        <v>30</v>
      </c>
      <c r="N1" s="12" t="s">
        <v>31</v>
      </c>
      <c r="O1" s="12" t="s">
        <v>32</v>
      </c>
      <c r="P1" s="10" t="s">
        <v>12</v>
      </c>
    </row>
    <row r="2" spans="1:16" x14ac:dyDescent="0.3">
      <c r="A2" s="14" t="s">
        <v>147</v>
      </c>
      <c r="B2" s="14"/>
      <c r="C2" s="14" t="s">
        <v>149</v>
      </c>
      <c r="D2" s="15"/>
      <c r="E2" s="16" t="s">
        <v>157</v>
      </c>
      <c r="F2" s="16" t="s">
        <v>37</v>
      </c>
      <c r="G2" s="16" t="s">
        <v>256</v>
      </c>
      <c r="H2" s="16" t="s">
        <v>257</v>
      </c>
      <c r="I2" s="16" t="s">
        <v>158</v>
      </c>
      <c r="J2" s="16" t="s">
        <v>159</v>
      </c>
      <c r="K2" s="16" t="s">
        <v>160</v>
      </c>
      <c r="L2" s="16" t="s">
        <v>161</v>
      </c>
      <c r="M2" s="16" t="s">
        <v>162</v>
      </c>
      <c r="N2" s="16" t="s">
        <v>163</v>
      </c>
      <c r="O2" s="16" t="s">
        <v>164</v>
      </c>
      <c r="P2" s="14"/>
    </row>
    <row r="3" spans="1:16" x14ac:dyDescent="0.3">
      <c r="A3" s="17"/>
      <c r="B3" s="17"/>
      <c r="C3" s="17" t="s">
        <v>148</v>
      </c>
      <c r="D3" s="18">
        <v>4</v>
      </c>
      <c r="E3" s="19"/>
      <c r="F3" s="19"/>
      <c r="G3" s="19"/>
      <c r="H3" s="19"/>
      <c r="I3" s="19"/>
      <c r="J3" s="19"/>
      <c r="K3" s="19"/>
      <c r="L3" s="19"/>
      <c r="M3" s="19"/>
      <c r="N3" s="19"/>
      <c r="O3" s="19"/>
      <c r="P3" s="17"/>
    </row>
    <row r="4" spans="1:16" x14ac:dyDescent="0.3">
      <c r="A4" s="14"/>
      <c r="B4" s="14"/>
      <c r="C4" s="14" t="s">
        <v>150</v>
      </c>
      <c r="D4" s="15" t="str">
        <f>PRINTER_DEF</f>
        <v>4maxpro_speed_0_6mm_nozzle</v>
      </c>
      <c r="E4" s="16"/>
      <c r="F4" s="16"/>
      <c r="G4" s="16"/>
      <c r="H4" s="16"/>
      <c r="I4" s="16"/>
      <c r="J4" s="16"/>
      <c r="K4" s="16"/>
      <c r="L4" s="16"/>
      <c r="M4" s="16"/>
      <c r="N4" s="16"/>
      <c r="O4" s="16"/>
      <c r="P4" s="14"/>
    </row>
    <row r="5" spans="1:16" x14ac:dyDescent="0.3">
      <c r="A5" s="17"/>
      <c r="B5" s="17"/>
      <c r="C5" s="17" t="s">
        <v>0</v>
      </c>
      <c r="D5" s="18">
        <f>MAX(0.2,Min_Layer_Height)</f>
        <v>0.2</v>
      </c>
      <c r="E5" s="19">
        <v>0.12</v>
      </c>
      <c r="F5" s="19">
        <v>0.2</v>
      </c>
      <c r="G5" s="19">
        <v>0.24</v>
      </c>
      <c r="H5" s="19">
        <v>0.28000000000000003</v>
      </c>
      <c r="I5" s="19">
        <v>0.32</v>
      </c>
      <c r="J5" s="19">
        <v>0.4</v>
      </c>
      <c r="K5" s="19">
        <v>0.48</v>
      </c>
      <c r="L5" s="19">
        <v>0.56000000000000005</v>
      </c>
      <c r="M5" s="19">
        <v>0.64</v>
      </c>
      <c r="N5" s="19">
        <v>0.72</v>
      </c>
      <c r="O5" s="19">
        <v>0.8</v>
      </c>
      <c r="P5" s="17"/>
    </row>
    <row r="6" spans="1:16" x14ac:dyDescent="0.3">
      <c r="A6" s="14" t="s">
        <v>151</v>
      </c>
      <c r="B6" s="14"/>
      <c r="C6" s="14" t="s">
        <v>152</v>
      </c>
      <c r="D6" s="15"/>
      <c r="E6" s="20" t="s">
        <v>13</v>
      </c>
      <c r="F6" s="20" t="s">
        <v>14</v>
      </c>
      <c r="G6" s="20" t="s">
        <v>254</v>
      </c>
      <c r="H6" s="20" t="s">
        <v>255</v>
      </c>
      <c r="I6" s="20" t="s">
        <v>15</v>
      </c>
      <c r="J6" s="20" t="s">
        <v>16</v>
      </c>
      <c r="K6" s="20" t="s">
        <v>17</v>
      </c>
      <c r="L6" s="20" t="s">
        <v>18</v>
      </c>
      <c r="M6" s="20" t="s">
        <v>19</v>
      </c>
      <c r="N6" s="20" t="s">
        <v>20</v>
      </c>
      <c r="O6" s="20" t="s">
        <v>21</v>
      </c>
      <c r="P6" s="14"/>
    </row>
    <row r="7" spans="1:16" x14ac:dyDescent="0.3">
      <c r="A7" s="17"/>
      <c r="B7" s="17"/>
      <c r="C7" s="17" t="s">
        <v>153</v>
      </c>
      <c r="D7" s="18" t="s">
        <v>14</v>
      </c>
      <c r="E7" s="19"/>
      <c r="F7" s="19"/>
      <c r="G7" s="19"/>
      <c r="H7" s="19"/>
      <c r="I7" s="19"/>
      <c r="J7" s="19"/>
      <c r="K7" s="19"/>
      <c r="L7" s="19"/>
      <c r="M7" s="19"/>
      <c r="N7" s="19"/>
      <c r="O7" s="19"/>
      <c r="P7" s="17"/>
    </row>
    <row r="8" spans="1:16" x14ac:dyDescent="0.3">
      <c r="A8" s="14"/>
      <c r="B8" s="14"/>
      <c r="C8" s="14" t="s">
        <v>154</v>
      </c>
      <c r="D8" s="15">
        <v>10</v>
      </c>
      <c r="E8" s="16"/>
      <c r="F8" s="16"/>
      <c r="G8" s="16"/>
      <c r="H8" s="16"/>
      <c r="I8" s="16"/>
      <c r="J8" s="16"/>
      <c r="K8" s="16"/>
      <c r="L8" s="16"/>
      <c r="M8" s="16"/>
      <c r="N8" s="16"/>
      <c r="O8" s="16"/>
      <c r="P8" s="14"/>
    </row>
    <row r="9" spans="1:16" x14ac:dyDescent="0.3">
      <c r="A9" s="17"/>
      <c r="B9" s="17"/>
      <c r="C9" s="17" t="s">
        <v>155</v>
      </c>
      <c r="D9" s="18" t="str">
        <f>"True"</f>
        <v>True</v>
      </c>
      <c r="E9" s="19"/>
      <c r="F9" s="19"/>
      <c r="G9" s="19"/>
      <c r="H9" s="19"/>
      <c r="I9" s="19"/>
      <c r="J9" s="19"/>
      <c r="K9" s="19"/>
      <c r="L9" s="19"/>
      <c r="M9" s="19"/>
      <c r="N9" s="19"/>
      <c r="O9" s="19"/>
      <c r="P9" s="17"/>
    </row>
    <row r="10" spans="1:16" x14ac:dyDescent="0.3">
      <c r="A10" s="14" t="s">
        <v>156</v>
      </c>
      <c r="B10" s="14" t="s">
        <v>37</v>
      </c>
      <c r="C10" s="14" t="s">
        <v>0</v>
      </c>
      <c r="D10" s="15">
        <f>D5</f>
        <v>0.2</v>
      </c>
      <c r="E10" s="16">
        <f t="shared" ref="E10:O10" si="0">E5</f>
        <v>0.12</v>
      </c>
      <c r="F10" s="16">
        <f t="shared" si="0"/>
        <v>0.2</v>
      </c>
      <c r="G10" s="16">
        <v>0.24</v>
      </c>
      <c r="H10" s="16">
        <v>0.28000000000000003</v>
      </c>
      <c r="I10" s="16">
        <f t="shared" si="0"/>
        <v>0.32</v>
      </c>
      <c r="J10" s="16">
        <f t="shared" si="0"/>
        <v>0.4</v>
      </c>
      <c r="K10" s="16">
        <f t="shared" si="0"/>
        <v>0.48</v>
      </c>
      <c r="L10" s="16">
        <f t="shared" si="0"/>
        <v>0.56000000000000005</v>
      </c>
      <c r="M10" s="16">
        <f t="shared" si="0"/>
        <v>0.64</v>
      </c>
      <c r="N10" s="16">
        <f t="shared" si="0"/>
        <v>0.72</v>
      </c>
      <c r="O10" s="16">
        <f t="shared" si="0"/>
        <v>0.8</v>
      </c>
      <c r="P10" s="14"/>
    </row>
    <row r="11" spans="1:16" x14ac:dyDescent="0.3">
      <c r="A11" s="17"/>
      <c r="B11" s="17"/>
      <c r="C11" s="17" t="s">
        <v>173</v>
      </c>
      <c r="D11" s="18"/>
      <c r="E11" s="19"/>
      <c r="F11" s="19"/>
      <c r="G11" s="19"/>
      <c r="H11" s="19"/>
      <c r="I11" s="19"/>
      <c r="J11" s="19"/>
      <c r="K11" s="19"/>
      <c r="L11" s="19"/>
      <c r="M11" s="19"/>
      <c r="N11" s="19"/>
      <c r="O11" s="19"/>
      <c r="P11" s="17"/>
    </row>
    <row r="12" spans="1:16" x14ac:dyDescent="0.3">
      <c r="A12" s="14"/>
      <c r="B12" s="14"/>
      <c r="C12" s="14" t="s">
        <v>38</v>
      </c>
      <c r="D12" s="15"/>
      <c r="E12" s="16"/>
      <c r="F12" s="16"/>
      <c r="G12" s="16"/>
      <c r="H12" s="16"/>
      <c r="I12" s="16"/>
      <c r="J12" s="16"/>
      <c r="K12" s="16"/>
      <c r="L12" s="16"/>
      <c r="M12" s="16"/>
      <c r="N12" s="16"/>
      <c r="O12" s="16"/>
      <c r="P12" s="14"/>
    </row>
    <row r="13" spans="1:16" x14ac:dyDescent="0.3">
      <c r="A13" s="17"/>
      <c r="B13" s="17"/>
      <c r="C13" s="17" t="s">
        <v>39</v>
      </c>
      <c r="D13" s="18"/>
      <c r="E13" s="19"/>
      <c r="F13" s="19"/>
      <c r="G13" s="19"/>
      <c r="H13" s="19"/>
      <c r="I13" s="19"/>
      <c r="J13" s="19"/>
      <c r="K13" s="19"/>
      <c r="L13" s="19"/>
      <c r="M13" s="19"/>
      <c r="N13" s="19"/>
      <c r="O13" s="19"/>
      <c r="P13" s="17"/>
    </row>
    <row r="14" spans="1:16" x14ac:dyDescent="0.3">
      <c r="A14" s="14"/>
      <c r="B14" s="14"/>
      <c r="C14" s="14" t="s">
        <v>40</v>
      </c>
      <c r="D14" s="15"/>
      <c r="E14" s="16"/>
      <c r="F14" s="16"/>
      <c r="G14" s="16"/>
      <c r="H14" s="16"/>
      <c r="I14" s="16"/>
      <c r="J14" s="16"/>
      <c r="K14" s="16"/>
      <c r="L14" s="16"/>
      <c r="M14" s="16"/>
      <c r="N14" s="16"/>
      <c r="O14" s="16"/>
      <c r="P14" s="14"/>
    </row>
    <row r="15" spans="1:16" x14ac:dyDescent="0.3">
      <c r="A15" s="17"/>
      <c r="B15" s="17"/>
      <c r="C15" s="17" t="s">
        <v>41</v>
      </c>
      <c r="D15" s="18"/>
      <c r="E15" s="19"/>
      <c r="F15" s="19"/>
      <c r="G15" s="19"/>
      <c r="H15" s="19"/>
      <c r="I15" s="19"/>
      <c r="J15" s="19"/>
      <c r="K15" s="19"/>
      <c r="L15" s="19"/>
      <c r="M15" s="19"/>
      <c r="N15" s="19"/>
      <c r="O15" s="19"/>
      <c r="P15" s="17"/>
    </row>
    <row r="16" spans="1:16" x14ac:dyDescent="0.3">
      <c r="A16" s="14"/>
      <c r="B16" s="14"/>
      <c r="C16" s="14" t="s">
        <v>42</v>
      </c>
      <c r="D16" s="15"/>
      <c r="E16" s="16"/>
      <c r="F16" s="16"/>
      <c r="G16" s="16"/>
      <c r="H16" s="16"/>
      <c r="I16" s="16"/>
      <c r="J16" s="16"/>
      <c r="K16" s="16"/>
      <c r="L16" s="16"/>
      <c r="M16" s="16"/>
      <c r="N16" s="16"/>
      <c r="O16" s="16"/>
      <c r="P16" s="14"/>
    </row>
    <row r="17" spans="1:16" x14ac:dyDescent="0.3">
      <c r="A17" s="17"/>
      <c r="B17" s="17"/>
      <c r="C17" s="17" t="s">
        <v>43</v>
      </c>
      <c r="D17" s="18"/>
      <c r="E17" s="19"/>
      <c r="F17" s="19"/>
      <c r="G17" s="19"/>
      <c r="H17" s="19"/>
      <c r="I17" s="19"/>
      <c r="J17" s="19"/>
      <c r="K17" s="19"/>
      <c r="L17" s="19"/>
      <c r="M17" s="19"/>
      <c r="N17" s="19"/>
      <c r="O17" s="19"/>
      <c r="P17" s="17"/>
    </row>
    <row r="18" spans="1:16" x14ac:dyDescent="0.3">
      <c r="A18" s="14"/>
      <c r="B18" s="14" t="s">
        <v>44</v>
      </c>
      <c r="C18" s="14" t="s">
        <v>45</v>
      </c>
      <c r="D18" s="15">
        <v>1.8</v>
      </c>
      <c r="E18" s="16" t="str">
        <f>Matchfill(INDEX(spec!$E$20:$Q$29,MATCH($C18,spec!$E$20:$E$29,0),MATCH(E$10,spec!$E$20:$Q$20,0)),spec!$F$1)</f>
        <v>1.8</v>
      </c>
      <c r="F18" s="16" t="str">
        <f>Matchfill(INDEX(spec!$E$20:$Q$29,MATCH($C18,spec!$E$20:$E$29,0),MATCH(F$10,spec!$E$20:$Q$20,0)),spec!$F$1)</f>
        <v>1.8</v>
      </c>
      <c r="G18" s="16" t="str">
        <f>Matchfill(INDEX(spec!$E$20:$Q$29,MATCH($C18,spec!$E$20:$E$29,0),MATCH(G$10,spec!$E$20:$Q$20,0)),spec!$F$1)</f>
        <v>1.8</v>
      </c>
      <c r="H18" s="16" t="str">
        <f>Matchfill(INDEX(spec!$E$20:$Q$29,MATCH($C18,spec!$E$20:$E$29,0),MATCH(H$10,spec!$E$20:$Q$20,0)),spec!$F$1)</f>
        <v>1.8</v>
      </c>
      <c r="I18" s="16" t="str">
        <f>Matchfill(INDEX(spec!$E$20:$Q$29,MATCH($C18,spec!$E$20:$E$29,0),MATCH(I$10,spec!$E$20:$Q$20,0)),spec!$F$1)</f>
        <v>1.8</v>
      </c>
      <c r="J18" s="16" t="str">
        <f>Matchfill(INDEX(spec!$E$20:$Q$29,MATCH($C18,spec!$E$20:$E$29,0),MATCH(J$10,spec!$E$20:$Q$20,0)),spec!$F$1)</f>
        <v>1.8</v>
      </c>
      <c r="K18" s="16" t="str">
        <f>Matchfill(INDEX(spec!$E$20:$Q$29,MATCH($C18,spec!$E$20:$E$29,0),MATCH(K$10,spec!$E$20:$Q$20,0)),spec!$F$1)</f>
        <v>1.8</v>
      </c>
      <c r="L18" s="16" t="str">
        <f>Matchfill(INDEX(spec!$E$20:$Q$29,MATCH($C18,spec!$E$20:$E$29,0),MATCH(L$10,spec!$E$20:$Q$20,0)),spec!$F$1)</f>
        <v>1.8</v>
      </c>
      <c r="M18" s="16" t="str">
        <f>Matchfill(INDEX(spec!$E$20:$Q$29,MATCH($C18,spec!$E$20:$E$29,0),MATCH(M$10,spec!$E$20:$Q$20,0)),spec!$F$1)</f>
        <v>1.8</v>
      </c>
      <c r="N18" s="16" t="str">
        <f>Matchfill(INDEX(spec!$E$20:$Q$29,MATCH($C18,spec!$E$20:$E$29,0),MATCH(N$10,spec!$E$20:$Q$20,0)),spec!$F$1)</f>
        <v>1.8</v>
      </c>
      <c r="O18" s="16" t="str">
        <f>Matchfill(INDEX(spec!$E$20:$Q$29,MATCH($C18,spec!$E$20:$E$29,0),MATCH(O$10,spec!$E$20:$Q$20,0)),spec!$F$1)</f>
        <v>1.8</v>
      </c>
      <c r="P18" s="14"/>
    </row>
    <row r="19" spans="1:16" x14ac:dyDescent="0.3">
      <c r="A19" s="17"/>
      <c r="B19" s="17"/>
      <c r="C19" s="17" t="s">
        <v>46</v>
      </c>
      <c r="D19" s="18">
        <v>0.8</v>
      </c>
      <c r="E19" s="19" t="str">
        <f>Matchfill(INDEX(spec!$E$20:$Q$29,MATCH($C19,spec!$E$20:$E$29,0),MATCH(E$10,spec!$E$20:$Q$20,0)),spec!$F$1)</f>
        <v>0.84</v>
      </c>
      <c r="F19" s="19" t="str">
        <f>Matchfill(INDEX(spec!$E$20:$Q$29,MATCH($C19,spec!$E$20:$E$29,0),MATCH(F$10,spec!$E$20:$Q$20,0)),spec!$F$1)</f>
        <v>0.8</v>
      </c>
      <c r="G19" s="19" t="str">
        <f>Matchfill(INDEX(spec!$E$20:$Q$29,MATCH($C19,spec!$E$20:$E$29,0),MATCH(G$10,spec!$E$20:$Q$20,0)),spec!$F$1)</f>
        <v>0.8</v>
      </c>
      <c r="H19" s="19" t="str">
        <f>Matchfill(INDEX(spec!$E$20:$Q$29,MATCH($C19,spec!$E$20:$E$29,0),MATCH(H$10,spec!$E$20:$Q$20,0)),spec!$F$1)</f>
        <v>0.8</v>
      </c>
      <c r="I19" s="19" t="str">
        <f>Matchfill(INDEX(spec!$E$20:$Q$29,MATCH($C19,spec!$E$20:$E$29,0),MATCH(I$10,spec!$E$20:$Q$20,0)),spec!$F$1)</f>
        <v>0.96</v>
      </c>
      <c r="J19" s="19" t="str">
        <f>Matchfill(INDEX(spec!$E$20:$Q$29,MATCH($C19,spec!$E$20:$E$29,0),MATCH(J$10,spec!$E$20:$Q$20,0)),spec!$F$1)</f>
        <v>1.2</v>
      </c>
      <c r="K19" s="19" t="str">
        <f>Matchfill(INDEX(spec!$E$20:$Q$29,MATCH($C19,spec!$E$20:$E$29,0),MATCH(K$10,spec!$E$20:$Q$20,0)),spec!$F$1)</f>
        <v>1.44</v>
      </c>
      <c r="L19" s="19" t="str">
        <f>Matchfill(INDEX(spec!$E$20:$Q$29,MATCH($C19,spec!$E$20:$E$29,0),MATCH(L$10,spec!$E$20:$Q$20,0)),spec!$F$1)</f>
        <v>1.68</v>
      </c>
      <c r="M19" s="19" t="str">
        <f>Matchfill(INDEX(spec!$E$20:$Q$29,MATCH($C19,spec!$E$20:$E$29,0),MATCH(M$10,spec!$E$20:$Q$20,0)),spec!$F$1)</f>
        <v>1.92</v>
      </c>
      <c r="N19" s="19" t="str">
        <f>Matchfill(INDEX(spec!$E$20:$Q$29,MATCH($C19,spec!$E$20:$E$29,0),MATCH(N$10,spec!$E$20:$Q$20,0)),spec!$F$1)</f>
        <v>2.16</v>
      </c>
      <c r="O19" s="19" t="str">
        <f>Matchfill(INDEX(spec!$E$20:$Q$29,MATCH($C19,spec!$E$20:$E$29,0),MATCH(O$10,spec!$E$20:$Q$20,0)),spec!$F$1)</f>
        <v>2.4</v>
      </c>
      <c r="P19" s="17"/>
    </row>
    <row r="20" spans="1:16" x14ac:dyDescent="0.3">
      <c r="A20" s="14"/>
      <c r="B20" s="14"/>
      <c r="C20" s="14" t="s">
        <v>47</v>
      </c>
      <c r="D20" s="15" t="s">
        <v>48</v>
      </c>
      <c r="E20" s="16"/>
      <c r="F20" s="16"/>
      <c r="G20" s="16"/>
      <c r="H20" s="16"/>
      <c r="I20" s="16"/>
      <c r="J20" s="16"/>
      <c r="K20" s="16"/>
      <c r="L20" s="16"/>
      <c r="M20" s="16"/>
      <c r="N20" s="16"/>
      <c r="O20" s="16"/>
      <c r="P20" s="14"/>
    </row>
    <row r="21" spans="1:16" x14ac:dyDescent="0.3">
      <c r="A21" s="17"/>
      <c r="B21" s="17"/>
      <c r="C21" s="17" t="s">
        <v>174</v>
      </c>
      <c r="D21" s="18" t="str">
        <f>"True"</f>
        <v>True</v>
      </c>
      <c r="E21" s="19"/>
      <c r="F21" s="19"/>
      <c r="G21" s="19"/>
      <c r="H21" s="19"/>
      <c r="I21" s="19"/>
      <c r="J21" s="19"/>
      <c r="K21" s="19"/>
      <c r="L21" s="19"/>
      <c r="M21" s="19"/>
      <c r="N21" s="19"/>
      <c r="O21" s="19"/>
      <c r="P21" s="17"/>
    </row>
    <row r="22" spans="1:16" x14ac:dyDescent="0.3">
      <c r="A22" s="14"/>
      <c r="B22" s="14"/>
      <c r="C22" s="14" t="s">
        <v>49</v>
      </c>
      <c r="D22" s="15" t="str">
        <f>"True"</f>
        <v>True</v>
      </c>
      <c r="E22" s="16"/>
      <c r="F22" s="16"/>
      <c r="G22" s="16"/>
      <c r="H22" s="16"/>
      <c r="I22" s="16"/>
      <c r="J22" s="16"/>
      <c r="K22" s="16"/>
      <c r="L22" s="16"/>
      <c r="M22" s="16"/>
      <c r="N22" s="16"/>
      <c r="O22" s="16"/>
      <c r="P22" s="14"/>
    </row>
    <row r="23" spans="1:16" x14ac:dyDescent="0.3">
      <c r="A23" s="17"/>
      <c r="B23" s="17"/>
      <c r="C23" s="17" t="s">
        <v>50</v>
      </c>
      <c r="D23" s="18" t="str">
        <f>"True"</f>
        <v>True</v>
      </c>
      <c r="E23" s="19"/>
      <c r="F23" s="19"/>
      <c r="G23" s="19"/>
      <c r="H23" s="19"/>
      <c r="I23" s="19"/>
      <c r="J23" s="19"/>
      <c r="K23" s="19"/>
      <c r="L23" s="19"/>
      <c r="M23" s="19"/>
      <c r="N23" s="19"/>
      <c r="O23" s="19"/>
      <c r="P23" s="17"/>
    </row>
    <row r="24" spans="1:16" x14ac:dyDescent="0.3">
      <c r="A24" s="14"/>
      <c r="B24" s="14"/>
      <c r="C24" s="14" t="s">
        <v>175</v>
      </c>
      <c r="D24" s="15" t="str">
        <f>"False"</f>
        <v>False</v>
      </c>
      <c r="E24" s="16"/>
      <c r="F24" s="16"/>
      <c r="G24" s="16"/>
      <c r="H24" s="16"/>
      <c r="I24" s="16"/>
      <c r="J24" s="16"/>
      <c r="K24" s="16"/>
      <c r="L24" s="16"/>
      <c r="M24" s="16"/>
      <c r="N24" s="16"/>
      <c r="O24" s="16"/>
      <c r="P24" s="14"/>
    </row>
    <row r="25" spans="1:16" x14ac:dyDescent="0.3">
      <c r="A25" s="17"/>
      <c r="B25" s="17"/>
      <c r="C25" s="17" t="s">
        <v>233</v>
      </c>
      <c r="D25" s="18"/>
      <c r="E25" s="19"/>
      <c r="F25" s="19"/>
      <c r="G25" s="19"/>
      <c r="H25" s="19"/>
      <c r="I25" s="19"/>
      <c r="J25" s="19"/>
      <c r="K25" s="19"/>
      <c r="L25" s="19"/>
      <c r="M25" s="19"/>
      <c r="N25" s="19"/>
      <c r="O25" s="19"/>
      <c r="P25" s="17"/>
    </row>
    <row r="26" spans="1:16" x14ac:dyDescent="0.3">
      <c r="A26" s="14"/>
      <c r="B26" s="14"/>
      <c r="C26" s="14" t="s">
        <v>176</v>
      </c>
      <c r="D26" s="15" t="str">
        <f>"True"</f>
        <v>True</v>
      </c>
      <c r="E26" s="16"/>
      <c r="F26" s="16"/>
      <c r="G26" s="16"/>
      <c r="H26" s="16"/>
      <c r="I26" s="16"/>
      <c r="J26" s="16"/>
      <c r="K26" s="16"/>
      <c r="L26" s="16"/>
      <c r="M26" s="16"/>
      <c r="N26" s="16"/>
      <c r="O26" s="16"/>
      <c r="P26" s="14"/>
    </row>
    <row r="27" spans="1:16" x14ac:dyDescent="0.3">
      <c r="A27" s="17"/>
      <c r="B27" s="17"/>
      <c r="C27" s="17" t="s">
        <v>51</v>
      </c>
      <c r="D27" s="18" t="str">
        <f>"everywhere"</f>
        <v>everywhere</v>
      </c>
      <c r="E27" s="19"/>
      <c r="F27" s="19"/>
      <c r="G27" s="19"/>
      <c r="H27" s="19"/>
      <c r="I27" s="19"/>
      <c r="J27" s="19"/>
      <c r="K27" s="19"/>
      <c r="L27" s="19"/>
      <c r="M27" s="19"/>
      <c r="N27" s="19"/>
      <c r="O27" s="19"/>
      <c r="P27" s="17"/>
    </row>
    <row r="28" spans="1:16" x14ac:dyDescent="0.3">
      <c r="A28" s="14"/>
      <c r="B28" s="14"/>
      <c r="C28" s="14" t="s">
        <v>177</v>
      </c>
      <c r="D28" s="15" t="str">
        <f>"True"</f>
        <v>True</v>
      </c>
      <c r="E28" s="16"/>
      <c r="F28" s="16"/>
      <c r="G28" s="16"/>
      <c r="H28" s="16"/>
      <c r="I28" s="16"/>
      <c r="J28" s="16"/>
      <c r="K28" s="16"/>
      <c r="L28" s="16"/>
      <c r="M28" s="16"/>
      <c r="N28" s="16"/>
      <c r="O28" s="16"/>
      <c r="P28" s="14"/>
    </row>
    <row r="29" spans="1:16" x14ac:dyDescent="0.3">
      <c r="A29" s="17"/>
      <c r="B29" s="17"/>
      <c r="C29" s="17" t="s">
        <v>52</v>
      </c>
      <c r="D29" s="18" t="str">
        <f>"True"</f>
        <v>True</v>
      </c>
      <c r="E29" s="19"/>
      <c r="F29" s="19"/>
      <c r="G29" s="19"/>
      <c r="H29" s="19"/>
      <c r="I29" s="19"/>
      <c r="J29" s="19"/>
      <c r="K29" s="19"/>
      <c r="L29" s="19"/>
      <c r="M29" s="19"/>
      <c r="N29" s="19"/>
      <c r="O29" s="19"/>
      <c r="P29" s="17"/>
    </row>
    <row r="30" spans="1:16" x14ac:dyDescent="0.3">
      <c r="A30" s="14"/>
      <c r="B30" s="14"/>
      <c r="C30" s="14" t="s">
        <v>178</v>
      </c>
      <c r="D30" s="15"/>
      <c r="E30" s="16"/>
      <c r="F30" s="16"/>
      <c r="G30" s="16"/>
      <c r="H30" s="16"/>
      <c r="I30" s="16"/>
      <c r="J30" s="16"/>
      <c r="K30" s="16"/>
      <c r="L30" s="16"/>
      <c r="M30" s="16"/>
      <c r="N30" s="16"/>
      <c r="O30" s="16"/>
      <c r="P30" s="14"/>
    </row>
    <row r="31" spans="1:16" x14ac:dyDescent="0.3">
      <c r="A31" s="17"/>
      <c r="B31" s="17"/>
      <c r="C31" s="17" t="s">
        <v>179</v>
      </c>
      <c r="D31" s="18"/>
      <c r="E31" s="19"/>
      <c r="F31" s="19"/>
      <c r="G31" s="19"/>
      <c r="H31" s="19"/>
      <c r="I31" s="19"/>
      <c r="J31" s="19"/>
      <c r="K31" s="19"/>
      <c r="L31" s="19"/>
      <c r="M31" s="19"/>
      <c r="N31" s="19"/>
      <c r="O31" s="19"/>
      <c r="P31" s="17"/>
    </row>
    <row r="32" spans="1:16" x14ac:dyDescent="0.3">
      <c r="A32" s="14"/>
      <c r="B32" s="14"/>
      <c r="C32" s="14" t="s">
        <v>167</v>
      </c>
      <c r="D32" s="15" t="s">
        <v>168</v>
      </c>
      <c r="E32" s="16"/>
      <c r="F32" s="16"/>
      <c r="G32" s="16"/>
      <c r="H32" s="16"/>
      <c r="I32" s="16"/>
      <c r="J32" s="16"/>
      <c r="K32" s="16"/>
      <c r="L32" s="16"/>
      <c r="M32" s="16"/>
      <c r="N32" s="16"/>
      <c r="O32" s="16"/>
      <c r="P32" s="14"/>
    </row>
    <row r="33" spans="1:16" x14ac:dyDescent="0.3">
      <c r="A33" s="17"/>
      <c r="B33" s="17"/>
      <c r="C33" s="17" t="s">
        <v>180</v>
      </c>
      <c r="D33" s="18"/>
      <c r="E33" s="19"/>
      <c r="F33" s="19"/>
      <c r="G33" s="19"/>
      <c r="H33" s="19"/>
      <c r="I33" s="19"/>
      <c r="J33" s="19"/>
      <c r="K33" s="19"/>
      <c r="L33" s="19"/>
      <c r="M33" s="19"/>
      <c r="N33" s="19"/>
      <c r="O33" s="19"/>
      <c r="P33" s="17"/>
    </row>
    <row r="34" spans="1:16" x14ac:dyDescent="0.3">
      <c r="A34" s="14"/>
      <c r="B34" s="14"/>
      <c r="C34" s="14" t="s">
        <v>181</v>
      </c>
      <c r="D34" s="15"/>
      <c r="E34" s="16"/>
      <c r="F34" s="16"/>
      <c r="G34" s="16"/>
      <c r="H34" s="16"/>
      <c r="I34" s="16"/>
      <c r="J34" s="16"/>
      <c r="K34" s="16"/>
      <c r="L34" s="16"/>
      <c r="M34" s="16"/>
      <c r="N34" s="16"/>
      <c r="O34" s="16"/>
      <c r="P34" s="14"/>
    </row>
    <row r="35" spans="1:16" x14ac:dyDescent="0.3">
      <c r="A35" s="17"/>
      <c r="B35" s="17"/>
      <c r="C35" s="17" t="s">
        <v>53</v>
      </c>
      <c r="D35" s="18" t="str">
        <f>"False"</f>
        <v>False</v>
      </c>
      <c r="E35" s="19"/>
      <c r="F35" s="19"/>
      <c r="G35" s="19"/>
      <c r="H35" s="19"/>
      <c r="I35" s="19"/>
      <c r="J35" s="19"/>
      <c r="K35" s="19"/>
      <c r="L35" s="19"/>
      <c r="M35" s="19"/>
      <c r="N35" s="19"/>
      <c r="O35" s="19"/>
      <c r="P35" s="17"/>
    </row>
    <row r="36" spans="1:16" x14ac:dyDescent="0.3">
      <c r="A36" s="14"/>
      <c r="B36" s="14"/>
      <c r="C36" s="14" t="s">
        <v>54</v>
      </c>
      <c r="D36" s="15" t="str">
        <f>"True"</f>
        <v>True</v>
      </c>
      <c r="E36" s="16"/>
      <c r="F36" s="16"/>
      <c r="G36" s="16"/>
      <c r="H36" s="16"/>
      <c r="I36" s="16"/>
      <c r="J36" s="16"/>
      <c r="K36" s="16"/>
      <c r="L36" s="16"/>
      <c r="M36" s="16"/>
      <c r="N36" s="16"/>
      <c r="O36" s="16"/>
      <c r="P36" s="14"/>
    </row>
    <row r="37" spans="1:16" x14ac:dyDescent="0.3">
      <c r="A37" s="17"/>
      <c r="B37" s="18"/>
      <c r="C37" s="17" t="s">
        <v>182</v>
      </c>
      <c r="D37" s="18"/>
      <c r="E37" s="19"/>
      <c r="F37" s="19"/>
      <c r="G37" s="19"/>
      <c r="H37" s="19"/>
      <c r="I37" s="19"/>
      <c r="J37" s="19"/>
      <c r="K37" s="19"/>
      <c r="L37" s="19"/>
      <c r="M37" s="19"/>
      <c r="N37" s="19"/>
      <c r="O37" s="19"/>
      <c r="P37" s="17"/>
    </row>
    <row r="38" spans="1:16" x14ac:dyDescent="0.3">
      <c r="A38" s="14"/>
      <c r="B38" s="14" t="s">
        <v>22</v>
      </c>
      <c r="C38" s="14" t="s">
        <v>55</v>
      </c>
      <c r="D38" s="24" t="str">
        <f>"grid"</f>
        <v>grid</v>
      </c>
      <c r="E38" s="16"/>
      <c r="F38" s="16"/>
      <c r="G38" s="16"/>
      <c r="H38" s="16"/>
      <c r="I38" s="16"/>
      <c r="J38" s="16"/>
      <c r="K38" s="16"/>
      <c r="L38" s="16"/>
      <c r="M38" s="16"/>
      <c r="N38" s="16"/>
      <c r="O38" s="16"/>
      <c r="P38" s="14"/>
    </row>
    <row r="39" spans="1:16" x14ac:dyDescent="0.3">
      <c r="A39" s="17"/>
      <c r="B39" s="17"/>
      <c r="C39" s="17" t="s">
        <v>140</v>
      </c>
      <c r="D39" s="18" t="str">
        <f>"True"</f>
        <v>True</v>
      </c>
      <c r="E39" s="19"/>
      <c r="F39" s="19"/>
      <c r="G39" s="19"/>
      <c r="H39" s="19"/>
      <c r="I39" s="19"/>
      <c r="J39" s="19"/>
      <c r="K39" s="19"/>
      <c r="L39" s="19"/>
      <c r="M39" s="19"/>
      <c r="N39" s="19"/>
      <c r="O39" s="19"/>
      <c r="P39" s="17"/>
    </row>
    <row r="40" spans="1:16" x14ac:dyDescent="0.3">
      <c r="A40" s="14"/>
      <c r="B40" s="14"/>
      <c r="C40" s="14" t="s">
        <v>56</v>
      </c>
      <c r="D40" s="15" t="str">
        <f>"True"</f>
        <v>True</v>
      </c>
      <c r="E40" s="16"/>
      <c r="F40" s="16"/>
      <c r="G40" s="16"/>
      <c r="H40" s="16"/>
      <c r="I40" s="16"/>
      <c r="J40" s="16"/>
      <c r="K40" s="16"/>
      <c r="L40" s="16"/>
      <c r="M40" s="16"/>
      <c r="N40" s="16"/>
      <c r="O40" s="16"/>
      <c r="P40" s="14"/>
    </row>
    <row r="41" spans="1:16" x14ac:dyDescent="0.3">
      <c r="A41" s="17"/>
      <c r="B41" s="17"/>
      <c r="C41" s="19" t="s">
        <v>2</v>
      </c>
      <c r="D41" s="18">
        <v>10</v>
      </c>
      <c r="E41" s="19"/>
      <c r="F41" s="19"/>
      <c r="G41" s="19"/>
      <c r="H41" s="19"/>
      <c r="I41" s="19"/>
      <c r="J41" s="19"/>
      <c r="K41" s="19"/>
      <c r="L41" s="19"/>
      <c r="M41" s="19"/>
      <c r="N41" s="19"/>
      <c r="O41" s="19"/>
      <c r="P41" s="17"/>
    </row>
    <row r="42" spans="1:16" x14ac:dyDescent="0.3">
      <c r="A42" s="14"/>
      <c r="B42" s="14"/>
      <c r="C42" s="16" t="s">
        <v>183</v>
      </c>
      <c r="D42" s="15"/>
      <c r="E42" s="16"/>
      <c r="F42" s="16"/>
      <c r="G42" s="16"/>
      <c r="H42" s="16"/>
      <c r="I42" s="16"/>
      <c r="J42" s="16"/>
      <c r="K42" s="16"/>
      <c r="L42" s="16"/>
      <c r="M42" s="16"/>
      <c r="N42" s="16"/>
      <c r="O42" s="16"/>
      <c r="P42" s="14"/>
    </row>
    <row r="43" spans="1:16" x14ac:dyDescent="0.3">
      <c r="A43" s="17"/>
      <c r="B43" s="17"/>
      <c r="C43" s="19" t="s">
        <v>57</v>
      </c>
      <c r="D43" s="18" t="str">
        <f>"False"</f>
        <v>False</v>
      </c>
      <c r="E43" s="19"/>
      <c r="F43" s="19"/>
      <c r="G43" s="19"/>
      <c r="H43" s="19"/>
      <c r="I43" s="19"/>
      <c r="J43" s="19"/>
      <c r="K43" s="19"/>
      <c r="L43" s="19"/>
      <c r="M43" s="19"/>
      <c r="N43" s="19"/>
      <c r="O43" s="19"/>
      <c r="P43" s="17"/>
    </row>
    <row r="44" spans="1:16" x14ac:dyDescent="0.3">
      <c r="A44" s="14"/>
      <c r="B44" s="14"/>
      <c r="C44" s="16" t="s">
        <v>58</v>
      </c>
      <c r="D44" s="15" t="str">
        <f>"=wall_line_width * wall_line_width"</f>
        <v>=wall_line_width * wall_line_width</v>
      </c>
      <c r="E44" s="16"/>
      <c r="F44" s="16"/>
      <c r="G44" s="16"/>
      <c r="H44" s="16"/>
      <c r="I44" s="16"/>
      <c r="J44" s="16"/>
      <c r="K44" s="16"/>
      <c r="L44" s="16"/>
      <c r="M44" s="16"/>
      <c r="N44" s="16"/>
      <c r="O44" s="16"/>
      <c r="P44" s="14"/>
    </row>
    <row r="45" spans="1:16" x14ac:dyDescent="0.3">
      <c r="A45" s="17"/>
      <c r="B45" s="17"/>
      <c r="C45" s="17" t="s">
        <v>184</v>
      </c>
      <c r="D45" s="18" t="str">
        <f>"False"</f>
        <v>False</v>
      </c>
      <c r="E45" s="19"/>
      <c r="F45" s="19"/>
      <c r="G45" s="19"/>
      <c r="H45" s="19"/>
      <c r="I45" s="19"/>
      <c r="J45" s="19"/>
      <c r="K45" s="19"/>
      <c r="L45" s="19"/>
      <c r="M45" s="19"/>
      <c r="N45" s="19"/>
      <c r="O45" s="19"/>
      <c r="P45" s="17"/>
    </row>
    <row r="46" spans="1:16" x14ac:dyDescent="0.3">
      <c r="A46" s="14"/>
      <c r="B46" s="14" t="s">
        <v>59</v>
      </c>
      <c r="C46" s="16" t="s">
        <v>141</v>
      </c>
      <c r="D46" s="15"/>
      <c r="E46" s="16"/>
      <c r="F46" s="16"/>
      <c r="G46" s="16"/>
      <c r="H46" s="16"/>
      <c r="I46" s="16"/>
      <c r="J46" s="16"/>
      <c r="K46" s="16"/>
      <c r="L46" s="16"/>
      <c r="M46" s="16"/>
      <c r="N46" s="16"/>
      <c r="O46" s="16"/>
      <c r="P46" s="14"/>
    </row>
    <row r="47" spans="1:16" x14ac:dyDescent="0.3">
      <c r="A47" s="17"/>
      <c r="B47" s="17"/>
      <c r="C47" s="17" t="s">
        <v>142</v>
      </c>
      <c r="D47" s="18"/>
      <c r="E47" s="19"/>
      <c r="F47" s="19"/>
      <c r="G47" s="19"/>
      <c r="H47" s="19"/>
      <c r="I47" s="19"/>
      <c r="J47" s="19"/>
      <c r="K47" s="19"/>
      <c r="L47" s="19"/>
      <c r="M47" s="19"/>
      <c r="N47" s="19"/>
      <c r="O47" s="19"/>
      <c r="P47" s="17"/>
    </row>
    <row r="48" spans="1:16" x14ac:dyDescent="0.3">
      <c r="A48" s="14"/>
      <c r="B48" s="14"/>
      <c r="C48" s="14" t="s">
        <v>143</v>
      </c>
      <c r="D48" s="15"/>
      <c r="E48" s="16"/>
      <c r="F48" s="16"/>
      <c r="G48" s="16"/>
      <c r="H48" s="16"/>
      <c r="I48" s="16"/>
      <c r="J48" s="16"/>
      <c r="K48" s="16"/>
      <c r="L48" s="16"/>
      <c r="M48" s="16"/>
      <c r="N48" s="16"/>
      <c r="O48" s="16"/>
      <c r="P48" s="14"/>
    </row>
    <row r="49" spans="1:16" x14ac:dyDescent="0.3">
      <c r="A49" s="17"/>
      <c r="B49" s="17"/>
      <c r="C49" s="17" t="s">
        <v>144</v>
      </c>
      <c r="D49" s="18"/>
      <c r="E49" s="19"/>
      <c r="F49" s="19"/>
      <c r="G49" s="19"/>
      <c r="H49" s="19"/>
      <c r="I49" s="19"/>
      <c r="J49" s="19"/>
      <c r="K49" s="19"/>
      <c r="L49" s="19"/>
      <c r="M49" s="19"/>
      <c r="N49" s="19"/>
      <c r="O49" s="19"/>
      <c r="P49" s="17"/>
    </row>
    <row r="50" spans="1:16" x14ac:dyDescent="0.3">
      <c r="A50" s="14"/>
      <c r="B50" s="14"/>
      <c r="C50" s="14" t="s">
        <v>61</v>
      </c>
      <c r="D50" s="15"/>
      <c r="E50" s="16"/>
      <c r="F50" s="16"/>
      <c r="G50" s="16"/>
      <c r="H50" s="16"/>
      <c r="I50" s="16"/>
      <c r="J50" s="16"/>
      <c r="K50" s="16"/>
      <c r="L50" s="16"/>
      <c r="M50" s="16"/>
      <c r="N50" s="16"/>
      <c r="O50" s="16"/>
      <c r="P50" s="14"/>
    </row>
    <row r="51" spans="1:16" x14ac:dyDescent="0.3">
      <c r="A51" s="17"/>
      <c r="B51" s="17"/>
      <c r="C51" s="17" t="s">
        <v>60</v>
      </c>
      <c r="D51" s="18"/>
      <c r="E51" s="19"/>
      <c r="F51" s="19"/>
      <c r="G51" s="19"/>
      <c r="H51" s="19"/>
      <c r="I51" s="19"/>
      <c r="J51" s="19"/>
      <c r="K51" s="19"/>
      <c r="L51" s="19"/>
      <c r="M51" s="19"/>
      <c r="N51" s="19"/>
      <c r="O51" s="19"/>
      <c r="P51" s="17"/>
    </row>
    <row r="52" spans="1:16" x14ac:dyDescent="0.3">
      <c r="A52" s="14"/>
      <c r="B52" s="14"/>
      <c r="C52" s="14" t="s">
        <v>62</v>
      </c>
      <c r="D52" s="15"/>
      <c r="E52" s="16"/>
      <c r="F52" s="16"/>
      <c r="G52" s="16"/>
      <c r="H52" s="16"/>
      <c r="I52" s="16"/>
      <c r="J52" s="16"/>
      <c r="K52" s="16"/>
      <c r="L52" s="16"/>
      <c r="M52" s="16"/>
      <c r="N52" s="16"/>
      <c r="O52" s="16"/>
      <c r="P52" s="14"/>
    </row>
    <row r="53" spans="1:16" x14ac:dyDescent="0.3">
      <c r="A53" s="17"/>
      <c r="B53" s="17"/>
      <c r="C53" s="17" t="s">
        <v>63</v>
      </c>
      <c r="D53" s="18"/>
      <c r="E53" s="19"/>
      <c r="F53" s="19"/>
      <c r="G53" s="19"/>
      <c r="H53" s="19"/>
      <c r="I53" s="19"/>
      <c r="J53" s="19"/>
      <c r="K53" s="19"/>
      <c r="L53" s="19"/>
      <c r="M53" s="19"/>
      <c r="N53" s="19"/>
      <c r="O53" s="19"/>
      <c r="P53" s="17"/>
    </row>
    <row r="54" spans="1:16" x14ac:dyDescent="0.3">
      <c r="A54" s="14"/>
      <c r="B54" s="14"/>
      <c r="C54" s="14" t="s">
        <v>64</v>
      </c>
      <c r="D54" s="15"/>
      <c r="E54" s="16"/>
      <c r="F54" s="16"/>
      <c r="G54" s="16"/>
      <c r="H54" s="16"/>
      <c r="I54" s="16"/>
      <c r="J54" s="16"/>
      <c r="K54" s="16"/>
      <c r="L54" s="16"/>
      <c r="M54" s="16"/>
      <c r="N54" s="16"/>
      <c r="O54" s="16"/>
      <c r="P54" s="14"/>
    </row>
    <row r="55" spans="1:16" x14ac:dyDescent="0.3">
      <c r="A55" s="17"/>
      <c r="B55" s="17"/>
      <c r="C55" s="17" t="s">
        <v>65</v>
      </c>
      <c r="D55" s="18"/>
      <c r="E55" s="19"/>
      <c r="F55" s="19"/>
      <c r="G55" s="19"/>
      <c r="H55" s="19"/>
      <c r="I55" s="19"/>
      <c r="J55" s="19"/>
      <c r="K55" s="19"/>
      <c r="L55" s="19"/>
      <c r="M55" s="19"/>
      <c r="N55" s="19"/>
      <c r="O55" s="19"/>
      <c r="P55" s="17"/>
    </row>
    <row r="56" spans="1:16" x14ac:dyDescent="0.3">
      <c r="A56" s="14"/>
      <c r="B56" s="14"/>
      <c r="C56" s="14" t="s">
        <v>66</v>
      </c>
      <c r="D56" s="15"/>
      <c r="E56" s="16"/>
      <c r="F56" s="16"/>
      <c r="G56" s="16"/>
      <c r="H56" s="16"/>
      <c r="I56" s="16"/>
      <c r="J56" s="16"/>
      <c r="K56" s="16"/>
      <c r="L56" s="16"/>
      <c r="M56" s="16"/>
      <c r="N56" s="16"/>
      <c r="O56" s="16"/>
      <c r="P56" s="14"/>
    </row>
    <row r="57" spans="1:16" x14ac:dyDescent="0.3">
      <c r="A57" s="17"/>
      <c r="B57" s="17"/>
      <c r="C57" s="17" t="s">
        <v>67</v>
      </c>
      <c r="D57" s="18"/>
      <c r="E57" s="19"/>
      <c r="F57" s="19"/>
      <c r="G57" s="19"/>
      <c r="H57" s="19"/>
      <c r="I57" s="19"/>
      <c r="J57" s="19"/>
      <c r="K57" s="19"/>
      <c r="L57" s="19"/>
      <c r="M57" s="19"/>
      <c r="N57" s="19"/>
      <c r="O57" s="19"/>
      <c r="P57" s="17"/>
    </row>
    <row r="58" spans="1:16" x14ac:dyDescent="0.3">
      <c r="A58" s="14"/>
      <c r="B58" s="14"/>
      <c r="C58" s="14" t="s">
        <v>68</v>
      </c>
      <c r="D58" s="15"/>
      <c r="E58" s="16"/>
      <c r="F58" s="16"/>
      <c r="G58" s="16"/>
      <c r="H58" s="16"/>
      <c r="I58" s="16"/>
      <c r="J58" s="16"/>
      <c r="K58" s="16"/>
      <c r="L58" s="16"/>
      <c r="M58" s="16"/>
      <c r="N58" s="16"/>
      <c r="O58" s="16"/>
      <c r="P58" s="14"/>
    </row>
    <row r="59" spans="1:16" x14ac:dyDescent="0.3">
      <c r="A59" s="17"/>
      <c r="B59" s="17"/>
      <c r="C59" s="17" t="s">
        <v>185</v>
      </c>
      <c r="D59" s="18"/>
      <c r="E59" s="19"/>
      <c r="F59" s="19"/>
      <c r="G59" s="19"/>
      <c r="H59" s="19"/>
      <c r="I59" s="19"/>
      <c r="J59" s="19"/>
      <c r="K59" s="19"/>
      <c r="L59" s="19"/>
      <c r="M59" s="19"/>
      <c r="N59" s="19"/>
      <c r="O59" s="19"/>
      <c r="P59" s="17"/>
    </row>
    <row r="60" spans="1:16" x14ac:dyDescent="0.3">
      <c r="A60" s="14"/>
      <c r="B60" s="14"/>
      <c r="C60" s="14" t="s">
        <v>186</v>
      </c>
      <c r="D60" s="15"/>
      <c r="E60" s="16"/>
      <c r="F60" s="16"/>
      <c r="G60" s="16"/>
      <c r="H60" s="16"/>
      <c r="I60" s="16"/>
      <c r="J60" s="16"/>
      <c r="K60" s="16"/>
      <c r="L60" s="16"/>
      <c r="M60" s="16"/>
      <c r="N60" s="16"/>
      <c r="O60" s="16"/>
      <c r="P60" s="14"/>
    </row>
    <row r="61" spans="1:16" x14ac:dyDescent="0.3">
      <c r="A61" s="17"/>
      <c r="B61" s="17"/>
      <c r="C61" s="17" t="s">
        <v>69</v>
      </c>
      <c r="D61" s="18" t="str">
        <f>"False"</f>
        <v>False</v>
      </c>
      <c r="E61" s="19"/>
      <c r="F61" s="19"/>
      <c r="G61" s="19"/>
      <c r="H61" s="19"/>
      <c r="I61" s="19"/>
      <c r="J61" s="19"/>
      <c r="K61" s="19"/>
      <c r="L61" s="19"/>
      <c r="M61" s="19"/>
      <c r="N61" s="19"/>
      <c r="O61" s="19"/>
      <c r="P61" s="17"/>
    </row>
    <row r="62" spans="1:16" x14ac:dyDescent="0.3">
      <c r="A62" s="14"/>
      <c r="B62" s="14" t="s">
        <v>23</v>
      </c>
      <c r="C62" s="14" t="s">
        <v>253</v>
      </c>
      <c r="D62" s="15"/>
      <c r="E62" s="22"/>
      <c r="F62" s="22"/>
      <c r="G62" s="22"/>
      <c r="H62" s="22"/>
      <c r="I62" s="22"/>
      <c r="J62" s="22"/>
      <c r="K62" s="22"/>
      <c r="L62" s="22"/>
      <c r="M62" s="22"/>
      <c r="N62" s="22"/>
      <c r="O62" s="22"/>
      <c r="P62" s="14"/>
    </row>
    <row r="63" spans="1:16" x14ac:dyDescent="0.3">
      <c r="A63" s="17"/>
      <c r="B63" s="17"/>
      <c r="C63" s="17" t="s">
        <v>252</v>
      </c>
      <c r="D63" s="18"/>
      <c r="E63" s="25"/>
      <c r="F63" s="25"/>
      <c r="G63" s="25"/>
      <c r="H63" s="25"/>
      <c r="I63" s="25"/>
      <c r="J63" s="25"/>
      <c r="K63" s="25"/>
      <c r="L63" s="25"/>
      <c r="M63" s="25"/>
      <c r="N63" s="25"/>
      <c r="O63" s="25"/>
      <c r="P63" s="17"/>
    </row>
    <row r="64" spans="1:16" x14ac:dyDescent="0.3">
      <c r="A64" s="14"/>
      <c r="B64" s="14"/>
      <c r="C64" s="14" t="s">
        <v>70</v>
      </c>
      <c r="D64" s="15"/>
      <c r="E64" s="16"/>
      <c r="F64" s="16"/>
      <c r="G64" s="16"/>
      <c r="H64" s="16"/>
      <c r="I64" s="16"/>
      <c r="J64" s="16"/>
      <c r="K64" s="16"/>
      <c r="L64" s="16"/>
      <c r="M64" s="16"/>
      <c r="N64" s="16"/>
      <c r="O64" s="16"/>
      <c r="P64" s="14"/>
    </row>
    <row r="65" spans="1:16" x14ac:dyDescent="0.3">
      <c r="A65" s="17"/>
      <c r="B65" s="17"/>
      <c r="C65" s="17" t="s">
        <v>71</v>
      </c>
      <c r="D65" s="18"/>
      <c r="E65" s="19"/>
      <c r="F65" s="19"/>
      <c r="G65" s="19"/>
      <c r="H65" s="19"/>
      <c r="I65" s="19"/>
      <c r="J65" s="19"/>
      <c r="K65" s="19"/>
      <c r="L65" s="19"/>
      <c r="M65" s="19"/>
      <c r="N65" s="19"/>
      <c r="O65" s="19"/>
      <c r="P65" s="17"/>
    </row>
    <row r="66" spans="1:16" x14ac:dyDescent="0.3">
      <c r="A66" s="14"/>
      <c r="B66" s="14"/>
      <c r="C66" s="14" t="s">
        <v>72</v>
      </c>
      <c r="D66" s="15"/>
      <c r="E66" s="16"/>
      <c r="F66" s="16"/>
      <c r="G66" s="16"/>
      <c r="H66" s="16"/>
      <c r="I66" s="16"/>
      <c r="J66" s="16"/>
      <c r="K66" s="16"/>
      <c r="L66" s="16"/>
      <c r="M66" s="16"/>
      <c r="N66" s="16"/>
      <c r="O66" s="16"/>
      <c r="P66" s="14"/>
    </row>
    <row r="67" spans="1:16" x14ac:dyDescent="0.3">
      <c r="A67" s="17"/>
      <c r="B67" s="17"/>
      <c r="C67" s="17" t="s">
        <v>73</v>
      </c>
      <c r="D67" s="18"/>
      <c r="E67" s="19"/>
      <c r="F67" s="19"/>
      <c r="G67" s="19"/>
      <c r="H67" s="19"/>
      <c r="I67" s="19"/>
      <c r="J67" s="19"/>
      <c r="K67" s="19"/>
      <c r="L67" s="19"/>
      <c r="M67" s="19"/>
      <c r="N67" s="19"/>
      <c r="O67" s="19"/>
      <c r="P67" s="17"/>
    </row>
    <row r="68" spans="1:16" x14ac:dyDescent="0.3">
      <c r="A68" s="14"/>
      <c r="B68" s="16"/>
      <c r="C68" s="16" t="s">
        <v>74</v>
      </c>
      <c r="D68" s="15"/>
      <c r="E68" s="16"/>
      <c r="F68" s="16"/>
      <c r="G68" s="16"/>
      <c r="H68" s="16"/>
      <c r="I68" s="16"/>
      <c r="J68" s="16"/>
      <c r="K68" s="16"/>
      <c r="L68" s="16"/>
      <c r="M68" s="16"/>
      <c r="N68" s="16"/>
      <c r="O68" s="16"/>
      <c r="P68" s="14"/>
    </row>
    <row r="69" spans="1:16" x14ac:dyDescent="0.3">
      <c r="A69" s="17"/>
      <c r="B69" s="17"/>
      <c r="C69" s="17" t="s">
        <v>75</v>
      </c>
      <c r="D69" s="18"/>
      <c r="E69" s="19"/>
      <c r="F69" s="19"/>
      <c r="G69" s="19"/>
      <c r="H69" s="19"/>
      <c r="I69" s="19"/>
      <c r="J69" s="19"/>
      <c r="K69" s="19"/>
      <c r="L69" s="19"/>
      <c r="M69" s="19"/>
      <c r="N69" s="19"/>
      <c r="O69" s="19"/>
      <c r="P69" s="17"/>
    </row>
    <row r="70" spans="1:16" x14ac:dyDescent="0.3">
      <c r="A70" s="14"/>
      <c r="B70" s="14"/>
      <c r="C70" s="14" t="s">
        <v>76</v>
      </c>
      <c r="D70" s="15"/>
      <c r="E70" s="16"/>
      <c r="F70" s="16"/>
      <c r="G70" s="16"/>
      <c r="H70" s="16"/>
      <c r="I70" s="16"/>
      <c r="J70" s="16"/>
      <c r="K70" s="16"/>
      <c r="L70" s="16"/>
      <c r="M70" s="16"/>
      <c r="N70" s="16"/>
      <c r="O70" s="16"/>
      <c r="P70" s="26"/>
    </row>
    <row r="71" spans="1:16" x14ac:dyDescent="0.3">
      <c r="A71" s="17"/>
      <c r="B71" s="17"/>
      <c r="C71" s="17" t="s">
        <v>77</v>
      </c>
      <c r="D71" s="18">
        <v>120</v>
      </c>
      <c r="E71" s="19"/>
      <c r="F71" s="19"/>
      <c r="G71" s="19"/>
      <c r="H71" s="19"/>
      <c r="I71" s="19"/>
      <c r="J71" s="19"/>
      <c r="K71" s="19"/>
      <c r="L71" s="19"/>
      <c r="M71" s="19"/>
      <c r="N71" s="19"/>
      <c r="O71" s="19"/>
      <c r="P71" s="17"/>
    </row>
    <row r="72" spans="1:16" x14ac:dyDescent="0.3">
      <c r="A72" s="14"/>
      <c r="B72" s="14"/>
      <c r="C72" s="14" t="s">
        <v>78</v>
      </c>
      <c r="D72" s="15">
        <v>30</v>
      </c>
      <c r="E72" s="16"/>
      <c r="F72" s="16"/>
      <c r="G72" s="16"/>
      <c r="H72" s="16"/>
      <c r="I72" s="16"/>
      <c r="J72" s="16"/>
      <c r="K72" s="16"/>
      <c r="L72" s="16"/>
      <c r="M72" s="16"/>
      <c r="N72" s="16"/>
      <c r="O72" s="16"/>
      <c r="P72" s="14"/>
    </row>
    <row r="73" spans="1:16" x14ac:dyDescent="0.3">
      <c r="A73" s="17"/>
      <c r="B73" s="17"/>
      <c r="C73" s="17" t="s">
        <v>187</v>
      </c>
      <c r="D73" s="18"/>
      <c r="E73" s="19"/>
      <c r="F73" s="19"/>
      <c r="G73" s="19"/>
      <c r="H73" s="19"/>
      <c r="I73" s="19"/>
      <c r="J73" s="19"/>
      <c r="K73" s="19"/>
      <c r="L73" s="19"/>
      <c r="M73" s="19"/>
      <c r="N73" s="19"/>
      <c r="O73" s="19"/>
      <c r="P73" s="17"/>
    </row>
    <row r="74" spans="1:16" x14ac:dyDescent="0.3">
      <c r="A74" s="14"/>
      <c r="B74" s="14"/>
      <c r="C74" s="16" t="s">
        <v>188</v>
      </c>
      <c r="D74" s="15"/>
      <c r="E74" s="16"/>
      <c r="F74" s="16"/>
      <c r="G74" s="16"/>
      <c r="H74" s="16"/>
      <c r="I74" s="16"/>
      <c r="J74" s="16"/>
      <c r="K74" s="16"/>
      <c r="L74" s="16"/>
      <c r="M74" s="16"/>
      <c r="N74" s="16"/>
      <c r="O74" s="16"/>
      <c r="P74" s="14"/>
    </row>
    <row r="75" spans="1:16" x14ac:dyDescent="0.3">
      <c r="A75" s="17"/>
      <c r="B75" s="17"/>
      <c r="C75" s="17" t="s">
        <v>79</v>
      </c>
      <c r="D75" s="18">
        <v>2</v>
      </c>
      <c r="E75" s="19"/>
      <c r="F75" s="19"/>
      <c r="G75" s="19"/>
      <c r="H75" s="19"/>
      <c r="I75" s="19"/>
      <c r="J75" s="19"/>
      <c r="K75" s="19"/>
      <c r="L75" s="19"/>
      <c r="M75" s="19"/>
      <c r="N75" s="19"/>
      <c r="O75" s="19"/>
      <c r="P75" s="17"/>
    </row>
    <row r="76" spans="1:16" x14ac:dyDescent="0.3">
      <c r="A76" s="14"/>
      <c r="B76" s="14"/>
      <c r="C76" s="16" t="s">
        <v>121</v>
      </c>
      <c r="D76" s="15" t="str">
        <f>"True"</f>
        <v>True</v>
      </c>
      <c r="E76" s="16"/>
      <c r="F76" s="16"/>
      <c r="G76" s="16"/>
      <c r="H76" s="16"/>
      <c r="I76" s="16"/>
      <c r="J76" s="16"/>
      <c r="K76" s="16"/>
      <c r="L76" s="16"/>
      <c r="M76" s="16"/>
      <c r="N76" s="16"/>
      <c r="O76" s="16"/>
      <c r="P76" s="14"/>
    </row>
    <row r="77" spans="1:16" x14ac:dyDescent="0.3">
      <c r="A77" s="17"/>
      <c r="B77" s="17"/>
      <c r="C77" s="17" t="s">
        <v>80</v>
      </c>
      <c r="D77" s="18" t="str">
        <f>"True"</f>
        <v>True</v>
      </c>
      <c r="E77" s="19"/>
      <c r="F77" s="19"/>
      <c r="G77" s="19"/>
      <c r="H77" s="19"/>
      <c r="I77" s="19"/>
      <c r="J77" s="19"/>
      <c r="K77" s="19"/>
      <c r="L77" s="19"/>
      <c r="M77" s="19"/>
      <c r="N77" s="19"/>
      <c r="O77" s="19"/>
      <c r="P77" s="17"/>
    </row>
    <row r="78" spans="1:16" x14ac:dyDescent="0.3">
      <c r="A78" s="14"/>
      <c r="B78" s="14"/>
      <c r="C78" s="14" t="s">
        <v>81</v>
      </c>
      <c r="D78" s="15">
        <f>MAX_ACCELERATION</f>
        <v>700</v>
      </c>
      <c r="E78" s="16"/>
      <c r="F78" s="16"/>
      <c r="G78" s="16"/>
      <c r="H78" s="16"/>
      <c r="I78" s="16"/>
      <c r="J78" s="16"/>
      <c r="K78" s="16"/>
      <c r="L78" s="16"/>
      <c r="M78" s="16"/>
      <c r="N78" s="16"/>
      <c r="O78" s="16"/>
      <c r="P78" s="14"/>
    </row>
    <row r="79" spans="1:16" x14ac:dyDescent="0.3">
      <c r="A79" s="17"/>
      <c r="B79" s="17"/>
      <c r="C79" s="17" t="s">
        <v>82</v>
      </c>
      <c r="D79" s="18">
        <f>MAX_ACCELERATION</f>
        <v>700</v>
      </c>
      <c r="E79" s="19"/>
      <c r="F79" s="19"/>
      <c r="G79" s="19"/>
      <c r="H79" s="19"/>
      <c r="I79" s="19"/>
      <c r="J79" s="19"/>
      <c r="K79" s="19"/>
      <c r="L79" s="19"/>
      <c r="M79" s="19"/>
      <c r="N79" s="19"/>
      <c r="O79" s="19"/>
      <c r="P79" s="17"/>
    </row>
    <row r="80" spans="1:16" x14ac:dyDescent="0.3">
      <c r="A80" s="14"/>
      <c r="B80" s="14"/>
      <c r="C80" s="14" t="s">
        <v>83</v>
      </c>
      <c r="D80" s="15">
        <f>MAX_ACCELERATION</f>
        <v>700</v>
      </c>
      <c r="E80" s="16"/>
      <c r="F80" s="16"/>
      <c r="G80" s="16"/>
      <c r="H80" s="16"/>
      <c r="I80" s="16"/>
      <c r="J80" s="16"/>
      <c r="K80" s="16"/>
      <c r="L80" s="16"/>
      <c r="M80" s="16"/>
      <c r="N80" s="16"/>
      <c r="O80" s="16"/>
      <c r="P80" s="14"/>
    </row>
    <row r="81" spans="1:16" x14ac:dyDescent="0.3">
      <c r="A81" s="17"/>
      <c r="B81" s="17"/>
      <c r="C81" s="17" t="s">
        <v>84</v>
      </c>
      <c r="D81" s="18" t="str">
        <f>"False"</f>
        <v>False</v>
      </c>
      <c r="E81" s="19"/>
      <c r="F81" s="19"/>
      <c r="G81" s="19"/>
      <c r="H81" s="19"/>
      <c r="I81" s="19"/>
      <c r="J81" s="19"/>
      <c r="K81" s="19"/>
      <c r="L81" s="19"/>
      <c r="M81" s="19"/>
      <c r="N81" s="19"/>
      <c r="O81" s="19"/>
      <c r="P81" s="17"/>
    </row>
    <row r="82" spans="1:16" x14ac:dyDescent="0.3">
      <c r="A82" s="14"/>
      <c r="B82" s="14"/>
      <c r="C82" s="14" t="s">
        <v>85</v>
      </c>
      <c r="D82" s="15"/>
      <c r="E82" s="16"/>
      <c r="F82" s="16"/>
      <c r="G82" s="16"/>
      <c r="H82" s="16"/>
      <c r="I82" s="16"/>
      <c r="J82" s="16"/>
      <c r="K82" s="16"/>
      <c r="L82" s="16"/>
      <c r="M82" s="16"/>
      <c r="N82" s="16"/>
      <c r="O82" s="16"/>
      <c r="P82" s="14"/>
    </row>
    <row r="83" spans="1:16" x14ac:dyDescent="0.3">
      <c r="A83" s="17"/>
      <c r="B83" s="17"/>
      <c r="C83" s="17" t="s">
        <v>189</v>
      </c>
      <c r="D83" s="18"/>
      <c r="E83" s="19"/>
      <c r="F83" s="19"/>
      <c r="G83" s="19"/>
      <c r="H83" s="19"/>
      <c r="I83" s="19"/>
      <c r="J83" s="19"/>
      <c r="K83" s="19"/>
      <c r="L83" s="19"/>
      <c r="M83" s="19"/>
      <c r="N83" s="19"/>
      <c r="O83" s="19"/>
      <c r="P83" s="17"/>
    </row>
    <row r="84" spans="1:16" x14ac:dyDescent="0.3">
      <c r="A84" s="14"/>
      <c r="B84" s="14"/>
      <c r="C84" s="14" t="s">
        <v>190</v>
      </c>
      <c r="D84" s="15"/>
      <c r="E84" s="16"/>
      <c r="F84" s="16"/>
      <c r="G84" s="16"/>
      <c r="H84" s="16"/>
      <c r="I84" s="16"/>
      <c r="J84" s="16"/>
      <c r="K84" s="16"/>
      <c r="L84" s="16"/>
      <c r="M84" s="16"/>
      <c r="N84" s="16"/>
      <c r="O84" s="16"/>
      <c r="P84" s="14"/>
    </row>
    <row r="85" spans="1:16" x14ac:dyDescent="0.3">
      <c r="A85" s="17"/>
      <c r="B85" s="17" t="s">
        <v>86</v>
      </c>
      <c r="C85" s="17" t="s">
        <v>87</v>
      </c>
      <c r="D85" s="18" t="str">
        <f>"Off"</f>
        <v>Off</v>
      </c>
      <c r="E85" s="19"/>
      <c r="F85" s="19"/>
      <c r="G85" s="19"/>
      <c r="H85" s="19"/>
      <c r="I85" s="19"/>
      <c r="J85" s="19"/>
      <c r="K85" s="19"/>
      <c r="L85" s="19"/>
      <c r="M85" s="19"/>
      <c r="N85" s="19"/>
      <c r="O85" s="19"/>
      <c r="P85" s="17"/>
    </row>
    <row r="86" spans="1:16" x14ac:dyDescent="0.3">
      <c r="A86" s="14"/>
      <c r="B86" s="14"/>
      <c r="C86" s="14" t="s">
        <v>88</v>
      </c>
      <c r="D86" s="15"/>
      <c r="E86" s="16"/>
      <c r="F86" s="16"/>
      <c r="G86" s="16"/>
      <c r="H86" s="16"/>
      <c r="I86" s="16"/>
      <c r="J86" s="16"/>
      <c r="K86" s="16"/>
      <c r="L86" s="16"/>
      <c r="M86" s="16"/>
      <c r="N86" s="16"/>
      <c r="O86" s="16"/>
      <c r="P86" s="14"/>
    </row>
    <row r="87" spans="1:16" x14ac:dyDescent="0.3">
      <c r="A87" s="17"/>
      <c r="B87" s="17"/>
      <c r="C87" s="17" t="s">
        <v>89</v>
      </c>
      <c r="D87" s="18"/>
      <c r="E87" s="19"/>
      <c r="F87" s="19"/>
      <c r="G87" s="19"/>
      <c r="H87" s="19"/>
      <c r="I87" s="19"/>
      <c r="J87" s="19"/>
      <c r="K87" s="19"/>
      <c r="L87" s="19"/>
      <c r="M87" s="19"/>
      <c r="N87" s="19"/>
      <c r="O87" s="19"/>
      <c r="P87" s="17"/>
    </row>
    <row r="88" spans="1:16" x14ac:dyDescent="0.3">
      <c r="A88" s="14"/>
      <c r="B88" s="14"/>
      <c r="C88" s="14" t="s">
        <v>191</v>
      </c>
      <c r="D88" s="15"/>
      <c r="E88" s="16"/>
      <c r="F88" s="16"/>
      <c r="G88" s="16"/>
      <c r="H88" s="16"/>
      <c r="I88" s="16"/>
      <c r="J88" s="16"/>
      <c r="K88" s="16"/>
      <c r="L88" s="16"/>
      <c r="M88" s="16"/>
      <c r="N88" s="16"/>
      <c r="O88" s="16"/>
      <c r="P88" s="14"/>
    </row>
    <row r="89" spans="1:16" x14ac:dyDescent="0.3">
      <c r="A89" s="17"/>
      <c r="B89" s="17"/>
      <c r="C89" s="17" t="s">
        <v>192</v>
      </c>
      <c r="D89" s="18"/>
      <c r="E89" s="19"/>
      <c r="F89" s="19"/>
      <c r="G89" s="19"/>
      <c r="H89" s="19"/>
      <c r="I89" s="19"/>
      <c r="J89" s="19"/>
      <c r="K89" s="19"/>
      <c r="L89" s="19"/>
      <c r="M89" s="19"/>
      <c r="N89" s="19"/>
      <c r="O89" s="19"/>
      <c r="P89" s="17"/>
    </row>
    <row r="90" spans="1:16" x14ac:dyDescent="0.3">
      <c r="A90" s="14"/>
      <c r="B90" s="14"/>
      <c r="C90" s="14" t="s">
        <v>193</v>
      </c>
      <c r="D90" s="15"/>
      <c r="E90" s="16"/>
      <c r="F90" s="16"/>
      <c r="G90" s="16"/>
      <c r="H90" s="16"/>
      <c r="I90" s="16"/>
      <c r="J90" s="16"/>
      <c r="K90" s="16"/>
      <c r="L90" s="16"/>
      <c r="M90" s="16"/>
      <c r="N90" s="16"/>
      <c r="O90" s="16"/>
      <c r="P90" s="14"/>
    </row>
    <row r="91" spans="1:16" x14ac:dyDescent="0.3">
      <c r="A91" s="17"/>
      <c r="B91" s="17"/>
      <c r="C91" s="17" t="s">
        <v>90</v>
      </c>
      <c r="D91" s="18"/>
      <c r="E91" s="19"/>
      <c r="F91" s="19"/>
      <c r="G91" s="19"/>
      <c r="H91" s="19"/>
      <c r="I91" s="19"/>
      <c r="J91" s="19"/>
      <c r="K91" s="19"/>
      <c r="L91" s="19"/>
      <c r="M91" s="19"/>
      <c r="N91" s="19"/>
      <c r="O91" s="19"/>
      <c r="P91" s="17"/>
    </row>
    <row r="92" spans="1:16" x14ac:dyDescent="0.3">
      <c r="A92" s="14"/>
      <c r="B92" s="14"/>
      <c r="C92" s="14" t="s">
        <v>194</v>
      </c>
      <c r="D92" s="15"/>
      <c r="E92" s="16"/>
      <c r="F92" s="16"/>
      <c r="G92" s="16"/>
      <c r="H92" s="16"/>
      <c r="I92" s="16"/>
      <c r="J92" s="16"/>
      <c r="K92" s="16"/>
      <c r="L92" s="16"/>
      <c r="M92" s="16"/>
      <c r="N92" s="16"/>
      <c r="O92" s="16"/>
      <c r="P92" s="14"/>
    </row>
    <row r="93" spans="1:16" x14ac:dyDescent="0.3">
      <c r="A93" s="17"/>
      <c r="B93" s="17"/>
      <c r="C93" s="17" t="s">
        <v>91</v>
      </c>
      <c r="D93" s="18"/>
      <c r="E93" s="19"/>
      <c r="F93" s="19"/>
      <c r="G93" s="19"/>
      <c r="H93" s="19"/>
      <c r="I93" s="19"/>
      <c r="J93" s="19"/>
      <c r="K93" s="19"/>
      <c r="L93" s="19"/>
      <c r="M93" s="19"/>
      <c r="N93" s="19"/>
      <c r="O93" s="19"/>
      <c r="P93" s="17"/>
    </row>
    <row r="94" spans="1:16" x14ac:dyDescent="0.3">
      <c r="A94" s="14"/>
      <c r="B94" s="14" t="s">
        <v>34</v>
      </c>
      <c r="C94" s="14" t="s">
        <v>92</v>
      </c>
      <c r="D94" s="15"/>
      <c r="E94" s="16"/>
      <c r="F94" s="16"/>
      <c r="G94" s="16"/>
      <c r="H94" s="16"/>
      <c r="I94" s="16"/>
      <c r="J94" s="16"/>
      <c r="K94" s="16"/>
      <c r="L94" s="16"/>
      <c r="M94" s="16"/>
      <c r="N94" s="16"/>
      <c r="O94" s="16"/>
      <c r="P94" s="14"/>
    </row>
    <row r="95" spans="1:16" x14ac:dyDescent="0.3">
      <c r="A95" s="17"/>
      <c r="B95" s="17"/>
      <c r="C95" s="17" t="s">
        <v>93</v>
      </c>
      <c r="D95" s="18"/>
      <c r="E95" s="19"/>
      <c r="F95" s="19"/>
      <c r="G95" s="19"/>
      <c r="H95" s="19"/>
      <c r="I95" s="19"/>
      <c r="J95" s="19"/>
      <c r="K95" s="19"/>
      <c r="L95" s="19"/>
      <c r="M95" s="19"/>
      <c r="N95" s="19"/>
      <c r="O95" s="19"/>
      <c r="P95" s="17"/>
    </row>
    <row r="96" spans="1:16" x14ac:dyDescent="0.3">
      <c r="A96" s="14"/>
      <c r="B96" s="14"/>
      <c r="C96" s="14" t="s">
        <v>94</v>
      </c>
      <c r="D96" s="15"/>
      <c r="E96" s="16"/>
      <c r="F96" s="16"/>
      <c r="G96" s="16"/>
      <c r="H96" s="16"/>
      <c r="I96" s="16"/>
      <c r="J96" s="16"/>
      <c r="K96" s="16"/>
      <c r="L96" s="16"/>
      <c r="M96" s="16"/>
      <c r="N96" s="16"/>
      <c r="O96" s="16"/>
      <c r="P96" s="14"/>
    </row>
    <row r="97" spans="1:16" x14ac:dyDescent="0.3">
      <c r="A97" s="17"/>
      <c r="B97" s="17"/>
      <c r="C97" s="17" t="s">
        <v>95</v>
      </c>
      <c r="D97" s="18"/>
      <c r="E97" s="19"/>
      <c r="F97" s="19"/>
      <c r="G97" s="19"/>
      <c r="H97" s="19"/>
      <c r="I97" s="19"/>
      <c r="J97" s="19"/>
      <c r="K97" s="19"/>
      <c r="L97" s="19"/>
      <c r="M97" s="19"/>
      <c r="N97" s="19"/>
      <c r="O97" s="19"/>
      <c r="P97" s="17"/>
    </row>
    <row r="98" spans="1:16" x14ac:dyDescent="0.3">
      <c r="A98" s="14"/>
      <c r="B98" s="14"/>
      <c r="C98" s="14" t="s">
        <v>96</v>
      </c>
      <c r="D98" s="15">
        <v>15</v>
      </c>
      <c r="E98" s="16"/>
      <c r="F98" s="16"/>
      <c r="G98" s="16"/>
      <c r="H98" s="16"/>
      <c r="I98" s="16"/>
      <c r="J98" s="16"/>
      <c r="K98" s="16"/>
      <c r="L98" s="16"/>
      <c r="M98" s="16"/>
      <c r="N98" s="16"/>
      <c r="O98" s="16"/>
      <c r="P98" s="14"/>
    </row>
    <row r="99" spans="1:16" x14ac:dyDescent="0.3">
      <c r="A99" s="17"/>
      <c r="B99" s="17"/>
      <c r="C99" s="17" t="s">
        <v>195</v>
      </c>
      <c r="D99" s="18"/>
      <c r="E99" s="19"/>
      <c r="F99" s="19"/>
      <c r="G99" s="19"/>
      <c r="H99" s="19"/>
      <c r="I99" s="19"/>
      <c r="J99" s="19"/>
      <c r="K99" s="19"/>
      <c r="L99" s="19"/>
      <c r="M99" s="19"/>
      <c r="N99" s="19"/>
      <c r="O99" s="19"/>
      <c r="P99" s="17"/>
    </row>
    <row r="100" spans="1:16" x14ac:dyDescent="0.3">
      <c r="A100" s="14"/>
      <c r="B100" s="14"/>
      <c r="C100" s="14" t="s">
        <v>97</v>
      </c>
      <c r="D100" s="15"/>
      <c r="E100" s="16"/>
      <c r="F100" s="16"/>
      <c r="G100" s="16"/>
      <c r="H100" s="16"/>
      <c r="I100" s="16"/>
      <c r="J100" s="16"/>
      <c r="K100" s="16"/>
      <c r="L100" s="16"/>
      <c r="M100" s="16"/>
      <c r="N100" s="16"/>
      <c r="O100" s="16"/>
      <c r="P100" s="14"/>
    </row>
    <row r="101" spans="1:16" x14ac:dyDescent="0.3">
      <c r="A101" s="17"/>
      <c r="B101" s="17"/>
      <c r="C101" s="17" t="s">
        <v>122</v>
      </c>
      <c r="D101" s="18"/>
      <c r="E101" s="19"/>
      <c r="F101" s="19"/>
      <c r="G101" s="19"/>
      <c r="H101" s="19"/>
      <c r="I101" s="19"/>
      <c r="J101" s="19"/>
      <c r="K101" s="19"/>
      <c r="L101" s="19"/>
      <c r="M101" s="19"/>
      <c r="N101" s="19"/>
      <c r="O101" s="19"/>
      <c r="P101" s="17"/>
    </row>
    <row r="102" spans="1:16" x14ac:dyDescent="0.3">
      <c r="A102" s="14"/>
      <c r="B102" s="14"/>
      <c r="C102" s="14" t="s">
        <v>98</v>
      </c>
      <c r="D102" s="15">
        <v>5</v>
      </c>
      <c r="E102" s="16"/>
      <c r="F102" s="16"/>
      <c r="G102" s="16"/>
      <c r="H102" s="16"/>
      <c r="I102" s="16"/>
      <c r="J102" s="16"/>
      <c r="K102" s="16"/>
      <c r="L102" s="16"/>
      <c r="M102" s="16"/>
      <c r="N102" s="16"/>
      <c r="O102" s="16"/>
      <c r="P102" s="14"/>
    </row>
    <row r="103" spans="1:16" x14ac:dyDescent="0.3">
      <c r="A103" s="17"/>
      <c r="B103" s="17"/>
      <c r="C103" s="17" t="s">
        <v>99</v>
      </c>
      <c r="D103" s="18">
        <v>15</v>
      </c>
      <c r="E103" s="19"/>
      <c r="F103" s="19"/>
      <c r="G103" s="19"/>
      <c r="H103" s="19"/>
      <c r="I103" s="19"/>
      <c r="J103" s="19"/>
      <c r="K103" s="19"/>
      <c r="L103" s="19"/>
      <c r="M103" s="19"/>
      <c r="N103" s="19"/>
      <c r="O103" s="19"/>
      <c r="P103" s="17"/>
    </row>
    <row r="104" spans="1:16" x14ac:dyDescent="0.3">
      <c r="A104" s="14"/>
      <c r="B104" s="14"/>
      <c r="C104" s="14" t="s">
        <v>100</v>
      </c>
      <c r="D104" s="15" t="str">
        <f>"False"</f>
        <v>False</v>
      </c>
      <c r="E104" s="16"/>
      <c r="F104" s="16"/>
      <c r="G104" s="16"/>
      <c r="H104" s="16"/>
      <c r="I104" s="16"/>
      <c r="J104" s="16"/>
      <c r="K104" s="16"/>
      <c r="L104" s="16"/>
      <c r="M104" s="16"/>
      <c r="N104" s="16"/>
      <c r="O104" s="16"/>
      <c r="P104" s="14"/>
    </row>
    <row r="105" spans="1:16" x14ac:dyDescent="0.3">
      <c r="A105" s="17"/>
      <c r="B105" s="17" t="s">
        <v>101</v>
      </c>
      <c r="C105" s="17" t="s">
        <v>102</v>
      </c>
      <c r="D105" s="18" t="str">
        <f>"False"</f>
        <v>False</v>
      </c>
      <c r="E105" s="19"/>
      <c r="F105" s="19"/>
      <c r="G105" s="19"/>
      <c r="H105" s="19"/>
      <c r="I105" s="19"/>
      <c r="J105" s="19"/>
      <c r="K105" s="19"/>
      <c r="L105" s="19"/>
      <c r="M105" s="19"/>
      <c r="N105" s="19"/>
      <c r="O105" s="19"/>
      <c r="P105" s="17"/>
    </row>
    <row r="106" spans="1:16" x14ac:dyDescent="0.3">
      <c r="A106" s="14"/>
      <c r="B106" s="14"/>
      <c r="C106" s="14" t="s">
        <v>103</v>
      </c>
      <c r="D106" s="15" t="s">
        <v>104</v>
      </c>
      <c r="E106" s="16"/>
      <c r="F106" s="16"/>
      <c r="G106" s="16"/>
      <c r="H106" s="16"/>
      <c r="I106" s="16"/>
      <c r="J106" s="16"/>
      <c r="K106" s="16"/>
      <c r="L106" s="16"/>
      <c r="M106" s="16"/>
      <c r="N106" s="16"/>
      <c r="O106" s="16"/>
      <c r="P106" s="14"/>
    </row>
    <row r="107" spans="1:16" x14ac:dyDescent="0.3">
      <c r="A107" s="17"/>
      <c r="B107" s="17"/>
      <c r="C107" s="17" t="s">
        <v>105</v>
      </c>
      <c r="D107" s="18">
        <v>60</v>
      </c>
      <c r="E107" s="19"/>
      <c r="F107" s="19"/>
      <c r="G107" s="19"/>
      <c r="H107" s="19"/>
      <c r="I107" s="19"/>
      <c r="J107" s="19"/>
      <c r="K107" s="19"/>
      <c r="L107" s="19"/>
      <c r="M107" s="19"/>
      <c r="N107" s="19"/>
      <c r="O107" s="19"/>
      <c r="P107" s="17"/>
    </row>
    <row r="108" spans="1:16" x14ac:dyDescent="0.3">
      <c r="A108" s="14"/>
      <c r="B108" s="14"/>
      <c r="C108" s="14" t="s">
        <v>196</v>
      </c>
      <c r="D108" s="15"/>
      <c r="E108" s="16"/>
      <c r="F108" s="16"/>
      <c r="G108" s="16"/>
      <c r="H108" s="16"/>
      <c r="I108" s="16"/>
      <c r="J108" s="16"/>
      <c r="K108" s="16"/>
      <c r="L108" s="16"/>
      <c r="M108" s="16"/>
      <c r="N108" s="16"/>
      <c r="O108" s="16"/>
      <c r="P108" s="14"/>
    </row>
    <row r="109" spans="1:16" x14ac:dyDescent="0.3">
      <c r="A109" s="17"/>
      <c r="B109" s="17"/>
      <c r="C109" s="17" t="s">
        <v>197</v>
      </c>
      <c r="D109" s="18"/>
      <c r="E109" s="19"/>
      <c r="F109" s="19"/>
      <c r="G109" s="19"/>
      <c r="H109" s="19"/>
      <c r="I109" s="19"/>
      <c r="J109" s="19"/>
      <c r="K109" s="19"/>
      <c r="L109" s="19"/>
      <c r="M109" s="19"/>
      <c r="N109" s="19"/>
      <c r="O109" s="19"/>
      <c r="P109" s="17"/>
    </row>
    <row r="110" spans="1:16" x14ac:dyDescent="0.3">
      <c r="A110" s="14"/>
      <c r="B110" s="14"/>
      <c r="C110" s="14" t="s">
        <v>198</v>
      </c>
      <c r="D110" s="15"/>
      <c r="E110" s="16"/>
      <c r="F110" s="16"/>
      <c r="G110" s="16"/>
      <c r="H110" s="16"/>
      <c r="I110" s="16"/>
      <c r="J110" s="16"/>
      <c r="K110" s="16"/>
      <c r="L110" s="16"/>
      <c r="M110" s="16"/>
      <c r="N110" s="16"/>
      <c r="O110" s="16"/>
      <c r="P110" s="14"/>
    </row>
    <row r="111" spans="1:16" x14ac:dyDescent="0.3">
      <c r="A111" s="17"/>
      <c r="B111" s="17"/>
      <c r="C111" s="17" t="s">
        <v>106</v>
      </c>
      <c r="D111" s="18">
        <v>12</v>
      </c>
      <c r="E111" s="19"/>
      <c r="F111" s="19"/>
      <c r="G111" s="19"/>
      <c r="H111" s="19"/>
      <c r="I111" s="19"/>
      <c r="J111" s="19"/>
      <c r="K111" s="19"/>
      <c r="L111" s="19"/>
      <c r="M111" s="19"/>
      <c r="N111" s="19"/>
      <c r="O111" s="19"/>
      <c r="P111" s="17"/>
    </row>
    <row r="112" spans="1:16" x14ac:dyDescent="0.3">
      <c r="A112" s="14"/>
      <c r="B112" s="14"/>
      <c r="C112" s="14" t="s">
        <v>107</v>
      </c>
      <c r="D112" s="15" t="str">
        <f>"True"</f>
        <v>True</v>
      </c>
      <c r="E112" s="16"/>
      <c r="F112" s="16"/>
      <c r="G112" s="16"/>
      <c r="H112" s="16"/>
      <c r="I112" s="16"/>
      <c r="J112" s="16"/>
      <c r="K112" s="16"/>
      <c r="L112" s="16"/>
      <c r="M112" s="16"/>
      <c r="N112" s="16"/>
      <c r="O112" s="16"/>
      <c r="P112" s="14"/>
    </row>
    <row r="113" spans="1:16" x14ac:dyDescent="0.3">
      <c r="A113" s="17"/>
      <c r="B113" s="17"/>
      <c r="C113" s="17" t="s">
        <v>108</v>
      </c>
      <c r="D113" s="18" t="str">
        <f>"=support_line_width * 6.0"</f>
        <v>=support_line_width * 6.0</v>
      </c>
      <c r="E113" s="19"/>
      <c r="F113" s="19"/>
      <c r="G113" s="19"/>
      <c r="H113" s="19"/>
      <c r="I113" s="19"/>
      <c r="J113" s="19"/>
      <c r="K113" s="19"/>
      <c r="L113" s="19"/>
      <c r="M113" s="19"/>
      <c r="N113" s="19"/>
      <c r="O113" s="19"/>
      <c r="P113" s="17"/>
    </row>
    <row r="114" spans="1:16" x14ac:dyDescent="0.3">
      <c r="A114" s="14"/>
      <c r="B114" s="14"/>
      <c r="C114" s="14" t="s">
        <v>112</v>
      </c>
      <c r="D114" s="15"/>
      <c r="E114" s="16">
        <f t="shared" ref="E114:O114" si="1">MAX(CEILING(Nozzle_Diameter/2,0.04),E$5)</f>
        <v>0.32</v>
      </c>
      <c r="F114" s="16">
        <f t="shared" si="1"/>
        <v>0.32</v>
      </c>
      <c r="G114" s="16">
        <f t="shared" si="1"/>
        <v>0.32</v>
      </c>
      <c r="H114" s="16">
        <f t="shared" si="1"/>
        <v>0.32</v>
      </c>
      <c r="I114" s="16">
        <f t="shared" si="1"/>
        <v>0.32</v>
      </c>
      <c r="J114" s="16">
        <f t="shared" si="1"/>
        <v>0.4</v>
      </c>
      <c r="K114" s="16">
        <f t="shared" si="1"/>
        <v>0.48</v>
      </c>
      <c r="L114" s="16">
        <f t="shared" si="1"/>
        <v>0.56000000000000005</v>
      </c>
      <c r="M114" s="16">
        <f t="shared" si="1"/>
        <v>0.64</v>
      </c>
      <c r="N114" s="16">
        <f t="shared" si="1"/>
        <v>0.72</v>
      </c>
      <c r="O114" s="16">
        <f t="shared" si="1"/>
        <v>0.8</v>
      </c>
      <c r="P114" s="14"/>
    </row>
    <row r="115" spans="1:16" x14ac:dyDescent="0.3">
      <c r="A115" s="17"/>
      <c r="B115" s="17"/>
      <c r="C115" s="17" t="s">
        <v>113</v>
      </c>
      <c r="D115" s="18">
        <f>Nozzle_Diameter*2</f>
        <v>1.2</v>
      </c>
      <c r="E115" s="19"/>
      <c r="F115" s="19"/>
      <c r="G115" s="19"/>
      <c r="H115" s="19"/>
      <c r="I115" s="19"/>
      <c r="J115" s="19"/>
      <c r="K115" s="19"/>
      <c r="L115" s="19"/>
      <c r="M115" s="19"/>
      <c r="N115" s="19"/>
      <c r="O115" s="19"/>
      <c r="P115" s="17"/>
    </row>
    <row r="116" spans="1:16" x14ac:dyDescent="0.3">
      <c r="A116" s="14"/>
      <c r="B116" s="14"/>
      <c r="C116" s="14" t="s">
        <v>114</v>
      </c>
      <c r="D116" s="15">
        <f>Nozzle_Diameter/2</f>
        <v>0.3</v>
      </c>
      <c r="E116" s="16"/>
      <c r="F116" s="16"/>
      <c r="G116" s="16"/>
      <c r="H116" s="16"/>
      <c r="I116" s="16"/>
      <c r="J116" s="16"/>
      <c r="K116" s="16"/>
      <c r="L116" s="16"/>
      <c r="M116" s="16"/>
      <c r="N116" s="16"/>
      <c r="O116" s="16"/>
      <c r="P116" s="14"/>
    </row>
    <row r="117" spans="1:16" x14ac:dyDescent="0.3">
      <c r="A117" s="17"/>
      <c r="B117" s="17"/>
      <c r="C117" s="17" t="s">
        <v>199</v>
      </c>
      <c r="D117" s="18"/>
      <c r="E117" s="19"/>
      <c r="F117" s="19"/>
      <c r="G117" s="19"/>
      <c r="H117" s="19"/>
      <c r="I117" s="19"/>
      <c r="J117" s="19"/>
      <c r="K117" s="19"/>
      <c r="L117" s="19"/>
      <c r="M117" s="19"/>
      <c r="N117" s="19"/>
      <c r="O117" s="19"/>
      <c r="P117" s="17"/>
    </row>
    <row r="118" spans="1:16" x14ac:dyDescent="0.3">
      <c r="A118" s="14"/>
      <c r="B118" s="14"/>
      <c r="C118" s="14" t="s">
        <v>200</v>
      </c>
      <c r="D118" s="15"/>
      <c r="E118" s="16"/>
      <c r="F118" s="16"/>
      <c r="G118" s="16"/>
      <c r="H118" s="16"/>
      <c r="I118" s="16"/>
      <c r="J118" s="16"/>
      <c r="K118" s="16"/>
      <c r="L118" s="16"/>
      <c r="M118" s="16"/>
      <c r="N118" s="16"/>
      <c r="O118" s="16"/>
      <c r="P118" s="14"/>
    </row>
    <row r="119" spans="1:16" x14ac:dyDescent="0.3">
      <c r="A119" s="17"/>
      <c r="B119" s="17"/>
      <c r="C119" s="17" t="s">
        <v>201</v>
      </c>
      <c r="D119" s="18"/>
      <c r="E119" s="19"/>
      <c r="F119" s="19"/>
      <c r="G119" s="19"/>
      <c r="H119" s="19"/>
      <c r="I119" s="19"/>
      <c r="J119" s="19"/>
      <c r="K119" s="19"/>
      <c r="L119" s="19"/>
      <c r="M119" s="19"/>
      <c r="N119" s="19"/>
      <c r="O119" s="19"/>
      <c r="P119" s="17"/>
    </row>
    <row r="120" spans="1:16" x14ac:dyDescent="0.3">
      <c r="A120" s="14"/>
      <c r="B120" s="14"/>
      <c r="C120" s="14" t="s">
        <v>202</v>
      </c>
      <c r="D120" s="15"/>
      <c r="E120" s="16"/>
      <c r="F120" s="16"/>
      <c r="G120" s="16"/>
      <c r="H120" s="16"/>
      <c r="I120" s="16"/>
      <c r="J120" s="16"/>
      <c r="K120" s="16"/>
      <c r="L120" s="16"/>
      <c r="M120" s="16"/>
      <c r="N120" s="16"/>
      <c r="O120" s="16"/>
      <c r="P120" s="14"/>
    </row>
    <row r="121" spans="1:16" x14ac:dyDescent="0.3">
      <c r="A121" s="17"/>
      <c r="B121" s="17"/>
      <c r="C121" s="17" t="s">
        <v>115</v>
      </c>
      <c r="D121" s="18" t="str">
        <f>"True"</f>
        <v>True</v>
      </c>
      <c r="E121" s="19"/>
      <c r="F121" s="19"/>
      <c r="G121" s="19"/>
      <c r="H121" s="19"/>
      <c r="I121" s="19"/>
      <c r="J121" s="19"/>
      <c r="K121" s="19"/>
      <c r="L121" s="19"/>
      <c r="M121" s="19"/>
      <c r="N121" s="19"/>
      <c r="O121" s="19"/>
      <c r="P121" s="17"/>
    </row>
    <row r="122" spans="1:16" x14ac:dyDescent="0.3">
      <c r="A122" s="14"/>
      <c r="B122" s="14"/>
      <c r="C122" s="14" t="s">
        <v>203</v>
      </c>
      <c r="D122" s="15"/>
      <c r="E122" s="16"/>
      <c r="F122" s="16"/>
      <c r="G122" s="16"/>
      <c r="H122" s="16"/>
      <c r="I122" s="16"/>
      <c r="J122" s="16"/>
      <c r="K122" s="16"/>
      <c r="L122" s="16"/>
      <c r="M122" s="16"/>
      <c r="N122" s="16"/>
      <c r="O122" s="16"/>
      <c r="P122" s="14"/>
    </row>
    <row r="123" spans="1:16" x14ac:dyDescent="0.3">
      <c r="A123" s="17"/>
      <c r="B123" s="17"/>
      <c r="C123" s="17" t="s">
        <v>116</v>
      </c>
      <c r="D123" s="18">
        <v>80</v>
      </c>
      <c r="E123" s="19"/>
      <c r="F123" s="19"/>
      <c r="G123" s="19"/>
      <c r="H123" s="19"/>
      <c r="I123" s="19"/>
      <c r="J123" s="19"/>
      <c r="K123" s="19"/>
      <c r="L123" s="19"/>
      <c r="M123" s="19"/>
      <c r="N123" s="19"/>
      <c r="O123" s="19"/>
      <c r="P123" s="17"/>
    </row>
    <row r="124" spans="1:16" x14ac:dyDescent="0.3">
      <c r="A124" s="14"/>
      <c r="B124" s="14"/>
      <c r="C124" s="14" t="s">
        <v>117</v>
      </c>
      <c r="D124" s="15">
        <f>Nozzle_Diameter</f>
        <v>0.6</v>
      </c>
      <c r="E124" s="16"/>
      <c r="F124" s="16"/>
      <c r="G124" s="16"/>
      <c r="H124" s="16"/>
      <c r="I124" s="16"/>
      <c r="J124" s="16"/>
      <c r="K124" s="16"/>
      <c r="L124" s="16"/>
      <c r="M124" s="16"/>
      <c r="N124" s="16"/>
      <c r="O124" s="16"/>
      <c r="P124" s="14"/>
    </row>
    <row r="125" spans="1:16" x14ac:dyDescent="0.3">
      <c r="A125" s="17"/>
      <c r="B125" s="17"/>
      <c r="C125" s="17" t="s">
        <v>118</v>
      </c>
      <c r="D125" s="18">
        <f>Nozzle_Diameter</f>
        <v>0.6</v>
      </c>
      <c r="E125" s="19"/>
      <c r="F125" s="19"/>
      <c r="G125" s="19"/>
      <c r="H125" s="19"/>
      <c r="I125" s="19"/>
      <c r="J125" s="19"/>
      <c r="K125" s="19"/>
      <c r="L125" s="19"/>
      <c r="M125" s="19"/>
      <c r="N125" s="19"/>
      <c r="O125" s="19"/>
      <c r="P125" s="17"/>
    </row>
    <row r="126" spans="1:16" x14ac:dyDescent="0.3">
      <c r="A126" s="14"/>
      <c r="B126" s="14"/>
      <c r="C126" s="14" t="s">
        <v>204</v>
      </c>
      <c r="D126" s="15"/>
      <c r="E126" s="16"/>
      <c r="F126" s="16"/>
      <c r="G126" s="16"/>
      <c r="H126" s="16"/>
      <c r="I126" s="16"/>
      <c r="J126" s="16"/>
      <c r="K126" s="16"/>
      <c r="L126" s="16"/>
      <c r="M126" s="16"/>
      <c r="N126" s="16"/>
      <c r="O126" s="16"/>
      <c r="P126" s="14"/>
    </row>
    <row r="127" spans="1:16" x14ac:dyDescent="0.3">
      <c r="A127" s="17"/>
      <c r="B127" s="17"/>
      <c r="C127" s="17" t="s">
        <v>205</v>
      </c>
      <c r="D127" s="18"/>
      <c r="E127" s="19"/>
      <c r="F127" s="19"/>
      <c r="G127" s="19"/>
      <c r="H127" s="19"/>
      <c r="I127" s="19"/>
      <c r="J127" s="19"/>
      <c r="K127" s="19"/>
      <c r="L127" s="19"/>
      <c r="M127" s="19"/>
      <c r="N127" s="19"/>
      <c r="O127" s="19"/>
      <c r="P127" s="17"/>
    </row>
    <row r="128" spans="1:16" x14ac:dyDescent="0.3">
      <c r="A128" s="14"/>
      <c r="B128" s="14"/>
      <c r="C128" s="14" t="s">
        <v>206</v>
      </c>
      <c r="D128" s="15"/>
      <c r="E128" s="16"/>
      <c r="F128" s="16"/>
      <c r="G128" s="16"/>
      <c r="H128" s="16"/>
      <c r="I128" s="16"/>
      <c r="J128" s="16"/>
      <c r="K128" s="16"/>
      <c r="L128" s="16"/>
      <c r="M128" s="16"/>
      <c r="N128" s="16"/>
      <c r="O128" s="16"/>
      <c r="P128" s="14"/>
    </row>
    <row r="129" spans="1:16" x14ac:dyDescent="0.3">
      <c r="A129" s="17"/>
      <c r="B129" s="17"/>
      <c r="C129" s="17" t="s">
        <v>207</v>
      </c>
      <c r="D129" s="18"/>
      <c r="E129" s="19"/>
      <c r="F129" s="19"/>
      <c r="G129" s="19"/>
      <c r="H129" s="19"/>
      <c r="I129" s="19"/>
      <c r="J129" s="19"/>
      <c r="K129" s="19"/>
      <c r="L129" s="19"/>
      <c r="M129" s="19"/>
      <c r="N129" s="19"/>
      <c r="O129" s="19"/>
      <c r="P129" s="17"/>
    </row>
    <row r="130" spans="1:16" x14ac:dyDescent="0.3">
      <c r="A130" s="14"/>
      <c r="B130" s="14"/>
      <c r="C130" s="14" t="s">
        <v>208</v>
      </c>
      <c r="D130" s="15"/>
      <c r="E130" s="16"/>
      <c r="F130" s="16"/>
      <c r="G130" s="16"/>
      <c r="H130" s="16"/>
      <c r="I130" s="16"/>
      <c r="J130" s="16"/>
      <c r="K130" s="16"/>
      <c r="L130" s="16"/>
      <c r="M130" s="16"/>
      <c r="N130" s="16"/>
      <c r="O130" s="16"/>
      <c r="P130" s="14"/>
    </row>
    <row r="131" spans="1:16" x14ac:dyDescent="0.3">
      <c r="A131" s="17"/>
      <c r="B131" s="17"/>
      <c r="C131" s="17" t="s">
        <v>110</v>
      </c>
      <c r="D131" s="18" t="str">
        <f>"False"</f>
        <v>False</v>
      </c>
      <c r="E131" s="19"/>
      <c r="F131" s="19"/>
      <c r="G131" s="19"/>
      <c r="H131" s="19"/>
      <c r="I131" s="19"/>
      <c r="J131" s="19"/>
      <c r="K131" s="19"/>
      <c r="L131" s="19"/>
      <c r="M131" s="19"/>
      <c r="N131" s="19"/>
      <c r="O131" s="19"/>
      <c r="P131" s="17"/>
    </row>
    <row r="132" spans="1:16" x14ac:dyDescent="0.3">
      <c r="A132" s="14"/>
      <c r="B132" s="14" t="s">
        <v>123</v>
      </c>
      <c r="C132" s="14" t="s">
        <v>124</v>
      </c>
      <c r="D132" s="15" t="s">
        <v>131</v>
      </c>
      <c r="E132" s="16"/>
      <c r="F132" s="16"/>
      <c r="G132" s="16"/>
      <c r="H132" s="16"/>
      <c r="I132" s="16"/>
      <c r="J132" s="16"/>
      <c r="K132" s="16"/>
      <c r="L132" s="16"/>
      <c r="M132" s="16"/>
      <c r="N132" s="16"/>
      <c r="O132" s="16"/>
      <c r="P132" s="14"/>
    </row>
    <row r="133" spans="1:16" x14ac:dyDescent="0.3">
      <c r="A133" s="17"/>
      <c r="B133" s="17"/>
      <c r="C133" s="17" t="s">
        <v>125</v>
      </c>
      <c r="D133" s="18">
        <v>3</v>
      </c>
      <c r="E133" s="19"/>
      <c r="F133" s="19"/>
      <c r="G133" s="19"/>
      <c r="H133" s="19"/>
      <c r="I133" s="19"/>
      <c r="J133" s="19"/>
      <c r="K133" s="19"/>
      <c r="L133" s="19"/>
      <c r="M133" s="19"/>
      <c r="N133" s="19"/>
      <c r="O133" s="19"/>
      <c r="P133" s="17"/>
    </row>
    <row r="134" spans="1:16" x14ac:dyDescent="0.3">
      <c r="A134" s="14"/>
      <c r="B134" s="14"/>
      <c r="C134" s="14" t="s">
        <v>126</v>
      </c>
      <c r="D134" s="15">
        <v>5</v>
      </c>
      <c r="E134" s="16"/>
      <c r="F134" s="16"/>
      <c r="G134" s="16"/>
      <c r="H134" s="16"/>
      <c r="I134" s="16"/>
      <c r="J134" s="16"/>
      <c r="K134" s="16"/>
      <c r="L134" s="16"/>
      <c r="M134" s="16"/>
      <c r="N134" s="16"/>
      <c r="O134" s="16"/>
      <c r="P134" s="14"/>
    </row>
    <row r="135" spans="1:16" x14ac:dyDescent="0.3">
      <c r="A135" s="17"/>
      <c r="B135" s="17"/>
      <c r="C135" s="17" t="s">
        <v>209</v>
      </c>
      <c r="D135" s="18"/>
      <c r="E135" s="19"/>
      <c r="F135" s="19"/>
      <c r="G135" s="19"/>
      <c r="H135" s="19"/>
      <c r="I135" s="19"/>
      <c r="J135" s="19"/>
      <c r="K135" s="19"/>
      <c r="L135" s="19"/>
      <c r="M135" s="19"/>
      <c r="N135" s="19"/>
      <c r="O135" s="19"/>
      <c r="P135" s="17"/>
    </row>
    <row r="136" spans="1:16" x14ac:dyDescent="0.3">
      <c r="A136" s="14"/>
      <c r="B136" s="14"/>
      <c r="C136" s="14" t="s">
        <v>1</v>
      </c>
      <c r="D136" s="15" t="str">
        <f>"=wall_line_width * 5.0"</f>
        <v>=wall_line_width * 5.0</v>
      </c>
      <c r="E136" s="16"/>
      <c r="F136" s="16"/>
      <c r="G136" s="16"/>
      <c r="H136" s="16"/>
      <c r="I136" s="16"/>
      <c r="J136" s="16"/>
      <c r="K136" s="16"/>
      <c r="L136" s="16"/>
      <c r="M136" s="16"/>
      <c r="N136" s="16"/>
      <c r="O136" s="16"/>
      <c r="P136" s="14"/>
    </row>
    <row r="137" spans="1:16" x14ac:dyDescent="0.3">
      <c r="A137" s="17"/>
      <c r="B137" s="17"/>
      <c r="C137" s="17" t="s">
        <v>166</v>
      </c>
      <c r="D137" s="18">
        <v>3</v>
      </c>
      <c r="E137" s="19"/>
      <c r="F137" s="19"/>
      <c r="G137" s="19"/>
      <c r="H137" s="19"/>
      <c r="I137" s="19"/>
      <c r="J137" s="19"/>
      <c r="K137" s="19"/>
      <c r="L137" s="19"/>
      <c r="M137" s="19"/>
      <c r="N137" s="19"/>
      <c r="O137" s="19"/>
      <c r="P137" s="17"/>
    </row>
    <row r="138" spans="1:16" x14ac:dyDescent="0.3">
      <c r="A138" s="14"/>
      <c r="B138" s="14"/>
      <c r="C138" s="14" t="s">
        <v>210</v>
      </c>
      <c r="D138" s="15"/>
      <c r="E138" s="16"/>
      <c r="F138" s="16"/>
      <c r="G138" s="16"/>
      <c r="H138" s="16"/>
      <c r="I138" s="16"/>
      <c r="J138" s="16"/>
      <c r="K138" s="16"/>
      <c r="L138" s="16"/>
      <c r="M138" s="16"/>
      <c r="N138" s="16"/>
      <c r="O138" s="16"/>
      <c r="P138" s="14"/>
    </row>
    <row r="139" spans="1:16" x14ac:dyDescent="0.3">
      <c r="A139" s="17"/>
      <c r="B139" s="17"/>
      <c r="C139" s="17" t="s">
        <v>127</v>
      </c>
      <c r="D139" s="18" t="s">
        <v>169</v>
      </c>
      <c r="E139" s="19"/>
      <c r="F139" s="19"/>
      <c r="G139" s="19"/>
      <c r="H139" s="19"/>
      <c r="I139" s="19"/>
      <c r="J139" s="19"/>
      <c r="K139" s="19"/>
      <c r="L139" s="19"/>
      <c r="M139" s="19"/>
      <c r="N139" s="19"/>
      <c r="O139" s="19"/>
      <c r="P139" s="17"/>
    </row>
    <row r="140" spans="1:16" x14ac:dyDescent="0.3">
      <c r="A140" s="14"/>
      <c r="B140" s="14"/>
      <c r="C140" s="14" t="s">
        <v>232</v>
      </c>
      <c r="D140" s="15"/>
      <c r="E140" s="16"/>
      <c r="F140" s="16"/>
      <c r="G140" s="16"/>
      <c r="H140" s="16"/>
      <c r="I140" s="16"/>
      <c r="J140" s="16"/>
      <c r="K140" s="16"/>
      <c r="L140" s="16"/>
      <c r="M140" s="16"/>
      <c r="N140" s="16"/>
      <c r="O140" s="16"/>
      <c r="P140" s="14"/>
    </row>
    <row r="141" spans="1:16" x14ac:dyDescent="0.3">
      <c r="A141" s="17"/>
      <c r="B141" s="17" t="s">
        <v>128</v>
      </c>
      <c r="C141" s="17" t="s">
        <v>119</v>
      </c>
      <c r="D141" s="18" t="s">
        <v>169</v>
      </c>
      <c r="E141" s="19"/>
      <c r="F141" s="19"/>
      <c r="G141" s="19"/>
      <c r="H141" s="19"/>
      <c r="I141" s="19"/>
      <c r="J141" s="19"/>
      <c r="K141" s="19"/>
      <c r="L141" s="19"/>
      <c r="M141" s="19"/>
      <c r="N141" s="19"/>
      <c r="O141" s="19"/>
      <c r="P141" s="17"/>
    </row>
    <row r="142" spans="1:16" x14ac:dyDescent="0.3">
      <c r="A142" s="14"/>
      <c r="B142" s="14" t="s">
        <v>129</v>
      </c>
      <c r="C142" s="14" t="s">
        <v>111</v>
      </c>
      <c r="D142" s="15" t="s">
        <v>170</v>
      </c>
      <c r="E142" s="16"/>
      <c r="F142" s="16"/>
      <c r="G142" s="16"/>
      <c r="H142" s="16"/>
      <c r="I142" s="16"/>
      <c r="J142" s="16"/>
      <c r="K142" s="16"/>
      <c r="L142" s="16"/>
      <c r="M142" s="16"/>
      <c r="N142" s="16"/>
      <c r="O142" s="16"/>
      <c r="P142" s="14"/>
    </row>
    <row r="143" spans="1:16" x14ac:dyDescent="0.3">
      <c r="A143" s="17"/>
      <c r="B143" s="17"/>
      <c r="C143" s="17" t="s">
        <v>109</v>
      </c>
      <c r="D143" s="18">
        <v>0.2</v>
      </c>
      <c r="E143" s="19"/>
      <c r="F143" s="19"/>
      <c r="G143" s="19"/>
      <c r="H143" s="19"/>
      <c r="I143" s="19"/>
      <c r="J143" s="19"/>
      <c r="K143" s="19"/>
      <c r="L143" s="19"/>
      <c r="M143" s="19"/>
      <c r="N143" s="19"/>
      <c r="O143" s="19"/>
      <c r="P143" s="17"/>
    </row>
    <row r="144" spans="1:16" x14ac:dyDescent="0.3">
      <c r="A144" s="14"/>
      <c r="B144" s="14"/>
      <c r="C144" s="14" t="s">
        <v>211</v>
      </c>
      <c r="D144" s="15"/>
      <c r="E144" s="16"/>
      <c r="F144" s="16"/>
      <c r="G144" s="16"/>
      <c r="H144" s="16"/>
      <c r="I144" s="16"/>
      <c r="J144" s="16"/>
      <c r="K144" s="16"/>
      <c r="L144" s="16"/>
      <c r="M144" s="16"/>
      <c r="N144" s="16"/>
      <c r="O144" s="16"/>
      <c r="P144" s="14"/>
    </row>
    <row r="145" spans="1:16" x14ac:dyDescent="0.3">
      <c r="A145" s="17"/>
      <c r="B145" s="17"/>
      <c r="C145" s="17" t="s">
        <v>212</v>
      </c>
      <c r="D145" s="18"/>
      <c r="E145" s="19"/>
      <c r="F145" s="19"/>
      <c r="G145" s="19"/>
      <c r="H145" s="19"/>
      <c r="I145" s="19"/>
      <c r="J145" s="19"/>
      <c r="K145" s="19"/>
      <c r="L145" s="19"/>
      <c r="M145" s="19"/>
      <c r="N145" s="19"/>
      <c r="O145" s="19"/>
      <c r="P145" s="17"/>
    </row>
    <row r="146" spans="1:16" x14ac:dyDescent="0.3">
      <c r="A146" s="14"/>
      <c r="B146" s="14"/>
      <c r="C146" s="14" t="s">
        <v>213</v>
      </c>
      <c r="D146" s="15"/>
      <c r="E146" s="16"/>
      <c r="F146" s="16"/>
      <c r="G146" s="16"/>
      <c r="H146" s="16"/>
      <c r="I146" s="16"/>
      <c r="J146" s="16"/>
      <c r="K146" s="16"/>
      <c r="L146" s="16"/>
      <c r="M146" s="16"/>
      <c r="N146" s="16"/>
      <c r="O146" s="16"/>
      <c r="P146" s="14"/>
    </row>
    <row r="147" spans="1:16" x14ac:dyDescent="0.3">
      <c r="A147" s="17"/>
      <c r="B147" s="17"/>
      <c r="C147" s="17" t="s">
        <v>130</v>
      </c>
      <c r="D147" s="18" t="s">
        <v>169</v>
      </c>
      <c r="E147" s="19"/>
      <c r="F147" s="19"/>
      <c r="G147" s="19"/>
      <c r="H147" s="19"/>
      <c r="I147" s="19"/>
      <c r="J147" s="19"/>
      <c r="K147" s="19"/>
      <c r="L147" s="19"/>
      <c r="M147" s="19"/>
      <c r="N147" s="19"/>
      <c r="O147" s="19"/>
      <c r="P147" s="17"/>
    </row>
    <row r="148" spans="1:16" x14ac:dyDescent="0.3">
      <c r="A148" s="14"/>
      <c r="B148" s="14"/>
      <c r="C148" s="14" t="s">
        <v>120</v>
      </c>
      <c r="D148" s="15" t="s">
        <v>169</v>
      </c>
      <c r="E148" s="16"/>
      <c r="F148" s="16"/>
      <c r="G148" s="16"/>
      <c r="H148" s="16"/>
      <c r="I148" s="16"/>
      <c r="J148" s="16"/>
      <c r="K148" s="16"/>
      <c r="L148" s="16"/>
      <c r="M148" s="16"/>
      <c r="N148" s="16"/>
      <c r="O148" s="16"/>
      <c r="P148" s="14"/>
    </row>
    <row r="149" spans="1:16" x14ac:dyDescent="0.3">
      <c r="A149" s="17"/>
      <c r="B149" s="17"/>
      <c r="C149" s="17" t="s">
        <v>214</v>
      </c>
      <c r="D149" s="18" t="str">
        <f>"False"</f>
        <v>False</v>
      </c>
      <c r="E149" s="19"/>
      <c r="F149" s="19"/>
      <c r="G149" s="19"/>
      <c r="H149" s="19"/>
      <c r="I149" s="19"/>
      <c r="J149" s="19"/>
      <c r="K149" s="19"/>
      <c r="L149" s="19"/>
      <c r="M149" s="19"/>
      <c r="N149" s="19"/>
      <c r="O149" s="19"/>
      <c r="P149" s="17"/>
    </row>
    <row r="150" spans="1:16" x14ac:dyDescent="0.3">
      <c r="A150" s="14"/>
      <c r="B150" s="14"/>
      <c r="C150" s="14" t="s">
        <v>215</v>
      </c>
      <c r="D150" s="15" t="str">
        <f>"False"</f>
        <v>False</v>
      </c>
      <c r="E150" s="16"/>
      <c r="F150" s="16"/>
      <c r="G150" s="16"/>
      <c r="H150" s="16"/>
      <c r="I150" s="16"/>
      <c r="J150" s="16"/>
      <c r="K150" s="16"/>
      <c r="L150" s="16"/>
      <c r="M150" s="16"/>
      <c r="N150" s="16"/>
      <c r="O150" s="16"/>
      <c r="P150" s="14"/>
    </row>
    <row r="151" spans="1:16" x14ac:dyDescent="0.3">
      <c r="A151" s="17"/>
      <c r="B151" s="17"/>
      <c r="C151" s="17" t="s">
        <v>132</v>
      </c>
      <c r="D151" s="18" t="s">
        <v>170</v>
      </c>
      <c r="E151" s="19"/>
      <c r="F151" s="19"/>
      <c r="G151" s="19"/>
      <c r="H151" s="19"/>
      <c r="I151" s="19"/>
      <c r="J151" s="19"/>
      <c r="K151" s="19"/>
      <c r="L151" s="19"/>
      <c r="M151" s="19"/>
      <c r="N151" s="19"/>
      <c r="O151" s="19"/>
      <c r="P151" s="17"/>
    </row>
    <row r="152" spans="1:16" x14ac:dyDescent="0.3">
      <c r="A152" s="14"/>
      <c r="B152" s="14"/>
      <c r="C152" s="14" t="s">
        <v>133</v>
      </c>
      <c r="D152" s="15" t="s">
        <v>172</v>
      </c>
      <c r="E152" s="16"/>
      <c r="F152" s="16"/>
      <c r="G152" s="16"/>
      <c r="H152" s="16"/>
      <c r="I152" s="16"/>
      <c r="J152" s="16"/>
      <c r="K152" s="16"/>
      <c r="L152" s="16"/>
      <c r="M152" s="16"/>
      <c r="N152" s="16"/>
      <c r="O152" s="16"/>
      <c r="P152" s="14"/>
    </row>
    <row r="153" spans="1:16" x14ac:dyDescent="0.3">
      <c r="A153" s="17"/>
      <c r="B153" s="17"/>
      <c r="C153" s="17" t="s">
        <v>134</v>
      </c>
      <c r="D153" s="18" t="s">
        <v>171</v>
      </c>
      <c r="E153" s="19"/>
      <c r="F153" s="19"/>
      <c r="G153" s="19"/>
      <c r="H153" s="19"/>
      <c r="I153" s="19"/>
      <c r="J153" s="19"/>
      <c r="K153" s="19"/>
      <c r="L153" s="19"/>
      <c r="M153" s="19"/>
      <c r="N153" s="19"/>
      <c r="O153" s="19"/>
      <c r="P153" s="17"/>
    </row>
    <row r="154" spans="1:16" x14ac:dyDescent="0.3">
      <c r="A154" s="14"/>
      <c r="B154" s="14"/>
      <c r="C154" s="14" t="s">
        <v>135</v>
      </c>
      <c r="D154" s="15" t="s">
        <v>169</v>
      </c>
      <c r="E154" s="16"/>
      <c r="F154" s="16"/>
      <c r="G154" s="16"/>
      <c r="H154" s="16"/>
      <c r="I154" s="16"/>
      <c r="J154" s="16"/>
      <c r="K154" s="16"/>
      <c r="L154" s="16"/>
      <c r="M154" s="16"/>
      <c r="N154" s="16"/>
      <c r="O154" s="16"/>
      <c r="P154" s="14"/>
    </row>
    <row r="155" spans="1:16" x14ac:dyDescent="0.3">
      <c r="A155" s="17"/>
      <c r="B155" s="17"/>
      <c r="C155" s="17" t="s">
        <v>216</v>
      </c>
      <c r="D155" s="18" t="str">
        <f>"False"</f>
        <v>False</v>
      </c>
      <c r="E155" s="19"/>
      <c r="F155" s="19"/>
      <c r="G155" s="19"/>
      <c r="H155" s="19"/>
      <c r="I155" s="19"/>
      <c r="J155" s="19"/>
      <c r="K155" s="19"/>
      <c r="L155" s="19"/>
      <c r="M155" s="19"/>
      <c r="N155" s="19"/>
      <c r="O155" s="19"/>
      <c r="P155" s="17"/>
    </row>
    <row r="156" spans="1:16" x14ac:dyDescent="0.3">
      <c r="A156" s="14"/>
      <c r="B156" s="14"/>
      <c r="C156" s="14" t="s">
        <v>217</v>
      </c>
      <c r="D156" s="15" t="str">
        <f>"False"</f>
        <v>False</v>
      </c>
      <c r="E156" s="16"/>
      <c r="F156" s="16"/>
      <c r="G156" s="16"/>
      <c r="H156" s="16"/>
      <c r="I156" s="16"/>
      <c r="J156" s="16"/>
      <c r="K156" s="16"/>
      <c r="L156" s="16"/>
      <c r="M156" s="16"/>
      <c r="N156" s="16"/>
      <c r="O156" s="16"/>
      <c r="P156" s="14"/>
    </row>
    <row r="157" spans="1:16" x14ac:dyDescent="0.3">
      <c r="A157" s="17"/>
      <c r="B157" s="17"/>
      <c r="C157" s="17" t="s">
        <v>218</v>
      </c>
      <c r="D157" s="18" t="str">
        <f>"False"</f>
        <v>False</v>
      </c>
      <c r="E157" s="19"/>
      <c r="F157" s="19"/>
      <c r="G157" s="19"/>
      <c r="H157" s="19"/>
      <c r="I157" s="19"/>
      <c r="J157" s="19"/>
      <c r="K157" s="19"/>
      <c r="L157" s="19"/>
      <c r="M157" s="19"/>
      <c r="N157" s="19"/>
      <c r="O157" s="19"/>
      <c r="P157" s="17"/>
    </row>
    <row r="158" spans="1:16" x14ac:dyDescent="0.3">
      <c r="A158" s="14"/>
      <c r="B158" s="14"/>
      <c r="C158" s="14" t="s">
        <v>219</v>
      </c>
      <c r="D158" s="15" t="str">
        <f>"False"</f>
        <v>False</v>
      </c>
      <c r="E158" s="16"/>
      <c r="F158" s="16"/>
      <c r="G158" s="16"/>
      <c r="H158" s="16"/>
      <c r="I158" s="16"/>
      <c r="J158" s="16"/>
      <c r="K158" s="16"/>
      <c r="L158" s="16"/>
      <c r="M158" s="16"/>
      <c r="N158" s="16"/>
      <c r="O158" s="16"/>
      <c r="P158" s="14"/>
    </row>
    <row r="159" spans="1:16" x14ac:dyDescent="0.3">
      <c r="A159" s="17"/>
      <c r="B159" s="17"/>
      <c r="C159" s="17" t="s">
        <v>136</v>
      </c>
      <c r="D159" s="18" t="s">
        <v>170</v>
      </c>
      <c r="E159" s="19"/>
      <c r="F159" s="19"/>
      <c r="G159" s="19"/>
      <c r="H159" s="19"/>
      <c r="I159" s="19"/>
      <c r="J159" s="19"/>
      <c r="K159" s="19"/>
      <c r="L159" s="19"/>
      <c r="M159" s="19"/>
      <c r="N159" s="19"/>
      <c r="O159" s="19"/>
      <c r="P159" s="17"/>
    </row>
    <row r="160" spans="1:16" x14ac:dyDescent="0.3">
      <c r="A160" s="14"/>
      <c r="B160" s="14"/>
      <c r="C160" s="14" t="s">
        <v>137</v>
      </c>
      <c r="D160" s="15">
        <v>0.08</v>
      </c>
      <c r="E160" s="16"/>
      <c r="F160" s="16"/>
      <c r="G160" s="16"/>
      <c r="H160" s="16"/>
      <c r="I160" s="16"/>
      <c r="J160" s="16"/>
      <c r="K160" s="16"/>
      <c r="L160" s="16"/>
      <c r="M160" s="16"/>
      <c r="N160" s="16"/>
      <c r="O160" s="16"/>
      <c r="P160" s="14"/>
    </row>
    <row r="161" spans="1:16" x14ac:dyDescent="0.3">
      <c r="A161" s="17"/>
      <c r="B161" s="17"/>
      <c r="C161" s="17" t="s">
        <v>138</v>
      </c>
      <c r="D161" s="18">
        <v>0.04</v>
      </c>
      <c r="E161" s="19"/>
      <c r="F161" s="19"/>
      <c r="G161" s="19"/>
      <c r="H161" s="19"/>
      <c r="I161" s="19"/>
      <c r="J161" s="19"/>
      <c r="K161" s="19"/>
      <c r="L161" s="19"/>
      <c r="M161" s="19"/>
      <c r="N161" s="19"/>
      <c r="O161" s="19"/>
      <c r="P161" s="17"/>
    </row>
    <row r="162" spans="1:16" x14ac:dyDescent="0.3">
      <c r="A162" s="14"/>
      <c r="B162" s="14"/>
      <c r="C162" s="14" t="s">
        <v>220</v>
      </c>
      <c r="D162" s="15"/>
      <c r="E162" s="16"/>
      <c r="F162" s="16"/>
      <c r="G162" s="16"/>
      <c r="H162" s="16"/>
      <c r="I162" s="16"/>
      <c r="J162" s="16"/>
      <c r="K162" s="16"/>
      <c r="L162" s="16"/>
      <c r="M162" s="16"/>
      <c r="N162" s="16"/>
      <c r="O162" s="16"/>
      <c r="P162" s="14"/>
    </row>
    <row r="163" spans="1:16" x14ac:dyDescent="0.3">
      <c r="A163" s="17"/>
      <c r="B163" s="17"/>
      <c r="C163" s="17" t="s">
        <v>221</v>
      </c>
      <c r="D163" s="18"/>
      <c r="E163" s="19"/>
      <c r="F163" s="19"/>
      <c r="G163" s="19"/>
      <c r="H163" s="19"/>
      <c r="I163" s="19"/>
      <c r="J163" s="19"/>
      <c r="K163" s="19"/>
      <c r="L163" s="19"/>
      <c r="M163" s="19"/>
      <c r="N163" s="19"/>
      <c r="O163" s="19"/>
      <c r="P163" s="17"/>
    </row>
    <row r="164" spans="1:16" x14ac:dyDescent="0.3">
      <c r="A164" s="14"/>
      <c r="B164" s="14"/>
      <c r="C164" s="14" t="s">
        <v>139</v>
      </c>
      <c r="D164" s="15" t="s">
        <v>169</v>
      </c>
      <c r="E164" s="16"/>
      <c r="F164" s="16"/>
      <c r="G164" s="16"/>
      <c r="H164" s="16"/>
      <c r="I164" s="16"/>
      <c r="J164" s="16"/>
      <c r="K164" s="16"/>
      <c r="L164" s="16"/>
      <c r="M164" s="16"/>
      <c r="N164" s="16"/>
      <c r="O164" s="16"/>
      <c r="P164" s="14"/>
    </row>
    <row r="165" spans="1:16" x14ac:dyDescent="0.3">
      <c r="A165" s="17"/>
      <c r="B165" s="17"/>
      <c r="C165" s="17" t="s">
        <v>222</v>
      </c>
      <c r="D165" s="18"/>
      <c r="E165" s="19"/>
      <c r="F165" s="19"/>
      <c r="G165" s="19"/>
      <c r="H165" s="19"/>
      <c r="I165" s="19"/>
      <c r="J165" s="19"/>
      <c r="K165" s="19"/>
      <c r="L165" s="19"/>
      <c r="M165" s="19"/>
      <c r="N165" s="19"/>
      <c r="O165" s="19"/>
      <c r="P165" s="17"/>
    </row>
    <row r="166" spans="1:16" x14ac:dyDescent="0.3">
      <c r="A166" s="14"/>
      <c r="B166" s="14"/>
      <c r="C166" s="14" t="s">
        <v>223</v>
      </c>
      <c r="D166" s="15"/>
      <c r="E166" s="16"/>
      <c r="F166" s="16"/>
      <c r="G166" s="16"/>
      <c r="H166" s="16"/>
      <c r="I166" s="16"/>
      <c r="J166" s="16"/>
      <c r="K166" s="16"/>
      <c r="L166" s="16"/>
      <c r="M166" s="16"/>
      <c r="N166" s="16"/>
      <c r="O166" s="16"/>
      <c r="P166" s="14"/>
    </row>
    <row r="167" spans="1:16" x14ac:dyDescent="0.3">
      <c r="A167" s="17"/>
      <c r="B167" s="17"/>
      <c r="C167" s="17" t="s">
        <v>224</v>
      </c>
      <c r="D167" s="18"/>
      <c r="E167" s="19"/>
      <c r="F167" s="19"/>
      <c r="G167" s="19"/>
      <c r="H167" s="19"/>
      <c r="I167" s="19"/>
      <c r="J167" s="19"/>
      <c r="K167" s="19"/>
      <c r="L167" s="19"/>
      <c r="M167" s="19"/>
      <c r="N167" s="19"/>
      <c r="O167" s="19"/>
      <c r="P167" s="17"/>
    </row>
    <row r="168" spans="1:16" x14ac:dyDescent="0.3">
      <c r="A168" s="14"/>
      <c r="B168" s="14"/>
      <c r="C168" s="14" t="s">
        <v>225</v>
      </c>
      <c r="D168" s="15"/>
      <c r="E168" s="16"/>
      <c r="F168" s="16"/>
      <c r="G168" s="16"/>
      <c r="H168" s="16"/>
      <c r="I168" s="16"/>
      <c r="J168" s="16"/>
      <c r="K168" s="16"/>
      <c r="L168" s="16"/>
      <c r="M168" s="16"/>
      <c r="N168" s="16"/>
      <c r="O168" s="16"/>
      <c r="P168" s="14"/>
    </row>
    <row r="169" spans="1:16" x14ac:dyDescent="0.3">
      <c r="A169" s="17"/>
      <c r="B169" s="17"/>
      <c r="C169" s="17" t="s">
        <v>226</v>
      </c>
      <c r="D169" s="18"/>
      <c r="E169" s="19"/>
      <c r="F169" s="19"/>
      <c r="G169" s="19"/>
      <c r="H169" s="19"/>
      <c r="I169" s="19"/>
      <c r="J169" s="19"/>
      <c r="K169" s="19"/>
      <c r="L169" s="19"/>
      <c r="M169" s="19"/>
      <c r="N169" s="19"/>
      <c r="O169" s="19"/>
      <c r="P169" s="17"/>
    </row>
    <row r="170" spans="1:16" x14ac:dyDescent="0.3">
      <c r="A170" s="14"/>
      <c r="B170" s="14"/>
      <c r="C170" s="14" t="s">
        <v>227</v>
      </c>
      <c r="D170" s="15"/>
      <c r="E170" s="16"/>
      <c r="F170" s="16"/>
      <c r="G170" s="16"/>
      <c r="H170" s="16"/>
      <c r="I170" s="16"/>
      <c r="J170" s="16"/>
      <c r="K170" s="16"/>
      <c r="L170" s="16"/>
      <c r="M170" s="16"/>
      <c r="N170" s="16"/>
      <c r="O170" s="16"/>
      <c r="P170" s="14"/>
    </row>
    <row r="171" spans="1:16" x14ac:dyDescent="0.3">
      <c r="A171" s="17"/>
      <c r="B171" s="17"/>
      <c r="C171" s="17" t="s">
        <v>228</v>
      </c>
      <c r="D171" s="18"/>
      <c r="E171" s="19"/>
      <c r="F171" s="19"/>
      <c r="G171" s="19"/>
      <c r="H171" s="19"/>
      <c r="I171" s="19"/>
      <c r="J171" s="19"/>
      <c r="K171" s="19"/>
      <c r="L171" s="19"/>
      <c r="M171" s="19"/>
      <c r="N171" s="19"/>
      <c r="O171" s="19"/>
      <c r="P171" s="17"/>
    </row>
    <row r="172" spans="1:16" x14ac:dyDescent="0.3">
      <c r="A172" s="14"/>
      <c r="B172" s="14"/>
      <c r="C172" s="14" t="s">
        <v>229</v>
      </c>
      <c r="D172" s="15"/>
      <c r="E172" s="16"/>
      <c r="F172" s="16"/>
      <c r="G172" s="16"/>
      <c r="H172" s="16"/>
      <c r="I172" s="16"/>
      <c r="J172" s="16"/>
      <c r="K172" s="16"/>
      <c r="L172" s="16"/>
      <c r="M172" s="16"/>
      <c r="N172" s="16"/>
      <c r="O172" s="16"/>
      <c r="P172" s="14"/>
    </row>
    <row r="173" spans="1:16" x14ac:dyDescent="0.3">
      <c r="A173" s="17"/>
      <c r="B173" s="17"/>
      <c r="C173" s="17" t="s">
        <v>4</v>
      </c>
      <c r="D173" s="18"/>
      <c r="E173" s="19"/>
      <c r="F173" s="19"/>
      <c r="G173" s="19"/>
      <c r="H173" s="19"/>
      <c r="I173" s="19"/>
      <c r="J173" s="19"/>
      <c r="K173" s="19"/>
      <c r="L173" s="19"/>
      <c r="M173" s="19"/>
      <c r="N173" s="19"/>
      <c r="O173" s="19"/>
      <c r="P173" s="17"/>
    </row>
    <row r="174" spans="1:16" x14ac:dyDescent="0.3">
      <c r="A174" s="14"/>
      <c r="B174" s="14"/>
      <c r="C174" s="14" t="s">
        <v>230</v>
      </c>
      <c r="D174" s="15"/>
      <c r="E174" s="16"/>
      <c r="F174" s="16"/>
      <c r="G174" s="16"/>
      <c r="H174" s="16"/>
      <c r="I174" s="16"/>
      <c r="J174" s="16"/>
      <c r="K174" s="16"/>
      <c r="L174" s="16"/>
      <c r="M174" s="16"/>
      <c r="N174" s="16"/>
      <c r="O174" s="16"/>
      <c r="P174" s="14"/>
    </row>
    <row r="175" spans="1:16" x14ac:dyDescent="0.3">
      <c r="A175" s="17"/>
      <c r="B175" s="17"/>
      <c r="C175" s="17" t="s">
        <v>234</v>
      </c>
      <c r="D175" s="18"/>
      <c r="E175" s="19"/>
      <c r="F175" s="19"/>
      <c r="G175" s="19"/>
      <c r="H175" s="19"/>
      <c r="I175" s="19"/>
      <c r="J175" s="19"/>
      <c r="K175" s="19"/>
      <c r="L175" s="19"/>
      <c r="M175" s="19"/>
      <c r="N175" s="19"/>
      <c r="O175" s="19"/>
      <c r="P175" s="17"/>
    </row>
    <row r="176" spans="1:16" x14ac:dyDescent="0.3">
      <c r="A176" s="14"/>
      <c r="B176" s="14"/>
      <c r="C176" s="14" t="s">
        <v>301</v>
      </c>
      <c r="D176" s="15">
        <v>3.9E-2</v>
      </c>
      <c r="E176" s="16"/>
      <c r="F176" s="16"/>
      <c r="G176" s="16"/>
      <c r="H176" s="16"/>
      <c r="I176" s="16"/>
      <c r="J176" s="16"/>
      <c r="K176" s="16"/>
      <c r="L176" s="16"/>
      <c r="M176" s="16"/>
      <c r="N176" s="16"/>
      <c r="O176" s="16"/>
      <c r="P176" s="14"/>
    </row>
    <row r="177" spans="1:16" x14ac:dyDescent="0.3">
      <c r="A177" s="17"/>
      <c r="B177" s="17"/>
      <c r="C177" s="17"/>
      <c r="D177" s="18"/>
      <c r="E177" s="19"/>
      <c r="F177" s="19"/>
      <c r="G177" s="19"/>
      <c r="H177" s="19"/>
      <c r="I177" s="19"/>
      <c r="J177" s="19"/>
      <c r="K177" s="19"/>
      <c r="L177" s="19"/>
      <c r="M177" s="19"/>
      <c r="N177" s="19"/>
      <c r="O177" s="19"/>
      <c r="P177" s="17"/>
    </row>
    <row r="178" spans="1:16" x14ac:dyDescent="0.3">
      <c r="A178" s="14"/>
      <c r="B178" s="14"/>
      <c r="C178" s="14"/>
      <c r="D178" s="15"/>
      <c r="E178" s="16"/>
      <c r="F178" s="16"/>
      <c r="G178" s="16"/>
      <c r="H178" s="16"/>
      <c r="I178" s="16"/>
      <c r="J178" s="16"/>
      <c r="K178" s="16"/>
      <c r="L178" s="16"/>
      <c r="M178" s="16"/>
      <c r="N178" s="16"/>
      <c r="O178" s="16"/>
      <c r="P178" s="14"/>
    </row>
    <row r="179" spans="1:16" x14ac:dyDescent="0.3">
      <c r="A179" s="17"/>
      <c r="B179" s="17"/>
      <c r="C179" s="17"/>
      <c r="D179" s="18"/>
      <c r="E179" s="19"/>
      <c r="F179" s="19"/>
      <c r="G179" s="19"/>
      <c r="H179" s="19"/>
      <c r="I179" s="19"/>
      <c r="J179" s="19"/>
      <c r="K179" s="19"/>
      <c r="L179" s="19"/>
      <c r="M179" s="19"/>
      <c r="N179" s="19"/>
      <c r="O179" s="19"/>
      <c r="P179" s="17"/>
    </row>
    <row r="180" spans="1:16" x14ac:dyDescent="0.3">
      <c r="A180" s="14"/>
      <c r="B180" s="14"/>
      <c r="C180" s="14"/>
      <c r="D180" s="15"/>
      <c r="E180" s="16"/>
      <c r="F180" s="16"/>
      <c r="G180" s="16"/>
      <c r="H180" s="16"/>
      <c r="I180" s="16"/>
      <c r="J180" s="16"/>
      <c r="K180" s="16"/>
      <c r="L180" s="16"/>
      <c r="M180" s="16"/>
      <c r="N180" s="16"/>
      <c r="O180" s="16"/>
      <c r="P180" s="14"/>
    </row>
    <row r="181" spans="1:16" x14ac:dyDescent="0.3">
      <c r="A181" s="17"/>
      <c r="B181" s="17"/>
      <c r="C181" s="17"/>
      <c r="D181" s="18"/>
      <c r="E181" s="19"/>
      <c r="F181" s="19"/>
      <c r="G181" s="19"/>
      <c r="H181" s="19"/>
      <c r="I181" s="19"/>
      <c r="J181" s="19"/>
      <c r="K181" s="19"/>
      <c r="L181" s="19"/>
      <c r="M181" s="19"/>
      <c r="N181" s="19"/>
      <c r="O181" s="19"/>
      <c r="P181" s="17"/>
    </row>
    <row r="182" spans="1:16" x14ac:dyDescent="0.3">
      <c r="A182" s="14"/>
      <c r="B182" s="14"/>
      <c r="C182" s="14"/>
      <c r="D182" s="15"/>
      <c r="E182" s="16"/>
      <c r="F182" s="16"/>
      <c r="G182" s="16"/>
      <c r="H182" s="16"/>
      <c r="I182" s="16"/>
      <c r="J182" s="16"/>
      <c r="K182" s="16"/>
      <c r="L182" s="16"/>
      <c r="M182" s="16"/>
      <c r="N182" s="16"/>
      <c r="O182" s="16"/>
      <c r="P182" s="14"/>
    </row>
    <row r="183" spans="1:16" x14ac:dyDescent="0.3">
      <c r="A183" s="17"/>
      <c r="B183" s="17"/>
      <c r="C183" s="17"/>
      <c r="D183" s="18"/>
      <c r="E183" s="19"/>
      <c r="F183" s="19"/>
      <c r="G183" s="19"/>
      <c r="H183" s="19"/>
      <c r="I183" s="19"/>
      <c r="J183" s="19"/>
      <c r="K183" s="19"/>
      <c r="L183" s="19"/>
      <c r="M183" s="19"/>
      <c r="N183" s="19"/>
      <c r="O183" s="19"/>
      <c r="P183" s="17"/>
    </row>
    <row r="184" spans="1:16" x14ac:dyDescent="0.3">
      <c r="A184" s="14"/>
      <c r="B184" s="14"/>
      <c r="C184" s="14"/>
      <c r="D184" s="15"/>
      <c r="E184" s="16"/>
      <c r="F184" s="16"/>
      <c r="G184" s="16"/>
      <c r="H184" s="16"/>
      <c r="I184" s="16"/>
      <c r="J184" s="16"/>
      <c r="K184" s="16"/>
      <c r="L184" s="16"/>
      <c r="M184" s="16"/>
      <c r="N184" s="16"/>
      <c r="O184" s="16"/>
      <c r="P184" s="14"/>
    </row>
    <row r="185" spans="1:16" x14ac:dyDescent="0.3">
      <c r="A185" s="17"/>
      <c r="B185" s="17"/>
      <c r="C185" s="17"/>
      <c r="D185" s="18"/>
      <c r="E185" s="19"/>
      <c r="F185" s="19"/>
      <c r="G185" s="19"/>
      <c r="H185" s="19"/>
      <c r="I185" s="19"/>
      <c r="J185" s="19"/>
      <c r="K185" s="19"/>
      <c r="L185" s="19"/>
      <c r="M185" s="19"/>
      <c r="N185" s="19"/>
      <c r="O185" s="19"/>
      <c r="P185" s="17"/>
    </row>
    <row r="186" spans="1:16" x14ac:dyDescent="0.3">
      <c r="A186" s="14"/>
      <c r="B186" s="14"/>
      <c r="C186" s="14"/>
      <c r="D186" s="15"/>
      <c r="E186" s="16"/>
      <c r="F186" s="16"/>
      <c r="G186" s="16"/>
      <c r="H186" s="16"/>
      <c r="I186" s="16"/>
      <c r="J186" s="16"/>
      <c r="K186" s="16"/>
      <c r="L186" s="16"/>
      <c r="M186" s="16"/>
      <c r="N186" s="16"/>
      <c r="O186" s="16"/>
      <c r="P186" s="14"/>
    </row>
    <row r="187" spans="1:16" x14ac:dyDescent="0.3">
      <c r="A187" s="17"/>
      <c r="B187" s="17"/>
      <c r="C187" s="17"/>
      <c r="D187" s="18"/>
      <c r="E187" s="19"/>
      <c r="F187" s="19"/>
      <c r="G187" s="19"/>
      <c r="H187" s="19"/>
      <c r="I187" s="19"/>
      <c r="J187" s="19"/>
      <c r="K187" s="19"/>
      <c r="L187" s="19"/>
      <c r="M187" s="19"/>
      <c r="N187" s="19"/>
      <c r="O187" s="19"/>
      <c r="P187" s="17"/>
    </row>
    <row r="188" spans="1:16" x14ac:dyDescent="0.3">
      <c r="A188" s="14"/>
      <c r="B188" s="14"/>
      <c r="C188" s="14"/>
      <c r="D188" s="15"/>
      <c r="E188" s="16"/>
      <c r="F188" s="16"/>
      <c r="G188" s="16"/>
      <c r="H188" s="16"/>
      <c r="I188" s="16"/>
      <c r="J188" s="16"/>
      <c r="K188" s="16"/>
      <c r="L188" s="16"/>
      <c r="M188" s="16"/>
      <c r="N188" s="16"/>
      <c r="O188" s="16"/>
      <c r="P188" s="14"/>
    </row>
    <row r="189" spans="1:16" x14ac:dyDescent="0.3">
      <c r="A189" s="17"/>
      <c r="B189" s="17"/>
      <c r="C189" s="17"/>
      <c r="D189" s="18"/>
      <c r="E189" s="19"/>
      <c r="F189" s="19"/>
      <c r="G189" s="19"/>
      <c r="H189" s="19"/>
      <c r="I189" s="19"/>
      <c r="J189" s="19"/>
      <c r="K189" s="19"/>
      <c r="L189" s="19"/>
      <c r="M189" s="19"/>
      <c r="N189" s="19"/>
      <c r="O189" s="19"/>
      <c r="P189" s="17"/>
    </row>
    <row r="190" spans="1:16" x14ac:dyDescent="0.3">
      <c r="A190" s="14"/>
      <c r="B190" s="14"/>
      <c r="C190" s="14"/>
      <c r="D190" s="15"/>
      <c r="E190" s="16"/>
      <c r="F190" s="16"/>
      <c r="G190" s="16"/>
      <c r="H190" s="16"/>
      <c r="I190" s="16"/>
      <c r="J190" s="16"/>
      <c r="K190" s="16"/>
      <c r="L190" s="16"/>
      <c r="M190" s="16"/>
      <c r="N190" s="16"/>
      <c r="O190" s="16"/>
      <c r="P190" s="14"/>
    </row>
    <row r="191" spans="1:16" x14ac:dyDescent="0.3">
      <c r="A191" s="17"/>
      <c r="B191" s="17"/>
      <c r="C191" s="17"/>
      <c r="D191" s="18"/>
      <c r="E191" s="19"/>
      <c r="F191" s="19"/>
      <c r="G191" s="19"/>
      <c r="H191" s="19"/>
      <c r="I191" s="19"/>
      <c r="J191" s="19"/>
      <c r="K191" s="19"/>
      <c r="L191" s="19"/>
      <c r="M191" s="19"/>
      <c r="N191" s="19"/>
      <c r="O191" s="19"/>
      <c r="P191" s="17"/>
    </row>
    <row r="192" spans="1:16" x14ac:dyDescent="0.3">
      <c r="A192" s="14"/>
      <c r="B192" s="14"/>
      <c r="C192" s="14"/>
      <c r="D192" s="15"/>
      <c r="E192" s="16"/>
      <c r="F192" s="16"/>
      <c r="G192" s="16"/>
      <c r="H192" s="16"/>
      <c r="I192" s="16"/>
      <c r="J192" s="16"/>
      <c r="K192" s="16"/>
      <c r="L192" s="16"/>
      <c r="M192" s="16"/>
      <c r="N192" s="16"/>
      <c r="O192" s="16"/>
      <c r="P192" s="14"/>
    </row>
    <row r="193" spans="1:16" x14ac:dyDescent="0.3">
      <c r="A193" s="17"/>
      <c r="B193" s="17"/>
      <c r="C193" s="17"/>
      <c r="D193" s="18"/>
      <c r="E193" s="19"/>
      <c r="F193" s="19"/>
      <c r="G193" s="19"/>
      <c r="H193" s="19"/>
      <c r="I193" s="19"/>
      <c r="J193" s="19"/>
      <c r="K193" s="19"/>
      <c r="L193" s="19"/>
      <c r="M193" s="19"/>
      <c r="N193" s="19"/>
      <c r="O193" s="19"/>
      <c r="P193" s="17"/>
    </row>
    <row r="194" spans="1:16" x14ac:dyDescent="0.3">
      <c r="A194" s="14"/>
      <c r="B194" s="14"/>
      <c r="C194" s="14"/>
      <c r="D194" s="15"/>
      <c r="E194" s="16"/>
      <c r="F194" s="16"/>
      <c r="G194" s="16"/>
      <c r="H194" s="16"/>
      <c r="I194" s="16"/>
      <c r="J194" s="16"/>
      <c r="K194" s="16"/>
      <c r="L194" s="16"/>
      <c r="M194" s="16"/>
      <c r="N194" s="16"/>
      <c r="O194" s="16"/>
      <c r="P194" s="14"/>
    </row>
    <row r="195" spans="1:16" x14ac:dyDescent="0.3">
      <c r="A195" s="17"/>
      <c r="B195" s="17"/>
      <c r="C195" s="17"/>
      <c r="D195" s="18"/>
      <c r="E195" s="19"/>
      <c r="F195" s="19"/>
      <c r="G195" s="19"/>
      <c r="H195" s="19"/>
      <c r="I195" s="19"/>
      <c r="J195" s="19"/>
      <c r="K195" s="19"/>
      <c r="L195" s="19"/>
      <c r="M195" s="19"/>
      <c r="N195" s="19"/>
      <c r="O195" s="19"/>
      <c r="P195" s="17"/>
    </row>
    <row r="196" spans="1:16" x14ac:dyDescent="0.3">
      <c r="A196" s="14"/>
      <c r="B196" s="14"/>
      <c r="C196" s="14"/>
      <c r="D196" s="15"/>
      <c r="E196" s="16"/>
      <c r="F196" s="16"/>
      <c r="G196" s="16"/>
      <c r="H196" s="16"/>
      <c r="I196" s="16"/>
      <c r="J196" s="16"/>
      <c r="K196" s="16"/>
      <c r="L196" s="16"/>
      <c r="M196" s="16"/>
      <c r="N196" s="16"/>
      <c r="O196" s="16"/>
      <c r="P196" s="14"/>
    </row>
    <row r="197" spans="1:16" x14ac:dyDescent="0.3">
      <c r="A197" s="17"/>
      <c r="B197" s="17"/>
      <c r="C197" s="17"/>
      <c r="D197" s="18"/>
      <c r="E197" s="19"/>
      <c r="F197" s="19"/>
      <c r="G197" s="19"/>
      <c r="H197" s="19"/>
      <c r="I197" s="19"/>
      <c r="J197" s="19"/>
      <c r="K197" s="19"/>
      <c r="L197" s="19"/>
      <c r="M197" s="19"/>
      <c r="N197" s="19"/>
      <c r="O197" s="19"/>
      <c r="P197" s="17"/>
    </row>
    <row r="198" spans="1:16" x14ac:dyDescent="0.3">
      <c r="A198" s="14"/>
      <c r="B198" s="14"/>
      <c r="C198" s="14"/>
      <c r="D198" s="15"/>
      <c r="E198" s="16"/>
      <c r="F198" s="16"/>
      <c r="G198" s="16"/>
      <c r="H198" s="16"/>
      <c r="I198" s="16"/>
      <c r="J198" s="16"/>
      <c r="K198" s="16"/>
      <c r="L198" s="16"/>
      <c r="M198" s="16"/>
      <c r="N198" s="16"/>
      <c r="O198" s="16"/>
      <c r="P198" s="14"/>
    </row>
    <row r="199" spans="1:16" x14ac:dyDescent="0.3">
      <c r="A199" s="17"/>
      <c r="B199" s="17"/>
      <c r="C199" s="17"/>
      <c r="D199" s="18"/>
      <c r="E199" s="19"/>
      <c r="F199" s="19"/>
      <c r="G199" s="19"/>
      <c r="H199" s="19"/>
      <c r="I199" s="19"/>
      <c r="J199" s="19"/>
      <c r="K199" s="19"/>
      <c r="L199" s="19"/>
      <c r="M199" s="19"/>
      <c r="N199" s="19"/>
      <c r="O199" s="19"/>
      <c r="P199" s="17"/>
    </row>
    <row r="200" spans="1:16" x14ac:dyDescent="0.3">
      <c r="A200" s="14"/>
      <c r="B200" s="14"/>
      <c r="C200" s="14"/>
      <c r="D200" s="15"/>
      <c r="E200" s="16"/>
      <c r="F200" s="16"/>
      <c r="G200" s="16"/>
      <c r="H200" s="16"/>
      <c r="I200" s="16"/>
      <c r="J200" s="16"/>
      <c r="K200" s="16"/>
      <c r="L200" s="16"/>
      <c r="M200" s="16"/>
      <c r="N200" s="16"/>
      <c r="O200" s="16"/>
      <c r="P200" s="14"/>
    </row>
    <row r="201" spans="1:16" x14ac:dyDescent="0.3">
      <c r="A201" s="17"/>
      <c r="B201" s="17"/>
      <c r="C201" s="17"/>
      <c r="D201" s="18"/>
      <c r="E201" s="19"/>
      <c r="F201" s="19"/>
      <c r="G201" s="19"/>
      <c r="H201" s="19"/>
      <c r="I201" s="19"/>
      <c r="J201" s="19"/>
      <c r="K201" s="19"/>
      <c r="L201" s="19"/>
      <c r="M201" s="19"/>
      <c r="N201" s="19"/>
      <c r="O201" s="19"/>
      <c r="P201" s="17"/>
    </row>
    <row r="202" spans="1:16" x14ac:dyDescent="0.3">
      <c r="A202" s="14"/>
      <c r="B202" s="14"/>
      <c r="C202" s="14"/>
      <c r="D202" s="15"/>
      <c r="E202" s="16"/>
      <c r="F202" s="16"/>
      <c r="G202" s="16"/>
      <c r="H202" s="16"/>
      <c r="I202" s="16"/>
      <c r="J202" s="16"/>
      <c r="K202" s="16"/>
      <c r="L202" s="16"/>
      <c r="M202" s="16"/>
      <c r="N202" s="16"/>
      <c r="O202" s="16"/>
      <c r="P202" s="14"/>
    </row>
    <row r="203" spans="1:16" x14ac:dyDescent="0.3">
      <c r="A203" s="17"/>
      <c r="B203" s="17"/>
      <c r="C203" s="17"/>
      <c r="D203" s="18"/>
      <c r="E203" s="19"/>
      <c r="F203" s="19"/>
      <c r="G203" s="19"/>
      <c r="H203" s="19"/>
      <c r="I203" s="19"/>
      <c r="J203" s="19"/>
      <c r="K203" s="19"/>
      <c r="L203" s="19"/>
      <c r="M203" s="19"/>
      <c r="N203" s="19"/>
      <c r="O203" s="19"/>
      <c r="P203" s="17"/>
    </row>
    <row r="204" spans="1:16" x14ac:dyDescent="0.3">
      <c r="A204" s="14"/>
      <c r="B204" s="14"/>
      <c r="C204" s="14"/>
      <c r="D204" s="15"/>
      <c r="E204" s="16"/>
      <c r="F204" s="16"/>
      <c r="G204" s="16"/>
      <c r="H204" s="16"/>
      <c r="I204" s="16"/>
      <c r="J204" s="16"/>
      <c r="K204" s="16"/>
      <c r="L204" s="16"/>
      <c r="M204" s="16"/>
      <c r="N204" s="16"/>
      <c r="O204" s="16"/>
      <c r="P204" s="14"/>
    </row>
    <row r="205" spans="1:16" x14ac:dyDescent="0.3">
      <c r="A205" s="17"/>
      <c r="B205" s="17"/>
      <c r="C205" s="17"/>
      <c r="D205" s="18"/>
      <c r="E205" s="19"/>
      <c r="F205" s="19"/>
      <c r="G205" s="19"/>
      <c r="H205" s="19"/>
      <c r="I205" s="19"/>
      <c r="J205" s="19"/>
      <c r="K205" s="19"/>
      <c r="L205" s="19"/>
      <c r="M205" s="19"/>
      <c r="N205" s="19"/>
      <c r="O205" s="19"/>
      <c r="P205" s="17"/>
    </row>
    <row r="206" spans="1:16" x14ac:dyDescent="0.3">
      <c r="A206" s="14"/>
      <c r="B206" s="14"/>
      <c r="C206" s="14"/>
      <c r="D206" s="15"/>
      <c r="E206" s="16"/>
      <c r="F206" s="16"/>
      <c r="G206" s="16"/>
      <c r="H206" s="16"/>
      <c r="I206" s="16"/>
      <c r="J206" s="16"/>
      <c r="K206" s="16"/>
      <c r="L206" s="16"/>
      <c r="M206" s="16"/>
      <c r="N206" s="16"/>
      <c r="O206" s="16"/>
      <c r="P206" s="14"/>
    </row>
    <row r="207" spans="1:16" x14ac:dyDescent="0.3">
      <c r="A207" s="17"/>
      <c r="B207" s="17"/>
      <c r="C207" s="17"/>
      <c r="D207" s="18"/>
      <c r="E207" s="19"/>
      <c r="F207" s="19"/>
      <c r="G207" s="19"/>
      <c r="H207" s="19"/>
      <c r="I207" s="19"/>
      <c r="J207" s="19"/>
      <c r="K207" s="19"/>
      <c r="L207" s="19"/>
      <c r="M207" s="19"/>
      <c r="N207" s="19"/>
      <c r="O207" s="19"/>
      <c r="P207" s="17"/>
    </row>
    <row r="208" spans="1:16" x14ac:dyDescent="0.3">
      <c r="A208" s="14"/>
      <c r="B208" s="14"/>
      <c r="C208" s="14"/>
      <c r="D208" s="15"/>
      <c r="E208" s="16"/>
      <c r="F208" s="16"/>
      <c r="G208" s="16"/>
      <c r="H208" s="16"/>
      <c r="I208" s="16"/>
      <c r="J208" s="16"/>
      <c r="K208" s="16"/>
      <c r="L208" s="16"/>
      <c r="M208" s="16"/>
      <c r="N208" s="16"/>
      <c r="O208" s="16"/>
      <c r="P208" s="14"/>
    </row>
    <row r="209" spans="1:16" x14ac:dyDescent="0.3">
      <c r="A209" s="17"/>
      <c r="B209" s="17"/>
      <c r="C209" s="17"/>
      <c r="D209" s="18"/>
      <c r="E209" s="19"/>
      <c r="F209" s="19"/>
      <c r="G209" s="19"/>
      <c r="H209" s="19"/>
      <c r="I209" s="19"/>
      <c r="J209" s="19"/>
      <c r="K209" s="19"/>
      <c r="L209" s="19"/>
      <c r="M209" s="19"/>
      <c r="N209" s="19"/>
      <c r="O209" s="19"/>
      <c r="P209" s="17"/>
    </row>
    <row r="210" spans="1:16" x14ac:dyDescent="0.3">
      <c r="A210" s="14"/>
      <c r="B210" s="14"/>
      <c r="C210" s="14"/>
      <c r="D210" s="15"/>
      <c r="E210" s="16"/>
      <c r="F210" s="16"/>
      <c r="G210" s="16"/>
      <c r="H210" s="16"/>
      <c r="I210" s="16"/>
      <c r="J210" s="16"/>
      <c r="K210" s="16"/>
      <c r="L210" s="16"/>
      <c r="M210" s="16"/>
      <c r="N210" s="16"/>
      <c r="O210" s="16"/>
      <c r="P210" s="14"/>
    </row>
    <row r="211" spans="1:16" x14ac:dyDescent="0.3">
      <c r="A211" s="17"/>
      <c r="B211" s="17"/>
      <c r="C211" s="17"/>
      <c r="D211" s="18"/>
      <c r="E211" s="19"/>
      <c r="F211" s="19"/>
      <c r="G211" s="19"/>
      <c r="H211" s="19"/>
      <c r="I211" s="19"/>
      <c r="J211" s="19"/>
      <c r="K211" s="19"/>
      <c r="L211" s="19"/>
      <c r="M211" s="19"/>
      <c r="N211" s="19"/>
      <c r="O211" s="19"/>
      <c r="P211" s="17"/>
    </row>
    <row r="212" spans="1:16" x14ac:dyDescent="0.3">
      <c r="A212" s="14"/>
      <c r="B212" s="14"/>
      <c r="C212" s="14"/>
      <c r="D212" s="15"/>
      <c r="E212" s="16"/>
      <c r="F212" s="16"/>
      <c r="G212" s="16"/>
      <c r="H212" s="16"/>
      <c r="I212" s="16"/>
      <c r="J212" s="16"/>
      <c r="K212" s="16"/>
      <c r="L212" s="16"/>
      <c r="M212" s="16"/>
      <c r="N212" s="16"/>
      <c r="O212" s="16"/>
      <c r="P212" s="14"/>
    </row>
    <row r="213" spans="1:16" x14ac:dyDescent="0.3">
      <c r="A213" s="17"/>
      <c r="B213" s="17"/>
      <c r="C213" s="17"/>
      <c r="D213" s="18"/>
      <c r="E213" s="19"/>
      <c r="F213" s="19"/>
      <c r="G213" s="19"/>
      <c r="H213" s="19"/>
      <c r="I213" s="19"/>
      <c r="J213" s="19"/>
      <c r="K213" s="19"/>
      <c r="L213" s="19"/>
      <c r="M213" s="19"/>
      <c r="N213" s="19"/>
      <c r="O213" s="19"/>
      <c r="P213" s="17"/>
    </row>
    <row r="214" spans="1:16" x14ac:dyDescent="0.3">
      <c r="A214" s="14"/>
      <c r="B214" s="14"/>
      <c r="C214" s="14"/>
      <c r="D214" s="15"/>
      <c r="E214" s="16"/>
      <c r="F214" s="16"/>
      <c r="G214" s="16"/>
      <c r="H214" s="16"/>
      <c r="I214" s="16"/>
      <c r="J214" s="16"/>
      <c r="K214" s="16"/>
      <c r="L214" s="16"/>
      <c r="M214" s="16"/>
      <c r="N214" s="16"/>
      <c r="O214" s="16"/>
      <c r="P214" s="14"/>
    </row>
    <row r="215" spans="1:16" x14ac:dyDescent="0.3">
      <c r="A215" s="17"/>
      <c r="B215" s="17"/>
      <c r="C215" s="17"/>
      <c r="D215" s="18"/>
      <c r="E215" s="19"/>
      <c r="F215" s="19"/>
      <c r="G215" s="19"/>
      <c r="H215" s="19"/>
      <c r="I215" s="19"/>
      <c r="J215" s="19"/>
      <c r="K215" s="19"/>
      <c r="L215" s="19"/>
      <c r="M215" s="19"/>
      <c r="N215" s="19"/>
      <c r="O215" s="19"/>
      <c r="P215" s="17"/>
    </row>
    <row r="216" spans="1:16" x14ac:dyDescent="0.3">
      <c r="A216" s="14"/>
      <c r="B216" s="14"/>
      <c r="C216" s="14"/>
      <c r="D216" s="15"/>
      <c r="E216" s="16"/>
      <c r="F216" s="16"/>
      <c r="G216" s="16"/>
      <c r="H216" s="16"/>
      <c r="I216" s="16"/>
      <c r="J216" s="16"/>
      <c r="K216" s="16"/>
      <c r="L216" s="16"/>
      <c r="M216" s="16"/>
      <c r="N216" s="16"/>
      <c r="O216" s="16"/>
      <c r="P216" s="14"/>
    </row>
    <row r="217" spans="1:16" x14ac:dyDescent="0.3">
      <c r="A217" s="17"/>
      <c r="B217" s="17"/>
      <c r="C217" s="17"/>
      <c r="D217" s="18"/>
      <c r="E217" s="19"/>
      <c r="F217" s="19"/>
      <c r="G217" s="19"/>
      <c r="H217" s="19"/>
      <c r="I217" s="19"/>
      <c r="J217" s="19"/>
      <c r="K217" s="19"/>
      <c r="L217" s="19"/>
      <c r="M217" s="19"/>
      <c r="N217" s="19"/>
      <c r="O217" s="19"/>
      <c r="P217" s="17"/>
    </row>
    <row r="218" spans="1:16" x14ac:dyDescent="0.3">
      <c r="A218" s="14"/>
      <c r="B218" s="14"/>
      <c r="C218" s="14"/>
      <c r="D218" s="15"/>
      <c r="E218" s="16"/>
      <c r="F218" s="16"/>
      <c r="G218" s="16"/>
      <c r="H218" s="16"/>
      <c r="I218" s="16"/>
      <c r="J218" s="16"/>
      <c r="K218" s="16"/>
      <c r="L218" s="16"/>
      <c r="M218" s="16"/>
      <c r="N218" s="16"/>
      <c r="O218" s="16"/>
      <c r="P218" s="14"/>
    </row>
    <row r="219" spans="1:16" x14ac:dyDescent="0.3">
      <c r="A219" s="17"/>
      <c r="B219" s="17"/>
      <c r="C219" s="17"/>
      <c r="D219" s="18"/>
      <c r="E219" s="19"/>
      <c r="F219" s="19"/>
      <c r="G219" s="19"/>
      <c r="H219" s="19"/>
      <c r="I219" s="19"/>
      <c r="J219" s="19"/>
      <c r="K219" s="19"/>
      <c r="L219" s="19"/>
      <c r="M219" s="19"/>
      <c r="N219" s="19"/>
      <c r="O219" s="19"/>
      <c r="P219" s="17"/>
    </row>
    <row r="220" spans="1:16" x14ac:dyDescent="0.3">
      <c r="A220" s="14"/>
      <c r="B220" s="14"/>
      <c r="C220" s="14"/>
      <c r="D220" s="15"/>
      <c r="E220" s="16"/>
      <c r="F220" s="16"/>
      <c r="G220" s="16"/>
      <c r="H220" s="16"/>
      <c r="I220" s="16"/>
      <c r="J220" s="16"/>
      <c r="K220" s="16"/>
      <c r="L220" s="16"/>
      <c r="M220" s="16"/>
      <c r="N220" s="16"/>
      <c r="O220" s="16"/>
      <c r="P220" s="14"/>
    </row>
    <row r="221" spans="1:16" x14ac:dyDescent="0.3">
      <c r="A221" s="17"/>
      <c r="B221" s="17"/>
      <c r="C221" s="17"/>
      <c r="D221" s="18"/>
      <c r="E221" s="19"/>
      <c r="F221" s="19"/>
      <c r="G221" s="19"/>
      <c r="H221" s="19"/>
      <c r="I221" s="19"/>
      <c r="J221" s="19"/>
      <c r="K221" s="19"/>
      <c r="L221" s="19"/>
      <c r="M221" s="19"/>
      <c r="N221" s="19"/>
      <c r="O221" s="19"/>
      <c r="P221" s="17"/>
    </row>
    <row r="222" spans="1:16" x14ac:dyDescent="0.3">
      <c r="A222" s="14"/>
      <c r="B222" s="14"/>
      <c r="C222" s="14"/>
      <c r="D222" s="15"/>
      <c r="E222" s="16"/>
      <c r="F222" s="16"/>
      <c r="G222" s="16"/>
      <c r="H222" s="16"/>
      <c r="I222" s="16"/>
      <c r="J222" s="16"/>
      <c r="K222" s="16"/>
      <c r="L222" s="16"/>
      <c r="M222" s="16"/>
      <c r="N222" s="16"/>
      <c r="O222" s="16"/>
      <c r="P222" s="14"/>
    </row>
    <row r="223" spans="1:16" x14ac:dyDescent="0.3">
      <c r="A223" s="17"/>
      <c r="B223" s="17"/>
      <c r="C223" s="17"/>
      <c r="D223" s="18"/>
      <c r="E223" s="19"/>
      <c r="F223" s="19"/>
      <c r="G223" s="19"/>
      <c r="H223" s="19"/>
      <c r="I223" s="19"/>
      <c r="J223" s="19"/>
      <c r="K223" s="19"/>
      <c r="L223" s="19"/>
      <c r="M223" s="19"/>
      <c r="N223" s="19"/>
      <c r="O223" s="19"/>
      <c r="P223" s="17"/>
    </row>
    <row r="224" spans="1:16" x14ac:dyDescent="0.3">
      <c r="A224" s="14"/>
      <c r="B224" s="14"/>
      <c r="C224" s="14"/>
      <c r="D224" s="15"/>
      <c r="E224" s="16"/>
      <c r="F224" s="16"/>
      <c r="G224" s="16"/>
      <c r="H224" s="16"/>
      <c r="I224" s="16"/>
      <c r="J224" s="16"/>
      <c r="K224" s="16"/>
      <c r="L224" s="16"/>
      <c r="M224" s="16"/>
      <c r="N224" s="16"/>
      <c r="O224" s="16"/>
      <c r="P224" s="14"/>
    </row>
    <row r="225" spans="1:16" x14ac:dyDescent="0.3">
      <c r="A225" s="17"/>
      <c r="B225" s="17"/>
      <c r="C225" s="17"/>
      <c r="D225" s="18"/>
      <c r="E225" s="19"/>
      <c r="F225" s="19"/>
      <c r="G225" s="19"/>
      <c r="H225" s="19"/>
      <c r="I225" s="19"/>
      <c r="J225" s="19"/>
      <c r="K225" s="19"/>
      <c r="L225" s="19"/>
      <c r="M225" s="19"/>
      <c r="N225" s="19"/>
      <c r="O225" s="19"/>
      <c r="P225" s="17"/>
    </row>
    <row r="226" spans="1:16" x14ac:dyDescent="0.3">
      <c r="A226" s="14"/>
      <c r="B226" s="14"/>
      <c r="C226" s="14"/>
      <c r="D226" s="15"/>
      <c r="E226" s="16"/>
      <c r="F226" s="16"/>
      <c r="G226" s="16"/>
      <c r="H226" s="16"/>
      <c r="I226" s="16"/>
      <c r="J226" s="16"/>
      <c r="K226" s="16"/>
      <c r="L226" s="16"/>
      <c r="M226" s="16"/>
      <c r="N226" s="16"/>
      <c r="O226" s="16"/>
      <c r="P226" s="14"/>
    </row>
    <row r="227" spans="1:16" x14ac:dyDescent="0.3">
      <c r="A227" s="17"/>
      <c r="B227" s="17"/>
      <c r="C227" s="17"/>
      <c r="D227" s="18"/>
      <c r="E227" s="19"/>
      <c r="F227" s="19"/>
      <c r="G227" s="19"/>
      <c r="H227" s="19"/>
      <c r="I227" s="19"/>
      <c r="J227" s="19"/>
      <c r="K227" s="19"/>
      <c r="L227" s="19"/>
      <c r="M227" s="19"/>
      <c r="N227" s="19"/>
      <c r="O227" s="19"/>
      <c r="P227" s="17"/>
    </row>
    <row r="228" spans="1:16" x14ac:dyDescent="0.3">
      <c r="A228" s="14"/>
      <c r="B228" s="14"/>
      <c r="C228" s="14"/>
      <c r="D228" s="15"/>
      <c r="E228" s="16"/>
      <c r="F228" s="16"/>
      <c r="G228" s="16"/>
      <c r="H228" s="16"/>
      <c r="I228" s="16"/>
      <c r="J228" s="16"/>
      <c r="K228" s="16"/>
      <c r="L228" s="16"/>
      <c r="M228" s="16"/>
      <c r="N228" s="16"/>
      <c r="O228" s="16"/>
      <c r="P228" s="14"/>
    </row>
    <row r="229" spans="1:16" x14ac:dyDescent="0.3">
      <c r="A229" s="17"/>
      <c r="B229" s="17"/>
      <c r="C229" s="17"/>
      <c r="D229" s="18"/>
      <c r="E229" s="19"/>
      <c r="F229" s="19"/>
      <c r="G229" s="19"/>
      <c r="H229" s="19"/>
      <c r="I229" s="19"/>
      <c r="J229" s="19"/>
      <c r="K229" s="19"/>
      <c r="L229" s="19"/>
      <c r="M229" s="19"/>
      <c r="N229" s="19"/>
      <c r="O229" s="19"/>
      <c r="P229" s="17"/>
    </row>
    <row r="230" spans="1:16" x14ac:dyDescent="0.3">
      <c r="A230" s="14"/>
      <c r="B230" s="14"/>
      <c r="C230" s="14"/>
      <c r="D230" s="15"/>
      <c r="E230" s="16"/>
      <c r="F230" s="16"/>
      <c r="G230" s="16"/>
      <c r="H230" s="16"/>
      <c r="I230" s="16"/>
      <c r="J230" s="16"/>
      <c r="K230" s="16"/>
      <c r="L230" s="16"/>
      <c r="M230" s="16"/>
      <c r="N230" s="16"/>
      <c r="O230" s="16"/>
      <c r="P230" s="14"/>
    </row>
    <row r="231" spans="1:16" x14ac:dyDescent="0.3">
      <c r="A231" s="17"/>
      <c r="B231" s="17"/>
      <c r="C231" s="17"/>
      <c r="D231" s="18"/>
      <c r="E231" s="19"/>
      <c r="F231" s="19"/>
      <c r="G231" s="19"/>
      <c r="H231" s="19"/>
      <c r="I231" s="19"/>
      <c r="J231" s="19"/>
      <c r="K231" s="19"/>
      <c r="L231" s="19"/>
      <c r="M231" s="19"/>
      <c r="N231" s="19"/>
      <c r="O231" s="19"/>
      <c r="P231" s="17"/>
    </row>
    <row r="232" spans="1:16" x14ac:dyDescent="0.3">
      <c r="A232" s="14"/>
      <c r="B232" s="14"/>
      <c r="C232" s="14"/>
      <c r="D232" s="15"/>
      <c r="E232" s="16"/>
      <c r="F232" s="16"/>
      <c r="G232" s="16"/>
      <c r="H232" s="16"/>
      <c r="I232" s="16"/>
      <c r="J232" s="16"/>
      <c r="K232" s="16"/>
      <c r="L232" s="16"/>
      <c r="M232" s="16"/>
      <c r="N232" s="16"/>
      <c r="O232" s="16"/>
      <c r="P232" s="14"/>
    </row>
    <row r="233" spans="1:16" x14ac:dyDescent="0.3">
      <c r="A233" s="17"/>
      <c r="B233" s="17"/>
      <c r="C233" s="17"/>
      <c r="D233" s="18"/>
      <c r="E233" s="19"/>
      <c r="F233" s="19"/>
      <c r="G233" s="19"/>
      <c r="H233" s="19"/>
      <c r="I233" s="19"/>
      <c r="J233" s="19"/>
      <c r="K233" s="19"/>
      <c r="L233" s="19"/>
      <c r="M233" s="19"/>
      <c r="N233" s="19"/>
      <c r="O233" s="19"/>
      <c r="P233" s="17"/>
    </row>
    <row r="234" spans="1:16" x14ac:dyDescent="0.3">
      <c r="A234" s="14"/>
      <c r="B234" s="14"/>
      <c r="C234" s="14"/>
      <c r="D234" s="15"/>
      <c r="E234" s="16"/>
      <c r="F234" s="16"/>
      <c r="G234" s="16"/>
      <c r="H234" s="16"/>
      <c r="I234" s="16"/>
      <c r="J234" s="16"/>
      <c r="K234" s="16"/>
      <c r="L234" s="16"/>
      <c r="M234" s="16"/>
      <c r="N234" s="16"/>
      <c r="O234" s="16"/>
      <c r="P234" s="14"/>
    </row>
    <row r="235" spans="1:16" x14ac:dyDescent="0.3">
      <c r="A235" s="17"/>
      <c r="B235" s="17"/>
      <c r="C235" s="17"/>
      <c r="D235" s="18"/>
      <c r="E235" s="19"/>
      <c r="F235" s="19"/>
      <c r="G235" s="19"/>
      <c r="H235" s="19"/>
      <c r="I235" s="19"/>
      <c r="J235" s="19"/>
      <c r="K235" s="19"/>
      <c r="L235" s="19"/>
      <c r="M235" s="19"/>
      <c r="N235" s="19"/>
      <c r="O235" s="19"/>
      <c r="P235" s="17"/>
    </row>
    <row r="236" spans="1:16" x14ac:dyDescent="0.3">
      <c r="A236" s="14"/>
      <c r="B236" s="14"/>
      <c r="C236" s="14"/>
      <c r="D236" s="15"/>
      <c r="E236" s="16"/>
      <c r="F236" s="16"/>
      <c r="G236" s="16"/>
      <c r="H236" s="16"/>
      <c r="I236" s="16"/>
      <c r="J236" s="16"/>
      <c r="K236" s="16"/>
      <c r="L236" s="16"/>
      <c r="M236" s="16"/>
      <c r="N236" s="16"/>
      <c r="O236" s="16"/>
      <c r="P236" s="14"/>
    </row>
    <row r="237" spans="1:16" x14ac:dyDescent="0.3">
      <c r="A237" s="17"/>
      <c r="B237" s="17"/>
      <c r="C237" s="17"/>
      <c r="D237" s="18"/>
      <c r="E237" s="19"/>
      <c r="F237" s="19"/>
      <c r="G237" s="19"/>
      <c r="H237" s="19"/>
      <c r="I237" s="19"/>
      <c r="J237" s="19"/>
      <c r="K237" s="19"/>
      <c r="L237" s="19"/>
      <c r="M237" s="19"/>
      <c r="N237" s="19"/>
      <c r="O237" s="19"/>
      <c r="P237" s="17"/>
    </row>
    <row r="238" spans="1:16" x14ac:dyDescent="0.3">
      <c r="A238" s="14"/>
      <c r="B238" s="14"/>
      <c r="C238" s="14"/>
      <c r="D238" s="15"/>
      <c r="E238" s="16"/>
      <c r="F238" s="16"/>
      <c r="G238" s="16"/>
      <c r="H238" s="16"/>
      <c r="I238" s="16"/>
      <c r="J238" s="16"/>
      <c r="K238" s="16"/>
      <c r="L238" s="16"/>
      <c r="M238" s="16"/>
      <c r="N238" s="16"/>
      <c r="O238" s="16"/>
      <c r="P238" s="14"/>
    </row>
    <row r="239" spans="1:16" x14ac:dyDescent="0.3">
      <c r="A239" s="17"/>
      <c r="B239" s="17"/>
      <c r="C239" s="17"/>
      <c r="D239" s="18"/>
      <c r="E239" s="19"/>
      <c r="F239" s="19"/>
      <c r="G239" s="19"/>
      <c r="H239" s="19"/>
      <c r="I239" s="19"/>
      <c r="J239" s="19"/>
      <c r="K239" s="19"/>
      <c r="L239" s="19"/>
      <c r="M239" s="19"/>
      <c r="N239" s="19"/>
      <c r="O239" s="19"/>
      <c r="P239" s="17"/>
    </row>
    <row r="240" spans="1:16" x14ac:dyDescent="0.3">
      <c r="A240" s="14"/>
      <c r="B240" s="14"/>
      <c r="C240" s="14"/>
      <c r="D240" s="15"/>
      <c r="E240" s="16"/>
      <c r="F240" s="16"/>
      <c r="G240" s="16"/>
      <c r="H240" s="16"/>
      <c r="I240" s="16"/>
      <c r="J240" s="16"/>
      <c r="K240" s="16"/>
      <c r="L240" s="16"/>
      <c r="M240" s="16"/>
      <c r="N240" s="16"/>
      <c r="O240" s="16"/>
      <c r="P240" s="14"/>
    </row>
    <row r="241" spans="1:16" x14ac:dyDescent="0.3">
      <c r="A241" s="17"/>
      <c r="B241" s="17"/>
      <c r="C241" s="17"/>
      <c r="D241" s="18"/>
      <c r="E241" s="19"/>
      <c r="F241" s="19"/>
      <c r="G241" s="19"/>
      <c r="H241" s="19"/>
      <c r="I241" s="19"/>
      <c r="J241" s="19"/>
      <c r="K241" s="19"/>
      <c r="L241" s="19"/>
      <c r="M241" s="19"/>
      <c r="N241" s="19"/>
      <c r="O241" s="19"/>
      <c r="P241" s="17"/>
    </row>
    <row r="242" spans="1:16" x14ac:dyDescent="0.3">
      <c r="A242" s="14"/>
      <c r="B242" s="14"/>
      <c r="C242" s="14"/>
      <c r="D242" s="15"/>
      <c r="E242" s="16"/>
      <c r="F242" s="16"/>
      <c r="G242" s="16"/>
      <c r="H242" s="16"/>
      <c r="I242" s="16"/>
      <c r="J242" s="16"/>
      <c r="K242" s="16"/>
      <c r="L242" s="16"/>
      <c r="M242" s="16"/>
      <c r="N242" s="16"/>
      <c r="O242" s="16"/>
      <c r="P242" s="14"/>
    </row>
    <row r="243" spans="1:16" x14ac:dyDescent="0.3">
      <c r="A243" s="17"/>
      <c r="B243" s="17"/>
      <c r="C243" s="17"/>
      <c r="D243" s="18"/>
      <c r="E243" s="19"/>
      <c r="F243" s="19"/>
      <c r="G243" s="19"/>
      <c r="H243" s="19"/>
      <c r="I243" s="19"/>
      <c r="J243" s="19"/>
      <c r="K243" s="19"/>
      <c r="L243" s="19"/>
      <c r="M243" s="19"/>
      <c r="N243" s="19"/>
      <c r="O243" s="19"/>
      <c r="P243" s="17"/>
    </row>
    <row r="244" spans="1:16" x14ac:dyDescent="0.3">
      <c r="A244" s="14"/>
      <c r="B244" s="14"/>
      <c r="C244" s="14"/>
      <c r="D244" s="15"/>
      <c r="E244" s="16"/>
      <c r="F244" s="16"/>
      <c r="G244" s="16"/>
      <c r="H244" s="16"/>
      <c r="I244" s="16"/>
      <c r="J244" s="16"/>
      <c r="K244" s="16"/>
      <c r="L244" s="16"/>
      <c r="M244" s="16"/>
      <c r="N244" s="16"/>
      <c r="O244" s="16"/>
      <c r="P244" s="14"/>
    </row>
    <row r="245" spans="1:16" x14ac:dyDescent="0.3">
      <c r="A245" s="17"/>
      <c r="B245" s="17"/>
      <c r="C245" s="17"/>
      <c r="D245" s="18"/>
      <c r="E245" s="19"/>
      <c r="F245" s="19"/>
      <c r="G245" s="19"/>
      <c r="H245" s="19"/>
      <c r="I245" s="19"/>
      <c r="J245" s="19"/>
      <c r="K245" s="19"/>
      <c r="L245" s="19"/>
      <c r="M245" s="19"/>
      <c r="N245" s="19"/>
      <c r="O245" s="19"/>
      <c r="P245" s="17"/>
    </row>
    <row r="246" spans="1:16" x14ac:dyDescent="0.3">
      <c r="A246" s="14"/>
      <c r="B246" s="14"/>
      <c r="C246" s="14"/>
      <c r="D246" s="15"/>
      <c r="E246" s="16"/>
      <c r="F246" s="16"/>
      <c r="G246" s="16"/>
      <c r="H246" s="16"/>
      <c r="I246" s="16"/>
      <c r="J246" s="16"/>
      <c r="K246" s="16"/>
      <c r="L246" s="16"/>
      <c r="M246" s="16"/>
      <c r="N246" s="16"/>
      <c r="O246" s="16"/>
      <c r="P246" s="14"/>
    </row>
    <row r="247" spans="1:16" x14ac:dyDescent="0.3">
      <c r="A247" s="17"/>
      <c r="B247" s="17"/>
      <c r="C247" s="17"/>
      <c r="D247" s="18"/>
      <c r="E247" s="19"/>
      <c r="F247" s="19"/>
      <c r="G247" s="19"/>
      <c r="H247" s="19"/>
      <c r="I247" s="19"/>
      <c r="J247" s="19"/>
      <c r="K247" s="19"/>
      <c r="L247" s="19"/>
      <c r="M247" s="19"/>
      <c r="N247" s="19"/>
      <c r="O247" s="19"/>
      <c r="P247" s="17"/>
    </row>
    <row r="248" spans="1:16" x14ac:dyDescent="0.3">
      <c r="A248" s="14"/>
      <c r="B248" s="14"/>
      <c r="C248" s="14"/>
      <c r="D248" s="15"/>
      <c r="E248" s="16"/>
      <c r="F248" s="16"/>
      <c r="G248" s="16"/>
      <c r="H248" s="16"/>
      <c r="I248" s="16"/>
      <c r="J248" s="16"/>
      <c r="K248" s="16"/>
      <c r="L248" s="16"/>
      <c r="M248" s="16"/>
      <c r="N248" s="16"/>
      <c r="O248" s="16"/>
      <c r="P248" s="14"/>
    </row>
    <row r="249" spans="1:16" x14ac:dyDescent="0.3">
      <c r="A249" s="17"/>
      <c r="B249" s="17"/>
      <c r="C249" s="17"/>
      <c r="D249" s="18"/>
      <c r="E249" s="19"/>
      <c r="F249" s="19"/>
      <c r="G249" s="19"/>
      <c r="H249" s="19"/>
      <c r="I249" s="19"/>
      <c r="J249" s="19"/>
      <c r="K249" s="19"/>
      <c r="L249" s="19"/>
      <c r="M249" s="19"/>
      <c r="N249" s="19"/>
      <c r="O249" s="19"/>
      <c r="P249" s="17"/>
    </row>
    <row r="250" spans="1:16" x14ac:dyDescent="0.3">
      <c r="A250" s="14"/>
      <c r="B250" s="14"/>
      <c r="C250" s="14"/>
      <c r="D250" s="15"/>
      <c r="E250" s="16"/>
      <c r="F250" s="16"/>
      <c r="G250" s="16"/>
      <c r="H250" s="16"/>
      <c r="I250" s="16"/>
      <c r="J250" s="16"/>
      <c r="K250" s="16"/>
      <c r="L250" s="16"/>
      <c r="M250" s="16"/>
      <c r="N250" s="16"/>
      <c r="O250" s="16"/>
      <c r="P250" s="14"/>
    </row>
    <row r="251" spans="1:16" x14ac:dyDescent="0.3">
      <c r="A251" s="17"/>
      <c r="B251" s="17"/>
      <c r="C251" s="17"/>
      <c r="D251" s="18"/>
      <c r="E251" s="19"/>
      <c r="F251" s="19"/>
      <c r="G251" s="19"/>
      <c r="H251" s="19"/>
      <c r="I251" s="19"/>
      <c r="J251" s="19"/>
      <c r="K251" s="19"/>
      <c r="L251" s="19"/>
      <c r="M251" s="19"/>
      <c r="N251" s="19"/>
      <c r="O251" s="19"/>
      <c r="P251" s="17"/>
    </row>
    <row r="252" spans="1:16" x14ac:dyDescent="0.3">
      <c r="A252" s="14"/>
      <c r="B252" s="14"/>
      <c r="C252" s="14"/>
      <c r="D252" s="15"/>
      <c r="E252" s="16"/>
      <c r="F252" s="16"/>
      <c r="G252" s="16"/>
      <c r="H252" s="16"/>
      <c r="I252" s="16"/>
      <c r="J252" s="16"/>
      <c r="K252" s="16"/>
      <c r="L252" s="16"/>
      <c r="M252" s="16"/>
      <c r="N252" s="16"/>
      <c r="O252" s="16"/>
      <c r="P252" s="14"/>
    </row>
    <row r="253" spans="1:16" x14ac:dyDescent="0.3">
      <c r="A253" s="17"/>
      <c r="B253" s="17"/>
      <c r="C253" s="17"/>
      <c r="D253" s="18"/>
      <c r="E253" s="19"/>
      <c r="F253" s="19"/>
      <c r="G253" s="19"/>
      <c r="H253" s="19"/>
      <c r="I253" s="19"/>
      <c r="J253" s="19"/>
      <c r="K253" s="19"/>
      <c r="L253" s="19"/>
      <c r="M253" s="19"/>
      <c r="N253" s="19"/>
      <c r="O253" s="19"/>
      <c r="P253" s="17"/>
    </row>
    <row r="254" spans="1:16" x14ac:dyDescent="0.3">
      <c r="A254" s="14"/>
      <c r="B254" s="14"/>
      <c r="C254" s="14"/>
      <c r="D254" s="15"/>
      <c r="E254" s="16"/>
      <c r="F254" s="16"/>
      <c r="G254" s="16"/>
      <c r="H254" s="16"/>
      <c r="I254" s="16"/>
      <c r="J254" s="16"/>
      <c r="K254" s="16"/>
      <c r="L254" s="16"/>
      <c r="M254" s="16"/>
      <c r="N254" s="16"/>
      <c r="O254" s="16"/>
      <c r="P254" s="14"/>
    </row>
    <row r="255" spans="1:16" x14ac:dyDescent="0.3">
      <c r="A255" s="17"/>
      <c r="B255" s="17"/>
      <c r="C255" s="17"/>
      <c r="D255" s="18"/>
      <c r="E255" s="19"/>
      <c r="F255" s="19"/>
      <c r="G255" s="19"/>
      <c r="H255" s="19"/>
      <c r="I255" s="19"/>
      <c r="J255" s="19"/>
      <c r="K255" s="19"/>
      <c r="L255" s="19"/>
      <c r="M255" s="19"/>
      <c r="N255" s="19"/>
      <c r="O255" s="19"/>
      <c r="P255" s="17"/>
    </row>
    <row r="256" spans="1:16" x14ac:dyDescent="0.3">
      <c r="A256" s="14"/>
      <c r="B256" s="14"/>
      <c r="C256" s="14"/>
      <c r="D256" s="15"/>
      <c r="E256" s="16"/>
      <c r="F256" s="16"/>
      <c r="G256" s="16"/>
      <c r="H256" s="16"/>
      <c r="I256" s="16"/>
      <c r="J256" s="16"/>
      <c r="K256" s="16"/>
      <c r="L256" s="16"/>
      <c r="M256" s="16"/>
      <c r="N256" s="16"/>
      <c r="O256" s="16"/>
      <c r="P256" s="14"/>
    </row>
    <row r="257" spans="1:16" x14ac:dyDescent="0.3">
      <c r="A257" s="17"/>
      <c r="B257" s="17"/>
      <c r="C257" s="17"/>
      <c r="D257" s="18"/>
      <c r="E257" s="19"/>
      <c r="F257" s="19"/>
      <c r="G257" s="19"/>
      <c r="H257" s="19"/>
      <c r="I257" s="19"/>
      <c r="J257" s="19"/>
      <c r="K257" s="19"/>
      <c r="L257" s="19"/>
      <c r="M257" s="19"/>
      <c r="N257" s="19"/>
      <c r="O257" s="19"/>
      <c r="P257" s="17"/>
    </row>
    <row r="258" spans="1:16" x14ac:dyDescent="0.3">
      <c r="A258" s="14"/>
      <c r="B258" s="14"/>
      <c r="C258" s="14"/>
      <c r="D258" s="15"/>
      <c r="E258" s="16"/>
      <c r="F258" s="16"/>
      <c r="G258" s="16"/>
      <c r="H258" s="16"/>
      <c r="I258" s="16"/>
      <c r="J258" s="16"/>
      <c r="K258" s="16"/>
      <c r="L258" s="16"/>
      <c r="M258" s="16"/>
      <c r="N258" s="16"/>
      <c r="O258" s="16"/>
      <c r="P258" s="14"/>
    </row>
    <row r="259" spans="1:16" x14ac:dyDescent="0.3">
      <c r="A259" s="17"/>
      <c r="B259" s="17"/>
      <c r="C259" s="17"/>
      <c r="D259" s="18"/>
      <c r="E259" s="19"/>
      <c r="F259" s="19"/>
      <c r="G259" s="19"/>
      <c r="H259" s="19"/>
      <c r="I259" s="19"/>
      <c r="J259" s="19"/>
      <c r="K259" s="19"/>
      <c r="L259" s="19"/>
      <c r="M259" s="19"/>
      <c r="N259" s="19"/>
      <c r="O259" s="19"/>
      <c r="P259" s="17"/>
    </row>
    <row r="260" spans="1:16" x14ac:dyDescent="0.3">
      <c r="A260" s="14"/>
      <c r="B260" s="14"/>
      <c r="C260" s="14"/>
      <c r="D260" s="15"/>
      <c r="E260" s="16"/>
      <c r="F260" s="16"/>
      <c r="G260" s="16"/>
      <c r="H260" s="16"/>
      <c r="I260" s="16"/>
      <c r="J260" s="16"/>
      <c r="K260" s="16"/>
      <c r="L260" s="16"/>
      <c r="M260" s="16"/>
      <c r="N260" s="16"/>
      <c r="O260" s="16"/>
      <c r="P260" s="14"/>
    </row>
    <row r="261" spans="1:16" x14ac:dyDescent="0.3">
      <c r="A261" s="17"/>
      <c r="B261" s="17"/>
      <c r="C261" s="17"/>
      <c r="D261" s="18"/>
      <c r="E261" s="19"/>
      <c r="F261" s="19"/>
      <c r="G261" s="19"/>
      <c r="H261" s="19"/>
      <c r="I261" s="19"/>
      <c r="J261" s="19"/>
      <c r="K261" s="19"/>
      <c r="L261" s="19"/>
      <c r="M261" s="19"/>
      <c r="N261" s="19"/>
      <c r="O261" s="19"/>
      <c r="P261" s="17"/>
    </row>
    <row r="262" spans="1:16" x14ac:dyDescent="0.3">
      <c r="A262" s="14"/>
      <c r="B262" s="14"/>
      <c r="C262" s="14"/>
      <c r="D262" s="15"/>
      <c r="E262" s="16"/>
      <c r="F262" s="16"/>
      <c r="G262" s="16"/>
      <c r="H262" s="16"/>
      <c r="I262" s="16"/>
      <c r="J262" s="16"/>
      <c r="K262" s="16"/>
      <c r="L262" s="16"/>
      <c r="M262" s="16"/>
      <c r="N262" s="16"/>
      <c r="O262" s="16"/>
      <c r="P262" s="14"/>
    </row>
    <row r="263" spans="1:16" x14ac:dyDescent="0.3">
      <c r="A263" s="17"/>
      <c r="B263" s="17"/>
      <c r="C263" s="17"/>
      <c r="D263" s="18"/>
      <c r="E263" s="19"/>
      <c r="F263" s="19"/>
      <c r="G263" s="19"/>
      <c r="H263" s="19"/>
      <c r="I263" s="19"/>
      <c r="J263" s="19"/>
      <c r="K263" s="19"/>
      <c r="L263" s="19"/>
      <c r="M263" s="19"/>
      <c r="N263" s="19"/>
      <c r="O263" s="19"/>
      <c r="P263" s="17"/>
    </row>
    <row r="264" spans="1:16" x14ac:dyDescent="0.3">
      <c r="A264" s="14"/>
      <c r="B264" s="14"/>
      <c r="C264" s="14"/>
      <c r="D264" s="15"/>
      <c r="E264" s="16"/>
      <c r="F264" s="16"/>
      <c r="G264" s="16"/>
      <c r="H264" s="16"/>
      <c r="I264" s="16"/>
      <c r="J264" s="16"/>
      <c r="K264" s="16"/>
      <c r="L264" s="16"/>
      <c r="M264" s="16"/>
      <c r="N264" s="16"/>
      <c r="O264" s="16"/>
      <c r="P264" s="14"/>
    </row>
    <row r="265" spans="1:16" x14ac:dyDescent="0.3">
      <c r="A265" s="17"/>
      <c r="B265" s="17"/>
      <c r="C265" s="17"/>
      <c r="D265" s="18"/>
      <c r="E265" s="19"/>
      <c r="F265" s="19"/>
      <c r="G265" s="19"/>
      <c r="H265" s="19"/>
      <c r="I265" s="19"/>
      <c r="J265" s="19"/>
      <c r="K265" s="19"/>
      <c r="L265" s="19"/>
      <c r="M265" s="19"/>
      <c r="N265" s="19"/>
      <c r="O265" s="19"/>
      <c r="P265" s="17"/>
    </row>
    <row r="266" spans="1:16" x14ac:dyDescent="0.3">
      <c r="A266" s="14"/>
      <c r="B266" s="14"/>
      <c r="C266" s="14"/>
      <c r="D266" s="15"/>
      <c r="E266" s="16"/>
      <c r="F266" s="16"/>
      <c r="G266" s="16"/>
      <c r="H266" s="16"/>
      <c r="I266" s="16"/>
      <c r="J266" s="16"/>
      <c r="K266" s="16"/>
      <c r="L266" s="16"/>
      <c r="M266" s="16"/>
      <c r="N266" s="16"/>
      <c r="O266" s="16"/>
      <c r="P266" s="14"/>
    </row>
    <row r="267" spans="1:16" x14ac:dyDescent="0.3">
      <c r="A267" s="17"/>
      <c r="B267" s="17"/>
      <c r="C267" s="17"/>
      <c r="D267" s="18"/>
      <c r="E267" s="19"/>
      <c r="F267" s="19"/>
      <c r="G267" s="19"/>
      <c r="H267" s="19"/>
      <c r="I267" s="19"/>
      <c r="J267" s="19"/>
      <c r="K267" s="19"/>
      <c r="L267" s="19"/>
      <c r="M267" s="19"/>
      <c r="N267" s="19"/>
      <c r="O267" s="19"/>
      <c r="P267" s="17"/>
    </row>
    <row r="268" spans="1:16" x14ac:dyDescent="0.3">
      <c r="A268" s="14"/>
      <c r="B268" s="14"/>
      <c r="C268" s="14"/>
      <c r="D268" s="15"/>
      <c r="E268" s="16"/>
      <c r="F268" s="16"/>
      <c r="G268" s="16"/>
      <c r="H268" s="16"/>
      <c r="I268" s="16"/>
      <c r="J268" s="16"/>
      <c r="K268" s="16"/>
      <c r="L268" s="16"/>
      <c r="M268" s="16"/>
      <c r="N268" s="16"/>
      <c r="O268" s="16"/>
      <c r="P268" s="14"/>
    </row>
    <row r="269" spans="1:16" x14ac:dyDescent="0.3">
      <c r="A269" s="17"/>
      <c r="B269" s="17"/>
      <c r="C269" s="17"/>
      <c r="D269" s="18"/>
      <c r="E269" s="19"/>
      <c r="F269" s="19"/>
      <c r="G269" s="19"/>
      <c r="H269" s="19"/>
      <c r="I269" s="19"/>
      <c r="J269" s="19"/>
      <c r="K269" s="19"/>
      <c r="L269" s="19"/>
      <c r="M269" s="19"/>
      <c r="N269" s="19"/>
      <c r="O269" s="19"/>
      <c r="P269" s="17"/>
    </row>
    <row r="270" spans="1:16" x14ac:dyDescent="0.3">
      <c r="A270" s="14"/>
      <c r="B270" s="14"/>
      <c r="C270" s="14"/>
      <c r="D270" s="15"/>
      <c r="E270" s="16"/>
      <c r="F270" s="16"/>
      <c r="G270" s="16"/>
      <c r="H270" s="16"/>
      <c r="I270" s="16"/>
      <c r="J270" s="16"/>
      <c r="K270" s="16"/>
      <c r="L270" s="16"/>
      <c r="M270" s="16"/>
      <c r="N270" s="16"/>
      <c r="O270" s="16"/>
      <c r="P270" s="14"/>
    </row>
    <row r="271" spans="1:16" x14ac:dyDescent="0.3">
      <c r="A271" s="17"/>
      <c r="B271" s="17"/>
      <c r="C271" s="17"/>
      <c r="D271" s="18"/>
      <c r="E271" s="19"/>
      <c r="F271" s="19"/>
      <c r="G271" s="19"/>
      <c r="H271" s="19"/>
      <c r="I271" s="19"/>
      <c r="J271" s="19"/>
      <c r="K271" s="19"/>
      <c r="L271" s="19"/>
      <c r="M271" s="19"/>
      <c r="N271" s="19"/>
      <c r="O271" s="19"/>
      <c r="P271" s="17"/>
    </row>
    <row r="272" spans="1:16" x14ac:dyDescent="0.3">
      <c r="A272" s="14"/>
      <c r="B272" s="14"/>
      <c r="C272" s="14"/>
      <c r="D272" s="15"/>
      <c r="E272" s="16"/>
      <c r="F272" s="16"/>
      <c r="G272" s="16"/>
      <c r="H272" s="16"/>
      <c r="I272" s="16"/>
      <c r="J272" s="16"/>
      <c r="K272" s="16"/>
      <c r="L272" s="16"/>
      <c r="M272" s="16"/>
      <c r="N272" s="16"/>
      <c r="O272" s="16"/>
      <c r="P272" s="14"/>
    </row>
    <row r="273" spans="1:16" x14ac:dyDescent="0.3">
      <c r="A273" s="17"/>
      <c r="B273" s="17"/>
      <c r="C273" s="17"/>
      <c r="D273" s="18"/>
      <c r="E273" s="19"/>
      <c r="F273" s="19"/>
      <c r="G273" s="19"/>
      <c r="H273" s="19"/>
      <c r="I273" s="19"/>
      <c r="J273" s="19"/>
      <c r="K273" s="19"/>
      <c r="L273" s="19"/>
      <c r="M273" s="19"/>
      <c r="N273" s="19"/>
      <c r="O273" s="19"/>
      <c r="P273" s="17"/>
    </row>
    <row r="274" spans="1:16" x14ac:dyDescent="0.3">
      <c r="A274" s="14"/>
      <c r="B274" s="14"/>
      <c r="C274" s="14"/>
      <c r="D274" s="15"/>
      <c r="E274" s="16"/>
      <c r="F274" s="16"/>
      <c r="G274" s="16"/>
      <c r="H274" s="16"/>
      <c r="I274" s="16"/>
      <c r="J274" s="16"/>
      <c r="K274" s="16"/>
      <c r="L274" s="16"/>
      <c r="M274" s="16"/>
      <c r="N274" s="16"/>
      <c r="O274" s="16"/>
      <c r="P274" s="14"/>
    </row>
    <row r="275" spans="1:16" x14ac:dyDescent="0.3">
      <c r="A275" s="17"/>
      <c r="B275" s="17"/>
      <c r="C275" s="17"/>
      <c r="D275" s="18"/>
      <c r="E275" s="19"/>
      <c r="F275" s="19"/>
      <c r="G275" s="19"/>
      <c r="H275" s="19"/>
      <c r="I275" s="19"/>
      <c r="J275" s="19"/>
      <c r="K275" s="19"/>
      <c r="L275" s="19"/>
      <c r="M275" s="19"/>
      <c r="N275" s="19"/>
      <c r="O275" s="19"/>
      <c r="P275" s="17"/>
    </row>
    <row r="276" spans="1:16" x14ac:dyDescent="0.3">
      <c r="A276" s="14"/>
      <c r="B276" s="14"/>
      <c r="C276" s="14"/>
      <c r="D276" s="15"/>
      <c r="E276" s="16"/>
      <c r="F276" s="16"/>
      <c r="G276" s="16"/>
      <c r="H276" s="16"/>
      <c r="I276" s="16"/>
      <c r="J276" s="16"/>
      <c r="K276" s="16"/>
      <c r="L276" s="16"/>
      <c r="M276" s="16"/>
      <c r="N276" s="16"/>
      <c r="O276" s="16"/>
      <c r="P276" s="14"/>
    </row>
    <row r="277" spans="1:16" x14ac:dyDescent="0.3">
      <c r="A277" s="17"/>
      <c r="B277" s="17"/>
      <c r="C277" s="17"/>
      <c r="D277" s="18"/>
      <c r="E277" s="19"/>
      <c r="F277" s="19"/>
      <c r="G277" s="19"/>
      <c r="H277" s="19"/>
      <c r="I277" s="19"/>
      <c r="J277" s="19"/>
      <c r="K277" s="19"/>
      <c r="L277" s="19"/>
      <c r="M277" s="19"/>
      <c r="N277" s="19"/>
      <c r="O277" s="19"/>
      <c r="P277" s="17"/>
    </row>
    <row r="278" spans="1:16" x14ac:dyDescent="0.3">
      <c r="A278" s="14"/>
      <c r="B278" s="14"/>
      <c r="C278" s="14"/>
      <c r="D278" s="15"/>
      <c r="E278" s="16"/>
      <c r="F278" s="16"/>
      <c r="G278" s="16"/>
      <c r="H278" s="16"/>
      <c r="I278" s="16"/>
      <c r="J278" s="16"/>
      <c r="K278" s="16"/>
      <c r="L278" s="16"/>
      <c r="M278" s="16"/>
      <c r="N278" s="16"/>
      <c r="O278" s="16"/>
      <c r="P278" s="14"/>
    </row>
    <row r="279" spans="1:16" x14ac:dyDescent="0.3">
      <c r="A279" s="17"/>
      <c r="B279" s="17"/>
      <c r="C279" s="17"/>
      <c r="D279" s="18"/>
      <c r="E279" s="19"/>
      <c r="F279" s="19"/>
      <c r="G279" s="19"/>
      <c r="H279" s="19"/>
      <c r="I279" s="19"/>
      <c r="J279" s="19"/>
      <c r="K279" s="19"/>
      <c r="L279" s="19"/>
      <c r="M279" s="19"/>
      <c r="N279" s="19"/>
      <c r="O279" s="19"/>
      <c r="P279" s="17"/>
    </row>
    <row r="280" spans="1:16" x14ac:dyDescent="0.3">
      <c r="A280" s="14"/>
      <c r="B280" s="14"/>
      <c r="C280" s="14"/>
      <c r="D280" s="15"/>
      <c r="E280" s="16"/>
      <c r="F280" s="16"/>
      <c r="G280" s="16"/>
      <c r="H280" s="16"/>
      <c r="I280" s="16"/>
      <c r="J280" s="16"/>
      <c r="K280" s="16"/>
      <c r="L280" s="16"/>
      <c r="M280" s="16"/>
      <c r="N280" s="16"/>
      <c r="O280" s="16"/>
      <c r="P280" s="14"/>
    </row>
    <row r="281" spans="1:16" x14ac:dyDescent="0.3">
      <c r="A281" s="17"/>
      <c r="B281" s="17"/>
      <c r="C281" s="17"/>
      <c r="D281" s="18"/>
      <c r="E281" s="19"/>
      <c r="F281" s="19"/>
      <c r="G281" s="19"/>
      <c r="H281" s="19"/>
      <c r="I281" s="19"/>
      <c r="J281" s="19"/>
      <c r="K281" s="19"/>
      <c r="L281" s="19"/>
      <c r="M281" s="19"/>
      <c r="N281" s="19"/>
      <c r="O281" s="19"/>
      <c r="P281" s="17"/>
    </row>
    <row r="282" spans="1:16" x14ac:dyDescent="0.3">
      <c r="A282" s="14"/>
      <c r="B282" s="14"/>
      <c r="C282" s="14"/>
      <c r="D282" s="15"/>
      <c r="E282" s="16"/>
      <c r="F282" s="16"/>
      <c r="G282" s="16"/>
      <c r="H282" s="16"/>
      <c r="I282" s="16"/>
      <c r="J282" s="16"/>
      <c r="K282" s="16"/>
      <c r="L282" s="16"/>
      <c r="M282" s="16"/>
      <c r="N282" s="16"/>
      <c r="O282" s="16"/>
      <c r="P282" s="14"/>
    </row>
    <row r="283" spans="1:16" x14ac:dyDescent="0.3">
      <c r="A283" s="17"/>
      <c r="B283" s="17"/>
      <c r="C283" s="17"/>
      <c r="D283" s="18"/>
      <c r="E283" s="19"/>
      <c r="F283" s="19"/>
      <c r="G283" s="19"/>
      <c r="H283" s="19"/>
      <c r="I283" s="19"/>
      <c r="J283" s="19"/>
      <c r="K283" s="19"/>
      <c r="L283" s="19"/>
      <c r="M283" s="19"/>
      <c r="N283" s="19"/>
      <c r="O283" s="19"/>
      <c r="P283" s="17"/>
    </row>
    <row r="284" spans="1:16" x14ac:dyDescent="0.3">
      <c r="A284" s="14"/>
      <c r="B284" s="14"/>
      <c r="C284" s="14"/>
      <c r="D284" s="15"/>
      <c r="E284" s="16"/>
      <c r="F284" s="16"/>
      <c r="G284" s="16"/>
      <c r="H284" s="16"/>
      <c r="I284" s="16"/>
      <c r="J284" s="16"/>
      <c r="K284" s="16"/>
      <c r="L284" s="16"/>
      <c r="M284" s="16"/>
      <c r="N284" s="16"/>
      <c r="O284" s="16"/>
      <c r="P284" s="14"/>
    </row>
    <row r="285" spans="1:16" x14ac:dyDescent="0.3">
      <c r="A285" s="17"/>
      <c r="B285" s="17"/>
      <c r="C285" s="17"/>
      <c r="D285" s="18"/>
      <c r="E285" s="19"/>
      <c r="F285" s="19"/>
      <c r="G285" s="19"/>
      <c r="H285" s="19"/>
      <c r="I285" s="19"/>
      <c r="J285" s="19"/>
      <c r="K285" s="19"/>
      <c r="L285" s="19"/>
      <c r="M285" s="19"/>
      <c r="N285" s="19"/>
      <c r="O285" s="19"/>
      <c r="P285" s="17"/>
    </row>
    <row r="286" spans="1:16" x14ac:dyDescent="0.3">
      <c r="A286" s="14"/>
      <c r="B286" s="14"/>
      <c r="C286" s="14"/>
      <c r="D286" s="15"/>
      <c r="E286" s="16"/>
      <c r="F286" s="16"/>
      <c r="G286" s="16"/>
      <c r="H286" s="16"/>
      <c r="I286" s="16"/>
      <c r="J286" s="16"/>
      <c r="K286" s="16"/>
      <c r="L286" s="16"/>
      <c r="M286" s="16"/>
      <c r="N286" s="16"/>
      <c r="O286" s="16"/>
      <c r="P286" s="14"/>
    </row>
    <row r="287" spans="1:16" x14ac:dyDescent="0.3">
      <c r="A287" s="17"/>
      <c r="B287" s="17"/>
      <c r="C287" s="17"/>
      <c r="D287" s="18"/>
      <c r="E287" s="19"/>
      <c r="F287" s="19"/>
      <c r="G287" s="19"/>
      <c r="H287" s="19"/>
      <c r="I287" s="19"/>
      <c r="J287" s="19"/>
      <c r="K287" s="19"/>
      <c r="L287" s="19"/>
      <c r="M287" s="19"/>
      <c r="N287" s="19"/>
      <c r="O287" s="19"/>
      <c r="P287" s="17"/>
    </row>
    <row r="288" spans="1:16" x14ac:dyDescent="0.3">
      <c r="A288" s="14"/>
      <c r="B288" s="14"/>
      <c r="C288" s="14"/>
      <c r="D288" s="15"/>
      <c r="E288" s="16"/>
      <c r="F288" s="16"/>
      <c r="G288" s="16"/>
      <c r="H288" s="16"/>
      <c r="I288" s="16"/>
      <c r="J288" s="16"/>
      <c r="K288" s="16"/>
      <c r="L288" s="16"/>
      <c r="M288" s="16"/>
      <c r="N288" s="16"/>
      <c r="O288" s="16"/>
      <c r="P288" s="14"/>
    </row>
    <row r="289" spans="1:16" x14ac:dyDescent="0.3">
      <c r="A289" s="17"/>
      <c r="B289" s="17"/>
      <c r="C289" s="17"/>
      <c r="D289" s="18"/>
      <c r="E289" s="19"/>
      <c r="F289" s="19"/>
      <c r="G289" s="19"/>
      <c r="H289" s="19"/>
      <c r="I289" s="19"/>
      <c r="J289" s="19"/>
      <c r="K289" s="19"/>
      <c r="L289" s="19"/>
      <c r="M289" s="19"/>
      <c r="N289" s="19"/>
      <c r="O289" s="19"/>
      <c r="P289" s="17"/>
    </row>
    <row r="290" spans="1:16" x14ac:dyDescent="0.3">
      <c r="A290" s="14"/>
      <c r="B290" s="14"/>
      <c r="C290" s="14"/>
      <c r="D290" s="15"/>
      <c r="E290" s="16"/>
      <c r="F290" s="16"/>
      <c r="G290" s="16"/>
      <c r="H290" s="16"/>
      <c r="I290" s="16"/>
      <c r="J290" s="16"/>
      <c r="K290" s="16"/>
      <c r="L290" s="16"/>
      <c r="M290" s="16"/>
      <c r="N290" s="16"/>
      <c r="O290" s="16"/>
      <c r="P290" s="14"/>
    </row>
    <row r="291" spans="1:16" x14ac:dyDescent="0.3">
      <c r="A291" s="17"/>
      <c r="B291" s="17"/>
      <c r="C291" s="17"/>
      <c r="D291" s="18"/>
      <c r="E291" s="19"/>
      <c r="F291" s="19"/>
      <c r="G291" s="19"/>
      <c r="H291" s="19"/>
      <c r="I291" s="19"/>
      <c r="J291" s="19"/>
      <c r="K291" s="19"/>
      <c r="L291" s="19"/>
      <c r="M291" s="19"/>
      <c r="N291" s="19"/>
      <c r="O291" s="19"/>
      <c r="P291" s="17"/>
    </row>
    <row r="292" spans="1:16" x14ac:dyDescent="0.3">
      <c r="A292" s="14"/>
      <c r="B292" s="14"/>
      <c r="C292" s="14"/>
      <c r="D292" s="15"/>
      <c r="E292" s="16"/>
      <c r="F292" s="16"/>
      <c r="G292" s="16"/>
      <c r="H292" s="16"/>
      <c r="I292" s="16"/>
      <c r="J292" s="16"/>
      <c r="K292" s="16"/>
      <c r="L292" s="16"/>
      <c r="M292" s="16"/>
      <c r="N292" s="16"/>
      <c r="O292" s="16"/>
      <c r="P292" s="14"/>
    </row>
    <row r="293" spans="1:16" x14ac:dyDescent="0.3">
      <c r="A293" s="17"/>
      <c r="B293" s="17"/>
      <c r="C293" s="17"/>
      <c r="D293" s="18"/>
      <c r="E293" s="19"/>
      <c r="F293" s="19"/>
      <c r="G293" s="19"/>
      <c r="H293" s="19"/>
      <c r="I293" s="19"/>
      <c r="J293" s="19"/>
      <c r="K293" s="19"/>
      <c r="L293" s="19"/>
      <c r="M293" s="19"/>
      <c r="N293" s="19"/>
      <c r="O293" s="19"/>
      <c r="P293" s="17"/>
    </row>
    <row r="294" spans="1:16" x14ac:dyDescent="0.3">
      <c r="A294" s="14"/>
      <c r="B294" s="14"/>
      <c r="C294" s="14"/>
      <c r="D294" s="15"/>
      <c r="E294" s="16"/>
      <c r="F294" s="16"/>
      <c r="G294" s="16"/>
      <c r="H294" s="16"/>
      <c r="I294" s="16"/>
      <c r="J294" s="16"/>
      <c r="K294" s="16"/>
      <c r="L294" s="16"/>
      <c r="M294" s="16"/>
      <c r="N294" s="16"/>
      <c r="O294" s="16"/>
      <c r="P294" s="14"/>
    </row>
    <row r="295" spans="1:16" x14ac:dyDescent="0.3">
      <c r="A295" s="17"/>
      <c r="B295" s="17"/>
      <c r="C295" s="17"/>
      <c r="D295" s="18"/>
      <c r="E295" s="19"/>
      <c r="F295" s="19"/>
      <c r="G295" s="19"/>
      <c r="H295" s="19"/>
      <c r="I295" s="19"/>
      <c r="J295" s="19"/>
      <c r="K295" s="19"/>
      <c r="L295" s="19"/>
      <c r="M295" s="19"/>
      <c r="N295" s="19"/>
      <c r="O295" s="19"/>
      <c r="P295" s="17"/>
    </row>
    <row r="296" spans="1:16" x14ac:dyDescent="0.3">
      <c r="A296" s="14"/>
      <c r="B296" s="14"/>
      <c r="C296" s="14"/>
      <c r="D296" s="15"/>
      <c r="E296" s="16"/>
      <c r="F296" s="16"/>
      <c r="G296" s="16"/>
      <c r="H296" s="16"/>
      <c r="I296" s="16"/>
      <c r="J296" s="16"/>
      <c r="K296" s="16"/>
      <c r="L296" s="16"/>
      <c r="M296" s="16"/>
      <c r="N296" s="16"/>
      <c r="O296" s="16"/>
      <c r="P296" s="14"/>
    </row>
    <row r="297" spans="1:16" x14ac:dyDescent="0.3">
      <c r="A297" s="17"/>
      <c r="B297" s="17"/>
      <c r="C297" s="17"/>
      <c r="D297" s="18"/>
      <c r="E297" s="19"/>
      <c r="F297" s="19"/>
      <c r="G297" s="19"/>
      <c r="H297" s="19"/>
      <c r="I297" s="19"/>
      <c r="J297" s="19"/>
      <c r="K297" s="19"/>
      <c r="L297" s="19"/>
      <c r="M297" s="19"/>
      <c r="N297" s="19"/>
      <c r="O297" s="19"/>
      <c r="P297" s="17"/>
    </row>
    <row r="298" spans="1:16" x14ac:dyDescent="0.3">
      <c r="A298" s="14"/>
      <c r="B298" s="14"/>
      <c r="C298" s="14"/>
      <c r="D298" s="15"/>
      <c r="E298" s="16"/>
      <c r="F298" s="16"/>
      <c r="G298" s="16"/>
      <c r="H298" s="16"/>
      <c r="I298" s="16"/>
      <c r="J298" s="16"/>
      <c r="K298" s="16"/>
      <c r="L298" s="16"/>
      <c r="M298" s="16"/>
      <c r="N298" s="16"/>
      <c r="O298" s="16"/>
      <c r="P298" s="14"/>
    </row>
    <row r="299" spans="1:16" x14ac:dyDescent="0.3">
      <c r="A299" s="17"/>
      <c r="B299" s="17"/>
      <c r="C299" s="17"/>
      <c r="D299" s="18"/>
      <c r="E299" s="19"/>
      <c r="F299" s="19"/>
      <c r="G299" s="19"/>
      <c r="H299" s="19"/>
      <c r="I299" s="19"/>
      <c r="J299" s="19"/>
      <c r="K299" s="19"/>
      <c r="L299" s="19"/>
      <c r="M299" s="19"/>
      <c r="N299" s="19"/>
      <c r="O299" s="19"/>
      <c r="P299" s="17"/>
    </row>
    <row r="300" spans="1:16" x14ac:dyDescent="0.3">
      <c r="A300" s="14"/>
      <c r="B300" s="14"/>
      <c r="C300" s="14"/>
      <c r="D300" s="15"/>
      <c r="E300" s="16"/>
      <c r="F300" s="16"/>
      <c r="G300" s="16"/>
      <c r="H300" s="16"/>
      <c r="I300" s="16"/>
      <c r="J300" s="16"/>
      <c r="K300" s="16"/>
      <c r="L300" s="16"/>
      <c r="M300" s="16"/>
      <c r="N300" s="16"/>
      <c r="O300" s="16"/>
      <c r="P300" s="14"/>
    </row>
    <row r="301" spans="1:16" x14ac:dyDescent="0.3">
      <c r="A301" s="17"/>
      <c r="B301" s="17"/>
      <c r="C301" s="17"/>
      <c r="D301" s="18"/>
      <c r="E301" s="19"/>
      <c r="F301" s="19"/>
      <c r="G301" s="19"/>
      <c r="H301" s="19"/>
      <c r="I301" s="19"/>
      <c r="J301" s="19"/>
      <c r="K301" s="19"/>
      <c r="L301" s="19"/>
      <c r="M301" s="19"/>
      <c r="N301" s="19"/>
      <c r="O301" s="19"/>
      <c r="P301" s="17"/>
    </row>
    <row r="302" spans="1:16" x14ac:dyDescent="0.3">
      <c r="A302" s="14"/>
      <c r="B302" s="14"/>
      <c r="C302" s="14"/>
      <c r="D302" s="15"/>
      <c r="E302" s="16"/>
      <c r="F302" s="16"/>
      <c r="G302" s="16"/>
      <c r="H302" s="16"/>
      <c r="I302" s="16"/>
      <c r="J302" s="16"/>
      <c r="K302" s="16"/>
      <c r="L302" s="16"/>
      <c r="M302" s="16"/>
      <c r="N302" s="16"/>
      <c r="O302" s="16"/>
      <c r="P302" s="14"/>
    </row>
  </sheetData>
  <pageMargins left="0.7" right="0.7" top="0.75" bottom="0.75" header="0.3" footer="0.3"/>
  <pageSetup orientation="portrait" horizontalDpi="300" verticalDpi="300" r:id="rId1"/>
  <extLst>
    <ext xmlns:x14="http://schemas.microsoft.com/office/spreadsheetml/2009/9/main" uri="{CCE6A557-97BC-4b89-ADB6-D9C93CAAB3DF}">
      <x14:dataValidations xmlns:xm="http://schemas.microsoft.com/office/excel/2006/main" count="1">
        <x14:dataValidation type="list" allowBlank="1" showInputMessage="1" showErrorMessage="1" xr:uid="{709CAD99-4783-4989-AAD8-9DF84CC8AD4A}">
          <x14:formula1>
            <xm:f>spec!$E$3:$E$13</xm:f>
          </x14:formula1>
          <xm:sqref>D62</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C0BC36-AADE-43F3-BFC4-16640B36FE86}">
  <sheetPr codeName="Sheet6"/>
  <dimension ref="A1:P302"/>
  <sheetViews>
    <sheetView workbookViewId="0">
      <pane ySplit="1" topLeftCell="A35" activePane="bottomLeft" state="frozen"/>
      <selection pane="bottomLeft" activeCell="G73" sqref="G73"/>
    </sheetView>
  </sheetViews>
  <sheetFormatPr defaultRowHeight="14.4" x14ac:dyDescent="0.3"/>
  <cols>
    <col min="1" max="1" width="10.109375" style="7" customWidth="1"/>
    <col min="2" max="2" width="19.109375" style="7" bestFit="1" customWidth="1"/>
    <col min="3" max="3" width="39.6640625" style="7" customWidth="1"/>
    <col min="4" max="4" width="11" style="8" customWidth="1"/>
    <col min="5" max="5" width="11.6640625" style="9" bestFit="1" customWidth="1"/>
    <col min="6" max="6" width="13.44140625" style="9" bestFit="1" customWidth="1"/>
    <col min="7" max="8" width="13.44140625" style="9" customWidth="1"/>
    <col min="9" max="9" width="12.6640625" style="9" bestFit="1" customWidth="1"/>
    <col min="10" max="10" width="10.44140625" style="9" bestFit="1" customWidth="1"/>
    <col min="11" max="11" width="14.6640625" style="9" bestFit="1" customWidth="1"/>
    <col min="12" max="12" width="12.6640625" style="9" bestFit="1" customWidth="1"/>
    <col min="13" max="13" width="11.109375" style="9" customWidth="1"/>
    <col min="14" max="14" width="12.109375" style="9" bestFit="1" customWidth="1"/>
    <col min="15" max="15" width="11.109375" style="9" bestFit="1" customWidth="1"/>
    <col min="16" max="16" width="59.88671875" style="7" customWidth="1"/>
    <col min="17" max="16384" width="8.88671875" style="7"/>
  </cols>
  <sheetData>
    <row r="1" spans="1:16" x14ac:dyDescent="0.3">
      <c r="A1" s="10" t="s">
        <v>146</v>
      </c>
      <c r="B1" s="10" t="s">
        <v>145</v>
      </c>
      <c r="C1" s="10" t="s">
        <v>5</v>
      </c>
      <c r="D1" s="11" t="str">
        <f>quality!D1</f>
        <v>Common</v>
      </c>
      <c r="E1" s="11" t="str">
        <f>quality!E1</f>
        <v>0.12</v>
      </c>
      <c r="F1" s="11" t="str">
        <f>quality!F1</f>
        <v>0.2</v>
      </c>
      <c r="G1" s="11" t="str">
        <f>quality!G1</f>
        <v>0.24</v>
      </c>
      <c r="H1" s="11" t="str">
        <f>quality!H1</f>
        <v>0.28</v>
      </c>
      <c r="I1" s="11" t="str">
        <f>quality!I1</f>
        <v>0.32</v>
      </c>
      <c r="J1" s="11" t="str">
        <f>quality!J1</f>
        <v>0.4</v>
      </c>
      <c r="K1" s="11" t="str">
        <f>quality!K1</f>
        <v>0.48</v>
      </c>
      <c r="L1" s="11" t="str">
        <f>quality!L1</f>
        <v>0.56</v>
      </c>
      <c r="M1" s="11" t="str">
        <f>quality!M1</f>
        <v>0.64</v>
      </c>
      <c r="N1" s="11" t="str">
        <f>quality!N1</f>
        <v>0.72</v>
      </c>
      <c r="O1" s="11" t="str">
        <f>quality!O1</f>
        <v>0.8</v>
      </c>
      <c r="P1" s="53" t="str">
        <f>quality!P1</f>
        <v>Remarks</v>
      </c>
    </row>
    <row r="2" spans="1:16" x14ac:dyDescent="0.3">
      <c r="A2" s="14" t="s">
        <v>147</v>
      </c>
      <c r="B2" s="14"/>
      <c r="C2" s="14" t="s">
        <v>149</v>
      </c>
      <c r="D2" s="15"/>
      <c r="E2" s="16" t="str">
        <f>quality!E2</f>
        <v>Fine</v>
      </c>
      <c r="F2" s="16" t="str">
        <f>quality!F2</f>
        <v>Quality</v>
      </c>
      <c r="G2" s="16" t="str">
        <f>quality!G2</f>
        <v>Coarse</v>
      </c>
      <c r="H2" s="16" t="str">
        <f>quality!H2</f>
        <v>Quick</v>
      </c>
      <c r="I2" s="16" t="str">
        <f>quality!I2</f>
        <v>Draft</v>
      </c>
      <c r="J2" s="16" t="str">
        <f>quality!J2</f>
        <v>Fast</v>
      </c>
      <c r="K2" s="16" t="str">
        <f>quality!K2</f>
        <v>Medium</v>
      </c>
      <c r="L2" s="16" t="str">
        <f>quality!L2</f>
        <v>Rough</v>
      </c>
      <c r="M2" s="16" t="str">
        <f>quality!M2</f>
        <v>Big</v>
      </c>
      <c r="N2" s="16" t="str">
        <f>quality!N2</f>
        <v>Large</v>
      </c>
      <c r="O2" s="16" t="str">
        <f>quality!O2</f>
        <v>Giant</v>
      </c>
      <c r="P2" s="14"/>
    </row>
    <row r="3" spans="1:16" x14ac:dyDescent="0.3">
      <c r="A3" s="17"/>
      <c r="B3" s="17"/>
      <c r="C3" s="17" t="s">
        <v>148</v>
      </c>
      <c r="D3" s="18">
        <f>quality!D3</f>
        <v>4</v>
      </c>
      <c r="E3" s="19"/>
      <c r="F3" s="19"/>
      <c r="G3" s="19"/>
      <c r="H3" s="19"/>
      <c r="I3" s="19"/>
      <c r="J3" s="19"/>
      <c r="K3" s="19"/>
      <c r="L3" s="19"/>
      <c r="M3" s="19"/>
      <c r="N3" s="19"/>
      <c r="O3" s="19"/>
      <c r="P3" s="17"/>
    </row>
    <row r="4" spans="1:16" x14ac:dyDescent="0.3">
      <c r="A4" s="14"/>
      <c r="B4" s="14"/>
      <c r="C4" s="14" t="s">
        <v>150</v>
      </c>
      <c r="D4" s="15" t="str">
        <f>PRINTER_DEF</f>
        <v>4maxpro_speed_0_6mm_nozzle</v>
      </c>
      <c r="E4" s="16"/>
      <c r="F4" s="16"/>
      <c r="G4" s="16"/>
      <c r="H4" s="16"/>
      <c r="I4" s="16"/>
      <c r="J4" s="16"/>
      <c r="K4" s="16"/>
      <c r="L4" s="16"/>
      <c r="M4" s="16"/>
      <c r="N4" s="16"/>
      <c r="O4" s="16"/>
      <c r="P4" s="14"/>
    </row>
    <row r="5" spans="1:16" x14ac:dyDescent="0.3">
      <c r="A5" s="17"/>
      <c r="B5" s="17"/>
      <c r="C5" s="17" t="s">
        <v>0</v>
      </c>
      <c r="D5" s="18">
        <f>quality!D5</f>
        <v>0.2</v>
      </c>
      <c r="E5" s="18">
        <f>quality!E5</f>
        <v>0.12</v>
      </c>
      <c r="F5" s="18">
        <f>quality!F5</f>
        <v>0.2</v>
      </c>
      <c r="G5" s="18">
        <f>quality!G5</f>
        <v>0.24</v>
      </c>
      <c r="H5" s="18">
        <f>quality!H5</f>
        <v>0.28000000000000003</v>
      </c>
      <c r="I5" s="18">
        <f>quality!I5</f>
        <v>0.32</v>
      </c>
      <c r="J5" s="18">
        <f>quality!J5</f>
        <v>0.4</v>
      </c>
      <c r="K5" s="18">
        <f>quality!K5</f>
        <v>0.48</v>
      </c>
      <c r="L5" s="18">
        <f>quality!L5</f>
        <v>0.56000000000000005</v>
      </c>
      <c r="M5" s="18">
        <f>quality!M5</f>
        <v>0.64</v>
      </c>
      <c r="N5" s="18">
        <f>quality!N5</f>
        <v>0.72</v>
      </c>
      <c r="O5" s="18">
        <f>quality!O5</f>
        <v>0.8</v>
      </c>
      <c r="P5" s="17"/>
    </row>
    <row r="6" spans="1:16" x14ac:dyDescent="0.3">
      <c r="A6" s="14" t="s">
        <v>151</v>
      </c>
      <c r="B6" s="14"/>
      <c r="C6" s="14" t="s">
        <v>152</v>
      </c>
      <c r="D6" s="15"/>
      <c r="E6" s="15" t="str">
        <f>quality!E6</f>
        <v>fine</v>
      </c>
      <c r="F6" s="15" t="str">
        <f>quality!F6</f>
        <v>quality</v>
      </c>
      <c r="G6" s="15" t="str">
        <f>quality!G6</f>
        <v>coarse</v>
      </c>
      <c r="H6" s="15" t="str">
        <f>quality!H6</f>
        <v>quick</v>
      </c>
      <c r="I6" s="15" t="str">
        <f>quality!I6</f>
        <v>draft</v>
      </c>
      <c r="J6" s="15" t="str">
        <f>quality!J6</f>
        <v>fast</v>
      </c>
      <c r="K6" s="15" t="str">
        <f>quality!K6</f>
        <v>medium</v>
      </c>
      <c r="L6" s="15" t="str">
        <f>quality!L6</f>
        <v>rough</v>
      </c>
      <c r="M6" s="15" t="str">
        <f>quality!M6</f>
        <v>big</v>
      </c>
      <c r="N6" s="15" t="str">
        <f>quality!N6</f>
        <v>large</v>
      </c>
      <c r="O6" s="15" t="str">
        <f>quality!O6</f>
        <v>giant</v>
      </c>
      <c r="P6" s="14"/>
    </row>
    <row r="7" spans="1:16" x14ac:dyDescent="0.3">
      <c r="A7" s="17"/>
      <c r="B7" s="17"/>
      <c r="C7" s="17" t="s">
        <v>153</v>
      </c>
      <c r="D7" s="18" t="str">
        <f>quality!D7</f>
        <v>quality</v>
      </c>
      <c r="E7" s="19"/>
      <c r="F7" s="19"/>
      <c r="G7" s="19"/>
      <c r="H7" s="19"/>
      <c r="I7" s="19"/>
      <c r="J7" s="19"/>
      <c r="K7" s="19"/>
      <c r="L7" s="19"/>
      <c r="M7" s="19"/>
      <c r="N7" s="19"/>
      <c r="O7" s="19"/>
      <c r="P7" s="17"/>
    </row>
    <row r="8" spans="1:16" x14ac:dyDescent="0.3">
      <c r="A8" s="14"/>
      <c r="B8" s="14"/>
      <c r="C8" s="14" t="s">
        <v>154</v>
      </c>
      <c r="D8" s="15">
        <f>quality!D8</f>
        <v>10</v>
      </c>
      <c r="E8" s="16"/>
      <c r="F8" s="16"/>
      <c r="G8" s="16"/>
      <c r="H8" s="16"/>
      <c r="I8" s="16"/>
      <c r="J8" s="16"/>
      <c r="K8" s="16"/>
      <c r="L8" s="16"/>
      <c r="M8" s="16"/>
      <c r="N8" s="16"/>
      <c r="O8" s="16"/>
      <c r="P8" s="14"/>
    </row>
    <row r="9" spans="1:16" x14ac:dyDescent="0.3">
      <c r="A9" s="17"/>
      <c r="B9" s="17"/>
      <c r="C9" s="17" t="s">
        <v>165</v>
      </c>
      <c r="D9" s="18" t="str">
        <f ca="1">SUBSTITUTE(TRIM(LOWER(MID(CELL("filename",A1),FIND("]",CELL("filename",A1))+1,255))),"quality","generic")</f>
        <v>generic_petg</v>
      </c>
      <c r="E9" s="19"/>
      <c r="F9" s="19"/>
      <c r="G9" s="19"/>
      <c r="H9" s="19"/>
      <c r="I9" s="19"/>
      <c r="J9" s="19"/>
      <c r="K9" s="19"/>
      <c r="L9" s="19"/>
      <c r="M9" s="19"/>
      <c r="N9" s="19"/>
      <c r="O9" s="19"/>
      <c r="P9" s="17"/>
    </row>
    <row r="10" spans="1:16" x14ac:dyDescent="0.3">
      <c r="A10" s="14" t="s">
        <v>156</v>
      </c>
      <c r="B10" s="14" t="str">
        <f>Fill_Value(quality!B10)</f>
        <v>Quality</v>
      </c>
      <c r="C10" s="14" t="str">
        <f>Fill_Value(quality!C10)</f>
        <v>layer_height</v>
      </c>
      <c r="D10" s="15"/>
      <c r="E10" s="16"/>
      <c r="F10" s="16"/>
      <c r="G10" s="16"/>
      <c r="H10" s="16"/>
      <c r="I10" s="16"/>
      <c r="J10" s="16"/>
      <c r="K10" s="16"/>
      <c r="L10" s="16"/>
      <c r="M10" s="16"/>
      <c r="N10" s="16"/>
      <c r="O10" s="16"/>
      <c r="P10" s="14"/>
    </row>
    <row r="11" spans="1:16" x14ac:dyDescent="0.3">
      <c r="A11" s="17"/>
      <c r="B11" s="17" t="str">
        <f>Fill_Value(quality!B11)</f>
        <v/>
      </c>
      <c r="C11" s="17" t="str">
        <f>Fill_Value(quality!C11)</f>
        <v>line_width</v>
      </c>
      <c r="D11" s="18"/>
      <c r="E11" s="19"/>
      <c r="F11" s="19"/>
      <c r="G11" s="19"/>
      <c r="H11" s="19"/>
      <c r="I11" s="19"/>
      <c r="J11" s="19"/>
      <c r="K11" s="19"/>
      <c r="L11" s="19"/>
      <c r="M11" s="19"/>
      <c r="N11" s="19"/>
      <c r="O11" s="19"/>
      <c r="P11" s="17"/>
    </row>
    <row r="12" spans="1:16" x14ac:dyDescent="0.3">
      <c r="A12" s="14"/>
      <c r="B12" s="14" t="str">
        <f>Fill_Value(quality!B12)</f>
        <v/>
      </c>
      <c r="C12" s="14" t="str">
        <f>Fill_Value(quality!C12)</f>
        <v>wall_line_width</v>
      </c>
      <c r="D12" s="15"/>
      <c r="E12" s="16"/>
      <c r="F12" s="16"/>
      <c r="G12" s="16"/>
      <c r="H12" s="16"/>
      <c r="I12" s="16"/>
      <c r="J12" s="16"/>
      <c r="K12" s="16"/>
      <c r="L12" s="16"/>
      <c r="M12" s="16"/>
      <c r="N12" s="16"/>
      <c r="O12" s="16"/>
      <c r="P12" s="14"/>
    </row>
    <row r="13" spans="1:16" x14ac:dyDescent="0.3">
      <c r="A13" s="17"/>
      <c r="B13" s="17" t="str">
        <f>Fill_Value(quality!B13)</f>
        <v/>
      </c>
      <c r="C13" s="17" t="str">
        <f>Fill_Value(quality!C13)</f>
        <v>skin_line_width</v>
      </c>
      <c r="D13" s="18"/>
      <c r="E13" s="19"/>
      <c r="F13" s="19"/>
      <c r="G13" s="19"/>
      <c r="H13" s="19"/>
      <c r="I13" s="19"/>
      <c r="J13" s="19"/>
      <c r="K13" s="19"/>
      <c r="L13" s="19"/>
      <c r="M13" s="19"/>
      <c r="N13" s="19"/>
      <c r="O13" s="19"/>
      <c r="P13" s="17"/>
    </row>
    <row r="14" spans="1:16" x14ac:dyDescent="0.3">
      <c r="A14" s="14"/>
      <c r="B14" s="14" t="str">
        <f>Fill_Value(quality!B14)</f>
        <v/>
      </c>
      <c r="C14" s="14" t="str">
        <f>Fill_Value(quality!C14)</f>
        <v>skirt_brim_line_width</v>
      </c>
      <c r="D14" s="15"/>
      <c r="E14" s="16"/>
      <c r="F14" s="16"/>
      <c r="G14" s="16"/>
      <c r="H14" s="16"/>
      <c r="I14" s="16"/>
      <c r="J14" s="16"/>
      <c r="K14" s="16"/>
      <c r="L14" s="16"/>
      <c r="M14" s="16"/>
      <c r="N14" s="16"/>
      <c r="O14" s="16"/>
      <c r="P14" s="14"/>
    </row>
    <row r="15" spans="1:16" x14ac:dyDescent="0.3">
      <c r="A15" s="17"/>
      <c r="B15" s="17" t="str">
        <f>Fill_Value(quality!B15)</f>
        <v/>
      </c>
      <c r="C15" s="17" t="str">
        <f>Fill_Value(quality!C15)</f>
        <v>support_line_width</v>
      </c>
      <c r="D15" s="18"/>
      <c r="E15" s="19"/>
      <c r="F15" s="19"/>
      <c r="G15" s="19"/>
      <c r="H15" s="19"/>
      <c r="I15" s="19"/>
      <c r="J15" s="19"/>
      <c r="K15" s="19"/>
      <c r="L15" s="19"/>
      <c r="M15" s="19"/>
      <c r="N15" s="19"/>
      <c r="O15" s="19"/>
      <c r="P15" s="17"/>
    </row>
    <row r="16" spans="1:16" x14ac:dyDescent="0.3">
      <c r="A16" s="14"/>
      <c r="B16" s="14" t="str">
        <f>Fill_Value(quality!B16)</f>
        <v/>
      </c>
      <c r="C16" s="14" t="str">
        <f>Fill_Value(quality!C16)</f>
        <v>support_interface_line_width</v>
      </c>
      <c r="D16" s="15"/>
      <c r="E16" s="16"/>
      <c r="F16" s="16"/>
      <c r="G16" s="16"/>
      <c r="H16" s="16"/>
      <c r="I16" s="16"/>
      <c r="J16" s="16"/>
      <c r="K16" s="16"/>
      <c r="L16" s="16"/>
      <c r="M16" s="16"/>
      <c r="N16" s="16"/>
      <c r="O16" s="16"/>
      <c r="P16" s="14"/>
    </row>
    <row r="17" spans="1:16" x14ac:dyDescent="0.3">
      <c r="A17" s="17"/>
      <c r="B17" s="17" t="str">
        <f>Fill_Value(quality!B17)</f>
        <v/>
      </c>
      <c r="C17" s="17" t="str">
        <f>Fill_Value(quality!C17)</f>
        <v>infill_line_width</v>
      </c>
      <c r="D17" s="18"/>
      <c r="E17" s="19"/>
      <c r="F17" s="19"/>
      <c r="G17" s="19"/>
      <c r="H17" s="19"/>
      <c r="I17" s="19"/>
      <c r="J17" s="19"/>
      <c r="K17" s="19"/>
      <c r="L17" s="19"/>
      <c r="M17" s="19"/>
      <c r="N17" s="19"/>
      <c r="O17" s="19"/>
      <c r="P17" s="17"/>
    </row>
    <row r="18" spans="1:16" x14ac:dyDescent="0.3">
      <c r="A18" s="14"/>
      <c r="B18" s="14" t="str">
        <f>Fill_Value(quality!B18)</f>
        <v>Shell</v>
      </c>
      <c r="C18" s="14" t="str">
        <f>Fill_Value(quality!C18)</f>
        <v>wall_thickness</v>
      </c>
      <c r="D18" s="15"/>
      <c r="E18" s="16"/>
      <c r="F18" s="16"/>
      <c r="G18" s="16"/>
      <c r="H18" s="16"/>
      <c r="I18" s="16"/>
      <c r="J18" s="16"/>
      <c r="K18" s="16"/>
      <c r="L18" s="16"/>
      <c r="M18" s="16"/>
      <c r="N18" s="16"/>
      <c r="O18" s="16"/>
      <c r="P18" s="14"/>
    </row>
    <row r="19" spans="1:16" x14ac:dyDescent="0.3">
      <c r="A19" s="17"/>
      <c r="B19" s="17" t="str">
        <f>Fill_Value(quality!B19)</f>
        <v/>
      </c>
      <c r="C19" s="17" t="str">
        <f>Fill_Value(quality!C19)</f>
        <v>top_bottom_thickness</v>
      </c>
      <c r="D19" s="18"/>
      <c r="E19" s="19"/>
      <c r="F19" s="19"/>
      <c r="G19" s="19"/>
      <c r="H19" s="19"/>
      <c r="I19" s="19"/>
      <c r="J19" s="19"/>
      <c r="K19" s="19"/>
      <c r="L19" s="19"/>
      <c r="M19" s="19"/>
      <c r="N19" s="19"/>
      <c r="O19" s="19"/>
      <c r="P19" s="17"/>
    </row>
    <row r="20" spans="1:16" x14ac:dyDescent="0.3">
      <c r="A20" s="14"/>
      <c r="B20" s="14" t="str">
        <f>Fill_Value(quality!B20)</f>
        <v/>
      </c>
      <c r="C20" s="14" t="str">
        <f>Fill_Value(quality!C20)</f>
        <v>top_bottom_pattern</v>
      </c>
      <c r="D20" s="15"/>
      <c r="E20" s="16"/>
      <c r="F20" s="16"/>
      <c r="G20" s="16"/>
      <c r="H20" s="16"/>
      <c r="I20" s="16"/>
      <c r="J20" s="16"/>
      <c r="K20" s="16"/>
      <c r="L20" s="16"/>
      <c r="M20" s="16"/>
      <c r="N20" s="16"/>
      <c r="O20" s="16"/>
      <c r="P20" s="14"/>
    </row>
    <row r="21" spans="1:16" x14ac:dyDescent="0.3">
      <c r="A21" s="17"/>
      <c r="B21" s="17" t="str">
        <f>Fill_Value(quality!B21)</f>
        <v/>
      </c>
      <c r="C21" s="17" t="str">
        <f>Fill_Value(quality!C21)</f>
        <v>connect_skin_polygons</v>
      </c>
      <c r="D21" s="18"/>
      <c r="E21" s="19"/>
      <c r="F21" s="19"/>
      <c r="G21" s="19"/>
      <c r="H21" s="19"/>
      <c r="I21" s="19"/>
      <c r="J21" s="19"/>
      <c r="K21" s="19"/>
      <c r="L21" s="19"/>
      <c r="M21" s="19"/>
      <c r="N21" s="19"/>
      <c r="O21" s="19"/>
      <c r="P21" s="17"/>
    </row>
    <row r="22" spans="1:16" x14ac:dyDescent="0.3">
      <c r="A22" s="14"/>
      <c r="B22" s="14" t="str">
        <f>Fill_Value(quality!B22)</f>
        <v/>
      </c>
      <c r="C22" s="14" t="str">
        <f>Fill_Value(quality!C22)</f>
        <v>optimize_wall_printing_order</v>
      </c>
      <c r="D22" s="15"/>
      <c r="E22" s="16"/>
      <c r="F22" s="16"/>
      <c r="G22" s="16"/>
      <c r="H22" s="16"/>
      <c r="I22" s="16"/>
      <c r="J22" s="16"/>
      <c r="K22" s="16"/>
      <c r="L22" s="16"/>
      <c r="M22" s="16"/>
      <c r="N22" s="16"/>
      <c r="O22" s="16"/>
      <c r="P22" s="14"/>
    </row>
    <row r="23" spans="1:16" x14ac:dyDescent="0.3">
      <c r="A23" s="17"/>
      <c r="B23" s="17" t="str">
        <f>Fill_Value(quality!B23)</f>
        <v/>
      </c>
      <c r="C23" s="17" t="str">
        <f>Fill_Value(quality!C23)</f>
        <v>outer_inset_first</v>
      </c>
      <c r="D23" s="18"/>
      <c r="E23" s="19"/>
      <c r="F23" s="19"/>
      <c r="G23" s="19"/>
      <c r="H23" s="19"/>
      <c r="I23" s="19"/>
      <c r="J23" s="19"/>
      <c r="K23" s="19"/>
      <c r="L23" s="19"/>
      <c r="M23" s="19"/>
      <c r="N23" s="19"/>
      <c r="O23" s="19"/>
      <c r="P23" s="17"/>
    </row>
    <row r="24" spans="1:16" x14ac:dyDescent="0.3">
      <c r="A24" s="14"/>
      <c r="B24" s="14" t="str">
        <f>Fill_Value(quality!B24)</f>
        <v/>
      </c>
      <c r="C24" s="14" t="str">
        <f>Fill_Value(quality!C24)</f>
        <v>alternate_extra_perimeter</v>
      </c>
      <c r="D24" s="15"/>
      <c r="E24" s="16"/>
      <c r="F24" s="16"/>
      <c r="G24" s="16"/>
      <c r="H24" s="16"/>
      <c r="I24" s="16"/>
      <c r="J24" s="16"/>
      <c r="K24" s="16"/>
      <c r="L24" s="16"/>
      <c r="M24" s="16"/>
      <c r="N24" s="16"/>
      <c r="O24" s="16"/>
      <c r="P24" s="14"/>
    </row>
    <row r="25" spans="1:16" x14ac:dyDescent="0.3">
      <c r="A25" s="17"/>
      <c r="B25" s="17" t="str">
        <f>Fill_Value(quality!B25)</f>
        <v/>
      </c>
      <c r="C25" s="17" t="str">
        <f>Fill_Value(quality!C25)</f>
        <v>placeholder_skip</v>
      </c>
      <c r="D25" s="18"/>
      <c r="E25" s="19"/>
      <c r="F25" s="19"/>
      <c r="G25" s="19"/>
      <c r="H25" s="19"/>
      <c r="I25" s="19"/>
      <c r="J25" s="19"/>
      <c r="K25" s="19"/>
      <c r="L25" s="19"/>
      <c r="M25" s="19"/>
      <c r="N25" s="19"/>
      <c r="O25" s="19"/>
      <c r="P25" s="17"/>
    </row>
    <row r="26" spans="1:16" x14ac:dyDescent="0.3">
      <c r="A26" s="14"/>
      <c r="B26" s="14" t="str">
        <f>Fill_Value(quality!B26)</f>
        <v/>
      </c>
      <c r="C26" s="14" t="str">
        <f>Fill_Value(quality!C26)</f>
        <v>travel_compensate_overlapping_walls_enabled</v>
      </c>
      <c r="D26" s="15"/>
      <c r="E26" s="16"/>
      <c r="F26" s="16"/>
      <c r="G26" s="16"/>
      <c r="H26" s="16"/>
      <c r="I26" s="16"/>
      <c r="J26" s="16"/>
      <c r="K26" s="16"/>
      <c r="L26" s="16"/>
      <c r="M26" s="16"/>
      <c r="N26" s="16"/>
      <c r="O26" s="16"/>
      <c r="P26" s="14"/>
    </row>
    <row r="27" spans="1:16" x14ac:dyDescent="0.3">
      <c r="A27" s="17"/>
      <c r="B27" s="17" t="str">
        <f>Fill_Value(quality!B27)</f>
        <v/>
      </c>
      <c r="C27" s="17" t="str">
        <f>Fill_Value(quality!C27)</f>
        <v>fill_perimeter_gaps</v>
      </c>
      <c r="D27" s="18"/>
      <c r="E27" s="19"/>
      <c r="F27" s="19"/>
      <c r="G27" s="19"/>
      <c r="H27" s="19"/>
      <c r="I27" s="19"/>
      <c r="J27" s="19"/>
      <c r="K27" s="19"/>
      <c r="L27" s="19"/>
      <c r="M27" s="19"/>
      <c r="N27" s="19"/>
      <c r="O27" s="19"/>
      <c r="P27" s="17"/>
    </row>
    <row r="28" spans="1:16" x14ac:dyDescent="0.3">
      <c r="A28" s="14"/>
      <c r="B28" s="14" t="str">
        <f>Fill_Value(quality!B28)</f>
        <v/>
      </c>
      <c r="C28" s="14" t="str">
        <f>Fill_Value(quality!C28)</f>
        <v>filter_out_tiny_gaps</v>
      </c>
      <c r="D28" s="15"/>
      <c r="E28" s="16"/>
      <c r="F28" s="16"/>
      <c r="G28" s="16"/>
      <c r="H28" s="16"/>
      <c r="I28" s="16"/>
      <c r="J28" s="16"/>
      <c r="K28" s="16"/>
      <c r="L28" s="16"/>
      <c r="M28" s="16"/>
      <c r="N28" s="16"/>
      <c r="O28" s="16"/>
      <c r="P28" s="14"/>
    </row>
    <row r="29" spans="1:16" x14ac:dyDescent="0.3">
      <c r="A29" s="17"/>
      <c r="B29" s="17" t="str">
        <f>Fill_Value(quality!B29)</f>
        <v/>
      </c>
      <c r="C29" s="17" t="str">
        <f>Fill_Value(quality!C29)</f>
        <v>fill_outline_gaps</v>
      </c>
      <c r="D29" s="18"/>
      <c r="E29" s="19"/>
      <c r="F29" s="19"/>
      <c r="G29" s="19"/>
      <c r="H29" s="19"/>
      <c r="I29" s="19"/>
      <c r="J29" s="19"/>
      <c r="K29" s="19"/>
      <c r="L29" s="19"/>
      <c r="M29" s="19"/>
      <c r="N29" s="19"/>
      <c r="O29" s="19"/>
      <c r="P29" s="17"/>
    </row>
    <row r="30" spans="1:16" x14ac:dyDescent="0.3">
      <c r="A30" s="14"/>
      <c r="B30" s="14" t="str">
        <f>Fill_Value(quality!B30)</f>
        <v/>
      </c>
      <c r="C30" s="14" t="str">
        <f>Fill_Value(quality!C30)</f>
        <v>xy_offset</v>
      </c>
      <c r="D30" s="15"/>
      <c r="E30" s="16"/>
      <c r="F30" s="16"/>
      <c r="G30" s="16"/>
      <c r="H30" s="16"/>
      <c r="I30" s="16"/>
      <c r="J30" s="16"/>
      <c r="K30" s="16"/>
      <c r="L30" s="16"/>
      <c r="M30" s="16"/>
      <c r="N30" s="16"/>
      <c r="O30" s="16"/>
      <c r="P30" s="14"/>
    </row>
    <row r="31" spans="1:16" x14ac:dyDescent="0.3">
      <c r="A31" s="17"/>
      <c r="B31" s="17" t="str">
        <f>Fill_Value(quality!B31)</f>
        <v/>
      </c>
      <c r="C31" s="17" t="str">
        <f>Fill_Value(quality!C31)</f>
        <v>xy_offset_layer_0</v>
      </c>
      <c r="D31" s="18"/>
      <c r="E31" s="19"/>
      <c r="F31" s="19"/>
      <c r="G31" s="19"/>
      <c r="H31" s="19"/>
      <c r="I31" s="19"/>
      <c r="J31" s="19"/>
      <c r="K31" s="19"/>
      <c r="L31" s="19"/>
      <c r="M31" s="19"/>
      <c r="N31" s="19"/>
      <c r="O31" s="19"/>
      <c r="P31" s="17"/>
    </row>
    <row r="32" spans="1:16" x14ac:dyDescent="0.3">
      <c r="A32" s="14"/>
      <c r="B32" s="14" t="str">
        <f>Fill_Value(quality!B32)</f>
        <v/>
      </c>
      <c r="C32" s="14" t="str">
        <f>Fill_Value(quality!C32)</f>
        <v>z_seam_type</v>
      </c>
      <c r="D32" s="15"/>
      <c r="E32" s="16"/>
      <c r="F32" s="16"/>
      <c r="G32" s="16"/>
      <c r="H32" s="16"/>
      <c r="I32" s="16"/>
      <c r="J32" s="16"/>
      <c r="K32" s="16"/>
      <c r="L32" s="16"/>
      <c r="M32" s="16"/>
      <c r="N32" s="16"/>
      <c r="O32" s="16"/>
      <c r="P32" s="14"/>
    </row>
    <row r="33" spans="1:16" x14ac:dyDescent="0.3">
      <c r="A33" s="17"/>
      <c r="B33" s="17" t="str">
        <f>Fill_Value(quality!B33)</f>
        <v/>
      </c>
      <c r="C33" s="17" t="str">
        <f>Fill_Value(quality!C33)</f>
        <v>z_seam_corner</v>
      </c>
      <c r="D33" s="18"/>
      <c r="E33" s="19"/>
      <c r="F33" s="19"/>
      <c r="G33" s="19"/>
      <c r="H33" s="19"/>
      <c r="I33" s="19"/>
      <c r="J33" s="19"/>
      <c r="K33" s="19"/>
      <c r="L33" s="19"/>
      <c r="M33" s="19"/>
      <c r="N33" s="19"/>
      <c r="O33" s="19"/>
      <c r="P33" s="17"/>
    </row>
    <row r="34" spans="1:16" x14ac:dyDescent="0.3">
      <c r="A34" s="14"/>
      <c r="B34" s="14" t="str">
        <f>Fill_Value(quality!B34)</f>
        <v/>
      </c>
      <c r="C34" s="14" t="str">
        <f>Fill_Value(quality!C34)</f>
        <v>skin_no_small_gaps_heuristic</v>
      </c>
      <c r="D34" s="15"/>
      <c r="E34" s="16"/>
      <c r="F34" s="16"/>
      <c r="G34" s="16"/>
      <c r="H34" s="16"/>
      <c r="I34" s="16"/>
      <c r="J34" s="16"/>
      <c r="K34" s="16"/>
      <c r="L34" s="16"/>
      <c r="M34" s="16"/>
      <c r="N34" s="16"/>
      <c r="O34" s="16"/>
      <c r="P34" s="14"/>
    </row>
    <row r="35" spans="1:16" x14ac:dyDescent="0.3">
      <c r="A35" s="17"/>
      <c r="B35" s="17" t="str">
        <f>Fill_Value(quality!B35)</f>
        <v/>
      </c>
      <c r="C35" s="17" t="str">
        <f>Fill_Value(quality!C35)</f>
        <v>ironing_enabled</v>
      </c>
      <c r="D35" s="18"/>
      <c r="E35" s="19"/>
      <c r="F35" s="19"/>
      <c r="G35" s="19"/>
      <c r="H35" s="19"/>
      <c r="I35" s="19"/>
      <c r="J35" s="19"/>
      <c r="K35" s="19"/>
      <c r="L35" s="19"/>
      <c r="M35" s="19"/>
      <c r="N35" s="19"/>
      <c r="O35" s="19"/>
      <c r="P35" s="17"/>
    </row>
    <row r="36" spans="1:16" x14ac:dyDescent="0.3">
      <c r="A36" s="14"/>
      <c r="B36" s="14" t="str">
        <f>Fill_Value(quality!B36)</f>
        <v/>
      </c>
      <c r="C36" s="14" t="str">
        <f>Fill_Value(quality!C36)</f>
        <v>ironing_only_highest_layer</v>
      </c>
      <c r="D36" s="15"/>
      <c r="E36" s="16"/>
      <c r="F36" s="16"/>
      <c r="G36" s="16"/>
      <c r="H36" s="16"/>
      <c r="I36" s="16"/>
      <c r="J36" s="16"/>
      <c r="K36" s="16"/>
      <c r="L36" s="16"/>
      <c r="M36" s="16"/>
      <c r="N36" s="16"/>
      <c r="O36" s="16"/>
      <c r="P36" s="14"/>
    </row>
    <row r="37" spans="1:16" x14ac:dyDescent="0.3">
      <c r="A37" s="17"/>
      <c r="B37" s="17" t="str">
        <f>Fill_Value(quality!B37)</f>
        <v/>
      </c>
      <c r="C37" s="17" t="str">
        <f>Fill_Value(quality!C37)</f>
        <v>ironing_flow</v>
      </c>
      <c r="D37" s="21"/>
      <c r="E37" s="19"/>
      <c r="F37" s="19"/>
      <c r="G37" s="19"/>
      <c r="H37" s="19"/>
      <c r="I37" s="19"/>
      <c r="J37" s="19"/>
      <c r="K37" s="19"/>
      <c r="L37" s="19"/>
      <c r="M37" s="19"/>
      <c r="N37" s="19"/>
      <c r="O37" s="19"/>
      <c r="P37" s="17"/>
    </row>
    <row r="38" spans="1:16" x14ac:dyDescent="0.3">
      <c r="A38" s="14"/>
      <c r="B38" s="14" t="str">
        <f>Fill_Value(quality!B38)</f>
        <v>Infill</v>
      </c>
      <c r="C38" s="14" t="str">
        <f>Fill_Value(quality!C38)</f>
        <v>infill_pattern</v>
      </c>
      <c r="D38" s="15"/>
      <c r="E38" s="16"/>
      <c r="F38" s="16"/>
      <c r="G38" s="16"/>
      <c r="H38" s="16"/>
      <c r="I38" s="16"/>
      <c r="J38" s="16"/>
      <c r="K38" s="16"/>
      <c r="L38" s="16"/>
      <c r="M38" s="16"/>
      <c r="N38" s="16"/>
      <c r="O38" s="16"/>
      <c r="P38" s="14"/>
    </row>
    <row r="39" spans="1:16" x14ac:dyDescent="0.3">
      <c r="A39" s="17"/>
      <c r="B39" s="17" t="str">
        <f>Fill_Value(quality!B39)</f>
        <v/>
      </c>
      <c r="C39" s="17" t="str">
        <f>Fill_Value(quality!C39)</f>
        <v>zig_zaggify_infill</v>
      </c>
      <c r="D39" s="18"/>
      <c r="E39" s="19"/>
      <c r="F39" s="19"/>
      <c r="G39" s="19"/>
      <c r="H39" s="19"/>
      <c r="I39" s="19"/>
      <c r="J39" s="19"/>
      <c r="K39" s="19"/>
      <c r="L39" s="19"/>
      <c r="M39" s="19"/>
      <c r="N39" s="19"/>
      <c r="O39" s="19"/>
      <c r="P39" s="17"/>
    </row>
    <row r="40" spans="1:16" x14ac:dyDescent="0.3">
      <c r="A40" s="14"/>
      <c r="B40" s="14" t="str">
        <f>Fill_Value(quality!B40)</f>
        <v/>
      </c>
      <c r="C40" s="14" t="str">
        <f>Fill_Value(quality!C40)</f>
        <v>connect_infill_polygons</v>
      </c>
      <c r="D40" s="15"/>
      <c r="E40" s="16"/>
      <c r="F40" s="16"/>
      <c r="G40" s="16"/>
      <c r="H40" s="16"/>
      <c r="I40" s="16"/>
      <c r="J40" s="16"/>
      <c r="K40" s="16"/>
      <c r="L40" s="16"/>
      <c r="M40" s="16"/>
      <c r="N40" s="16"/>
      <c r="O40" s="16"/>
      <c r="P40" s="14"/>
    </row>
    <row r="41" spans="1:16" x14ac:dyDescent="0.3">
      <c r="A41" s="17"/>
      <c r="B41" s="17" t="str">
        <f>Fill_Value(quality!B41)</f>
        <v/>
      </c>
      <c r="C41" s="17" t="str">
        <f>Fill_Value(quality!C41)</f>
        <v>infill_overlap</v>
      </c>
      <c r="D41" s="18"/>
      <c r="E41" s="19"/>
      <c r="F41" s="19"/>
      <c r="G41" s="19"/>
      <c r="H41" s="19"/>
      <c r="I41" s="19"/>
      <c r="J41" s="19"/>
      <c r="K41" s="19"/>
      <c r="L41" s="19"/>
      <c r="M41" s="19"/>
      <c r="N41" s="19"/>
      <c r="O41" s="19"/>
      <c r="P41" s="17"/>
    </row>
    <row r="42" spans="1:16" x14ac:dyDescent="0.3">
      <c r="A42" s="14"/>
      <c r="B42" s="14" t="str">
        <f>Fill_Value(quality!B42)</f>
        <v/>
      </c>
      <c r="C42" s="14" t="str">
        <f>Fill_Value(quality!C42)</f>
        <v>infill_sparse_thickness</v>
      </c>
      <c r="D42" s="15"/>
      <c r="E42" s="16"/>
      <c r="F42" s="16"/>
      <c r="G42" s="16"/>
      <c r="H42" s="16"/>
      <c r="I42" s="16"/>
      <c r="J42" s="16"/>
      <c r="K42" s="16"/>
      <c r="L42" s="16"/>
      <c r="M42" s="16"/>
      <c r="N42" s="16"/>
      <c r="O42" s="16"/>
      <c r="P42" s="14"/>
    </row>
    <row r="43" spans="1:16" x14ac:dyDescent="0.3">
      <c r="A43" s="17"/>
      <c r="B43" s="17" t="str">
        <f>Fill_Value(quality!B43)</f>
        <v/>
      </c>
      <c r="C43" s="17" t="str">
        <f>Fill_Value(quality!C43)</f>
        <v>infill_before_walls</v>
      </c>
      <c r="D43" s="18"/>
      <c r="E43" s="19"/>
      <c r="F43" s="19"/>
      <c r="G43" s="19"/>
      <c r="H43" s="19"/>
      <c r="I43" s="19"/>
      <c r="J43" s="19"/>
      <c r="K43" s="19"/>
      <c r="L43" s="19"/>
      <c r="M43" s="19"/>
      <c r="N43" s="19"/>
      <c r="O43" s="19"/>
      <c r="P43" s="17"/>
    </row>
    <row r="44" spans="1:16" x14ac:dyDescent="0.3">
      <c r="A44" s="14"/>
      <c r="B44" s="14" t="str">
        <f>Fill_Value(quality!B44)</f>
        <v/>
      </c>
      <c r="C44" s="14" t="str">
        <f>Fill_Value(quality!C44)</f>
        <v>min_infill_area</v>
      </c>
      <c r="D44" s="15"/>
      <c r="E44" s="16"/>
      <c r="F44" s="16"/>
      <c r="G44" s="16"/>
      <c r="H44" s="16"/>
      <c r="I44" s="16"/>
      <c r="J44" s="16"/>
      <c r="K44" s="16"/>
      <c r="L44" s="16"/>
      <c r="M44" s="16"/>
      <c r="N44" s="16"/>
      <c r="O44" s="16"/>
      <c r="P44" s="14"/>
    </row>
    <row r="45" spans="1:16" x14ac:dyDescent="0.3">
      <c r="A45" s="17"/>
      <c r="B45" s="17" t="str">
        <f>Fill_Value(quality!B45)</f>
        <v/>
      </c>
      <c r="C45" s="17" t="str">
        <f>Fill_Value(quality!C45)</f>
        <v>infill_support_enabled</v>
      </c>
      <c r="D45" s="18"/>
      <c r="E45" s="19"/>
      <c r="F45" s="19"/>
      <c r="G45" s="19"/>
      <c r="H45" s="19"/>
      <c r="I45" s="19"/>
      <c r="J45" s="19"/>
      <c r="K45" s="19"/>
      <c r="L45" s="19"/>
      <c r="M45" s="19"/>
      <c r="N45" s="19"/>
      <c r="O45" s="19"/>
      <c r="P45" s="17"/>
    </row>
    <row r="46" spans="1:16" x14ac:dyDescent="0.3">
      <c r="A46" s="14"/>
      <c r="B46" s="14" t="str">
        <f>Fill_Value(quality!B46)</f>
        <v>Material</v>
      </c>
      <c r="C46" s="14" t="str">
        <f>Fill_Value(quality!C46)</f>
        <v>material_print_temperature</v>
      </c>
      <c r="D46" s="15">
        <v>240</v>
      </c>
      <c r="E46" s="16"/>
      <c r="F46" s="16"/>
      <c r="G46" s="16"/>
      <c r="H46" s="16"/>
      <c r="I46" s="16"/>
      <c r="J46" s="16"/>
      <c r="K46" s="16"/>
      <c r="L46" s="16"/>
      <c r="M46" s="16"/>
      <c r="N46" s="16"/>
      <c r="O46" s="16"/>
      <c r="P46" s="14"/>
    </row>
    <row r="47" spans="1:16" x14ac:dyDescent="0.3">
      <c r="A47" s="17"/>
      <c r="B47" s="17" t="str">
        <f>Fill_Value(quality!B47)</f>
        <v/>
      </c>
      <c r="C47" s="17" t="str">
        <f>Fill_Value(quality!C47)</f>
        <v>material_print_temperature_layer_0</v>
      </c>
      <c r="D47" s="18">
        <v>235</v>
      </c>
      <c r="E47" s="19"/>
      <c r="F47" s="19"/>
      <c r="G47" s="19"/>
      <c r="H47" s="19"/>
      <c r="I47" s="19"/>
      <c r="J47" s="19"/>
      <c r="K47" s="19"/>
      <c r="L47" s="19"/>
      <c r="M47" s="19"/>
      <c r="N47" s="19"/>
      <c r="O47" s="19"/>
      <c r="P47" s="17"/>
    </row>
    <row r="48" spans="1:16" x14ac:dyDescent="0.3">
      <c r="A48" s="14"/>
      <c r="B48" s="14" t="str">
        <f>Fill_Value(quality!B48)</f>
        <v/>
      </c>
      <c r="C48" s="14" t="str">
        <f>Fill_Value(quality!C48)</f>
        <v>material_bed_temperature</v>
      </c>
      <c r="D48" s="15">
        <v>70</v>
      </c>
      <c r="E48" s="16"/>
      <c r="F48" s="16"/>
      <c r="G48" s="16"/>
      <c r="H48" s="16"/>
      <c r="I48" s="16"/>
      <c r="J48" s="16"/>
      <c r="K48" s="16"/>
      <c r="L48" s="16"/>
      <c r="M48" s="16"/>
      <c r="N48" s="16"/>
      <c r="O48" s="16"/>
      <c r="P48" s="14"/>
    </row>
    <row r="49" spans="1:16" x14ac:dyDescent="0.3">
      <c r="A49" s="17"/>
      <c r="B49" s="17" t="str">
        <f>Fill_Value(quality!B49)</f>
        <v/>
      </c>
      <c r="C49" s="17" t="str">
        <f>Fill_Value(quality!C49)</f>
        <v>material_bed_temperature_layer_0</v>
      </c>
      <c r="D49" s="18">
        <v>80</v>
      </c>
      <c r="E49" s="19"/>
      <c r="F49" s="19"/>
      <c r="G49" s="19"/>
      <c r="H49" s="19"/>
      <c r="I49" s="19"/>
      <c r="J49" s="19"/>
      <c r="K49" s="19"/>
      <c r="L49" s="19"/>
      <c r="M49" s="19"/>
      <c r="N49" s="19"/>
      <c r="O49" s="19"/>
      <c r="P49" s="17"/>
    </row>
    <row r="50" spans="1:16" x14ac:dyDescent="0.3">
      <c r="A50" s="14"/>
      <c r="B50" s="14" t="str">
        <f>Fill_Value(quality!B50)</f>
        <v/>
      </c>
      <c r="C50" s="14" t="str">
        <f>Fill_Value(quality!C50)</f>
        <v>material_flow</v>
      </c>
      <c r="D50" s="15">
        <v>90</v>
      </c>
      <c r="E50" s="16"/>
      <c r="F50" s="16"/>
      <c r="G50" s="16"/>
      <c r="H50" s="16"/>
      <c r="I50" s="16"/>
      <c r="J50" s="16"/>
      <c r="K50" s="16"/>
      <c r="L50" s="16"/>
      <c r="M50" s="16"/>
      <c r="N50" s="16"/>
      <c r="O50" s="16"/>
      <c r="P50" s="14"/>
    </row>
    <row r="51" spans="1:16" x14ac:dyDescent="0.3">
      <c r="A51" s="17"/>
      <c r="B51" s="17" t="str">
        <f>Fill_Value(quality!B51)</f>
        <v/>
      </c>
      <c r="C51" s="17" t="str">
        <f>Fill_Value(quality!C51)</f>
        <v>material_flow_layer_0</v>
      </c>
      <c r="D51" s="18">
        <v>100</v>
      </c>
      <c r="E51" s="19"/>
      <c r="F51" s="19"/>
      <c r="G51" s="19"/>
      <c r="H51" s="19"/>
      <c r="I51" s="19"/>
      <c r="J51" s="19"/>
      <c r="K51" s="19"/>
      <c r="L51" s="19"/>
      <c r="M51" s="19"/>
      <c r="N51" s="19"/>
      <c r="O51" s="19"/>
      <c r="P51" s="17"/>
    </row>
    <row r="52" spans="1:16" x14ac:dyDescent="0.3">
      <c r="A52" s="14"/>
      <c r="B52" s="14" t="str">
        <f>Fill_Value(quality!B52)</f>
        <v/>
      </c>
      <c r="C52" s="14" t="str">
        <f>Fill_Value(quality!C52)</f>
        <v>retraction_enable</v>
      </c>
      <c r="D52" s="15" t="str">
        <f>"True"</f>
        <v>True</v>
      </c>
      <c r="E52" s="16"/>
      <c r="F52" s="16"/>
      <c r="G52" s="16"/>
      <c r="H52" s="16"/>
      <c r="I52" s="16"/>
      <c r="J52" s="16"/>
      <c r="K52" s="16"/>
      <c r="L52" s="16"/>
      <c r="M52" s="16"/>
      <c r="N52" s="16"/>
      <c r="O52" s="16"/>
      <c r="P52" s="14"/>
    </row>
    <row r="53" spans="1:16" x14ac:dyDescent="0.3">
      <c r="A53" s="17"/>
      <c r="B53" s="17" t="str">
        <f>Fill_Value(quality!B53)</f>
        <v/>
      </c>
      <c r="C53" s="17" t="str">
        <f>Fill_Value(quality!C53)</f>
        <v>retract_at_layer_change</v>
      </c>
      <c r="D53" s="18" t="str">
        <f>"True"</f>
        <v>True</v>
      </c>
      <c r="E53" s="19"/>
      <c r="F53" s="19"/>
      <c r="G53" s="19"/>
      <c r="H53" s="19"/>
      <c r="I53" s="19"/>
      <c r="J53" s="19"/>
      <c r="K53" s="19"/>
      <c r="L53" s="19"/>
      <c r="M53" s="19"/>
      <c r="N53" s="19"/>
      <c r="O53" s="19"/>
      <c r="P53" s="17"/>
    </row>
    <row r="54" spans="1:16" x14ac:dyDescent="0.3">
      <c r="A54" s="14"/>
      <c r="B54" s="14" t="str">
        <f>Fill_Value(quality!B54)</f>
        <v/>
      </c>
      <c r="C54" s="14" t="str">
        <f>Fill_Value(quality!C54)</f>
        <v>retraction_amount</v>
      </c>
      <c r="D54" s="15">
        <v>0.8</v>
      </c>
      <c r="E54" s="16"/>
      <c r="F54" s="16"/>
      <c r="G54" s="16"/>
      <c r="H54" s="16"/>
      <c r="I54" s="16"/>
      <c r="J54" s="16"/>
      <c r="K54" s="16"/>
      <c r="L54" s="16"/>
      <c r="M54" s="16"/>
      <c r="N54" s="16"/>
      <c r="O54" s="16"/>
      <c r="P54" s="14"/>
    </row>
    <row r="55" spans="1:16" x14ac:dyDescent="0.3">
      <c r="A55" s="17"/>
      <c r="B55" s="17" t="str">
        <f>Fill_Value(quality!B55)</f>
        <v/>
      </c>
      <c r="C55" s="17" t="str">
        <f>Fill_Value(quality!C55)</f>
        <v>retraction_retract_speed</v>
      </c>
      <c r="D55" s="18">
        <v>25</v>
      </c>
      <c r="E55" s="19"/>
      <c r="F55" s="19"/>
      <c r="G55" s="19"/>
      <c r="H55" s="19"/>
      <c r="I55" s="19"/>
      <c r="J55" s="19"/>
      <c r="K55" s="19"/>
      <c r="L55" s="19"/>
      <c r="M55" s="19"/>
      <c r="N55" s="19"/>
      <c r="O55" s="19"/>
      <c r="P55" s="17"/>
    </row>
    <row r="56" spans="1:16" x14ac:dyDescent="0.3">
      <c r="A56" s="14"/>
      <c r="B56" s="14" t="str">
        <f>Fill_Value(quality!B56)</f>
        <v/>
      </c>
      <c r="C56" s="14" t="str">
        <f>Fill_Value(quality!C56)</f>
        <v>retraction_prime_speed</v>
      </c>
      <c r="D56" s="15">
        <v>20</v>
      </c>
      <c r="E56" s="16"/>
      <c r="F56" s="16"/>
      <c r="G56" s="16"/>
      <c r="H56" s="16"/>
      <c r="I56" s="16"/>
      <c r="J56" s="16"/>
      <c r="K56" s="16"/>
      <c r="L56" s="16"/>
      <c r="M56" s="16"/>
      <c r="N56" s="16"/>
      <c r="O56" s="16"/>
      <c r="P56" s="14"/>
    </row>
    <row r="57" spans="1:16" x14ac:dyDescent="0.3">
      <c r="A57" s="17"/>
      <c r="B57" s="17" t="str">
        <f>Fill_Value(quality!B57)</f>
        <v/>
      </c>
      <c r="C57" s="17" t="str">
        <f>Fill_Value(quality!C57)</f>
        <v>retraction_extra_prime_amount</v>
      </c>
      <c r="D57" s="18"/>
      <c r="E57" s="19"/>
      <c r="F57" s="19"/>
      <c r="G57" s="19"/>
      <c r="H57" s="19"/>
      <c r="I57" s="19"/>
      <c r="J57" s="19"/>
      <c r="K57" s="19"/>
      <c r="L57" s="19"/>
      <c r="M57" s="19"/>
      <c r="N57" s="19"/>
      <c r="O57" s="19"/>
      <c r="P57" s="17"/>
    </row>
    <row r="58" spans="1:16" x14ac:dyDescent="0.3">
      <c r="A58" s="14"/>
      <c r="B58" s="14" t="str">
        <f>Fill_Value(quality!B58)</f>
        <v/>
      </c>
      <c r="C58" s="14" t="str">
        <f>Fill_Value(quality!C58)</f>
        <v>retraction_min_travel</v>
      </c>
      <c r="D58" s="15"/>
      <c r="E58" s="16"/>
      <c r="F58" s="16"/>
      <c r="G58" s="16"/>
      <c r="H58" s="16"/>
      <c r="I58" s="16"/>
      <c r="J58" s="16"/>
      <c r="K58" s="16"/>
      <c r="L58" s="16"/>
      <c r="M58" s="16"/>
      <c r="N58" s="16"/>
      <c r="O58" s="16"/>
      <c r="P58" s="14"/>
    </row>
    <row r="59" spans="1:16" x14ac:dyDescent="0.3">
      <c r="A59" s="17"/>
      <c r="B59" s="17" t="str">
        <f>Fill_Value(quality!B59)</f>
        <v/>
      </c>
      <c r="C59" s="17" t="str">
        <f>Fill_Value(quality!C59)</f>
        <v>retraction_count_max</v>
      </c>
      <c r="D59" s="18"/>
      <c r="E59" s="19"/>
      <c r="F59" s="19"/>
      <c r="G59" s="19"/>
      <c r="H59" s="19"/>
      <c r="I59" s="19"/>
      <c r="J59" s="19"/>
      <c r="K59" s="19"/>
      <c r="L59" s="19"/>
      <c r="M59" s="19"/>
      <c r="N59" s="19"/>
      <c r="O59" s="19"/>
      <c r="P59" s="17"/>
    </row>
    <row r="60" spans="1:16" x14ac:dyDescent="0.3">
      <c r="A60" s="14"/>
      <c r="B60" s="14" t="str">
        <f>Fill_Value(quality!B60)</f>
        <v/>
      </c>
      <c r="C60" s="14" t="str">
        <f>Fill_Value(quality!C60)</f>
        <v>retraction_extrusion_window</v>
      </c>
      <c r="D60" s="15"/>
      <c r="E60" s="16"/>
      <c r="F60" s="16"/>
      <c r="G60" s="16"/>
      <c r="H60" s="16"/>
      <c r="I60" s="16"/>
      <c r="J60" s="16"/>
      <c r="K60" s="16"/>
      <c r="L60" s="16"/>
      <c r="M60" s="16"/>
      <c r="N60" s="16"/>
      <c r="O60" s="16"/>
      <c r="P60" s="14"/>
    </row>
    <row r="61" spans="1:16" x14ac:dyDescent="0.3">
      <c r="A61" s="17"/>
      <c r="B61" s="17" t="str">
        <f>Fill_Value(quality!B61)</f>
        <v/>
      </c>
      <c r="C61" s="17" t="str">
        <f>Fill_Value(quality!C61)</f>
        <v>limit_support_retractions</v>
      </c>
      <c r="D61" s="18"/>
      <c r="E61" s="19"/>
      <c r="F61" s="19"/>
      <c r="G61" s="19"/>
      <c r="H61" s="19"/>
      <c r="I61" s="19"/>
      <c r="J61" s="19"/>
      <c r="K61" s="19"/>
      <c r="L61" s="19"/>
      <c r="M61" s="19"/>
      <c r="N61" s="19"/>
      <c r="O61" s="19"/>
      <c r="P61" s="17"/>
    </row>
    <row r="62" spans="1:16" x14ac:dyDescent="0.3">
      <c r="A62" s="14"/>
      <c r="B62" s="14" t="str">
        <f>Fill_Value(quality!B62)</f>
        <v>Speed</v>
      </c>
      <c r="C62" s="14" t="str">
        <f>Fill_Value(quality!C62)</f>
        <v>#Volumetric Max</v>
      </c>
      <c r="D62" s="15" t="str">
        <f ca="1">UPPER(SUBSTITUTE(TRIM(LOWER(MID(CELL("filename",A1),FIND("]",CELL("filename",A1))+1,255))),"quality_",""))</f>
        <v>PETG</v>
      </c>
      <c r="E62" s="22">
        <f ca="1">IFERROR(VLOOKUP($D$62,spec!$E$3:$Q$13,2,FALSE)/((Nozzle_Diameter*1.2)*E$1),0)</f>
        <v>92.592592592592609</v>
      </c>
      <c r="F62" s="22">
        <f ca="1">IFERROR(VLOOKUP($D$62,spec!$E$3:$Q$13,2,FALSE)/((Nozzle_Diameter*1.2)*F$1),0)</f>
        <v>55.555555555555557</v>
      </c>
      <c r="G62" s="22">
        <f ca="1">IFERROR(VLOOKUP($D$62,spec!$E$3:$Q$13,2,FALSE)/((Nozzle_Diameter*1.2)*G$1),0)</f>
        <v>46.296296296296305</v>
      </c>
      <c r="H62" s="22">
        <f ca="1">IFERROR(VLOOKUP($D$62,spec!$E$3:$Q$13,2,FALSE)/((Nozzle_Diameter*1.2)*H$1),0)</f>
        <v>39.682539682539684</v>
      </c>
      <c r="I62" s="22">
        <f ca="1">IFERROR(VLOOKUP($D$62,spec!$E$3:$Q$13,2,FALSE)/((Nozzle_Diameter*1.2)*I$1),0)</f>
        <v>34.722222222222221</v>
      </c>
      <c r="J62" s="22">
        <f ca="1">IFERROR(VLOOKUP($D$62,spec!$E$3:$Q$13,2,FALSE)/((Nozzle_Diameter*1.2)*J$1),0)</f>
        <v>27.777777777777779</v>
      </c>
      <c r="K62" s="22">
        <f ca="1">IFERROR(VLOOKUP($D$62,spec!$E$3:$Q$13,2,FALSE)/((Nozzle_Diameter*1.2)*K$1),0)</f>
        <v>23.148148148148152</v>
      </c>
      <c r="L62" s="22">
        <f ca="1">IFERROR(VLOOKUP($D$62,spec!$E$3:$Q$13,2,FALSE)/((Nozzle_Diameter*1.2)*L$1),0)</f>
        <v>19.841269841269842</v>
      </c>
      <c r="M62" s="22">
        <f ca="1">IFERROR(VLOOKUP($D$62,spec!$E$3:$Q$13,2,FALSE)/((Nozzle_Diameter*1.2)*M$1),0)</f>
        <v>17.361111111111111</v>
      </c>
      <c r="N62" s="22">
        <f ca="1">IFERROR(VLOOKUP($D$62,spec!$E$3:$Q$13,2,FALSE)/((Nozzle_Diameter*1.2)*N$1),0)</f>
        <v>15.4320987654321</v>
      </c>
      <c r="O62" s="22">
        <f ca="1">IFERROR(VLOOKUP($D$62,spec!$E$3:$Q$13,2,FALSE)/((Nozzle_Diameter*1.2)*O$1),0)</f>
        <v>13.888888888888889</v>
      </c>
      <c r="P62" s="14"/>
    </row>
    <row r="63" spans="1:16" x14ac:dyDescent="0.3">
      <c r="A63" s="17"/>
      <c r="B63" s="17" t="str">
        <f>Fill_Value(quality!B63)</f>
        <v/>
      </c>
      <c r="C63" s="17" t="str">
        <f>Fill_Value(quality!C63)</f>
        <v>#Manual Max</v>
      </c>
      <c r="D63" s="18">
        <v>60</v>
      </c>
      <c r="E63" s="19">
        <v>55</v>
      </c>
      <c r="F63" s="19">
        <v>50</v>
      </c>
      <c r="G63" s="19">
        <v>50</v>
      </c>
      <c r="H63" s="19">
        <v>50</v>
      </c>
      <c r="I63" s="19">
        <v>40</v>
      </c>
      <c r="J63" s="19">
        <v>35</v>
      </c>
      <c r="K63" s="19">
        <v>30</v>
      </c>
      <c r="L63" s="19">
        <v>25</v>
      </c>
      <c r="M63" s="19">
        <v>25</v>
      </c>
      <c r="N63" s="19">
        <v>20</v>
      </c>
      <c r="O63" s="19">
        <v>20</v>
      </c>
      <c r="P63" s="17"/>
    </row>
    <row r="64" spans="1:16" x14ac:dyDescent="0.3">
      <c r="A64" s="14"/>
      <c r="B64" s="14" t="str">
        <f>Fill_Value(quality!B64)</f>
        <v/>
      </c>
      <c r="C64" s="14" t="str">
        <f>Fill_Value(quality!C64)</f>
        <v>speed_print</v>
      </c>
      <c r="D64" s="15">
        <v>60</v>
      </c>
      <c r="E64" s="16">
        <f t="shared" ref="E64:O70" ca="1" si="0">GetSpeed($D64,E$63,E$62,SpeedType)</f>
        <v>55</v>
      </c>
      <c r="F64" s="16">
        <f t="shared" ca="1" si="0"/>
        <v>50</v>
      </c>
      <c r="G64" s="16">
        <f t="shared" ca="1" si="0"/>
        <v>46</v>
      </c>
      <c r="H64" s="16">
        <f t="shared" ca="1" si="0"/>
        <v>40</v>
      </c>
      <c r="I64" s="16">
        <f t="shared" ca="1" si="0"/>
        <v>35</v>
      </c>
      <c r="J64" s="16">
        <f t="shared" ca="1" si="0"/>
        <v>28</v>
      </c>
      <c r="K64" s="16">
        <f t="shared" ca="1" si="0"/>
        <v>23</v>
      </c>
      <c r="L64" s="16">
        <f t="shared" ca="1" si="0"/>
        <v>20</v>
      </c>
      <c r="M64" s="16">
        <f t="shared" ca="1" si="0"/>
        <v>17</v>
      </c>
      <c r="N64" s="16">
        <f t="shared" ca="1" si="0"/>
        <v>15</v>
      </c>
      <c r="O64" s="16">
        <f t="shared" ca="1" si="0"/>
        <v>14</v>
      </c>
      <c r="P64" s="14"/>
    </row>
    <row r="65" spans="1:16" x14ac:dyDescent="0.3">
      <c r="A65" s="17"/>
      <c r="B65" s="17" t="str">
        <f>Fill_Value(quality!B65)</f>
        <v/>
      </c>
      <c r="C65" s="17" t="str">
        <f>Fill_Value(quality!C65)</f>
        <v>speed_infill</v>
      </c>
      <c r="D65" s="18">
        <v>45</v>
      </c>
      <c r="E65" s="19">
        <f t="shared" ca="1" si="0"/>
        <v>45</v>
      </c>
      <c r="F65" s="19">
        <f t="shared" ca="1" si="0"/>
        <v>45</v>
      </c>
      <c r="G65" s="19">
        <f t="shared" ca="1" si="0"/>
        <v>45</v>
      </c>
      <c r="H65" s="19">
        <f t="shared" ca="1" si="0"/>
        <v>40</v>
      </c>
      <c r="I65" s="19">
        <f t="shared" ca="1" si="0"/>
        <v>35</v>
      </c>
      <c r="J65" s="19">
        <f t="shared" ca="1" si="0"/>
        <v>28</v>
      </c>
      <c r="K65" s="19">
        <f t="shared" ca="1" si="0"/>
        <v>23</v>
      </c>
      <c r="L65" s="19">
        <f t="shared" ca="1" si="0"/>
        <v>20</v>
      </c>
      <c r="M65" s="19">
        <f t="shared" ca="1" si="0"/>
        <v>17</v>
      </c>
      <c r="N65" s="19">
        <f t="shared" ca="1" si="0"/>
        <v>15</v>
      </c>
      <c r="O65" s="19">
        <f t="shared" ca="1" si="0"/>
        <v>14</v>
      </c>
      <c r="P65" s="17"/>
    </row>
    <row r="66" spans="1:16" x14ac:dyDescent="0.3">
      <c r="A66" s="14"/>
      <c r="B66" s="14" t="str">
        <f>Fill_Value(quality!B66)</f>
        <v/>
      </c>
      <c r="C66" s="14" t="str">
        <f>Fill_Value(quality!C66)</f>
        <v>speed_wall</v>
      </c>
      <c r="D66" s="15">
        <v>40</v>
      </c>
      <c r="E66" s="16">
        <f t="shared" ca="1" si="0"/>
        <v>40</v>
      </c>
      <c r="F66" s="16">
        <f t="shared" ca="1" si="0"/>
        <v>40</v>
      </c>
      <c r="G66" s="16">
        <f t="shared" ca="1" si="0"/>
        <v>40</v>
      </c>
      <c r="H66" s="16">
        <f t="shared" ca="1" si="0"/>
        <v>40</v>
      </c>
      <c r="I66" s="16">
        <f t="shared" ca="1" si="0"/>
        <v>35</v>
      </c>
      <c r="J66" s="16">
        <f t="shared" ca="1" si="0"/>
        <v>28</v>
      </c>
      <c r="K66" s="16">
        <f t="shared" ca="1" si="0"/>
        <v>23</v>
      </c>
      <c r="L66" s="16">
        <f t="shared" ca="1" si="0"/>
        <v>20</v>
      </c>
      <c r="M66" s="16">
        <f t="shared" ca="1" si="0"/>
        <v>17</v>
      </c>
      <c r="N66" s="16">
        <f t="shared" ca="1" si="0"/>
        <v>15</v>
      </c>
      <c r="O66" s="16">
        <f t="shared" ca="1" si="0"/>
        <v>14</v>
      </c>
      <c r="P66" s="14"/>
    </row>
    <row r="67" spans="1:16" x14ac:dyDescent="0.3">
      <c r="A67" s="17"/>
      <c r="B67" s="17" t="str">
        <f>Fill_Value(quality!B67)</f>
        <v/>
      </c>
      <c r="C67" s="17" t="str">
        <f>Fill_Value(quality!C67)</f>
        <v>speed_wall_0</v>
      </c>
      <c r="D67" s="18">
        <v>35</v>
      </c>
      <c r="E67" s="19">
        <f t="shared" ca="1" si="0"/>
        <v>35</v>
      </c>
      <c r="F67" s="19">
        <f t="shared" ca="1" si="0"/>
        <v>35</v>
      </c>
      <c r="G67" s="19">
        <f t="shared" ca="1" si="0"/>
        <v>35</v>
      </c>
      <c r="H67" s="19">
        <f t="shared" ca="1" si="0"/>
        <v>35</v>
      </c>
      <c r="I67" s="19">
        <f t="shared" ca="1" si="0"/>
        <v>35</v>
      </c>
      <c r="J67" s="19">
        <f t="shared" ca="1" si="0"/>
        <v>28</v>
      </c>
      <c r="K67" s="19">
        <f t="shared" ca="1" si="0"/>
        <v>23</v>
      </c>
      <c r="L67" s="19">
        <f t="shared" ca="1" si="0"/>
        <v>20</v>
      </c>
      <c r="M67" s="19">
        <f t="shared" ca="1" si="0"/>
        <v>17</v>
      </c>
      <c r="N67" s="19">
        <f t="shared" ca="1" si="0"/>
        <v>15</v>
      </c>
      <c r="O67" s="19">
        <f t="shared" ca="1" si="0"/>
        <v>14</v>
      </c>
      <c r="P67" s="17"/>
    </row>
    <row r="68" spans="1:16" x14ac:dyDescent="0.3">
      <c r="A68" s="14"/>
      <c r="B68" s="14" t="str">
        <f>Fill_Value(quality!B68)</f>
        <v/>
      </c>
      <c r="C68" s="14" t="str">
        <f>Fill_Value(quality!C68)</f>
        <v>speed_wall_x</v>
      </c>
      <c r="D68" s="15">
        <v>40</v>
      </c>
      <c r="E68" s="16">
        <f t="shared" ca="1" si="0"/>
        <v>40</v>
      </c>
      <c r="F68" s="16">
        <f t="shared" ca="1" si="0"/>
        <v>40</v>
      </c>
      <c r="G68" s="16">
        <f t="shared" ca="1" si="0"/>
        <v>40</v>
      </c>
      <c r="H68" s="16">
        <f t="shared" ca="1" si="0"/>
        <v>40</v>
      </c>
      <c r="I68" s="16">
        <f t="shared" ca="1" si="0"/>
        <v>35</v>
      </c>
      <c r="J68" s="16">
        <f t="shared" ca="1" si="0"/>
        <v>28</v>
      </c>
      <c r="K68" s="16">
        <f t="shared" ca="1" si="0"/>
        <v>23</v>
      </c>
      <c r="L68" s="16">
        <f t="shared" ca="1" si="0"/>
        <v>20</v>
      </c>
      <c r="M68" s="16">
        <f t="shared" ca="1" si="0"/>
        <v>17</v>
      </c>
      <c r="N68" s="16">
        <f t="shared" ca="1" si="0"/>
        <v>15</v>
      </c>
      <c r="O68" s="16">
        <f t="shared" ca="1" si="0"/>
        <v>14</v>
      </c>
      <c r="P68" s="14"/>
    </row>
    <row r="69" spans="1:16" x14ac:dyDescent="0.3">
      <c r="A69" s="17"/>
      <c r="B69" s="17" t="str">
        <f>Fill_Value(quality!B69)</f>
        <v/>
      </c>
      <c r="C69" s="17" t="str">
        <f>Fill_Value(quality!C69)</f>
        <v>speed_topbottom</v>
      </c>
      <c r="D69" s="18">
        <v>35</v>
      </c>
      <c r="E69" s="19">
        <f t="shared" ca="1" si="0"/>
        <v>35</v>
      </c>
      <c r="F69" s="19">
        <f t="shared" ca="1" si="0"/>
        <v>35</v>
      </c>
      <c r="G69" s="19">
        <f t="shared" ca="1" si="0"/>
        <v>35</v>
      </c>
      <c r="H69" s="19">
        <f t="shared" ca="1" si="0"/>
        <v>35</v>
      </c>
      <c r="I69" s="19">
        <f t="shared" ca="1" si="0"/>
        <v>35</v>
      </c>
      <c r="J69" s="19">
        <f t="shared" ca="1" si="0"/>
        <v>28</v>
      </c>
      <c r="K69" s="19">
        <f t="shared" ca="1" si="0"/>
        <v>23</v>
      </c>
      <c r="L69" s="19">
        <f t="shared" ca="1" si="0"/>
        <v>20</v>
      </c>
      <c r="M69" s="19">
        <f t="shared" ca="1" si="0"/>
        <v>17</v>
      </c>
      <c r="N69" s="19">
        <f t="shared" ca="1" si="0"/>
        <v>15</v>
      </c>
      <c r="O69" s="19">
        <f t="shared" ca="1" si="0"/>
        <v>14</v>
      </c>
      <c r="P69" s="23"/>
    </row>
    <row r="70" spans="1:16" x14ac:dyDescent="0.3">
      <c r="A70" s="14"/>
      <c r="B70" s="14" t="str">
        <f>Fill_Value(quality!B70)</f>
        <v/>
      </c>
      <c r="C70" s="14" t="str">
        <f>Fill_Value(quality!C70)</f>
        <v>speed_support</v>
      </c>
      <c r="D70" s="15">
        <v>45</v>
      </c>
      <c r="E70" s="16">
        <f t="shared" ca="1" si="0"/>
        <v>45</v>
      </c>
      <c r="F70" s="16">
        <f t="shared" ca="1" si="0"/>
        <v>45</v>
      </c>
      <c r="G70" s="16">
        <f t="shared" ca="1" si="0"/>
        <v>45</v>
      </c>
      <c r="H70" s="16">
        <f t="shared" ca="1" si="0"/>
        <v>40</v>
      </c>
      <c r="I70" s="16">
        <f t="shared" ca="1" si="0"/>
        <v>35</v>
      </c>
      <c r="J70" s="16">
        <f t="shared" ca="1" si="0"/>
        <v>28</v>
      </c>
      <c r="K70" s="16">
        <f t="shared" ca="1" si="0"/>
        <v>23</v>
      </c>
      <c r="L70" s="16">
        <f t="shared" ca="1" si="0"/>
        <v>20</v>
      </c>
      <c r="M70" s="16">
        <f t="shared" ca="1" si="0"/>
        <v>17</v>
      </c>
      <c r="N70" s="16">
        <f t="shared" ca="1" si="0"/>
        <v>15</v>
      </c>
      <c r="O70" s="16">
        <f t="shared" ca="1" si="0"/>
        <v>14</v>
      </c>
      <c r="P70" s="14"/>
    </row>
    <row r="71" spans="1:16" x14ac:dyDescent="0.3">
      <c r="A71" s="17"/>
      <c r="B71" s="17" t="str">
        <f>Fill_Value(quality!B71)</f>
        <v/>
      </c>
      <c r="C71" s="17" t="str">
        <f>Fill_Value(quality!C71)</f>
        <v>speed_travel</v>
      </c>
      <c r="D71" s="18"/>
      <c r="E71" s="19"/>
      <c r="F71" s="19"/>
      <c r="G71" s="19"/>
      <c r="H71" s="19"/>
      <c r="I71" s="19"/>
      <c r="J71" s="19"/>
      <c r="K71" s="19"/>
      <c r="L71" s="19"/>
      <c r="M71" s="19"/>
      <c r="N71" s="19"/>
      <c r="O71" s="19"/>
      <c r="P71" s="17"/>
    </row>
    <row r="72" spans="1:16" x14ac:dyDescent="0.3">
      <c r="A72" s="14"/>
      <c r="B72" s="14" t="str">
        <f>Fill_Value(quality!B72)</f>
        <v/>
      </c>
      <c r="C72" s="14" t="str">
        <f>Fill_Value(quality!C72)</f>
        <v>speed_layer_0</v>
      </c>
      <c r="D72" s="15"/>
      <c r="E72" s="22"/>
      <c r="F72" s="22"/>
      <c r="G72" s="22"/>
      <c r="H72" s="22"/>
      <c r="I72" s="22"/>
      <c r="J72" s="22"/>
      <c r="K72" s="22"/>
      <c r="L72" s="22"/>
      <c r="M72" s="22"/>
      <c r="N72" s="22"/>
      <c r="O72" s="22"/>
      <c r="P72" s="14"/>
    </row>
    <row r="73" spans="1:16" x14ac:dyDescent="0.3">
      <c r="A73" s="17"/>
      <c r="B73" s="17" t="str">
        <f>Fill_Value(quality!B73)</f>
        <v/>
      </c>
      <c r="C73" s="17" t="str">
        <f>Fill_Value(quality!C73)</f>
        <v>speed_print_layer_0</v>
      </c>
      <c r="D73" s="18"/>
      <c r="E73" s="19"/>
      <c r="F73" s="19"/>
      <c r="G73" s="19"/>
      <c r="H73" s="19"/>
      <c r="I73" s="19"/>
      <c r="J73" s="19"/>
      <c r="K73" s="19"/>
      <c r="L73" s="19"/>
      <c r="M73" s="19"/>
      <c r="N73" s="19"/>
      <c r="O73" s="19"/>
      <c r="P73" s="17"/>
    </row>
    <row r="74" spans="1:16" x14ac:dyDescent="0.3">
      <c r="A74" s="14"/>
      <c r="B74" s="14" t="str">
        <f>Fill_Value(quality!B74)</f>
        <v/>
      </c>
      <c r="C74" s="14" t="str">
        <f>Fill_Value(quality!C74)</f>
        <v>speed_travel_layer_0</v>
      </c>
      <c r="D74" s="15"/>
      <c r="E74" s="16"/>
      <c r="F74" s="16"/>
      <c r="G74" s="16"/>
      <c r="H74" s="16"/>
      <c r="I74" s="16"/>
      <c r="J74" s="16"/>
      <c r="K74" s="16"/>
      <c r="L74" s="16"/>
      <c r="M74" s="16"/>
      <c r="N74" s="16"/>
      <c r="O74" s="16"/>
      <c r="P74" s="14"/>
    </row>
    <row r="75" spans="1:16" x14ac:dyDescent="0.3">
      <c r="A75" s="17"/>
      <c r="B75" s="17" t="str">
        <f>Fill_Value(quality!B75)</f>
        <v/>
      </c>
      <c r="C75" s="17" t="str">
        <f>Fill_Value(quality!C75)</f>
        <v>speed_slowdown_layers</v>
      </c>
      <c r="D75" s="18"/>
      <c r="E75" s="19"/>
      <c r="F75" s="19"/>
      <c r="G75" s="19"/>
      <c r="H75" s="19"/>
      <c r="I75" s="19"/>
      <c r="J75" s="19"/>
      <c r="K75" s="19"/>
      <c r="L75" s="19"/>
      <c r="M75" s="19"/>
      <c r="N75" s="19"/>
      <c r="O75" s="19"/>
      <c r="P75" s="17"/>
    </row>
    <row r="76" spans="1:16" x14ac:dyDescent="0.3">
      <c r="A76" s="14"/>
      <c r="B76" s="14" t="str">
        <f>Fill_Value(quality!B76)</f>
        <v/>
      </c>
      <c r="C76" s="14" t="str">
        <f>Fill_Value(quality!C76)</f>
        <v>speed_equalize_flow_enabled</v>
      </c>
      <c r="D76" s="15"/>
      <c r="E76" s="16"/>
      <c r="F76" s="16"/>
      <c r="G76" s="16"/>
      <c r="H76" s="16"/>
      <c r="I76" s="16"/>
      <c r="J76" s="16"/>
      <c r="K76" s="16"/>
      <c r="L76" s="16"/>
      <c r="M76" s="16"/>
      <c r="N76" s="16"/>
      <c r="O76" s="16"/>
      <c r="P76" s="14"/>
    </row>
    <row r="77" spans="1:16" x14ac:dyDescent="0.3">
      <c r="A77" s="17"/>
      <c r="B77" s="17" t="str">
        <f>Fill_Value(quality!B77)</f>
        <v/>
      </c>
      <c r="C77" s="17" t="str">
        <f>Fill_Value(quality!C77)</f>
        <v>acceleration_enabled</v>
      </c>
      <c r="D77" s="18"/>
      <c r="E77" s="19"/>
      <c r="F77" s="19"/>
      <c r="G77" s="19"/>
      <c r="H77" s="19"/>
      <c r="I77" s="19"/>
      <c r="J77" s="19"/>
      <c r="K77" s="19"/>
      <c r="L77" s="19"/>
      <c r="M77" s="19"/>
      <c r="N77" s="19"/>
      <c r="O77" s="19"/>
      <c r="P77" s="17"/>
    </row>
    <row r="78" spans="1:16" x14ac:dyDescent="0.3">
      <c r="A78" s="14"/>
      <c r="B78" s="14" t="str">
        <f>Fill_Value(quality!B78)</f>
        <v/>
      </c>
      <c r="C78" s="14" t="str">
        <f>Fill_Value(quality!C78)</f>
        <v>acceleration_print</v>
      </c>
      <c r="D78" s="15">
        <v>500</v>
      </c>
      <c r="E78" s="16"/>
      <c r="F78" s="16"/>
      <c r="G78" s="16"/>
      <c r="H78" s="16"/>
      <c r="I78" s="16"/>
      <c r="J78" s="16"/>
      <c r="K78" s="16"/>
      <c r="L78" s="16"/>
      <c r="M78" s="16"/>
      <c r="N78" s="16"/>
      <c r="O78" s="16"/>
      <c r="P78" s="14"/>
    </row>
    <row r="79" spans="1:16" x14ac:dyDescent="0.3">
      <c r="A79" s="17"/>
      <c r="B79" s="17" t="str">
        <f>Fill_Value(quality!B79)</f>
        <v/>
      </c>
      <c r="C79" s="17" t="str">
        <f>Fill_Value(quality!C79)</f>
        <v>acceleration_travel</v>
      </c>
      <c r="D79" s="18">
        <v>500</v>
      </c>
      <c r="E79" s="19"/>
      <c r="F79" s="19"/>
      <c r="G79" s="19"/>
      <c r="H79" s="19"/>
      <c r="I79" s="19"/>
      <c r="J79" s="19"/>
      <c r="K79" s="19"/>
      <c r="L79" s="19"/>
      <c r="M79" s="19"/>
      <c r="N79" s="19"/>
      <c r="O79" s="19"/>
      <c r="P79" s="17"/>
    </row>
    <row r="80" spans="1:16" x14ac:dyDescent="0.3">
      <c r="A80" s="14"/>
      <c r="B80" s="14" t="str">
        <f>Fill_Value(quality!B80)</f>
        <v/>
      </c>
      <c r="C80" s="14" t="str">
        <f>Fill_Value(quality!C80)</f>
        <v>acceleration_layer_0</v>
      </c>
      <c r="D80" s="15">
        <v>500</v>
      </c>
      <c r="E80" s="16"/>
      <c r="F80" s="16"/>
      <c r="G80" s="16"/>
      <c r="H80" s="16"/>
      <c r="I80" s="16"/>
      <c r="J80" s="16"/>
      <c r="K80" s="16"/>
      <c r="L80" s="16"/>
      <c r="M80" s="16"/>
      <c r="N80" s="16"/>
      <c r="O80" s="16"/>
      <c r="P80" s="14"/>
    </row>
    <row r="81" spans="1:16" x14ac:dyDescent="0.3">
      <c r="A81" s="17"/>
      <c r="B81" s="17" t="str">
        <f>Fill_Value(quality!B81)</f>
        <v/>
      </c>
      <c r="C81" s="17" t="str">
        <f>Fill_Value(quality!C81)</f>
        <v>jerk_enabled</v>
      </c>
      <c r="D81" s="18"/>
      <c r="E81" s="19"/>
      <c r="F81" s="19"/>
      <c r="G81" s="19"/>
      <c r="H81" s="19"/>
      <c r="I81" s="19"/>
      <c r="J81" s="19"/>
      <c r="K81" s="19"/>
      <c r="L81" s="19"/>
      <c r="M81" s="19"/>
      <c r="N81" s="19"/>
      <c r="O81" s="19"/>
      <c r="P81" s="17"/>
    </row>
    <row r="82" spans="1:16" x14ac:dyDescent="0.3">
      <c r="A82" s="14"/>
      <c r="B82" s="14" t="str">
        <f>Fill_Value(quality!B82)</f>
        <v/>
      </c>
      <c r="C82" s="14" t="str">
        <f>Fill_Value(quality!C82)</f>
        <v>jerk_print</v>
      </c>
      <c r="D82" s="15"/>
      <c r="E82" s="16"/>
      <c r="F82" s="16"/>
      <c r="G82" s="16"/>
      <c r="H82" s="16"/>
      <c r="I82" s="16"/>
      <c r="J82" s="16"/>
      <c r="K82" s="16"/>
      <c r="L82" s="16"/>
      <c r="M82" s="16"/>
      <c r="N82" s="16"/>
      <c r="O82" s="16"/>
      <c r="P82" s="14"/>
    </row>
    <row r="83" spans="1:16" x14ac:dyDescent="0.3">
      <c r="A83" s="17"/>
      <c r="B83" s="17" t="str">
        <f>Fill_Value(quality!B83)</f>
        <v/>
      </c>
      <c r="C83" s="17" t="str">
        <f>Fill_Value(quality!C83)</f>
        <v>jerk_travel</v>
      </c>
      <c r="D83" s="18"/>
      <c r="E83" s="19"/>
      <c r="F83" s="19"/>
      <c r="G83" s="19"/>
      <c r="H83" s="19"/>
      <c r="I83" s="19"/>
      <c r="J83" s="19"/>
      <c r="K83" s="19"/>
      <c r="L83" s="19"/>
      <c r="M83" s="19"/>
      <c r="N83" s="19"/>
      <c r="O83" s="19"/>
      <c r="P83" s="17"/>
    </row>
    <row r="84" spans="1:16" x14ac:dyDescent="0.3">
      <c r="A84" s="14"/>
      <c r="B84" s="14" t="str">
        <f>Fill_Value(quality!B84)</f>
        <v/>
      </c>
      <c r="C84" s="14" t="str">
        <f>Fill_Value(quality!C84)</f>
        <v>jerk_layer_0</v>
      </c>
      <c r="D84" s="15"/>
      <c r="E84" s="16"/>
      <c r="F84" s="16"/>
      <c r="G84" s="16"/>
      <c r="H84" s="16"/>
      <c r="I84" s="16"/>
      <c r="J84" s="16"/>
      <c r="K84" s="16"/>
      <c r="L84" s="16"/>
      <c r="M84" s="16"/>
      <c r="N84" s="16"/>
      <c r="O84" s="16"/>
      <c r="P84" s="14"/>
    </row>
    <row r="85" spans="1:16" x14ac:dyDescent="0.3">
      <c r="A85" s="17"/>
      <c r="B85" s="17" t="str">
        <f>Fill_Value(quality!B85)</f>
        <v>Travel</v>
      </c>
      <c r="C85" s="17" t="str">
        <f>Fill_Value(quality!C85)</f>
        <v>retraction_combing</v>
      </c>
      <c r="D85" s="18"/>
      <c r="E85" s="19"/>
      <c r="F85" s="19"/>
      <c r="G85" s="19"/>
      <c r="H85" s="19"/>
      <c r="I85" s="19"/>
      <c r="J85" s="19"/>
      <c r="K85" s="19"/>
      <c r="L85" s="19"/>
      <c r="M85" s="19"/>
      <c r="N85" s="19"/>
      <c r="O85" s="19"/>
      <c r="P85" s="17"/>
    </row>
    <row r="86" spans="1:16" x14ac:dyDescent="0.3">
      <c r="A86" s="14"/>
      <c r="B86" s="14" t="str">
        <f>Fill_Value(quality!B86)</f>
        <v/>
      </c>
      <c r="C86" s="14" t="str">
        <f>Fill_Value(quality!C86)</f>
        <v>retraction_combing_max_distance</v>
      </c>
      <c r="D86" s="15"/>
      <c r="E86" s="16"/>
      <c r="F86" s="16"/>
      <c r="G86" s="16"/>
      <c r="H86" s="16"/>
      <c r="I86" s="16"/>
      <c r="J86" s="16"/>
      <c r="K86" s="16"/>
      <c r="L86" s="16"/>
      <c r="M86" s="16"/>
      <c r="N86" s="16"/>
      <c r="O86" s="16"/>
      <c r="P86" s="14"/>
    </row>
    <row r="87" spans="1:16" x14ac:dyDescent="0.3">
      <c r="A87" s="17"/>
      <c r="B87" s="17" t="str">
        <f>Fill_Value(quality!B87)</f>
        <v/>
      </c>
      <c r="C87" s="17" t="str">
        <f>Fill_Value(quality!C87)</f>
        <v>travel_retract_before_outer_wall</v>
      </c>
      <c r="D87" s="18"/>
      <c r="E87" s="19"/>
      <c r="F87" s="19"/>
      <c r="G87" s="19"/>
      <c r="H87" s="19"/>
      <c r="I87" s="19"/>
      <c r="J87" s="19"/>
      <c r="K87" s="19"/>
      <c r="L87" s="19"/>
      <c r="M87" s="19"/>
      <c r="N87" s="19"/>
      <c r="O87" s="19"/>
      <c r="P87" s="17"/>
    </row>
    <row r="88" spans="1:16" x14ac:dyDescent="0.3">
      <c r="A88" s="14"/>
      <c r="B88" s="14" t="str">
        <f>Fill_Value(quality!B88)</f>
        <v/>
      </c>
      <c r="C88" s="14" t="str">
        <f>Fill_Value(quality!C88)</f>
        <v>travel_avoid_other_parts</v>
      </c>
      <c r="D88" s="15"/>
      <c r="E88" s="16"/>
      <c r="F88" s="16"/>
      <c r="G88" s="16"/>
      <c r="H88" s="16"/>
      <c r="I88" s="16"/>
      <c r="J88" s="16"/>
      <c r="K88" s="16"/>
      <c r="L88" s="16"/>
      <c r="M88" s="16"/>
      <c r="N88" s="16"/>
      <c r="O88" s="16"/>
      <c r="P88" s="14"/>
    </row>
    <row r="89" spans="1:16" x14ac:dyDescent="0.3">
      <c r="A89" s="17"/>
      <c r="B89" s="17" t="str">
        <f>Fill_Value(quality!B89)</f>
        <v/>
      </c>
      <c r="C89" s="17" t="str">
        <f>Fill_Value(quality!C89)</f>
        <v>travel_avoid_supports</v>
      </c>
      <c r="D89" s="18"/>
      <c r="E89" s="19"/>
      <c r="F89" s="19"/>
      <c r="G89" s="19"/>
      <c r="H89" s="19"/>
      <c r="I89" s="19"/>
      <c r="J89" s="19"/>
      <c r="K89" s="19"/>
      <c r="L89" s="19"/>
      <c r="M89" s="19"/>
      <c r="N89" s="19"/>
      <c r="O89" s="19"/>
      <c r="P89" s="17"/>
    </row>
    <row r="90" spans="1:16" x14ac:dyDescent="0.3">
      <c r="A90" s="14"/>
      <c r="B90" s="14" t="str">
        <f>Fill_Value(quality!B90)</f>
        <v/>
      </c>
      <c r="C90" s="14" t="str">
        <f>Fill_Value(quality!C90)</f>
        <v>start_layers_at_same_position</v>
      </c>
      <c r="D90" s="15"/>
      <c r="E90" s="16"/>
      <c r="F90" s="16"/>
      <c r="G90" s="16"/>
      <c r="H90" s="16"/>
      <c r="I90" s="16"/>
      <c r="J90" s="16"/>
      <c r="K90" s="16"/>
      <c r="L90" s="16"/>
      <c r="M90" s="16"/>
      <c r="N90" s="16"/>
      <c r="O90" s="16"/>
      <c r="P90" s="14"/>
    </row>
    <row r="91" spans="1:16" x14ac:dyDescent="0.3">
      <c r="A91" s="17"/>
      <c r="B91" s="17" t="str">
        <f>Fill_Value(quality!B91)</f>
        <v/>
      </c>
      <c r="C91" s="17" t="str">
        <f>Fill_Value(quality!C91)</f>
        <v>retraction_hop_enabled</v>
      </c>
      <c r="D91" s="18" t="str">
        <f>"True"</f>
        <v>True</v>
      </c>
      <c r="E91" s="19"/>
      <c r="F91" s="19"/>
      <c r="G91" s="19"/>
      <c r="H91" s="19"/>
      <c r="I91" s="19"/>
      <c r="J91" s="19"/>
      <c r="K91" s="19"/>
      <c r="L91" s="19"/>
      <c r="M91" s="19"/>
      <c r="N91" s="19"/>
      <c r="O91" s="19"/>
      <c r="P91" s="17"/>
    </row>
    <row r="92" spans="1:16" x14ac:dyDescent="0.3">
      <c r="A92" s="14"/>
      <c r="B92" s="14" t="str">
        <f>Fill_Value(quality!B92)</f>
        <v/>
      </c>
      <c r="C92" s="14" t="str">
        <f>Fill_Value(quality!C92)</f>
        <v>retraction_hop_only_when_collides</v>
      </c>
      <c r="D92" s="15" t="str">
        <f>"False"</f>
        <v>False</v>
      </c>
      <c r="E92" s="16"/>
      <c r="F92" s="16"/>
      <c r="G92" s="16"/>
      <c r="H92" s="16"/>
      <c r="I92" s="16"/>
      <c r="J92" s="16"/>
      <c r="K92" s="16"/>
      <c r="L92" s="16"/>
      <c r="M92" s="16"/>
      <c r="N92" s="16"/>
      <c r="O92" s="16"/>
      <c r="P92" s="14"/>
    </row>
    <row r="93" spans="1:16" x14ac:dyDescent="0.3">
      <c r="A93" s="17"/>
      <c r="B93" s="17" t="str">
        <f>Fill_Value(quality!B93)</f>
        <v/>
      </c>
      <c r="C93" s="17" t="str">
        <f>Fill_Value(quality!C93)</f>
        <v>retraction_hop</v>
      </c>
      <c r="D93" s="18">
        <v>0.4</v>
      </c>
      <c r="E93" s="19"/>
      <c r="F93" s="19"/>
      <c r="G93" s="19"/>
      <c r="H93" s="19"/>
      <c r="I93" s="19"/>
      <c r="J93" s="19"/>
      <c r="K93" s="19"/>
      <c r="L93" s="19"/>
      <c r="M93" s="19"/>
      <c r="N93" s="19"/>
      <c r="O93" s="19"/>
      <c r="P93" s="17"/>
    </row>
    <row r="94" spans="1:16" x14ac:dyDescent="0.3">
      <c r="A94" s="14"/>
      <c r="B94" s="14" t="str">
        <f>Fill_Value(quality!B94)</f>
        <v>Cooling</v>
      </c>
      <c r="C94" s="14" t="str">
        <f>Fill_Value(quality!C94)</f>
        <v>cool_fan_enabled</v>
      </c>
      <c r="D94" s="15" t="str">
        <f>"True"</f>
        <v>True</v>
      </c>
      <c r="E94" s="16"/>
      <c r="F94" s="16"/>
      <c r="G94" s="16"/>
      <c r="H94" s="16"/>
      <c r="I94" s="16"/>
      <c r="J94" s="16"/>
      <c r="K94" s="16"/>
      <c r="L94" s="16"/>
      <c r="M94" s="16"/>
      <c r="N94" s="16"/>
      <c r="O94" s="16"/>
      <c r="P94" s="14"/>
    </row>
    <row r="95" spans="1:16" x14ac:dyDescent="0.3">
      <c r="A95" s="17"/>
      <c r="B95" s="17" t="str">
        <f>Fill_Value(quality!B95)</f>
        <v/>
      </c>
      <c r="C95" s="17" t="str">
        <f>Fill_Value(quality!C95)</f>
        <v>cool_fan_speed</v>
      </c>
      <c r="D95" s="18">
        <v>30</v>
      </c>
      <c r="E95" s="19"/>
      <c r="F95" s="19"/>
      <c r="G95" s="19"/>
      <c r="H95" s="19"/>
      <c r="I95" s="19"/>
      <c r="J95" s="19"/>
      <c r="K95" s="19"/>
      <c r="L95" s="19"/>
      <c r="M95" s="19"/>
      <c r="N95" s="19"/>
      <c r="O95" s="19"/>
      <c r="P95" s="17"/>
    </row>
    <row r="96" spans="1:16" x14ac:dyDescent="0.3">
      <c r="A96" s="14"/>
      <c r="B96" s="14" t="str">
        <f>Fill_Value(quality!B96)</f>
        <v/>
      </c>
      <c r="C96" s="14" t="str">
        <f>Fill_Value(quality!C96)</f>
        <v>cool_fan_speed_min</v>
      </c>
      <c r="D96" s="15">
        <v>10</v>
      </c>
      <c r="E96" s="16"/>
      <c r="F96" s="16"/>
      <c r="G96" s="16"/>
      <c r="H96" s="16"/>
      <c r="I96" s="16"/>
      <c r="J96" s="16"/>
      <c r="K96" s="16"/>
      <c r="L96" s="16"/>
      <c r="M96" s="16"/>
      <c r="N96" s="16"/>
      <c r="O96" s="16"/>
      <c r="P96" s="14"/>
    </row>
    <row r="97" spans="1:16" x14ac:dyDescent="0.3">
      <c r="A97" s="17"/>
      <c r="B97" s="17" t="str">
        <f>Fill_Value(quality!B97)</f>
        <v/>
      </c>
      <c r="C97" s="17" t="str">
        <f>Fill_Value(quality!C97)</f>
        <v>cool_fan_speed_max</v>
      </c>
      <c r="D97" s="18"/>
      <c r="E97" s="19"/>
      <c r="F97" s="19"/>
      <c r="G97" s="19"/>
      <c r="H97" s="19"/>
      <c r="I97" s="19"/>
      <c r="J97" s="19"/>
      <c r="K97" s="19"/>
      <c r="L97" s="19"/>
      <c r="M97" s="19"/>
      <c r="N97" s="19"/>
      <c r="O97" s="19"/>
      <c r="P97" s="17"/>
    </row>
    <row r="98" spans="1:16" x14ac:dyDescent="0.3">
      <c r="A98" s="14"/>
      <c r="B98" s="14" t="str">
        <f>Fill_Value(quality!B98)</f>
        <v/>
      </c>
      <c r="C98" s="14" t="str">
        <f>Fill_Value(quality!C98)</f>
        <v>cool_min_layer_time_fan_speed_max</v>
      </c>
      <c r="D98" s="15"/>
      <c r="E98" s="16"/>
      <c r="F98" s="16"/>
      <c r="G98" s="16"/>
      <c r="H98" s="16"/>
      <c r="I98" s="16"/>
      <c r="J98" s="16"/>
      <c r="K98" s="16"/>
      <c r="L98" s="16"/>
      <c r="M98" s="16"/>
      <c r="N98" s="16"/>
      <c r="O98" s="16"/>
      <c r="P98" s="14"/>
    </row>
    <row r="99" spans="1:16" x14ac:dyDescent="0.3">
      <c r="A99" s="17"/>
      <c r="B99" s="17" t="str">
        <f>Fill_Value(quality!B99)</f>
        <v/>
      </c>
      <c r="C99" s="17" t="str">
        <f>Fill_Value(quality!C99)</f>
        <v>cool_fan_speed_0</v>
      </c>
      <c r="D99" s="18"/>
      <c r="E99" s="19"/>
      <c r="F99" s="19"/>
      <c r="G99" s="19"/>
      <c r="H99" s="19"/>
      <c r="I99" s="19"/>
      <c r="J99" s="19"/>
      <c r="K99" s="19"/>
      <c r="L99" s="19"/>
      <c r="M99" s="19"/>
      <c r="N99" s="19"/>
      <c r="O99" s="19"/>
      <c r="P99" s="17"/>
    </row>
    <row r="100" spans="1:16" x14ac:dyDescent="0.3">
      <c r="A100" s="14"/>
      <c r="B100" s="14" t="str">
        <f>Fill_Value(quality!B100)</f>
        <v/>
      </c>
      <c r="C100" s="14" t="str">
        <f>Fill_Value(quality!C100)</f>
        <v>cool_fan_full_at_height</v>
      </c>
      <c r="D100" s="15"/>
      <c r="E100" s="16"/>
      <c r="F100" s="16"/>
      <c r="G100" s="16"/>
      <c r="H100" s="16"/>
      <c r="I100" s="16"/>
      <c r="J100" s="16"/>
      <c r="K100" s="16"/>
      <c r="L100" s="16"/>
      <c r="M100" s="16"/>
      <c r="N100" s="16"/>
      <c r="O100" s="16"/>
      <c r="P100" s="14"/>
    </row>
    <row r="101" spans="1:16" x14ac:dyDescent="0.3">
      <c r="A101" s="17"/>
      <c r="B101" s="17" t="str">
        <f>Fill_Value(quality!B101)</f>
        <v/>
      </c>
      <c r="C101" s="17" t="str">
        <f>Fill_Value(quality!C101)</f>
        <v>cool_fan_full_layer</v>
      </c>
      <c r="D101" s="18">
        <v>3</v>
      </c>
      <c r="E101" s="19"/>
      <c r="F101" s="19"/>
      <c r="G101" s="19"/>
      <c r="H101" s="19"/>
      <c r="I101" s="19"/>
      <c r="J101" s="19"/>
      <c r="K101" s="19"/>
      <c r="L101" s="19"/>
      <c r="M101" s="19"/>
      <c r="N101" s="19"/>
      <c r="O101" s="19"/>
      <c r="P101" s="17"/>
    </row>
    <row r="102" spans="1:16" x14ac:dyDescent="0.3">
      <c r="A102" s="14"/>
      <c r="B102" s="14" t="str">
        <f>Fill_Value(quality!B102)</f>
        <v/>
      </c>
      <c r="C102" s="14" t="str">
        <f>Fill_Value(quality!C102)</f>
        <v>cool_min_layer_time</v>
      </c>
      <c r="D102" s="15"/>
      <c r="E102" s="16"/>
      <c r="F102" s="16"/>
      <c r="G102" s="16"/>
      <c r="H102" s="16"/>
      <c r="I102" s="16"/>
      <c r="J102" s="16"/>
      <c r="K102" s="16"/>
      <c r="L102" s="16"/>
      <c r="M102" s="16"/>
      <c r="N102" s="16"/>
      <c r="O102" s="16"/>
      <c r="P102" s="14"/>
    </row>
    <row r="103" spans="1:16" x14ac:dyDescent="0.3">
      <c r="A103" s="17"/>
      <c r="B103" s="17" t="str">
        <f>Fill_Value(quality!B103)</f>
        <v/>
      </c>
      <c r="C103" s="17" t="str">
        <f>Fill_Value(quality!C103)</f>
        <v>cool_min_speed</v>
      </c>
      <c r="D103" s="18"/>
      <c r="E103" s="19"/>
      <c r="F103" s="19"/>
      <c r="G103" s="19"/>
      <c r="H103" s="19"/>
      <c r="I103" s="19"/>
      <c r="J103" s="19"/>
      <c r="K103" s="19"/>
      <c r="L103" s="19"/>
      <c r="M103" s="19"/>
      <c r="N103" s="19"/>
      <c r="O103" s="19"/>
      <c r="P103" s="17"/>
    </row>
    <row r="104" spans="1:16" x14ac:dyDescent="0.3">
      <c r="A104" s="14"/>
      <c r="B104" s="14" t="str">
        <f>Fill_Value(quality!B104)</f>
        <v/>
      </c>
      <c r="C104" s="14" t="str">
        <f>Fill_Value(quality!C104)</f>
        <v>cool_lift_head</v>
      </c>
      <c r="D104" s="15"/>
      <c r="E104" s="16"/>
      <c r="F104" s="16"/>
      <c r="G104" s="16"/>
      <c r="H104" s="16"/>
      <c r="I104" s="16"/>
      <c r="J104" s="16"/>
      <c r="K104" s="16"/>
      <c r="L104" s="16"/>
      <c r="M104" s="16"/>
      <c r="N104" s="16"/>
      <c r="O104" s="16"/>
      <c r="P104" s="14"/>
    </row>
    <row r="105" spans="1:16" x14ac:dyDescent="0.3">
      <c r="A105" s="17"/>
      <c r="B105" s="17" t="str">
        <f>Fill_Value(quality!B105)</f>
        <v>Support</v>
      </c>
      <c r="C105" s="17" t="str">
        <f>Fill_Value(quality!C105)</f>
        <v>support_enable</v>
      </c>
      <c r="D105" s="18"/>
      <c r="E105" s="19"/>
      <c r="F105" s="19"/>
      <c r="G105" s="19"/>
      <c r="H105" s="19"/>
      <c r="I105" s="19"/>
      <c r="J105" s="19"/>
      <c r="K105" s="19"/>
      <c r="L105" s="19"/>
      <c r="M105" s="19"/>
      <c r="N105" s="19"/>
      <c r="O105" s="19"/>
      <c r="P105" s="17"/>
    </row>
    <row r="106" spans="1:16" x14ac:dyDescent="0.3">
      <c r="A106" s="14"/>
      <c r="B106" s="14" t="str">
        <f>Fill_Value(quality!B106)</f>
        <v/>
      </c>
      <c r="C106" s="14" t="str">
        <f>Fill_Value(quality!C106)</f>
        <v>support_type</v>
      </c>
      <c r="D106" s="15"/>
      <c r="E106" s="16"/>
      <c r="F106" s="16"/>
      <c r="G106" s="16"/>
      <c r="H106" s="16"/>
      <c r="I106" s="16"/>
      <c r="J106" s="16"/>
      <c r="K106" s="16"/>
      <c r="L106" s="16"/>
      <c r="M106" s="16"/>
      <c r="N106" s="16"/>
      <c r="O106" s="16"/>
      <c r="P106" s="14"/>
    </row>
    <row r="107" spans="1:16" x14ac:dyDescent="0.3">
      <c r="A107" s="17"/>
      <c r="B107" s="17" t="str">
        <f>Fill_Value(quality!B107)</f>
        <v/>
      </c>
      <c r="C107" s="17" t="str">
        <f>Fill_Value(quality!C107)</f>
        <v>support_angle</v>
      </c>
      <c r="D107" s="18"/>
      <c r="E107" s="19"/>
      <c r="F107" s="19"/>
      <c r="G107" s="19"/>
      <c r="H107" s="19"/>
      <c r="I107" s="19"/>
      <c r="J107" s="19"/>
      <c r="K107" s="19"/>
      <c r="L107" s="19"/>
      <c r="M107" s="19"/>
      <c r="N107" s="19"/>
      <c r="O107" s="19"/>
      <c r="P107" s="17"/>
    </row>
    <row r="108" spans="1:16" x14ac:dyDescent="0.3">
      <c r="A108" s="14"/>
      <c r="B108" s="14" t="str">
        <f>Fill_Value(quality!B108)</f>
        <v/>
      </c>
      <c r="C108" s="14" t="str">
        <f>Fill_Value(quality!C108)</f>
        <v>support_wall_count</v>
      </c>
      <c r="D108" s="15"/>
      <c r="E108" s="16"/>
      <c r="F108" s="16"/>
      <c r="G108" s="16"/>
      <c r="H108" s="16"/>
      <c r="I108" s="16"/>
      <c r="J108" s="16"/>
      <c r="K108" s="16"/>
      <c r="L108" s="16"/>
      <c r="M108" s="16"/>
      <c r="N108" s="16"/>
      <c r="O108" s="16"/>
      <c r="P108" s="14"/>
    </row>
    <row r="109" spans="1:16" x14ac:dyDescent="0.3">
      <c r="A109" s="17"/>
      <c r="B109" s="17" t="str">
        <f>Fill_Value(quality!B109)</f>
        <v/>
      </c>
      <c r="C109" s="17" t="str">
        <f>Fill_Value(quality!C109)</f>
        <v>zig_zaggify_support</v>
      </c>
      <c r="D109" s="18"/>
      <c r="E109" s="19"/>
      <c r="F109" s="19"/>
      <c r="G109" s="19"/>
      <c r="H109" s="19"/>
      <c r="I109" s="19"/>
      <c r="J109" s="19"/>
      <c r="K109" s="19"/>
      <c r="L109" s="19"/>
      <c r="M109" s="19"/>
      <c r="N109" s="19"/>
      <c r="O109" s="19"/>
      <c r="P109" s="17"/>
    </row>
    <row r="110" spans="1:16" x14ac:dyDescent="0.3">
      <c r="A110" s="14"/>
      <c r="B110" s="14" t="str">
        <f>Fill_Value(quality!B110)</f>
        <v/>
      </c>
      <c r="C110" s="14" t="str">
        <f>Fill_Value(quality!C110)</f>
        <v>support_connect_zigzags</v>
      </c>
      <c r="D110" s="15"/>
      <c r="E110" s="16"/>
      <c r="F110" s="16"/>
      <c r="G110" s="16"/>
      <c r="H110" s="16"/>
      <c r="I110" s="16"/>
      <c r="J110" s="16"/>
      <c r="K110" s="16"/>
      <c r="L110" s="16"/>
      <c r="M110" s="16"/>
      <c r="N110" s="16"/>
      <c r="O110" s="16"/>
      <c r="P110" s="14"/>
    </row>
    <row r="111" spans="1:16" x14ac:dyDescent="0.3">
      <c r="A111" s="17"/>
      <c r="B111" s="17" t="str">
        <f>Fill_Value(quality!B111)</f>
        <v/>
      </c>
      <c r="C111" s="17" t="str">
        <f>Fill_Value(quality!C111)</f>
        <v>support_infill_rate</v>
      </c>
      <c r="D111" s="18"/>
      <c r="E111" s="19"/>
      <c r="F111" s="19"/>
      <c r="G111" s="19"/>
      <c r="H111" s="19"/>
      <c r="I111" s="19"/>
      <c r="J111" s="19"/>
      <c r="K111" s="19"/>
      <c r="L111" s="19"/>
      <c r="M111" s="19"/>
      <c r="N111" s="19"/>
      <c r="O111" s="19"/>
      <c r="P111" s="17"/>
    </row>
    <row r="112" spans="1:16" x14ac:dyDescent="0.3">
      <c r="A112" s="14"/>
      <c r="B112" s="14" t="str">
        <f>Fill_Value(quality!B112)</f>
        <v/>
      </c>
      <c r="C112" s="14" t="str">
        <f>Fill_Value(quality!C112)</f>
        <v>support_brim_enable</v>
      </c>
      <c r="D112" s="15"/>
      <c r="E112" s="16"/>
      <c r="F112" s="16"/>
      <c r="G112" s="16"/>
      <c r="H112" s="16"/>
      <c r="I112" s="16"/>
      <c r="J112" s="16"/>
      <c r="K112" s="16"/>
      <c r="L112" s="16"/>
      <c r="M112" s="16"/>
      <c r="N112" s="16"/>
      <c r="O112" s="16"/>
      <c r="P112" s="14"/>
    </row>
    <row r="113" spans="1:16" x14ac:dyDescent="0.3">
      <c r="A113" s="17"/>
      <c r="B113" s="17" t="str">
        <f>Fill_Value(quality!B113)</f>
        <v/>
      </c>
      <c r="C113" s="17" t="str">
        <f>Fill_Value(quality!C113)</f>
        <v>support_brim_width</v>
      </c>
      <c r="D113" s="18"/>
      <c r="E113" s="19"/>
      <c r="F113" s="19"/>
      <c r="G113" s="19"/>
      <c r="H113" s="19"/>
      <c r="I113" s="19"/>
      <c r="J113" s="19"/>
      <c r="K113" s="19"/>
      <c r="L113" s="19"/>
      <c r="M113" s="19"/>
      <c r="N113" s="19"/>
      <c r="O113" s="19"/>
      <c r="P113" s="17"/>
    </row>
    <row r="114" spans="1:16" x14ac:dyDescent="0.3">
      <c r="A114" s="14"/>
      <c r="B114" s="14" t="str">
        <f>Fill_Value(quality!B114)</f>
        <v/>
      </c>
      <c r="C114" s="14" t="str">
        <f>Fill_Value(quality!C114)</f>
        <v>support_z_distance</v>
      </c>
      <c r="D114" s="15"/>
      <c r="E114" s="16"/>
      <c r="F114" s="16"/>
      <c r="G114" s="16"/>
      <c r="H114" s="16"/>
      <c r="I114" s="16"/>
      <c r="J114" s="16"/>
      <c r="K114" s="16"/>
      <c r="L114" s="16"/>
      <c r="M114" s="16"/>
      <c r="N114" s="16"/>
      <c r="O114" s="16"/>
      <c r="P114" s="14"/>
    </row>
    <row r="115" spans="1:16" x14ac:dyDescent="0.3">
      <c r="A115" s="17"/>
      <c r="B115" s="17" t="str">
        <f>Fill_Value(quality!B115)</f>
        <v/>
      </c>
      <c r="C115" s="17" t="str">
        <f>Fill_Value(quality!C115)</f>
        <v>support_xy_distance</v>
      </c>
      <c r="D115" s="18"/>
      <c r="E115" s="19"/>
      <c r="F115" s="19"/>
      <c r="G115" s="19"/>
      <c r="H115" s="19"/>
      <c r="I115" s="19"/>
      <c r="J115" s="19"/>
      <c r="K115" s="19"/>
      <c r="L115" s="19"/>
      <c r="M115" s="19"/>
      <c r="N115" s="19"/>
      <c r="O115" s="19"/>
      <c r="P115" s="17"/>
    </row>
    <row r="116" spans="1:16" x14ac:dyDescent="0.3">
      <c r="A116" s="14"/>
      <c r="B116" s="14" t="str">
        <f>Fill_Value(quality!B116)</f>
        <v/>
      </c>
      <c r="C116" s="14" t="str">
        <f>Fill_Value(quality!C116)</f>
        <v>support_xy_distance_overhang</v>
      </c>
      <c r="D116" s="15"/>
      <c r="E116" s="16"/>
      <c r="F116" s="16"/>
      <c r="G116" s="16"/>
      <c r="H116" s="16"/>
      <c r="I116" s="16"/>
      <c r="J116" s="16"/>
      <c r="K116" s="16"/>
      <c r="L116" s="16"/>
      <c r="M116" s="16"/>
      <c r="N116" s="16"/>
      <c r="O116" s="16"/>
      <c r="P116" s="14"/>
    </row>
    <row r="117" spans="1:16" x14ac:dyDescent="0.3">
      <c r="A117" s="17"/>
      <c r="B117" s="17" t="str">
        <f>Fill_Value(quality!B117)</f>
        <v/>
      </c>
      <c r="C117" s="17" t="str">
        <f>Fill_Value(quality!C117)</f>
        <v>support_join_distance</v>
      </c>
      <c r="D117" s="18"/>
      <c r="E117" s="19"/>
      <c r="F117" s="19"/>
      <c r="G117" s="19"/>
      <c r="H117" s="19"/>
      <c r="I117" s="19"/>
      <c r="J117" s="19"/>
      <c r="K117" s="19"/>
      <c r="L117" s="19"/>
      <c r="M117" s="19"/>
      <c r="N117" s="19"/>
      <c r="O117" s="19"/>
      <c r="P117" s="17"/>
    </row>
    <row r="118" spans="1:16" x14ac:dyDescent="0.3">
      <c r="A118" s="14"/>
      <c r="B118" s="14" t="str">
        <f>Fill_Value(quality!B118)</f>
        <v/>
      </c>
      <c r="C118" s="14" t="str">
        <f>Fill_Value(quality!C118)</f>
        <v>support_offset</v>
      </c>
      <c r="D118" s="15"/>
      <c r="E118" s="16"/>
      <c r="F118" s="16"/>
      <c r="G118" s="16"/>
      <c r="H118" s="16"/>
      <c r="I118" s="16"/>
      <c r="J118" s="16"/>
      <c r="K118" s="16"/>
      <c r="L118" s="16"/>
      <c r="M118" s="16"/>
      <c r="N118" s="16"/>
      <c r="O118" s="16"/>
      <c r="P118" s="14"/>
    </row>
    <row r="119" spans="1:16" x14ac:dyDescent="0.3">
      <c r="A119" s="17"/>
      <c r="B119" s="17" t="str">
        <f>Fill_Value(quality!B119)</f>
        <v/>
      </c>
      <c r="C119" s="17" t="str">
        <f>Fill_Value(quality!C119)</f>
        <v>support_infill_sparse_thickness</v>
      </c>
      <c r="D119" s="18"/>
      <c r="E119" s="19"/>
      <c r="F119" s="19"/>
      <c r="G119" s="19"/>
      <c r="H119" s="19"/>
      <c r="I119" s="19"/>
      <c r="J119" s="19"/>
      <c r="K119" s="19"/>
      <c r="L119" s="19"/>
      <c r="M119" s="19"/>
      <c r="N119" s="19"/>
      <c r="O119" s="19"/>
      <c r="P119" s="17"/>
    </row>
    <row r="120" spans="1:16" x14ac:dyDescent="0.3">
      <c r="A120" s="14"/>
      <c r="B120" s="14" t="str">
        <f>Fill_Value(quality!B120)</f>
        <v/>
      </c>
      <c r="C120" s="14" t="str">
        <f>Fill_Value(quality!C120)</f>
        <v>minimum_support_area</v>
      </c>
      <c r="D120" s="15"/>
      <c r="E120" s="16"/>
      <c r="F120" s="16"/>
      <c r="G120" s="16"/>
      <c r="H120" s="16"/>
      <c r="I120" s="16"/>
      <c r="J120" s="16"/>
      <c r="K120" s="16"/>
      <c r="L120" s="16"/>
      <c r="M120" s="16"/>
      <c r="N120" s="16"/>
      <c r="O120" s="16"/>
      <c r="P120" s="14"/>
    </row>
    <row r="121" spans="1:16" x14ac:dyDescent="0.3">
      <c r="A121" s="17"/>
      <c r="B121" s="17" t="str">
        <f>Fill_Value(quality!B121)</f>
        <v/>
      </c>
      <c r="C121" s="17" t="str">
        <f>Fill_Value(quality!C121)</f>
        <v>support_interface_enable</v>
      </c>
      <c r="D121" s="18"/>
      <c r="E121" s="19"/>
      <c r="F121" s="19"/>
      <c r="G121" s="19"/>
      <c r="H121" s="19"/>
      <c r="I121" s="19"/>
      <c r="J121" s="19"/>
      <c r="K121" s="19"/>
      <c r="L121" s="19"/>
      <c r="M121" s="19"/>
      <c r="N121" s="19"/>
      <c r="O121" s="19"/>
      <c r="P121" s="17"/>
    </row>
    <row r="122" spans="1:16" x14ac:dyDescent="0.3">
      <c r="A122" s="14"/>
      <c r="B122" s="14" t="str">
        <f>Fill_Value(quality!B122)</f>
        <v/>
      </c>
      <c r="C122" s="14" t="str">
        <f>Fill_Value(quality!C122)</f>
        <v>support_interface_height</v>
      </c>
      <c r="D122" s="15"/>
      <c r="E122" s="16"/>
      <c r="F122" s="16"/>
      <c r="G122" s="16"/>
      <c r="H122" s="16"/>
      <c r="I122" s="16"/>
      <c r="J122" s="16"/>
      <c r="K122" s="16"/>
      <c r="L122" s="16"/>
      <c r="M122" s="16"/>
      <c r="N122" s="16"/>
      <c r="O122" s="16"/>
      <c r="P122" s="14"/>
    </row>
    <row r="123" spans="1:16" x14ac:dyDescent="0.3">
      <c r="A123" s="17"/>
      <c r="B123" s="17" t="str">
        <f>Fill_Value(quality!B123)</f>
        <v/>
      </c>
      <c r="C123" s="17" t="str">
        <f>Fill_Value(quality!C123)</f>
        <v>support_interface_density</v>
      </c>
      <c r="D123" s="18"/>
      <c r="E123" s="19"/>
      <c r="F123" s="19"/>
      <c r="G123" s="19"/>
      <c r="H123" s="19"/>
      <c r="I123" s="19"/>
      <c r="J123" s="19"/>
      <c r="K123" s="19"/>
      <c r="L123" s="19"/>
      <c r="M123" s="19"/>
      <c r="N123" s="19"/>
      <c r="O123" s="19"/>
      <c r="P123" s="17"/>
    </row>
    <row r="124" spans="1:16" x14ac:dyDescent="0.3">
      <c r="A124" s="14"/>
      <c r="B124" s="14" t="str">
        <f>Fill_Value(quality!B124)</f>
        <v/>
      </c>
      <c r="C124" s="14" t="str">
        <f>Fill_Value(quality!C124)</f>
        <v>support_roof_line_distance</v>
      </c>
      <c r="D124" s="15"/>
      <c r="E124" s="16"/>
      <c r="F124" s="16"/>
      <c r="G124" s="16"/>
      <c r="H124" s="16"/>
      <c r="I124" s="16"/>
      <c r="J124" s="16"/>
      <c r="K124" s="16"/>
      <c r="L124" s="16"/>
      <c r="M124" s="16"/>
      <c r="N124" s="16"/>
      <c r="O124" s="16"/>
      <c r="P124" s="14"/>
    </row>
    <row r="125" spans="1:16" x14ac:dyDescent="0.3">
      <c r="A125" s="17"/>
      <c r="B125" s="17" t="str">
        <f>Fill_Value(quality!B125)</f>
        <v/>
      </c>
      <c r="C125" s="17" t="str">
        <f>Fill_Value(quality!C125)</f>
        <v>support_bottom_line_distance</v>
      </c>
      <c r="D125" s="18"/>
      <c r="E125" s="19"/>
      <c r="F125" s="19"/>
      <c r="G125" s="19"/>
      <c r="H125" s="19"/>
      <c r="I125" s="19"/>
      <c r="J125" s="19"/>
      <c r="K125" s="19"/>
      <c r="L125" s="19"/>
      <c r="M125" s="19"/>
      <c r="N125" s="19"/>
      <c r="O125" s="19"/>
      <c r="P125" s="17"/>
    </row>
    <row r="126" spans="1:16" x14ac:dyDescent="0.3">
      <c r="A126" s="14"/>
      <c r="B126" s="14" t="str">
        <f>Fill_Value(quality!B126)</f>
        <v/>
      </c>
      <c r="C126" s="14" t="str">
        <f>Fill_Value(quality!C126)</f>
        <v>support_interface_pattern</v>
      </c>
      <c r="D126" s="15"/>
      <c r="E126" s="16"/>
      <c r="F126" s="16"/>
      <c r="G126" s="16"/>
      <c r="H126" s="16"/>
      <c r="I126" s="16"/>
      <c r="J126" s="16"/>
      <c r="K126" s="16"/>
      <c r="L126" s="16"/>
      <c r="M126" s="16"/>
      <c r="N126" s="16"/>
      <c r="O126" s="16"/>
      <c r="P126" s="14"/>
    </row>
    <row r="127" spans="1:16" x14ac:dyDescent="0.3">
      <c r="A127" s="17"/>
      <c r="B127" s="17" t="str">
        <f>Fill_Value(quality!B127)</f>
        <v/>
      </c>
      <c r="C127" s="17" t="str">
        <f>Fill_Value(quality!C127)</f>
        <v>minimum_interface_area</v>
      </c>
      <c r="D127" s="18"/>
      <c r="E127" s="19"/>
      <c r="F127" s="19"/>
      <c r="G127" s="19"/>
      <c r="H127" s="19"/>
      <c r="I127" s="19"/>
      <c r="J127" s="19"/>
      <c r="K127" s="19"/>
      <c r="L127" s="19"/>
      <c r="M127" s="19"/>
      <c r="N127" s="19"/>
      <c r="O127" s="19"/>
      <c r="P127" s="17"/>
    </row>
    <row r="128" spans="1:16" x14ac:dyDescent="0.3">
      <c r="A128" s="14"/>
      <c r="B128" s="14" t="str">
        <f>Fill_Value(quality!B128)</f>
        <v/>
      </c>
      <c r="C128" s="14" t="str">
        <f>Fill_Value(quality!C128)</f>
        <v>support_interface_offset</v>
      </c>
      <c r="D128" s="15"/>
      <c r="E128" s="16"/>
      <c r="F128" s="16"/>
      <c r="G128" s="16"/>
      <c r="H128" s="16"/>
      <c r="I128" s="16"/>
      <c r="J128" s="16"/>
      <c r="K128" s="16"/>
      <c r="L128" s="16"/>
      <c r="M128" s="16"/>
      <c r="N128" s="16"/>
      <c r="O128" s="16"/>
      <c r="P128" s="14"/>
    </row>
    <row r="129" spans="1:16" x14ac:dyDescent="0.3">
      <c r="A129" s="17"/>
      <c r="B129" s="17" t="str">
        <f>Fill_Value(quality!B129)</f>
        <v/>
      </c>
      <c r="C129" s="17" t="str">
        <f>Fill_Value(quality!C129)</f>
        <v>support_fan_enable</v>
      </c>
      <c r="D129" s="18"/>
      <c r="E129" s="19"/>
      <c r="F129" s="19"/>
      <c r="G129" s="19"/>
      <c r="H129" s="19"/>
      <c r="I129" s="19"/>
      <c r="J129" s="19"/>
      <c r="K129" s="19"/>
      <c r="L129" s="19"/>
      <c r="M129" s="19"/>
      <c r="N129" s="19"/>
      <c r="O129" s="19"/>
      <c r="P129" s="17"/>
    </row>
    <row r="130" spans="1:16" x14ac:dyDescent="0.3">
      <c r="A130" s="14"/>
      <c r="B130" s="14" t="str">
        <f>Fill_Value(quality!B130)</f>
        <v/>
      </c>
      <c r="C130" s="14" t="str">
        <f>Fill_Value(quality!C130)</f>
        <v>support_supported_skin_fan_speed</v>
      </c>
      <c r="D130" s="15"/>
      <c r="E130" s="16"/>
      <c r="F130" s="16"/>
      <c r="G130" s="16"/>
      <c r="H130" s="16"/>
      <c r="I130" s="16"/>
      <c r="J130" s="16"/>
      <c r="K130" s="16"/>
      <c r="L130" s="16"/>
      <c r="M130" s="16"/>
      <c r="N130" s="16"/>
      <c r="O130" s="16"/>
      <c r="P130" s="14"/>
    </row>
    <row r="131" spans="1:16" x14ac:dyDescent="0.3">
      <c r="A131" s="17"/>
      <c r="B131" s="17" t="str">
        <f>Fill_Value(quality!B131)</f>
        <v/>
      </c>
      <c r="C131" s="17" t="str">
        <f>Fill_Value(quality!C131)</f>
        <v>support_use_towers</v>
      </c>
      <c r="D131" s="18"/>
      <c r="E131" s="19"/>
      <c r="F131" s="19"/>
      <c r="G131" s="19"/>
      <c r="H131" s="19"/>
      <c r="I131" s="19"/>
      <c r="J131" s="19"/>
      <c r="K131" s="19"/>
      <c r="L131" s="19"/>
      <c r="M131" s="19"/>
      <c r="N131" s="19"/>
      <c r="O131" s="19"/>
      <c r="P131" s="17"/>
    </row>
    <row r="132" spans="1:16" x14ac:dyDescent="0.3">
      <c r="A132" s="14"/>
      <c r="B132" s="14" t="str">
        <f>Fill_Value(quality!B132)</f>
        <v>Build Plate Adhesion</v>
      </c>
      <c r="C132" s="14" t="str">
        <f>Fill_Value(quality!C132)</f>
        <v>adhesion_type</v>
      </c>
      <c r="D132" s="15"/>
      <c r="E132" s="16"/>
      <c r="F132" s="16"/>
      <c r="G132" s="16"/>
      <c r="H132" s="16"/>
      <c r="I132" s="16"/>
      <c r="J132" s="16"/>
      <c r="K132" s="16"/>
      <c r="L132" s="16"/>
      <c r="M132" s="16"/>
      <c r="N132" s="16"/>
      <c r="O132" s="16"/>
      <c r="P132" s="14"/>
    </row>
    <row r="133" spans="1:16" x14ac:dyDescent="0.3">
      <c r="A133" s="17"/>
      <c r="B133" s="17" t="str">
        <f>Fill_Value(quality!B133)</f>
        <v/>
      </c>
      <c r="C133" s="17" t="str">
        <f>Fill_Value(quality!C133)</f>
        <v>skirt_line_count</v>
      </c>
      <c r="D133" s="18"/>
      <c r="E133" s="19"/>
      <c r="F133" s="19"/>
      <c r="G133" s="19"/>
      <c r="H133" s="19"/>
      <c r="I133" s="19"/>
      <c r="J133" s="19"/>
      <c r="K133" s="19"/>
      <c r="L133" s="19"/>
      <c r="M133" s="19"/>
      <c r="N133" s="19"/>
      <c r="O133" s="19"/>
      <c r="P133" s="17"/>
    </row>
    <row r="134" spans="1:16" x14ac:dyDescent="0.3">
      <c r="A134" s="14"/>
      <c r="B134" s="14" t="str">
        <f>Fill_Value(quality!B134)</f>
        <v/>
      </c>
      <c r="C134" s="14" t="str">
        <f>Fill_Value(quality!C134)</f>
        <v>skirt_gap</v>
      </c>
      <c r="D134" s="15"/>
      <c r="E134" s="16"/>
      <c r="F134" s="16"/>
      <c r="G134" s="16"/>
      <c r="H134" s="16"/>
      <c r="I134" s="16"/>
      <c r="J134" s="16"/>
      <c r="K134" s="16"/>
      <c r="L134" s="16"/>
      <c r="M134" s="16"/>
      <c r="N134" s="16"/>
      <c r="O134" s="16"/>
      <c r="P134" s="14"/>
    </row>
    <row r="135" spans="1:16" x14ac:dyDescent="0.3">
      <c r="A135" s="17"/>
      <c r="B135" s="17" t="str">
        <f>Fill_Value(quality!B135)</f>
        <v/>
      </c>
      <c r="C135" s="17" t="str">
        <f>Fill_Value(quality!C135)</f>
        <v>skirt_brim_minimal_length</v>
      </c>
      <c r="D135" s="18"/>
      <c r="E135" s="19"/>
      <c r="F135" s="19"/>
      <c r="G135" s="19"/>
      <c r="H135" s="19"/>
      <c r="I135" s="19"/>
      <c r="J135" s="19"/>
      <c r="K135" s="19"/>
      <c r="L135" s="19"/>
      <c r="M135" s="19"/>
      <c r="N135" s="19"/>
      <c r="O135" s="19"/>
      <c r="P135" s="17"/>
    </row>
    <row r="136" spans="1:16" x14ac:dyDescent="0.3">
      <c r="A136" s="14"/>
      <c r="B136" s="14" t="str">
        <f>Fill_Value(quality!B136)</f>
        <v/>
      </c>
      <c r="C136" s="14" t="str">
        <f>Fill_Value(quality!C136)</f>
        <v>brim_width</v>
      </c>
      <c r="D136" s="15"/>
      <c r="E136" s="16"/>
      <c r="F136" s="16"/>
      <c r="G136" s="16"/>
      <c r="H136" s="16"/>
      <c r="I136" s="16"/>
      <c r="J136" s="16"/>
      <c r="K136" s="16"/>
      <c r="L136" s="16"/>
      <c r="M136" s="16"/>
      <c r="N136" s="16"/>
      <c r="O136" s="16"/>
      <c r="P136" s="14"/>
    </row>
    <row r="137" spans="1:16" x14ac:dyDescent="0.3">
      <c r="A137" s="17"/>
      <c r="B137" s="17" t="str">
        <f>Fill_Value(quality!B137)</f>
        <v/>
      </c>
      <c r="C137" s="17" t="str">
        <f>Fill_Value(quality!C137)</f>
        <v>brim_line_count</v>
      </c>
      <c r="D137" s="18"/>
      <c r="E137" s="19"/>
      <c r="F137" s="19"/>
      <c r="G137" s="19"/>
      <c r="H137" s="19"/>
      <c r="I137" s="19"/>
      <c r="J137" s="19"/>
      <c r="K137" s="19"/>
      <c r="L137" s="19"/>
      <c r="M137" s="19"/>
      <c r="N137" s="19"/>
      <c r="O137" s="19"/>
      <c r="P137" s="17"/>
    </row>
    <row r="138" spans="1:16" x14ac:dyDescent="0.3">
      <c r="A138" s="14"/>
      <c r="B138" s="14" t="str">
        <f>Fill_Value(quality!B138)</f>
        <v/>
      </c>
      <c r="C138" s="14" t="str">
        <f>Fill_Value(quality!C138)</f>
        <v>brim_replaces_support</v>
      </c>
      <c r="D138" s="15"/>
      <c r="E138" s="16"/>
      <c r="F138" s="16"/>
      <c r="G138" s="16"/>
      <c r="H138" s="16"/>
      <c r="I138" s="16"/>
      <c r="J138" s="16"/>
      <c r="K138" s="16"/>
      <c r="L138" s="16"/>
      <c r="M138" s="16"/>
      <c r="N138" s="16"/>
      <c r="O138" s="16"/>
      <c r="P138" s="14"/>
    </row>
    <row r="139" spans="1:16" x14ac:dyDescent="0.3">
      <c r="A139" s="17"/>
      <c r="B139" s="17" t="str">
        <f>Fill_Value(quality!B139)</f>
        <v/>
      </c>
      <c r="C139" s="17" t="str">
        <f>Fill_Value(quality!C139)</f>
        <v>brim_outside_only</v>
      </c>
      <c r="D139" s="18"/>
      <c r="E139" s="19"/>
      <c r="F139" s="19"/>
      <c r="G139" s="19"/>
      <c r="H139" s="19"/>
      <c r="I139" s="19"/>
      <c r="J139" s="19"/>
      <c r="K139" s="19"/>
      <c r="L139" s="19"/>
      <c r="M139" s="19"/>
      <c r="N139" s="19"/>
      <c r="O139" s="19"/>
      <c r="P139" s="17"/>
    </row>
    <row r="140" spans="1:16" x14ac:dyDescent="0.3">
      <c r="A140" s="14"/>
      <c r="B140" s="14" t="str">
        <f>Fill_Value(quality!B140)</f>
        <v/>
      </c>
      <c r="C140" s="14" t="str">
        <f>Fill_Value(quality!C140)</f>
        <v>adhesion_z_offset_adjust</v>
      </c>
      <c r="D140" s="15">
        <v>0.08</v>
      </c>
      <c r="E140" s="16"/>
      <c r="F140" s="16"/>
      <c r="G140" s="16"/>
      <c r="H140" s="16"/>
      <c r="I140" s="16"/>
      <c r="J140" s="16"/>
      <c r="K140" s="16"/>
      <c r="L140" s="16"/>
      <c r="M140" s="16"/>
      <c r="N140" s="16"/>
      <c r="O140" s="16"/>
      <c r="P140" s="14"/>
    </row>
    <row r="141" spans="1:16" x14ac:dyDescent="0.3">
      <c r="A141" s="17"/>
      <c r="B141" s="17" t="str">
        <f>Fill_Value(quality!B141)</f>
        <v>Special Modes</v>
      </c>
      <c r="C141" s="17" t="str">
        <f>Fill_Value(quality!C141)</f>
        <v>relative_extrusion</v>
      </c>
      <c r="D141" s="18"/>
      <c r="E141" s="19"/>
      <c r="F141" s="19"/>
      <c r="G141" s="19"/>
      <c r="H141" s="19"/>
      <c r="I141" s="19"/>
      <c r="J141" s="19"/>
      <c r="K141" s="19"/>
      <c r="L141" s="19"/>
      <c r="M141" s="19"/>
      <c r="N141" s="19"/>
      <c r="O141" s="19"/>
      <c r="P141" s="17"/>
    </row>
    <row r="142" spans="1:16" x14ac:dyDescent="0.3">
      <c r="A142" s="14"/>
      <c r="B142" s="14" t="str">
        <f>Fill_Value(quality!B142)</f>
        <v>Experimental</v>
      </c>
      <c r="C142" s="14" t="str">
        <f>Fill_Value(quality!C142)</f>
        <v>support_tree_enable</v>
      </c>
      <c r="D142" s="15"/>
      <c r="E142" s="16"/>
      <c r="F142" s="16"/>
      <c r="G142" s="16"/>
      <c r="H142" s="16"/>
      <c r="I142" s="16"/>
      <c r="J142" s="16"/>
      <c r="K142" s="16"/>
      <c r="L142" s="16"/>
      <c r="M142" s="16"/>
      <c r="N142" s="16"/>
      <c r="O142" s="16"/>
      <c r="P142" s="14"/>
    </row>
    <row r="143" spans="1:16" x14ac:dyDescent="0.3">
      <c r="A143" s="17"/>
      <c r="B143" s="17" t="str">
        <f>Fill_Value(quality!B143)</f>
        <v/>
      </c>
      <c r="C143" s="17" t="str">
        <f>Fill_Value(quality!C143)</f>
        <v>support_tree_branch_distance</v>
      </c>
      <c r="D143" s="18"/>
      <c r="E143" s="19"/>
      <c r="F143" s="19"/>
      <c r="G143" s="19"/>
      <c r="H143" s="19"/>
      <c r="I143" s="19"/>
      <c r="J143" s="19"/>
      <c r="K143" s="19"/>
      <c r="L143" s="19"/>
      <c r="M143" s="19"/>
      <c r="N143" s="19"/>
      <c r="O143" s="19"/>
      <c r="P143" s="17"/>
    </row>
    <row r="144" spans="1:16" x14ac:dyDescent="0.3">
      <c r="A144" s="14"/>
      <c r="B144" s="14" t="str">
        <f>Fill_Value(quality!B144)</f>
        <v/>
      </c>
      <c r="C144" s="14" t="str">
        <f>Fill_Value(quality!C144)</f>
        <v>roofing_line_width</v>
      </c>
      <c r="D144" s="15"/>
      <c r="E144" s="16"/>
      <c r="F144" s="16"/>
      <c r="G144" s="16"/>
      <c r="H144" s="16"/>
      <c r="I144" s="16"/>
      <c r="J144" s="16"/>
      <c r="K144" s="16"/>
      <c r="L144" s="16"/>
      <c r="M144" s="16"/>
      <c r="N144" s="16"/>
      <c r="O144" s="16"/>
      <c r="P144" s="14"/>
    </row>
    <row r="145" spans="1:16" x14ac:dyDescent="0.3">
      <c r="A145" s="17"/>
      <c r="B145" s="17" t="str">
        <f>Fill_Value(quality!B145)</f>
        <v/>
      </c>
      <c r="C145" s="17" t="str">
        <f>Fill_Value(quality!C145)</f>
        <v>roofing_pattern</v>
      </c>
      <c r="D145" s="18"/>
      <c r="E145" s="19"/>
      <c r="F145" s="19"/>
      <c r="G145" s="19"/>
      <c r="H145" s="19"/>
      <c r="I145" s="19"/>
      <c r="J145" s="19"/>
      <c r="K145" s="19"/>
      <c r="L145" s="19"/>
      <c r="M145" s="19"/>
      <c r="N145" s="19"/>
      <c r="O145" s="19"/>
      <c r="P145" s="17"/>
    </row>
    <row r="146" spans="1:16" x14ac:dyDescent="0.3">
      <c r="A146" s="14"/>
      <c r="B146" s="14" t="str">
        <f>Fill_Value(quality!B146)</f>
        <v/>
      </c>
      <c r="C146" s="14" t="str">
        <f>Fill_Value(quality!C146)</f>
        <v>roofing_angles</v>
      </c>
      <c r="D146" s="15"/>
      <c r="E146" s="16"/>
      <c r="F146" s="16"/>
      <c r="G146" s="16"/>
      <c r="H146" s="16"/>
      <c r="I146" s="16"/>
      <c r="J146" s="16"/>
      <c r="K146" s="16"/>
      <c r="L146" s="16"/>
      <c r="M146" s="16"/>
      <c r="N146" s="16"/>
      <c r="O146" s="16"/>
      <c r="P146" s="14"/>
    </row>
    <row r="147" spans="1:16" x14ac:dyDescent="0.3">
      <c r="A147" s="17"/>
      <c r="B147" s="17" t="str">
        <f>Fill_Value(quality!B147)</f>
        <v/>
      </c>
      <c r="C147" s="17" t="str">
        <f>Fill_Value(quality!C147)</f>
        <v>infill_enable_travel_optimization</v>
      </c>
      <c r="D147" s="18"/>
      <c r="E147" s="19"/>
      <c r="F147" s="19"/>
      <c r="G147" s="19"/>
      <c r="H147" s="19"/>
      <c r="I147" s="19"/>
      <c r="J147" s="19"/>
      <c r="K147" s="19"/>
      <c r="L147" s="19"/>
      <c r="M147" s="19"/>
      <c r="N147" s="19"/>
      <c r="O147" s="19"/>
      <c r="P147" s="17"/>
    </row>
    <row r="148" spans="1:16" x14ac:dyDescent="0.3">
      <c r="A148" s="14"/>
      <c r="B148" s="14" t="str">
        <f>Fill_Value(quality!B148)</f>
        <v/>
      </c>
      <c r="C148" s="14" t="str">
        <f>Fill_Value(quality!C148)</f>
        <v>support_skip_some_zags</v>
      </c>
      <c r="D148" s="15"/>
      <c r="E148" s="16"/>
      <c r="F148" s="16"/>
      <c r="G148" s="16"/>
      <c r="H148" s="16"/>
      <c r="I148" s="16"/>
      <c r="J148" s="16"/>
      <c r="K148" s="16"/>
      <c r="L148" s="16"/>
      <c r="M148" s="16"/>
      <c r="N148" s="16"/>
      <c r="O148" s="16"/>
      <c r="P148" s="14"/>
    </row>
    <row r="149" spans="1:16" x14ac:dyDescent="0.3">
      <c r="A149" s="17"/>
      <c r="B149" s="17" t="str">
        <f>Fill_Value(quality!B149)</f>
        <v/>
      </c>
      <c r="C149" s="17" t="str">
        <f>Fill_Value(quality!C149)</f>
        <v>draft_shield_enabled</v>
      </c>
      <c r="D149" s="18"/>
      <c r="E149" s="19"/>
      <c r="F149" s="19"/>
      <c r="G149" s="19"/>
      <c r="H149" s="19"/>
      <c r="I149" s="19"/>
      <c r="J149" s="19"/>
      <c r="K149" s="19"/>
      <c r="L149" s="19"/>
      <c r="M149" s="19"/>
      <c r="N149" s="19"/>
      <c r="O149" s="19"/>
      <c r="P149" s="17"/>
    </row>
    <row r="150" spans="1:16" x14ac:dyDescent="0.3">
      <c r="A150" s="14"/>
      <c r="B150" s="14" t="str">
        <f>Fill_Value(quality!B150)</f>
        <v/>
      </c>
      <c r="C150" s="14" t="str">
        <f>Fill_Value(quality!C150)</f>
        <v>conical_overhang_enabled</v>
      </c>
      <c r="D150" s="15"/>
      <c r="E150" s="16"/>
      <c r="F150" s="16"/>
      <c r="G150" s="16"/>
      <c r="H150" s="16"/>
      <c r="I150" s="16"/>
      <c r="J150" s="16"/>
      <c r="K150" s="16"/>
      <c r="L150" s="16"/>
      <c r="M150" s="16"/>
      <c r="N150" s="16"/>
      <c r="O150" s="16"/>
      <c r="P150" s="14"/>
    </row>
    <row r="151" spans="1:16" x14ac:dyDescent="0.3">
      <c r="A151" s="17"/>
      <c r="B151" s="17" t="str">
        <f>Fill_Value(quality!B151)</f>
        <v/>
      </c>
      <c r="C151" s="17" t="str">
        <f>Fill_Value(quality!C151)</f>
        <v>coasting_enable</v>
      </c>
      <c r="D151" s="18"/>
      <c r="E151" s="19"/>
      <c r="F151" s="19"/>
      <c r="G151" s="19"/>
      <c r="H151" s="19"/>
      <c r="I151" s="19"/>
      <c r="J151" s="19"/>
      <c r="K151" s="19"/>
      <c r="L151" s="19"/>
      <c r="M151" s="19"/>
      <c r="N151" s="19"/>
      <c r="O151" s="19"/>
      <c r="P151" s="17"/>
    </row>
    <row r="152" spans="1:16" x14ac:dyDescent="0.3">
      <c r="A152" s="14"/>
      <c r="B152" s="14" t="str">
        <f>Fill_Value(quality!B152)</f>
        <v/>
      </c>
      <c r="C152" s="14" t="str">
        <f>Fill_Value(quality!C152)</f>
        <v>coasting_volume</v>
      </c>
      <c r="D152" s="15"/>
      <c r="E152" s="16"/>
      <c r="F152" s="16"/>
      <c r="G152" s="16"/>
      <c r="H152" s="16"/>
      <c r="I152" s="16"/>
      <c r="J152" s="16"/>
      <c r="K152" s="16"/>
      <c r="L152" s="16"/>
      <c r="M152" s="16"/>
      <c r="N152" s="16"/>
      <c r="O152" s="16"/>
      <c r="P152" s="14"/>
    </row>
    <row r="153" spans="1:16" x14ac:dyDescent="0.3">
      <c r="A153" s="17"/>
      <c r="B153" s="17" t="str">
        <f>Fill_Value(quality!B153)</f>
        <v/>
      </c>
      <c r="C153" s="17" t="str">
        <f>Fill_Value(quality!C153)</f>
        <v>coasting_min_volume</v>
      </c>
      <c r="D153" s="18"/>
      <c r="E153" s="19"/>
      <c r="F153" s="19"/>
      <c r="G153" s="19"/>
      <c r="H153" s="19"/>
      <c r="I153" s="19"/>
      <c r="J153" s="19"/>
      <c r="K153" s="19"/>
      <c r="L153" s="19"/>
      <c r="M153" s="19"/>
      <c r="N153" s="19"/>
      <c r="O153" s="19"/>
      <c r="P153" s="17"/>
    </row>
    <row r="154" spans="1:16" x14ac:dyDescent="0.3">
      <c r="A154" s="14"/>
      <c r="B154" s="14" t="str">
        <f>Fill_Value(quality!B154)</f>
        <v/>
      </c>
      <c r="C154" s="14" t="str">
        <f>Fill_Value(quality!C154)</f>
        <v>skin_alternate_rotation</v>
      </c>
      <c r="D154" s="15"/>
      <c r="E154" s="16"/>
      <c r="F154" s="16"/>
      <c r="G154" s="16"/>
      <c r="H154" s="16"/>
      <c r="I154" s="16"/>
      <c r="J154" s="16"/>
      <c r="K154" s="16"/>
      <c r="L154" s="16"/>
      <c r="M154" s="16"/>
      <c r="N154" s="16"/>
      <c r="O154" s="16"/>
      <c r="P154" s="14"/>
    </row>
    <row r="155" spans="1:16" x14ac:dyDescent="0.3">
      <c r="A155" s="17"/>
      <c r="B155" s="17" t="str">
        <f>Fill_Value(quality!B155)</f>
        <v/>
      </c>
      <c r="C155" s="17" t="str">
        <f>Fill_Value(quality!C155)</f>
        <v>spaghetti_infill_enabled</v>
      </c>
      <c r="D155" s="18"/>
      <c r="E155" s="19"/>
      <c r="F155" s="19"/>
      <c r="G155" s="19"/>
      <c r="H155" s="19"/>
      <c r="I155" s="19"/>
      <c r="J155" s="19"/>
      <c r="K155" s="19"/>
      <c r="L155" s="19"/>
      <c r="M155" s="19"/>
      <c r="N155" s="19"/>
      <c r="O155" s="19"/>
      <c r="P155" s="17"/>
    </row>
    <row r="156" spans="1:16" x14ac:dyDescent="0.3">
      <c r="A156" s="14"/>
      <c r="B156" s="14" t="str">
        <f>Fill_Value(quality!B156)</f>
        <v/>
      </c>
      <c r="C156" s="14" t="str">
        <f>Fill_Value(quality!C156)</f>
        <v>support_conical_enabled</v>
      </c>
      <c r="D156" s="15"/>
      <c r="E156" s="16"/>
      <c r="F156" s="16"/>
      <c r="G156" s="16"/>
      <c r="H156" s="16"/>
      <c r="I156" s="16"/>
      <c r="J156" s="16"/>
      <c r="K156" s="16"/>
      <c r="L156" s="16"/>
      <c r="M156" s="16"/>
      <c r="N156" s="16"/>
      <c r="O156" s="16"/>
      <c r="P156" s="14"/>
    </row>
    <row r="157" spans="1:16" x14ac:dyDescent="0.3">
      <c r="A157" s="17"/>
      <c r="B157" s="17" t="str">
        <f>Fill_Value(quality!B157)</f>
        <v/>
      </c>
      <c r="C157" s="17" t="str">
        <f>Fill_Value(quality!C157)</f>
        <v>magic_fuzzy_skin_enabled</v>
      </c>
      <c r="D157" s="18"/>
      <c r="E157" s="19"/>
      <c r="F157" s="19"/>
      <c r="G157" s="19"/>
      <c r="H157" s="19"/>
      <c r="I157" s="19"/>
      <c r="J157" s="19"/>
      <c r="K157" s="19"/>
      <c r="L157" s="19"/>
      <c r="M157" s="19"/>
      <c r="N157" s="19"/>
      <c r="O157" s="19"/>
      <c r="P157" s="17"/>
    </row>
    <row r="158" spans="1:16" x14ac:dyDescent="0.3">
      <c r="A158" s="14"/>
      <c r="B158" s="14" t="str">
        <f>Fill_Value(quality!B158)</f>
        <v/>
      </c>
      <c r="C158" s="14" t="str">
        <f>Fill_Value(quality!C158)</f>
        <v>wireframe_enabled</v>
      </c>
      <c r="D158" s="15"/>
      <c r="E158" s="16"/>
      <c r="F158" s="16"/>
      <c r="G158" s="16"/>
      <c r="H158" s="16"/>
      <c r="I158" s="16"/>
      <c r="J158" s="16"/>
      <c r="K158" s="16"/>
      <c r="L158" s="16"/>
      <c r="M158" s="16"/>
      <c r="N158" s="16"/>
      <c r="O158" s="16"/>
      <c r="P158" s="14"/>
    </row>
    <row r="159" spans="1:16" x14ac:dyDescent="0.3">
      <c r="A159" s="17"/>
      <c r="B159" s="17" t="str">
        <f>Fill_Value(quality!B159)</f>
        <v/>
      </c>
      <c r="C159" s="17" t="str">
        <f>Fill_Value(quality!C159)</f>
        <v>adaptive_layer_height_enabled</v>
      </c>
      <c r="D159" s="18"/>
      <c r="E159" s="19"/>
      <c r="F159" s="19"/>
      <c r="G159" s="19"/>
      <c r="H159" s="19"/>
      <c r="I159" s="19"/>
      <c r="J159" s="19"/>
      <c r="K159" s="19"/>
      <c r="L159" s="19"/>
      <c r="M159" s="19"/>
      <c r="N159" s="19"/>
      <c r="O159" s="19"/>
      <c r="P159" s="17"/>
    </row>
    <row r="160" spans="1:16" x14ac:dyDescent="0.3">
      <c r="A160" s="14"/>
      <c r="B160" s="14" t="str">
        <f>Fill_Value(quality!B160)</f>
        <v/>
      </c>
      <c r="C160" s="14" t="str">
        <f>Fill_Value(quality!C160)</f>
        <v>adaptive_layer_height_variation</v>
      </c>
      <c r="D160" s="15"/>
      <c r="E160" s="16"/>
      <c r="F160" s="16"/>
      <c r="G160" s="16"/>
      <c r="H160" s="16"/>
      <c r="I160" s="16"/>
      <c r="J160" s="16"/>
      <c r="K160" s="16"/>
      <c r="L160" s="16"/>
      <c r="M160" s="16"/>
      <c r="N160" s="16"/>
      <c r="O160" s="16"/>
      <c r="P160" s="14"/>
    </row>
    <row r="161" spans="1:16" x14ac:dyDescent="0.3">
      <c r="A161" s="17"/>
      <c r="B161" s="17" t="str">
        <f>Fill_Value(quality!B161)</f>
        <v/>
      </c>
      <c r="C161" s="17" t="str">
        <f>Fill_Value(quality!C161)</f>
        <v>adaptive_layer_height_variation_step</v>
      </c>
      <c r="D161" s="18"/>
      <c r="E161" s="19"/>
      <c r="F161" s="19"/>
      <c r="G161" s="19"/>
      <c r="H161" s="19"/>
      <c r="I161" s="19"/>
      <c r="J161" s="19"/>
      <c r="K161" s="19"/>
      <c r="L161" s="19"/>
      <c r="M161" s="19"/>
      <c r="N161" s="19"/>
      <c r="O161" s="19"/>
      <c r="P161" s="17"/>
    </row>
    <row r="162" spans="1:16" x14ac:dyDescent="0.3">
      <c r="A162" s="14"/>
      <c r="B162" s="14" t="str">
        <f>Fill_Value(quality!B162)</f>
        <v/>
      </c>
      <c r="C162" s="14" t="str">
        <f>Fill_Value(quality!C162)</f>
        <v>wall_overhang_angle</v>
      </c>
      <c r="D162" s="15"/>
      <c r="E162" s="16"/>
      <c r="F162" s="16"/>
      <c r="G162" s="16"/>
      <c r="H162" s="16"/>
      <c r="I162" s="16"/>
      <c r="J162" s="16"/>
      <c r="K162" s="16"/>
      <c r="L162" s="16"/>
      <c r="M162" s="16"/>
      <c r="N162" s="16"/>
      <c r="O162" s="16"/>
      <c r="P162" s="14"/>
    </row>
    <row r="163" spans="1:16" x14ac:dyDescent="0.3">
      <c r="A163" s="17"/>
      <c r="B163" s="17" t="str">
        <f>Fill_Value(quality!B163)</f>
        <v/>
      </c>
      <c r="C163" s="17" t="str">
        <f>Fill_Value(quality!C163)</f>
        <v>wall_overhang_speed_factor</v>
      </c>
      <c r="D163" s="18"/>
      <c r="E163" s="19"/>
      <c r="F163" s="19"/>
      <c r="G163" s="19"/>
      <c r="H163" s="19"/>
      <c r="I163" s="19"/>
      <c r="J163" s="19"/>
      <c r="K163" s="19"/>
      <c r="L163" s="19"/>
      <c r="M163" s="19"/>
      <c r="N163" s="19"/>
      <c r="O163" s="19"/>
      <c r="P163" s="17"/>
    </row>
    <row r="164" spans="1:16" x14ac:dyDescent="0.3">
      <c r="A164" s="14"/>
      <c r="B164" s="14" t="str">
        <f>Fill_Value(quality!B164)</f>
        <v/>
      </c>
      <c r="C164" s="14" t="str">
        <f>Fill_Value(quality!C164)</f>
        <v>bridge_settings_enabled</v>
      </c>
      <c r="D164" s="15"/>
      <c r="E164" s="16"/>
      <c r="F164" s="16"/>
      <c r="G164" s="16"/>
      <c r="H164" s="16"/>
      <c r="I164" s="16"/>
      <c r="J164" s="16"/>
      <c r="K164" s="16"/>
      <c r="L164" s="16"/>
      <c r="M164" s="16"/>
      <c r="N164" s="16"/>
      <c r="O164" s="16"/>
      <c r="P164" s="14"/>
    </row>
    <row r="165" spans="1:16" x14ac:dyDescent="0.3">
      <c r="A165" s="17"/>
      <c r="B165" s="17" t="str">
        <f>Fill_Value(quality!B165)</f>
        <v/>
      </c>
      <c r="C165" s="17" t="str">
        <f>Fill_Value(quality!C165)</f>
        <v>bridge_wall_min_length</v>
      </c>
      <c r="D165" s="18"/>
      <c r="E165" s="19"/>
      <c r="F165" s="19"/>
      <c r="G165" s="19"/>
      <c r="H165" s="19"/>
      <c r="I165" s="19"/>
      <c r="J165" s="19"/>
      <c r="K165" s="19"/>
      <c r="L165" s="19"/>
      <c r="M165" s="19"/>
      <c r="N165" s="19"/>
      <c r="O165" s="19"/>
      <c r="P165" s="17"/>
    </row>
    <row r="166" spans="1:16" x14ac:dyDescent="0.3">
      <c r="A166" s="14"/>
      <c r="B166" s="14" t="str">
        <f>Fill_Value(quality!B166)</f>
        <v/>
      </c>
      <c r="C166" s="14" t="str">
        <f>Fill_Value(quality!C166)</f>
        <v>bridge_skin_support_threshold</v>
      </c>
      <c r="D166" s="15"/>
      <c r="E166" s="16"/>
      <c r="F166" s="16"/>
      <c r="G166" s="16"/>
      <c r="H166" s="16"/>
      <c r="I166" s="16"/>
      <c r="J166" s="16"/>
      <c r="K166" s="16"/>
      <c r="L166" s="16"/>
      <c r="M166" s="16"/>
      <c r="N166" s="16"/>
      <c r="O166" s="16"/>
      <c r="P166" s="14"/>
    </row>
    <row r="167" spans="1:16" x14ac:dyDescent="0.3">
      <c r="A167" s="17"/>
      <c r="B167" s="17" t="str">
        <f>Fill_Value(quality!B167)</f>
        <v/>
      </c>
      <c r="C167" s="17" t="str">
        <f>Fill_Value(quality!C167)</f>
        <v>bridge_wall_coast</v>
      </c>
      <c r="D167" s="18"/>
      <c r="E167" s="19"/>
      <c r="F167" s="19"/>
      <c r="G167" s="19"/>
      <c r="H167" s="19"/>
      <c r="I167" s="19"/>
      <c r="J167" s="19"/>
      <c r="K167" s="19"/>
      <c r="L167" s="19"/>
      <c r="M167" s="19"/>
      <c r="N167" s="19"/>
      <c r="O167" s="19"/>
      <c r="P167" s="17"/>
    </row>
    <row r="168" spans="1:16" x14ac:dyDescent="0.3">
      <c r="A168" s="14"/>
      <c r="B168" s="14" t="str">
        <f>Fill_Value(quality!B168)</f>
        <v/>
      </c>
      <c r="C168" s="14" t="str">
        <f>Fill_Value(quality!C168)</f>
        <v>bridge_wall_speed</v>
      </c>
      <c r="D168" s="15"/>
      <c r="E168" s="16"/>
      <c r="F168" s="16"/>
      <c r="G168" s="16"/>
      <c r="H168" s="16"/>
      <c r="I168" s="16"/>
      <c r="J168" s="16"/>
      <c r="K168" s="16"/>
      <c r="L168" s="16"/>
      <c r="M168" s="16"/>
      <c r="N168" s="16"/>
      <c r="O168" s="16"/>
      <c r="P168" s="14"/>
    </row>
    <row r="169" spans="1:16" x14ac:dyDescent="0.3">
      <c r="A169" s="17"/>
      <c r="B169" s="17" t="str">
        <f>Fill_Value(quality!B169)</f>
        <v/>
      </c>
      <c r="C169" s="17" t="str">
        <f>Fill_Value(quality!C169)</f>
        <v>bridge_wall_material_flow</v>
      </c>
      <c r="D169" s="18"/>
      <c r="E169" s="19"/>
      <c r="F169" s="19"/>
      <c r="G169" s="19"/>
      <c r="H169" s="19"/>
      <c r="I169" s="19"/>
      <c r="J169" s="19"/>
      <c r="K169" s="19"/>
      <c r="L169" s="19"/>
      <c r="M169" s="19"/>
      <c r="N169" s="19"/>
      <c r="O169" s="19"/>
      <c r="P169" s="17"/>
    </row>
    <row r="170" spans="1:16" x14ac:dyDescent="0.3">
      <c r="A170" s="14"/>
      <c r="B170" s="14" t="str">
        <f>Fill_Value(quality!B170)</f>
        <v/>
      </c>
      <c r="C170" s="14" t="str">
        <f>Fill_Value(quality!C170)</f>
        <v>bridge_skin_speed</v>
      </c>
      <c r="D170" s="15"/>
      <c r="E170" s="16"/>
      <c r="F170" s="16"/>
      <c r="G170" s="16"/>
      <c r="H170" s="16"/>
      <c r="I170" s="16"/>
      <c r="J170" s="16"/>
      <c r="K170" s="16"/>
      <c r="L170" s="16"/>
      <c r="M170" s="16"/>
      <c r="N170" s="16"/>
      <c r="O170" s="16"/>
      <c r="P170" s="14"/>
    </row>
    <row r="171" spans="1:16" x14ac:dyDescent="0.3">
      <c r="A171" s="17"/>
      <c r="B171" s="17" t="str">
        <f>Fill_Value(quality!B171)</f>
        <v/>
      </c>
      <c r="C171" s="17" t="str">
        <f>Fill_Value(quality!C171)</f>
        <v>bridge_skin_material_flow</v>
      </c>
      <c r="D171" s="18"/>
      <c r="E171" s="19"/>
      <c r="F171" s="19"/>
      <c r="G171" s="19"/>
      <c r="H171" s="19"/>
      <c r="I171" s="19"/>
      <c r="J171" s="19"/>
      <c r="K171" s="19"/>
      <c r="L171" s="19"/>
      <c r="M171" s="19"/>
      <c r="N171" s="19"/>
      <c r="O171" s="19"/>
      <c r="P171" s="17"/>
    </row>
    <row r="172" spans="1:16" x14ac:dyDescent="0.3">
      <c r="A172" s="14"/>
      <c r="B172" s="14" t="str">
        <f>Fill_Value(quality!B172)</f>
        <v/>
      </c>
      <c r="C172" s="14" t="str">
        <f>Fill_Value(quality!C172)</f>
        <v>bridge_skin_density</v>
      </c>
      <c r="D172" s="15"/>
      <c r="E172" s="16"/>
      <c r="F172" s="16"/>
      <c r="G172" s="16"/>
      <c r="H172" s="16"/>
      <c r="I172" s="16"/>
      <c r="J172" s="16"/>
      <c r="K172" s="16"/>
      <c r="L172" s="16"/>
      <c r="M172" s="16"/>
      <c r="N172" s="16"/>
      <c r="O172" s="16"/>
      <c r="P172" s="14"/>
    </row>
    <row r="173" spans="1:16" x14ac:dyDescent="0.3">
      <c r="A173" s="17"/>
      <c r="B173" s="17" t="str">
        <f>Fill_Value(quality!B173)</f>
        <v/>
      </c>
      <c r="C173" s="17" t="str">
        <f>Fill_Value(quality!C173)</f>
        <v>bridge_fan_speed</v>
      </c>
      <c r="D173" s="18"/>
      <c r="E173" s="19"/>
      <c r="F173" s="19"/>
      <c r="G173" s="19"/>
      <c r="H173" s="19"/>
      <c r="I173" s="19"/>
      <c r="J173" s="19"/>
      <c r="K173" s="19"/>
      <c r="L173" s="19"/>
      <c r="M173" s="19"/>
      <c r="N173" s="19"/>
      <c r="O173" s="19"/>
      <c r="P173" s="17"/>
    </row>
    <row r="174" spans="1:16" x14ac:dyDescent="0.3">
      <c r="A174" s="14"/>
      <c r="B174" s="14" t="str">
        <f>Fill_Value(quality!B174)</f>
        <v/>
      </c>
      <c r="C174" s="14" t="str">
        <f>Fill_Value(quality!C174)</f>
        <v>bridge_enable_more_layers</v>
      </c>
      <c r="D174" s="15"/>
      <c r="E174" s="16"/>
      <c r="F174" s="16"/>
      <c r="G174" s="16"/>
      <c r="H174" s="16"/>
      <c r="I174" s="16"/>
      <c r="J174" s="16"/>
      <c r="K174" s="16"/>
      <c r="L174" s="16"/>
      <c r="M174" s="16"/>
      <c r="N174" s="16"/>
      <c r="O174" s="16"/>
      <c r="P174" s="14"/>
    </row>
    <row r="175" spans="1:16" x14ac:dyDescent="0.3">
      <c r="A175" s="17"/>
      <c r="B175" s="17" t="str">
        <f>Fill_Value(quality!B175)</f>
        <v/>
      </c>
      <c r="C175" s="17" t="str">
        <f>Fill_Value(quality!C175)</f>
        <v>pressure_advance_adjust</v>
      </c>
      <c r="D175" s="18">
        <v>0.08</v>
      </c>
      <c r="E175" s="19"/>
      <c r="F175" s="19"/>
      <c r="G175" s="19"/>
      <c r="H175" s="19"/>
      <c r="I175" s="19"/>
      <c r="J175" s="19"/>
      <c r="K175" s="19"/>
      <c r="L175" s="19"/>
      <c r="M175" s="19"/>
      <c r="N175" s="19"/>
      <c r="O175" s="19"/>
      <c r="P175" s="17"/>
    </row>
    <row r="176" spans="1:16" x14ac:dyDescent="0.3">
      <c r="A176" s="14"/>
      <c r="B176" s="14" t="str">
        <f>Fill_Value(quality!B176)</f>
        <v/>
      </c>
      <c r="C176" s="14" t="str">
        <f>Fill_Value(quality!C176)</f>
        <v>junction_deviation</v>
      </c>
      <c r="D176" s="15"/>
      <c r="E176" s="16"/>
      <c r="F176" s="16"/>
      <c r="G176" s="16"/>
      <c r="H176" s="16"/>
      <c r="I176" s="16"/>
      <c r="J176" s="16"/>
      <c r="K176" s="16"/>
      <c r="L176" s="16"/>
      <c r="M176" s="16"/>
      <c r="N176" s="16"/>
      <c r="O176" s="16"/>
      <c r="P176" s="14"/>
    </row>
    <row r="177" spans="1:16" x14ac:dyDescent="0.3">
      <c r="A177" s="17"/>
      <c r="B177" s="17" t="str">
        <f>Fill_Value(quality!B177)</f>
        <v/>
      </c>
      <c r="C177" s="17" t="str">
        <f>Fill_Value(quality!C177)</f>
        <v/>
      </c>
      <c r="D177" s="18"/>
      <c r="E177" s="19"/>
      <c r="F177" s="19"/>
      <c r="G177" s="19"/>
      <c r="H177" s="19"/>
      <c r="I177" s="19"/>
      <c r="J177" s="19"/>
      <c r="K177" s="19"/>
      <c r="L177" s="19"/>
      <c r="M177" s="19"/>
      <c r="N177" s="19"/>
      <c r="O177" s="19"/>
      <c r="P177" s="17"/>
    </row>
    <row r="178" spans="1:16" x14ac:dyDescent="0.3">
      <c r="A178" s="14"/>
      <c r="B178" s="14" t="str">
        <f>Fill_Value(quality!B178)</f>
        <v/>
      </c>
      <c r="C178" s="14" t="str">
        <f>Fill_Value(quality!C178)</f>
        <v/>
      </c>
      <c r="D178" s="15"/>
      <c r="E178" s="16"/>
      <c r="F178" s="16"/>
      <c r="G178" s="16"/>
      <c r="H178" s="16"/>
      <c r="I178" s="16"/>
      <c r="J178" s="16"/>
      <c r="K178" s="16"/>
      <c r="L178" s="16"/>
      <c r="M178" s="16"/>
      <c r="N178" s="16"/>
      <c r="O178" s="16"/>
      <c r="P178" s="14"/>
    </row>
    <row r="179" spans="1:16" x14ac:dyDescent="0.3">
      <c r="A179" s="17"/>
      <c r="B179" s="17" t="str">
        <f>Fill_Value(quality!B179)</f>
        <v/>
      </c>
      <c r="C179" s="17" t="str">
        <f>Fill_Value(quality!C179)</f>
        <v/>
      </c>
      <c r="D179" s="18"/>
      <c r="E179" s="19"/>
      <c r="F179" s="19"/>
      <c r="G179" s="19"/>
      <c r="H179" s="19"/>
      <c r="I179" s="19"/>
      <c r="J179" s="19"/>
      <c r="K179" s="19"/>
      <c r="L179" s="19"/>
      <c r="M179" s="19"/>
      <c r="N179" s="19"/>
      <c r="O179" s="19"/>
      <c r="P179" s="17"/>
    </row>
    <row r="180" spans="1:16" x14ac:dyDescent="0.3">
      <c r="A180" s="14"/>
      <c r="B180" s="14" t="str">
        <f>Fill_Value(quality!B180)</f>
        <v/>
      </c>
      <c r="C180" s="14" t="str">
        <f>Fill_Value(quality!C180)</f>
        <v/>
      </c>
      <c r="D180" s="15"/>
      <c r="E180" s="16"/>
      <c r="F180" s="16"/>
      <c r="G180" s="16"/>
      <c r="H180" s="16"/>
      <c r="I180" s="16"/>
      <c r="J180" s="16"/>
      <c r="K180" s="16"/>
      <c r="L180" s="16"/>
      <c r="M180" s="16"/>
      <c r="N180" s="16"/>
      <c r="O180" s="16"/>
      <c r="P180" s="14"/>
    </row>
    <row r="181" spans="1:16" x14ac:dyDescent="0.3">
      <c r="A181" s="17"/>
      <c r="B181" s="17" t="str">
        <f>Fill_Value(quality!B181)</f>
        <v/>
      </c>
      <c r="C181" s="17" t="str">
        <f>Fill_Value(quality!C181)</f>
        <v/>
      </c>
      <c r="D181" s="18"/>
      <c r="E181" s="19"/>
      <c r="F181" s="19"/>
      <c r="G181" s="19"/>
      <c r="H181" s="19"/>
      <c r="I181" s="19"/>
      <c r="J181" s="19"/>
      <c r="K181" s="19"/>
      <c r="L181" s="19"/>
      <c r="M181" s="19"/>
      <c r="N181" s="19"/>
      <c r="O181" s="19"/>
      <c r="P181" s="17"/>
    </row>
    <row r="182" spans="1:16" x14ac:dyDescent="0.3">
      <c r="A182" s="14"/>
      <c r="B182" s="14" t="str">
        <f>Fill_Value(quality!B182)</f>
        <v/>
      </c>
      <c r="C182" s="14" t="str">
        <f>Fill_Value(quality!C182)</f>
        <v/>
      </c>
      <c r="D182" s="15"/>
      <c r="E182" s="16"/>
      <c r="F182" s="16"/>
      <c r="G182" s="16"/>
      <c r="H182" s="16"/>
      <c r="I182" s="16"/>
      <c r="J182" s="16"/>
      <c r="K182" s="16"/>
      <c r="L182" s="16"/>
      <c r="M182" s="16"/>
      <c r="N182" s="16"/>
      <c r="O182" s="16"/>
      <c r="P182" s="14"/>
    </row>
    <row r="183" spans="1:16" x14ac:dyDescent="0.3">
      <c r="A183" s="17"/>
      <c r="B183" s="17" t="str">
        <f>Fill_Value(quality!B183)</f>
        <v/>
      </c>
      <c r="C183" s="17" t="str">
        <f>Fill_Value(quality!C183)</f>
        <v/>
      </c>
      <c r="D183" s="18"/>
      <c r="E183" s="19"/>
      <c r="F183" s="19"/>
      <c r="G183" s="19"/>
      <c r="H183" s="19"/>
      <c r="I183" s="19"/>
      <c r="J183" s="19"/>
      <c r="K183" s="19"/>
      <c r="L183" s="19"/>
      <c r="M183" s="19"/>
      <c r="N183" s="19"/>
      <c r="O183" s="19"/>
      <c r="P183" s="17"/>
    </row>
    <row r="184" spans="1:16" x14ac:dyDescent="0.3">
      <c r="A184" s="14"/>
      <c r="B184" s="14" t="str">
        <f>Fill_Value(quality!B184)</f>
        <v/>
      </c>
      <c r="C184" s="14" t="str">
        <f>Fill_Value(quality!C184)</f>
        <v/>
      </c>
      <c r="D184" s="15"/>
      <c r="E184" s="16"/>
      <c r="F184" s="16"/>
      <c r="G184" s="16"/>
      <c r="H184" s="16"/>
      <c r="I184" s="16"/>
      <c r="J184" s="16"/>
      <c r="K184" s="16"/>
      <c r="L184" s="16"/>
      <c r="M184" s="16"/>
      <c r="N184" s="16"/>
      <c r="O184" s="16"/>
      <c r="P184" s="14"/>
    </row>
    <row r="185" spans="1:16" x14ac:dyDescent="0.3">
      <c r="A185" s="17"/>
      <c r="B185" s="17" t="str">
        <f>Fill_Value(quality!B185)</f>
        <v/>
      </c>
      <c r="C185" s="17" t="str">
        <f>Fill_Value(quality!C185)</f>
        <v/>
      </c>
      <c r="D185" s="18"/>
      <c r="E185" s="19"/>
      <c r="F185" s="19"/>
      <c r="G185" s="19"/>
      <c r="H185" s="19"/>
      <c r="I185" s="19"/>
      <c r="J185" s="19"/>
      <c r="K185" s="19"/>
      <c r="L185" s="19"/>
      <c r="M185" s="19"/>
      <c r="N185" s="19"/>
      <c r="O185" s="19"/>
      <c r="P185" s="17"/>
    </row>
    <row r="186" spans="1:16" x14ac:dyDescent="0.3">
      <c r="A186" s="14"/>
      <c r="B186" s="14" t="str">
        <f>Fill_Value(quality!B186)</f>
        <v/>
      </c>
      <c r="C186" s="14" t="str">
        <f>Fill_Value(quality!C186)</f>
        <v/>
      </c>
      <c r="D186" s="15"/>
      <c r="E186" s="16"/>
      <c r="F186" s="16"/>
      <c r="G186" s="16"/>
      <c r="H186" s="16"/>
      <c r="I186" s="16"/>
      <c r="J186" s="16"/>
      <c r="K186" s="16"/>
      <c r="L186" s="16"/>
      <c r="M186" s="16"/>
      <c r="N186" s="16"/>
      <c r="O186" s="16"/>
      <c r="P186" s="14"/>
    </row>
    <row r="187" spans="1:16" x14ac:dyDescent="0.3">
      <c r="A187" s="17"/>
      <c r="B187" s="17" t="str">
        <f>Fill_Value(quality!B187)</f>
        <v/>
      </c>
      <c r="C187" s="17" t="str">
        <f>Fill_Value(quality!C187)</f>
        <v/>
      </c>
      <c r="D187" s="18"/>
      <c r="E187" s="19"/>
      <c r="F187" s="19"/>
      <c r="G187" s="19"/>
      <c r="H187" s="19"/>
      <c r="I187" s="19"/>
      <c r="J187" s="19"/>
      <c r="K187" s="19"/>
      <c r="L187" s="19"/>
      <c r="M187" s="19"/>
      <c r="N187" s="19"/>
      <c r="O187" s="19"/>
      <c r="P187" s="17"/>
    </row>
    <row r="188" spans="1:16" x14ac:dyDescent="0.3">
      <c r="A188" s="14"/>
      <c r="B188" s="14" t="str">
        <f>Fill_Value(quality!B188)</f>
        <v/>
      </c>
      <c r="C188" s="14" t="str">
        <f>Fill_Value(quality!C188)</f>
        <v/>
      </c>
      <c r="D188" s="15"/>
      <c r="E188" s="16"/>
      <c r="F188" s="16"/>
      <c r="G188" s="16"/>
      <c r="H188" s="16"/>
      <c r="I188" s="16"/>
      <c r="J188" s="16"/>
      <c r="K188" s="16"/>
      <c r="L188" s="16"/>
      <c r="M188" s="16"/>
      <c r="N188" s="16"/>
      <c r="O188" s="16"/>
      <c r="P188" s="14"/>
    </row>
    <row r="189" spans="1:16" x14ac:dyDescent="0.3">
      <c r="A189" s="17"/>
      <c r="B189" s="17" t="str">
        <f>Fill_Value(quality!B189)</f>
        <v/>
      </c>
      <c r="C189" s="17" t="str">
        <f>Fill_Value(quality!C189)</f>
        <v/>
      </c>
      <c r="D189" s="18"/>
      <c r="E189" s="19"/>
      <c r="F189" s="19"/>
      <c r="G189" s="19"/>
      <c r="H189" s="19"/>
      <c r="I189" s="19"/>
      <c r="J189" s="19"/>
      <c r="K189" s="19"/>
      <c r="L189" s="19"/>
      <c r="M189" s="19"/>
      <c r="N189" s="19"/>
      <c r="O189" s="19"/>
      <c r="P189" s="17"/>
    </row>
    <row r="190" spans="1:16" x14ac:dyDescent="0.3">
      <c r="A190" s="14"/>
      <c r="B190" s="14" t="str">
        <f>Fill_Value(quality!B190)</f>
        <v/>
      </c>
      <c r="C190" s="14" t="str">
        <f>Fill_Value(quality!C190)</f>
        <v/>
      </c>
      <c r="D190" s="15"/>
      <c r="E190" s="16"/>
      <c r="F190" s="16"/>
      <c r="G190" s="16"/>
      <c r="H190" s="16"/>
      <c r="I190" s="16"/>
      <c r="J190" s="16"/>
      <c r="K190" s="16"/>
      <c r="L190" s="16"/>
      <c r="M190" s="16"/>
      <c r="N190" s="16"/>
      <c r="O190" s="16"/>
      <c r="P190" s="14"/>
    </row>
    <row r="191" spans="1:16" x14ac:dyDescent="0.3">
      <c r="A191" s="17"/>
      <c r="B191" s="17" t="str">
        <f>Fill_Value(quality!B191)</f>
        <v/>
      </c>
      <c r="C191" s="17" t="str">
        <f>Fill_Value(quality!C191)</f>
        <v/>
      </c>
      <c r="D191" s="18"/>
      <c r="E191" s="19"/>
      <c r="F191" s="19"/>
      <c r="G191" s="19"/>
      <c r="H191" s="19"/>
      <c r="I191" s="19"/>
      <c r="J191" s="19"/>
      <c r="K191" s="19"/>
      <c r="L191" s="19"/>
      <c r="M191" s="19"/>
      <c r="N191" s="19"/>
      <c r="O191" s="19"/>
      <c r="P191" s="17"/>
    </row>
    <row r="192" spans="1:16" x14ac:dyDescent="0.3">
      <c r="A192" s="14"/>
      <c r="B192" s="14" t="str">
        <f>Fill_Value(quality!B192)</f>
        <v/>
      </c>
      <c r="C192" s="14" t="str">
        <f>Fill_Value(quality!C192)</f>
        <v/>
      </c>
      <c r="D192" s="15"/>
      <c r="E192" s="16"/>
      <c r="F192" s="16"/>
      <c r="G192" s="16"/>
      <c r="H192" s="16"/>
      <c r="I192" s="16"/>
      <c r="J192" s="16"/>
      <c r="K192" s="16"/>
      <c r="L192" s="16"/>
      <c r="M192" s="16"/>
      <c r="N192" s="16"/>
      <c r="O192" s="16"/>
      <c r="P192" s="14"/>
    </row>
    <row r="193" spans="1:16" x14ac:dyDescent="0.3">
      <c r="A193" s="17"/>
      <c r="B193" s="17" t="str">
        <f>Fill_Value(quality!B193)</f>
        <v/>
      </c>
      <c r="C193" s="17" t="str">
        <f>Fill_Value(quality!C193)</f>
        <v/>
      </c>
      <c r="D193" s="18"/>
      <c r="E193" s="19"/>
      <c r="F193" s="19"/>
      <c r="G193" s="19"/>
      <c r="H193" s="19"/>
      <c r="I193" s="19"/>
      <c r="J193" s="19"/>
      <c r="K193" s="19"/>
      <c r="L193" s="19"/>
      <c r="M193" s="19"/>
      <c r="N193" s="19"/>
      <c r="O193" s="19"/>
      <c r="P193" s="17"/>
    </row>
    <row r="194" spans="1:16" x14ac:dyDescent="0.3">
      <c r="A194" s="14"/>
      <c r="B194" s="14" t="str">
        <f>Fill_Value(quality!B194)</f>
        <v/>
      </c>
      <c r="C194" s="14" t="str">
        <f>Fill_Value(quality!C194)</f>
        <v/>
      </c>
      <c r="D194" s="15"/>
      <c r="E194" s="16"/>
      <c r="F194" s="16"/>
      <c r="G194" s="16"/>
      <c r="H194" s="16"/>
      <c r="I194" s="16"/>
      <c r="J194" s="16"/>
      <c r="K194" s="16"/>
      <c r="L194" s="16"/>
      <c r="M194" s="16"/>
      <c r="N194" s="16"/>
      <c r="O194" s="16"/>
      <c r="P194" s="14"/>
    </row>
    <row r="195" spans="1:16" x14ac:dyDescent="0.3">
      <c r="A195" s="17"/>
      <c r="B195" s="17" t="str">
        <f>Fill_Value(quality!B195)</f>
        <v/>
      </c>
      <c r="C195" s="17" t="str">
        <f>Fill_Value(quality!C195)</f>
        <v/>
      </c>
      <c r="D195" s="18"/>
      <c r="E195" s="19"/>
      <c r="F195" s="19"/>
      <c r="G195" s="19"/>
      <c r="H195" s="19"/>
      <c r="I195" s="19"/>
      <c r="J195" s="19"/>
      <c r="K195" s="19"/>
      <c r="L195" s="19"/>
      <c r="M195" s="19"/>
      <c r="N195" s="19"/>
      <c r="O195" s="19"/>
      <c r="P195" s="17"/>
    </row>
    <row r="196" spans="1:16" x14ac:dyDescent="0.3">
      <c r="A196" s="14"/>
      <c r="B196" s="14" t="str">
        <f>Fill_Value(quality!B196)</f>
        <v/>
      </c>
      <c r="C196" s="14" t="str">
        <f>Fill_Value(quality!C196)</f>
        <v/>
      </c>
      <c r="D196" s="15"/>
      <c r="E196" s="16"/>
      <c r="F196" s="16"/>
      <c r="G196" s="16"/>
      <c r="H196" s="16"/>
      <c r="I196" s="16"/>
      <c r="J196" s="16"/>
      <c r="K196" s="16"/>
      <c r="L196" s="16"/>
      <c r="M196" s="16"/>
      <c r="N196" s="16"/>
      <c r="O196" s="16"/>
      <c r="P196" s="14"/>
    </row>
    <row r="197" spans="1:16" x14ac:dyDescent="0.3">
      <c r="A197" s="17"/>
      <c r="B197" s="17" t="str">
        <f>Fill_Value(quality!B197)</f>
        <v/>
      </c>
      <c r="C197" s="17" t="str">
        <f>Fill_Value(quality!C197)</f>
        <v/>
      </c>
      <c r="D197" s="18"/>
      <c r="E197" s="19"/>
      <c r="F197" s="19"/>
      <c r="G197" s="19"/>
      <c r="H197" s="19"/>
      <c r="I197" s="19"/>
      <c r="J197" s="19"/>
      <c r="K197" s="19"/>
      <c r="L197" s="19"/>
      <c r="M197" s="19"/>
      <c r="N197" s="19"/>
      <c r="O197" s="19"/>
      <c r="P197" s="17"/>
    </row>
    <row r="198" spans="1:16" x14ac:dyDescent="0.3">
      <c r="A198" s="14"/>
      <c r="B198" s="14" t="str">
        <f>Fill_Value(quality!B198)</f>
        <v/>
      </c>
      <c r="C198" s="14" t="str">
        <f>Fill_Value(quality!C198)</f>
        <v/>
      </c>
      <c r="D198" s="15"/>
      <c r="E198" s="16"/>
      <c r="F198" s="16"/>
      <c r="G198" s="16"/>
      <c r="H198" s="16"/>
      <c r="I198" s="16"/>
      <c r="J198" s="16"/>
      <c r="K198" s="16"/>
      <c r="L198" s="16"/>
      <c r="M198" s="16"/>
      <c r="N198" s="16"/>
      <c r="O198" s="16"/>
      <c r="P198" s="14"/>
    </row>
    <row r="199" spans="1:16" x14ac:dyDescent="0.3">
      <c r="A199" s="17"/>
      <c r="B199" s="17" t="str">
        <f>Fill_Value(quality!B199)</f>
        <v/>
      </c>
      <c r="C199" s="17" t="str">
        <f>Fill_Value(quality!C199)</f>
        <v/>
      </c>
      <c r="D199" s="18"/>
      <c r="E199" s="19"/>
      <c r="F199" s="19"/>
      <c r="G199" s="19"/>
      <c r="H199" s="19"/>
      <c r="I199" s="19"/>
      <c r="J199" s="19"/>
      <c r="K199" s="19"/>
      <c r="L199" s="19"/>
      <c r="M199" s="19"/>
      <c r="N199" s="19"/>
      <c r="O199" s="19"/>
      <c r="P199" s="17"/>
    </row>
    <row r="200" spans="1:16" x14ac:dyDescent="0.3">
      <c r="A200" s="14"/>
      <c r="B200" s="14" t="str">
        <f>Fill_Value(quality!B200)</f>
        <v/>
      </c>
      <c r="C200" s="14" t="str">
        <f>Fill_Value(quality!C200)</f>
        <v/>
      </c>
      <c r="D200" s="15"/>
      <c r="E200" s="16"/>
      <c r="F200" s="16"/>
      <c r="G200" s="16"/>
      <c r="H200" s="16"/>
      <c r="I200" s="16"/>
      <c r="J200" s="16"/>
      <c r="K200" s="16"/>
      <c r="L200" s="16"/>
      <c r="M200" s="16"/>
      <c r="N200" s="16"/>
      <c r="O200" s="16"/>
      <c r="P200" s="14"/>
    </row>
    <row r="201" spans="1:16" x14ac:dyDescent="0.3">
      <c r="A201" s="17"/>
      <c r="B201" s="17" t="str">
        <f>Fill_Value(quality!B201)</f>
        <v/>
      </c>
      <c r="C201" s="17" t="str">
        <f>Fill_Value(quality!C201)</f>
        <v/>
      </c>
      <c r="D201" s="18"/>
      <c r="E201" s="19"/>
      <c r="F201" s="19"/>
      <c r="G201" s="19"/>
      <c r="H201" s="19"/>
      <c r="I201" s="19"/>
      <c r="J201" s="19"/>
      <c r="K201" s="19"/>
      <c r="L201" s="19"/>
      <c r="M201" s="19"/>
      <c r="N201" s="19"/>
      <c r="O201" s="19"/>
      <c r="P201" s="17"/>
    </row>
    <row r="202" spans="1:16" x14ac:dyDescent="0.3">
      <c r="A202" s="14"/>
      <c r="B202" s="14" t="str">
        <f>Fill_Value(quality!B202)</f>
        <v/>
      </c>
      <c r="C202" s="14" t="str">
        <f>Fill_Value(quality!C202)</f>
        <v/>
      </c>
      <c r="D202" s="15"/>
      <c r="E202" s="16"/>
      <c r="F202" s="16"/>
      <c r="G202" s="16"/>
      <c r="H202" s="16"/>
      <c r="I202" s="16"/>
      <c r="J202" s="16"/>
      <c r="K202" s="16"/>
      <c r="L202" s="16"/>
      <c r="M202" s="16"/>
      <c r="N202" s="16"/>
      <c r="O202" s="16"/>
      <c r="P202" s="14"/>
    </row>
    <row r="203" spans="1:16" x14ac:dyDescent="0.3">
      <c r="A203" s="17"/>
      <c r="B203" s="17" t="str">
        <f>Fill_Value(quality!B203)</f>
        <v/>
      </c>
      <c r="C203" s="17" t="str">
        <f>Fill_Value(quality!C203)</f>
        <v/>
      </c>
      <c r="D203" s="18"/>
      <c r="E203" s="19"/>
      <c r="F203" s="19"/>
      <c r="G203" s="19"/>
      <c r="H203" s="19"/>
      <c r="I203" s="19"/>
      <c r="J203" s="19"/>
      <c r="K203" s="19"/>
      <c r="L203" s="19"/>
      <c r="M203" s="19"/>
      <c r="N203" s="19"/>
      <c r="O203" s="19"/>
      <c r="P203" s="17"/>
    </row>
    <row r="204" spans="1:16" x14ac:dyDescent="0.3">
      <c r="A204" s="14"/>
      <c r="B204" s="14" t="str">
        <f>Fill_Value(quality!B204)</f>
        <v/>
      </c>
      <c r="C204" s="14" t="str">
        <f>Fill_Value(quality!C204)</f>
        <v/>
      </c>
      <c r="D204" s="15"/>
      <c r="E204" s="16"/>
      <c r="F204" s="16"/>
      <c r="G204" s="16"/>
      <c r="H204" s="16"/>
      <c r="I204" s="16"/>
      <c r="J204" s="16"/>
      <c r="K204" s="16"/>
      <c r="L204" s="16"/>
      <c r="M204" s="16"/>
      <c r="N204" s="16"/>
      <c r="O204" s="16"/>
      <c r="P204" s="14"/>
    </row>
    <row r="205" spans="1:16" x14ac:dyDescent="0.3">
      <c r="A205" s="17"/>
      <c r="B205" s="17" t="str">
        <f>Fill_Value(quality!B205)</f>
        <v/>
      </c>
      <c r="C205" s="17" t="str">
        <f>Fill_Value(quality!C205)</f>
        <v/>
      </c>
      <c r="D205" s="18"/>
      <c r="E205" s="19"/>
      <c r="F205" s="19"/>
      <c r="G205" s="19"/>
      <c r="H205" s="19"/>
      <c r="I205" s="19"/>
      <c r="J205" s="19"/>
      <c r="K205" s="19"/>
      <c r="L205" s="19"/>
      <c r="M205" s="19"/>
      <c r="N205" s="19"/>
      <c r="O205" s="19"/>
      <c r="P205" s="17"/>
    </row>
    <row r="206" spans="1:16" x14ac:dyDescent="0.3">
      <c r="A206" s="14"/>
      <c r="B206" s="14" t="str">
        <f>Fill_Value(quality!B206)</f>
        <v/>
      </c>
      <c r="C206" s="14" t="str">
        <f>Fill_Value(quality!C206)</f>
        <v/>
      </c>
      <c r="D206" s="15"/>
      <c r="E206" s="16"/>
      <c r="F206" s="16"/>
      <c r="G206" s="16"/>
      <c r="H206" s="16"/>
      <c r="I206" s="16"/>
      <c r="J206" s="16"/>
      <c r="K206" s="16"/>
      <c r="L206" s="16"/>
      <c r="M206" s="16"/>
      <c r="N206" s="16"/>
      <c r="O206" s="16"/>
      <c r="P206" s="14"/>
    </row>
    <row r="207" spans="1:16" x14ac:dyDescent="0.3">
      <c r="A207" s="17"/>
      <c r="B207" s="17" t="str">
        <f>Fill_Value(quality!B207)</f>
        <v/>
      </c>
      <c r="C207" s="17" t="str">
        <f>Fill_Value(quality!C207)</f>
        <v/>
      </c>
      <c r="D207" s="18"/>
      <c r="E207" s="19"/>
      <c r="F207" s="19"/>
      <c r="G207" s="19"/>
      <c r="H207" s="19"/>
      <c r="I207" s="19"/>
      <c r="J207" s="19"/>
      <c r="K207" s="19"/>
      <c r="L207" s="19"/>
      <c r="M207" s="19"/>
      <c r="N207" s="19"/>
      <c r="O207" s="19"/>
      <c r="P207" s="17"/>
    </row>
    <row r="208" spans="1:16" x14ac:dyDescent="0.3">
      <c r="A208" s="14"/>
      <c r="B208" s="14" t="str">
        <f>Fill_Value(quality!B208)</f>
        <v/>
      </c>
      <c r="C208" s="14" t="str">
        <f>Fill_Value(quality!C208)</f>
        <v/>
      </c>
      <c r="D208" s="15"/>
      <c r="E208" s="16"/>
      <c r="F208" s="16"/>
      <c r="G208" s="16"/>
      <c r="H208" s="16"/>
      <c r="I208" s="16"/>
      <c r="J208" s="16"/>
      <c r="K208" s="16"/>
      <c r="L208" s="16"/>
      <c r="M208" s="16"/>
      <c r="N208" s="16"/>
      <c r="O208" s="16"/>
      <c r="P208" s="14"/>
    </row>
    <row r="209" spans="1:16" x14ac:dyDescent="0.3">
      <c r="A209" s="17"/>
      <c r="B209" s="17" t="str">
        <f>Fill_Value(quality!B209)</f>
        <v/>
      </c>
      <c r="C209" s="17" t="str">
        <f>Fill_Value(quality!C209)</f>
        <v/>
      </c>
      <c r="D209" s="18"/>
      <c r="E209" s="19"/>
      <c r="F209" s="19"/>
      <c r="G209" s="19"/>
      <c r="H209" s="19"/>
      <c r="I209" s="19"/>
      <c r="J209" s="19"/>
      <c r="K209" s="19"/>
      <c r="L209" s="19"/>
      <c r="M209" s="19"/>
      <c r="N209" s="19"/>
      <c r="O209" s="19"/>
      <c r="P209" s="17"/>
    </row>
    <row r="210" spans="1:16" x14ac:dyDescent="0.3">
      <c r="A210" s="14"/>
      <c r="B210" s="14" t="str">
        <f>Fill_Value(quality!B210)</f>
        <v/>
      </c>
      <c r="C210" s="14" t="str">
        <f>Fill_Value(quality!C210)</f>
        <v/>
      </c>
      <c r="D210" s="15"/>
      <c r="E210" s="16"/>
      <c r="F210" s="16"/>
      <c r="G210" s="16"/>
      <c r="H210" s="16"/>
      <c r="I210" s="16"/>
      <c r="J210" s="16"/>
      <c r="K210" s="16"/>
      <c r="L210" s="16"/>
      <c r="M210" s="16"/>
      <c r="N210" s="16"/>
      <c r="O210" s="16"/>
      <c r="P210" s="14"/>
    </row>
    <row r="211" spans="1:16" x14ac:dyDescent="0.3">
      <c r="A211" s="17"/>
      <c r="B211" s="17" t="str">
        <f>Fill_Value(quality!B211)</f>
        <v/>
      </c>
      <c r="C211" s="17" t="str">
        <f>Fill_Value(quality!C211)</f>
        <v/>
      </c>
      <c r="D211" s="18"/>
      <c r="E211" s="19"/>
      <c r="F211" s="19"/>
      <c r="G211" s="19"/>
      <c r="H211" s="19"/>
      <c r="I211" s="19"/>
      <c r="J211" s="19"/>
      <c r="K211" s="19"/>
      <c r="L211" s="19"/>
      <c r="M211" s="19"/>
      <c r="N211" s="19"/>
      <c r="O211" s="19"/>
      <c r="P211" s="17"/>
    </row>
    <row r="212" spans="1:16" x14ac:dyDescent="0.3">
      <c r="A212" s="14"/>
      <c r="B212" s="14" t="str">
        <f>Fill_Value(quality!B212)</f>
        <v/>
      </c>
      <c r="C212" s="14" t="str">
        <f>Fill_Value(quality!C212)</f>
        <v/>
      </c>
      <c r="D212" s="15"/>
      <c r="E212" s="16"/>
      <c r="F212" s="16"/>
      <c r="G212" s="16"/>
      <c r="H212" s="16"/>
      <c r="I212" s="16"/>
      <c r="J212" s="16"/>
      <c r="K212" s="16"/>
      <c r="L212" s="16"/>
      <c r="M212" s="16"/>
      <c r="N212" s="16"/>
      <c r="O212" s="16"/>
      <c r="P212" s="14"/>
    </row>
    <row r="213" spans="1:16" x14ac:dyDescent="0.3">
      <c r="A213" s="17"/>
      <c r="B213" s="17" t="str">
        <f>Fill_Value(quality!B213)</f>
        <v/>
      </c>
      <c r="C213" s="17" t="str">
        <f>Fill_Value(quality!C213)</f>
        <v/>
      </c>
      <c r="D213" s="18"/>
      <c r="E213" s="19"/>
      <c r="F213" s="19"/>
      <c r="G213" s="19"/>
      <c r="H213" s="19"/>
      <c r="I213" s="19"/>
      <c r="J213" s="19"/>
      <c r="K213" s="19"/>
      <c r="L213" s="19"/>
      <c r="M213" s="19"/>
      <c r="N213" s="19"/>
      <c r="O213" s="19"/>
      <c r="P213" s="17"/>
    </row>
    <row r="214" spans="1:16" x14ac:dyDescent="0.3">
      <c r="A214" s="14"/>
      <c r="B214" s="14" t="str">
        <f>Fill_Value(quality!B214)</f>
        <v/>
      </c>
      <c r="C214" s="14" t="str">
        <f>Fill_Value(quality!C214)</f>
        <v/>
      </c>
      <c r="D214" s="15"/>
      <c r="E214" s="16"/>
      <c r="F214" s="16"/>
      <c r="G214" s="16"/>
      <c r="H214" s="16"/>
      <c r="I214" s="16"/>
      <c r="J214" s="16"/>
      <c r="K214" s="16"/>
      <c r="L214" s="16"/>
      <c r="M214" s="16"/>
      <c r="N214" s="16"/>
      <c r="O214" s="16"/>
      <c r="P214" s="14"/>
    </row>
    <row r="215" spans="1:16" x14ac:dyDescent="0.3">
      <c r="A215" s="17"/>
      <c r="B215" s="17" t="str">
        <f>Fill_Value(quality!B215)</f>
        <v/>
      </c>
      <c r="C215" s="17" t="str">
        <f>Fill_Value(quality!C215)</f>
        <v/>
      </c>
      <c r="D215" s="18"/>
      <c r="E215" s="19"/>
      <c r="F215" s="19"/>
      <c r="G215" s="19"/>
      <c r="H215" s="19"/>
      <c r="I215" s="19"/>
      <c r="J215" s="19"/>
      <c r="K215" s="19"/>
      <c r="L215" s="19"/>
      <c r="M215" s="19"/>
      <c r="N215" s="19"/>
      <c r="O215" s="19"/>
      <c r="P215" s="17"/>
    </row>
    <row r="216" spans="1:16" x14ac:dyDescent="0.3">
      <c r="A216" s="14"/>
      <c r="B216" s="14" t="str">
        <f>Fill_Value(quality!B216)</f>
        <v/>
      </c>
      <c r="C216" s="14" t="str">
        <f>Fill_Value(quality!C216)</f>
        <v/>
      </c>
      <c r="D216" s="15"/>
      <c r="E216" s="16"/>
      <c r="F216" s="16"/>
      <c r="G216" s="16"/>
      <c r="H216" s="16"/>
      <c r="I216" s="16"/>
      <c r="J216" s="16"/>
      <c r="K216" s="16"/>
      <c r="L216" s="16"/>
      <c r="M216" s="16"/>
      <c r="N216" s="16"/>
      <c r="O216" s="16"/>
      <c r="P216" s="14"/>
    </row>
    <row r="217" spans="1:16" x14ac:dyDescent="0.3">
      <c r="A217" s="17"/>
      <c r="B217" s="17" t="str">
        <f>Fill_Value(quality!B217)</f>
        <v/>
      </c>
      <c r="C217" s="17" t="str">
        <f>Fill_Value(quality!C217)</f>
        <v/>
      </c>
      <c r="D217" s="18"/>
      <c r="E217" s="19"/>
      <c r="F217" s="19"/>
      <c r="G217" s="19"/>
      <c r="H217" s="19"/>
      <c r="I217" s="19"/>
      <c r="J217" s="19"/>
      <c r="K217" s="19"/>
      <c r="L217" s="19"/>
      <c r="M217" s="19"/>
      <c r="N217" s="19"/>
      <c r="O217" s="19"/>
      <c r="P217" s="17"/>
    </row>
    <row r="218" spans="1:16" x14ac:dyDescent="0.3">
      <c r="A218" s="14"/>
      <c r="B218" s="14" t="str">
        <f>Fill_Value(quality!B218)</f>
        <v/>
      </c>
      <c r="C218" s="14" t="str">
        <f>Fill_Value(quality!C218)</f>
        <v/>
      </c>
      <c r="D218" s="15"/>
      <c r="E218" s="16"/>
      <c r="F218" s="16"/>
      <c r="G218" s="16"/>
      <c r="H218" s="16"/>
      <c r="I218" s="16"/>
      <c r="J218" s="16"/>
      <c r="K218" s="16"/>
      <c r="L218" s="16"/>
      <c r="M218" s="16"/>
      <c r="N218" s="16"/>
      <c r="O218" s="16"/>
      <c r="P218" s="14"/>
    </row>
    <row r="219" spans="1:16" x14ac:dyDescent="0.3">
      <c r="A219" s="17"/>
      <c r="B219" s="17" t="str">
        <f>Fill_Value(quality!B219)</f>
        <v/>
      </c>
      <c r="C219" s="17" t="str">
        <f>Fill_Value(quality!C219)</f>
        <v/>
      </c>
      <c r="D219" s="18"/>
      <c r="E219" s="19"/>
      <c r="F219" s="19"/>
      <c r="G219" s="19"/>
      <c r="H219" s="19"/>
      <c r="I219" s="19"/>
      <c r="J219" s="19"/>
      <c r="K219" s="19"/>
      <c r="L219" s="19"/>
      <c r="M219" s="19"/>
      <c r="N219" s="19"/>
      <c r="O219" s="19"/>
      <c r="P219" s="17"/>
    </row>
    <row r="220" spans="1:16" x14ac:dyDescent="0.3">
      <c r="A220" s="14"/>
      <c r="B220" s="14" t="str">
        <f>Fill_Value(quality!B220)</f>
        <v/>
      </c>
      <c r="C220" s="14" t="str">
        <f>Fill_Value(quality!C220)</f>
        <v/>
      </c>
      <c r="D220" s="15"/>
      <c r="E220" s="16"/>
      <c r="F220" s="16"/>
      <c r="G220" s="16"/>
      <c r="H220" s="16"/>
      <c r="I220" s="16"/>
      <c r="J220" s="16"/>
      <c r="K220" s="16"/>
      <c r="L220" s="16"/>
      <c r="M220" s="16"/>
      <c r="N220" s="16"/>
      <c r="O220" s="16"/>
      <c r="P220" s="14"/>
    </row>
    <row r="221" spans="1:16" x14ac:dyDescent="0.3">
      <c r="A221" s="17"/>
      <c r="B221" s="17" t="str">
        <f>Fill_Value(quality!B221)</f>
        <v/>
      </c>
      <c r="C221" s="17" t="str">
        <f>Fill_Value(quality!C221)</f>
        <v/>
      </c>
      <c r="D221" s="18"/>
      <c r="E221" s="19"/>
      <c r="F221" s="19"/>
      <c r="G221" s="19"/>
      <c r="H221" s="19"/>
      <c r="I221" s="19"/>
      <c r="J221" s="19"/>
      <c r="K221" s="19"/>
      <c r="L221" s="19"/>
      <c r="M221" s="19"/>
      <c r="N221" s="19"/>
      <c r="O221" s="19"/>
      <c r="P221" s="17"/>
    </row>
    <row r="222" spans="1:16" x14ac:dyDescent="0.3">
      <c r="A222" s="14"/>
      <c r="B222" s="14" t="str">
        <f>Fill_Value(quality!B222)</f>
        <v/>
      </c>
      <c r="C222" s="14" t="str">
        <f>Fill_Value(quality!C222)</f>
        <v/>
      </c>
      <c r="D222" s="15"/>
      <c r="E222" s="16"/>
      <c r="F222" s="16"/>
      <c r="G222" s="16"/>
      <c r="H222" s="16"/>
      <c r="I222" s="16"/>
      <c r="J222" s="16"/>
      <c r="K222" s="16"/>
      <c r="L222" s="16"/>
      <c r="M222" s="16"/>
      <c r="N222" s="16"/>
      <c r="O222" s="16"/>
      <c r="P222" s="14"/>
    </row>
    <row r="223" spans="1:16" x14ac:dyDescent="0.3">
      <c r="A223" s="17"/>
      <c r="B223" s="17" t="str">
        <f>Fill_Value(quality!B223)</f>
        <v/>
      </c>
      <c r="C223" s="17" t="str">
        <f>Fill_Value(quality!C223)</f>
        <v/>
      </c>
      <c r="D223" s="18"/>
      <c r="E223" s="19"/>
      <c r="F223" s="19"/>
      <c r="G223" s="19"/>
      <c r="H223" s="19"/>
      <c r="I223" s="19"/>
      <c r="J223" s="19"/>
      <c r="K223" s="19"/>
      <c r="L223" s="19"/>
      <c r="M223" s="19"/>
      <c r="N223" s="19"/>
      <c r="O223" s="19"/>
      <c r="P223" s="17"/>
    </row>
    <row r="224" spans="1:16" x14ac:dyDescent="0.3">
      <c r="A224" s="14"/>
      <c r="B224" s="14" t="str">
        <f>Fill_Value(quality!B224)</f>
        <v/>
      </c>
      <c r="C224" s="14" t="str">
        <f>Fill_Value(quality!C224)</f>
        <v/>
      </c>
      <c r="D224" s="15"/>
      <c r="E224" s="16"/>
      <c r="F224" s="16"/>
      <c r="G224" s="16"/>
      <c r="H224" s="16"/>
      <c r="I224" s="16"/>
      <c r="J224" s="16"/>
      <c r="K224" s="16"/>
      <c r="L224" s="16"/>
      <c r="M224" s="16"/>
      <c r="N224" s="16"/>
      <c r="O224" s="16"/>
      <c r="P224" s="14"/>
    </row>
    <row r="225" spans="1:16" x14ac:dyDescent="0.3">
      <c r="A225" s="17"/>
      <c r="B225" s="17" t="str">
        <f>Fill_Value(quality!B225)</f>
        <v/>
      </c>
      <c r="C225" s="17" t="str">
        <f>Fill_Value(quality!C225)</f>
        <v/>
      </c>
      <c r="D225" s="18"/>
      <c r="E225" s="19"/>
      <c r="F225" s="19"/>
      <c r="G225" s="19"/>
      <c r="H225" s="19"/>
      <c r="I225" s="19"/>
      <c r="J225" s="19"/>
      <c r="K225" s="19"/>
      <c r="L225" s="19"/>
      <c r="M225" s="19"/>
      <c r="N225" s="19"/>
      <c r="O225" s="19"/>
      <c r="P225" s="17"/>
    </row>
    <row r="226" spans="1:16" x14ac:dyDescent="0.3">
      <c r="A226" s="14"/>
      <c r="B226" s="14" t="str">
        <f>Fill_Value(quality!B226)</f>
        <v/>
      </c>
      <c r="C226" s="14" t="str">
        <f>Fill_Value(quality!C226)</f>
        <v/>
      </c>
      <c r="D226" s="15"/>
      <c r="E226" s="16"/>
      <c r="F226" s="16"/>
      <c r="G226" s="16"/>
      <c r="H226" s="16"/>
      <c r="I226" s="16"/>
      <c r="J226" s="16"/>
      <c r="K226" s="16"/>
      <c r="L226" s="16"/>
      <c r="M226" s="16"/>
      <c r="N226" s="16"/>
      <c r="O226" s="16"/>
      <c r="P226" s="14"/>
    </row>
    <row r="227" spans="1:16" x14ac:dyDescent="0.3">
      <c r="A227" s="17"/>
      <c r="B227" s="17" t="str">
        <f>Fill_Value(quality!B227)</f>
        <v/>
      </c>
      <c r="C227" s="17" t="str">
        <f>Fill_Value(quality!C227)</f>
        <v/>
      </c>
      <c r="D227" s="18"/>
      <c r="E227" s="19"/>
      <c r="F227" s="19"/>
      <c r="G227" s="19"/>
      <c r="H227" s="19"/>
      <c r="I227" s="19"/>
      <c r="J227" s="19"/>
      <c r="K227" s="19"/>
      <c r="L227" s="19"/>
      <c r="M227" s="19"/>
      <c r="N227" s="19"/>
      <c r="O227" s="19"/>
      <c r="P227" s="17"/>
    </row>
    <row r="228" spans="1:16" x14ac:dyDescent="0.3">
      <c r="A228" s="14"/>
      <c r="B228" s="14" t="str">
        <f>Fill_Value(quality!B228)</f>
        <v/>
      </c>
      <c r="C228" s="14" t="str">
        <f>Fill_Value(quality!C228)</f>
        <v/>
      </c>
      <c r="D228" s="15"/>
      <c r="E228" s="16"/>
      <c r="F228" s="16"/>
      <c r="G228" s="16"/>
      <c r="H228" s="16"/>
      <c r="I228" s="16"/>
      <c r="J228" s="16"/>
      <c r="K228" s="16"/>
      <c r="L228" s="16"/>
      <c r="M228" s="16"/>
      <c r="N228" s="16"/>
      <c r="O228" s="16"/>
      <c r="P228" s="14"/>
    </row>
    <row r="229" spans="1:16" x14ac:dyDescent="0.3">
      <c r="A229" s="17"/>
      <c r="B229" s="17" t="str">
        <f>Fill_Value(quality!B229)</f>
        <v/>
      </c>
      <c r="C229" s="17" t="str">
        <f>Fill_Value(quality!C229)</f>
        <v/>
      </c>
      <c r="D229" s="18"/>
      <c r="E229" s="19"/>
      <c r="F229" s="19"/>
      <c r="G229" s="19"/>
      <c r="H229" s="19"/>
      <c r="I229" s="19"/>
      <c r="J229" s="19"/>
      <c r="K229" s="19"/>
      <c r="L229" s="19"/>
      <c r="M229" s="19"/>
      <c r="N229" s="19"/>
      <c r="O229" s="19"/>
      <c r="P229" s="17"/>
    </row>
    <row r="230" spans="1:16" x14ac:dyDescent="0.3">
      <c r="A230" s="14"/>
      <c r="B230" s="14" t="str">
        <f>Fill_Value(quality!B230)</f>
        <v/>
      </c>
      <c r="C230" s="14" t="str">
        <f>Fill_Value(quality!C230)</f>
        <v/>
      </c>
      <c r="D230" s="15"/>
      <c r="E230" s="16"/>
      <c r="F230" s="16"/>
      <c r="G230" s="16"/>
      <c r="H230" s="16"/>
      <c r="I230" s="16"/>
      <c r="J230" s="16"/>
      <c r="K230" s="16"/>
      <c r="L230" s="16"/>
      <c r="M230" s="16"/>
      <c r="N230" s="16"/>
      <c r="O230" s="16"/>
      <c r="P230" s="14"/>
    </row>
    <row r="231" spans="1:16" x14ac:dyDescent="0.3">
      <c r="A231" s="17"/>
      <c r="B231" s="17" t="str">
        <f>Fill_Value(quality!B231)</f>
        <v/>
      </c>
      <c r="C231" s="17" t="str">
        <f>Fill_Value(quality!C231)</f>
        <v/>
      </c>
      <c r="D231" s="18"/>
      <c r="E231" s="19"/>
      <c r="F231" s="19"/>
      <c r="G231" s="19"/>
      <c r="H231" s="19"/>
      <c r="I231" s="19"/>
      <c r="J231" s="19"/>
      <c r="K231" s="19"/>
      <c r="L231" s="19"/>
      <c r="M231" s="19"/>
      <c r="N231" s="19"/>
      <c r="O231" s="19"/>
      <c r="P231" s="17"/>
    </row>
    <row r="232" spans="1:16" x14ac:dyDescent="0.3">
      <c r="A232" s="14"/>
      <c r="B232" s="14" t="str">
        <f>Fill_Value(quality!B232)</f>
        <v/>
      </c>
      <c r="C232" s="14" t="str">
        <f>Fill_Value(quality!C232)</f>
        <v/>
      </c>
      <c r="D232" s="15"/>
      <c r="E232" s="16"/>
      <c r="F232" s="16"/>
      <c r="G232" s="16"/>
      <c r="H232" s="16"/>
      <c r="I232" s="16"/>
      <c r="J232" s="16"/>
      <c r="K232" s="16"/>
      <c r="L232" s="16"/>
      <c r="M232" s="16"/>
      <c r="N232" s="16"/>
      <c r="O232" s="16"/>
      <c r="P232" s="14"/>
    </row>
    <row r="233" spans="1:16" x14ac:dyDescent="0.3">
      <c r="A233" s="17"/>
      <c r="B233" s="17" t="str">
        <f>Fill_Value(quality!B233)</f>
        <v/>
      </c>
      <c r="C233" s="17" t="str">
        <f>Fill_Value(quality!C233)</f>
        <v/>
      </c>
      <c r="D233" s="18"/>
      <c r="E233" s="19"/>
      <c r="F233" s="19"/>
      <c r="G233" s="19"/>
      <c r="H233" s="19"/>
      <c r="I233" s="19"/>
      <c r="J233" s="19"/>
      <c r="K233" s="19"/>
      <c r="L233" s="19"/>
      <c r="M233" s="19"/>
      <c r="N233" s="19"/>
      <c r="O233" s="19"/>
      <c r="P233" s="17"/>
    </row>
    <row r="234" spans="1:16" x14ac:dyDescent="0.3">
      <c r="A234" s="14"/>
      <c r="B234" s="14" t="str">
        <f>Fill_Value(quality!B234)</f>
        <v/>
      </c>
      <c r="C234" s="14" t="str">
        <f>Fill_Value(quality!C234)</f>
        <v/>
      </c>
      <c r="D234" s="15"/>
      <c r="E234" s="16"/>
      <c r="F234" s="16"/>
      <c r="G234" s="16"/>
      <c r="H234" s="16"/>
      <c r="I234" s="16"/>
      <c r="J234" s="16"/>
      <c r="K234" s="16"/>
      <c r="L234" s="16"/>
      <c r="M234" s="16"/>
      <c r="N234" s="16"/>
      <c r="O234" s="16"/>
      <c r="P234" s="14"/>
    </row>
    <row r="235" spans="1:16" x14ac:dyDescent="0.3">
      <c r="A235" s="17"/>
      <c r="B235" s="17" t="str">
        <f>Fill_Value(quality!B235)</f>
        <v/>
      </c>
      <c r="C235" s="17" t="str">
        <f>Fill_Value(quality!C235)</f>
        <v/>
      </c>
      <c r="D235" s="18"/>
      <c r="E235" s="19"/>
      <c r="F235" s="19"/>
      <c r="G235" s="19"/>
      <c r="H235" s="19"/>
      <c r="I235" s="19"/>
      <c r="J235" s="19"/>
      <c r="K235" s="19"/>
      <c r="L235" s="19"/>
      <c r="M235" s="19"/>
      <c r="N235" s="19"/>
      <c r="O235" s="19"/>
      <c r="P235" s="17"/>
    </row>
    <row r="236" spans="1:16" x14ac:dyDescent="0.3">
      <c r="A236" s="14"/>
      <c r="B236" s="14" t="str">
        <f>Fill_Value(quality!B236)</f>
        <v/>
      </c>
      <c r="C236" s="14" t="str">
        <f>Fill_Value(quality!C236)</f>
        <v/>
      </c>
      <c r="D236" s="15"/>
      <c r="E236" s="16"/>
      <c r="F236" s="16"/>
      <c r="G236" s="16"/>
      <c r="H236" s="16"/>
      <c r="I236" s="16"/>
      <c r="J236" s="16"/>
      <c r="K236" s="16"/>
      <c r="L236" s="16"/>
      <c r="M236" s="16"/>
      <c r="N236" s="16"/>
      <c r="O236" s="16"/>
      <c r="P236" s="14"/>
    </row>
    <row r="237" spans="1:16" x14ac:dyDescent="0.3">
      <c r="A237" s="17"/>
      <c r="B237" s="17" t="str">
        <f>Fill_Value(quality!B237)</f>
        <v/>
      </c>
      <c r="C237" s="17" t="str">
        <f>Fill_Value(quality!C237)</f>
        <v/>
      </c>
      <c r="D237" s="18"/>
      <c r="E237" s="19"/>
      <c r="F237" s="19"/>
      <c r="G237" s="19"/>
      <c r="H237" s="19"/>
      <c r="I237" s="19"/>
      <c r="J237" s="19"/>
      <c r="K237" s="19"/>
      <c r="L237" s="19"/>
      <c r="M237" s="19"/>
      <c r="N237" s="19"/>
      <c r="O237" s="19"/>
      <c r="P237" s="17"/>
    </row>
    <row r="238" spans="1:16" x14ac:dyDescent="0.3">
      <c r="A238" s="14"/>
      <c r="B238" s="14" t="str">
        <f>Fill_Value(quality!B238)</f>
        <v/>
      </c>
      <c r="C238" s="14" t="str">
        <f>Fill_Value(quality!C238)</f>
        <v/>
      </c>
      <c r="D238" s="15"/>
      <c r="E238" s="16"/>
      <c r="F238" s="16"/>
      <c r="G238" s="16"/>
      <c r="H238" s="16"/>
      <c r="I238" s="16"/>
      <c r="J238" s="16"/>
      <c r="K238" s="16"/>
      <c r="L238" s="16"/>
      <c r="M238" s="16"/>
      <c r="N238" s="16"/>
      <c r="O238" s="16"/>
      <c r="P238" s="14"/>
    </row>
    <row r="239" spans="1:16" x14ac:dyDescent="0.3">
      <c r="A239" s="17"/>
      <c r="B239" s="17" t="str">
        <f>Fill_Value(quality!B239)</f>
        <v/>
      </c>
      <c r="C239" s="17" t="str">
        <f>Fill_Value(quality!C239)</f>
        <v/>
      </c>
      <c r="D239" s="18"/>
      <c r="E239" s="19"/>
      <c r="F239" s="19"/>
      <c r="G239" s="19"/>
      <c r="H239" s="19"/>
      <c r="I239" s="19"/>
      <c r="J239" s="19"/>
      <c r="K239" s="19"/>
      <c r="L239" s="19"/>
      <c r="M239" s="19"/>
      <c r="N239" s="19"/>
      <c r="O239" s="19"/>
      <c r="P239" s="17"/>
    </row>
    <row r="240" spans="1:16" x14ac:dyDescent="0.3">
      <c r="A240" s="14"/>
      <c r="B240" s="14" t="str">
        <f>Fill_Value(quality!B240)</f>
        <v/>
      </c>
      <c r="C240" s="14" t="str">
        <f>Fill_Value(quality!C240)</f>
        <v/>
      </c>
      <c r="D240" s="15"/>
      <c r="E240" s="16"/>
      <c r="F240" s="16"/>
      <c r="G240" s="16"/>
      <c r="H240" s="16"/>
      <c r="I240" s="16"/>
      <c r="J240" s="16"/>
      <c r="K240" s="16"/>
      <c r="L240" s="16"/>
      <c r="M240" s="16"/>
      <c r="N240" s="16"/>
      <c r="O240" s="16"/>
      <c r="P240" s="14"/>
    </row>
    <row r="241" spans="1:16" x14ac:dyDescent="0.3">
      <c r="A241" s="17"/>
      <c r="B241" s="17" t="str">
        <f>Fill_Value(quality!B241)</f>
        <v/>
      </c>
      <c r="C241" s="17" t="str">
        <f>Fill_Value(quality!C241)</f>
        <v/>
      </c>
      <c r="D241" s="18"/>
      <c r="E241" s="19"/>
      <c r="F241" s="19"/>
      <c r="G241" s="19"/>
      <c r="H241" s="19"/>
      <c r="I241" s="19"/>
      <c r="J241" s="19"/>
      <c r="K241" s="19"/>
      <c r="L241" s="19"/>
      <c r="M241" s="19"/>
      <c r="N241" s="19"/>
      <c r="O241" s="19"/>
      <c r="P241" s="17"/>
    </row>
    <row r="242" spans="1:16" x14ac:dyDescent="0.3">
      <c r="A242" s="14"/>
      <c r="B242" s="14" t="str">
        <f>Fill_Value(quality!B242)</f>
        <v/>
      </c>
      <c r="C242" s="14" t="str">
        <f>Fill_Value(quality!C242)</f>
        <v/>
      </c>
      <c r="D242" s="15"/>
      <c r="E242" s="16"/>
      <c r="F242" s="16"/>
      <c r="G242" s="16"/>
      <c r="H242" s="16"/>
      <c r="I242" s="16"/>
      <c r="J242" s="16"/>
      <c r="K242" s="16"/>
      <c r="L242" s="16"/>
      <c r="M242" s="16"/>
      <c r="N242" s="16"/>
      <c r="O242" s="16"/>
      <c r="P242" s="14"/>
    </row>
    <row r="243" spans="1:16" x14ac:dyDescent="0.3">
      <c r="A243" s="17"/>
      <c r="B243" s="17" t="str">
        <f>Fill_Value(quality!B243)</f>
        <v/>
      </c>
      <c r="C243" s="17" t="str">
        <f>Fill_Value(quality!C243)</f>
        <v/>
      </c>
      <c r="D243" s="18"/>
      <c r="E243" s="19"/>
      <c r="F243" s="19"/>
      <c r="G243" s="19"/>
      <c r="H243" s="19"/>
      <c r="I243" s="19"/>
      <c r="J243" s="19"/>
      <c r="K243" s="19"/>
      <c r="L243" s="19"/>
      <c r="M243" s="19"/>
      <c r="N243" s="19"/>
      <c r="O243" s="19"/>
      <c r="P243" s="17"/>
    </row>
    <row r="244" spans="1:16" x14ac:dyDescent="0.3">
      <c r="A244" s="14"/>
      <c r="B244" s="14" t="str">
        <f>Fill_Value(quality!B244)</f>
        <v/>
      </c>
      <c r="C244" s="14" t="str">
        <f>Fill_Value(quality!C244)</f>
        <v/>
      </c>
      <c r="D244" s="15"/>
      <c r="E244" s="16"/>
      <c r="F244" s="16"/>
      <c r="G244" s="16"/>
      <c r="H244" s="16"/>
      <c r="I244" s="16"/>
      <c r="J244" s="16"/>
      <c r="K244" s="16"/>
      <c r="L244" s="16"/>
      <c r="M244" s="16"/>
      <c r="N244" s="16"/>
      <c r="O244" s="16"/>
      <c r="P244" s="14"/>
    </row>
    <row r="245" spans="1:16" x14ac:dyDescent="0.3">
      <c r="A245" s="17"/>
      <c r="B245" s="17" t="str">
        <f>Fill_Value(quality!B245)</f>
        <v/>
      </c>
      <c r="C245" s="17" t="str">
        <f>Fill_Value(quality!C245)</f>
        <v/>
      </c>
      <c r="D245" s="18"/>
      <c r="E245" s="19"/>
      <c r="F245" s="19"/>
      <c r="G245" s="19"/>
      <c r="H245" s="19"/>
      <c r="I245" s="19"/>
      <c r="J245" s="19"/>
      <c r="K245" s="19"/>
      <c r="L245" s="19"/>
      <c r="M245" s="19"/>
      <c r="N245" s="19"/>
      <c r="O245" s="19"/>
      <c r="P245" s="17"/>
    </row>
    <row r="246" spans="1:16" x14ac:dyDescent="0.3">
      <c r="A246" s="14"/>
      <c r="B246" s="14" t="str">
        <f>Fill_Value(quality!B246)</f>
        <v/>
      </c>
      <c r="C246" s="14" t="str">
        <f>Fill_Value(quality!C246)</f>
        <v/>
      </c>
      <c r="D246" s="15"/>
      <c r="E246" s="16"/>
      <c r="F246" s="16"/>
      <c r="G246" s="16"/>
      <c r="H246" s="16"/>
      <c r="I246" s="16"/>
      <c r="J246" s="16"/>
      <c r="K246" s="16"/>
      <c r="L246" s="16"/>
      <c r="M246" s="16"/>
      <c r="N246" s="16"/>
      <c r="O246" s="16"/>
      <c r="P246" s="14"/>
    </row>
    <row r="247" spans="1:16" x14ac:dyDescent="0.3">
      <c r="A247" s="17"/>
      <c r="B247" s="17" t="str">
        <f>Fill_Value(quality!B247)</f>
        <v/>
      </c>
      <c r="C247" s="17" t="str">
        <f>Fill_Value(quality!C247)</f>
        <v/>
      </c>
      <c r="D247" s="18"/>
      <c r="E247" s="19"/>
      <c r="F247" s="19"/>
      <c r="G247" s="19"/>
      <c r="H247" s="19"/>
      <c r="I247" s="19"/>
      <c r="J247" s="19"/>
      <c r="K247" s="19"/>
      <c r="L247" s="19"/>
      <c r="M247" s="19"/>
      <c r="N247" s="19"/>
      <c r="O247" s="19"/>
      <c r="P247" s="17"/>
    </row>
    <row r="248" spans="1:16" x14ac:dyDescent="0.3">
      <c r="A248" s="14"/>
      <c r="B248" s="14" t="str">
        <f>Fill_Value(quality!B248)</f>
        <v/>
      </c>
      <c r="C248" s="14" t="str">
        <f>Fill_Value(quality!C248)</f>
        <v/>
      </c>
      <c r="D248" s="15"/>
      <c r="E248" s="16"/>
      <c r="F248" s="16"/>
      <c r="G248" s="16"/>
      <c r="H248" s="16"/>
      <c r="I248" s="16"/>
      <c r="J248" s="16"/>
      <c r="K248" s="16"/>
      <c r="L248" s="16"/>
      <c r="M248" s="16"/>
      <c r="N248" s="16"/>
      <c r="O248" s="16"/>
      <c r="P248" s="14"/>
    </row>
    <row r="249" spans="1:16" x14ac:dyDescent="0.3">
      <c r="A249" s="17"/>
      <c r="B249" s="17" t="str">
        <f>Fill_Value(quality!B249)</f>
        <v/>
      </c>
      <c r="C249" s="17" t="str">
        <f>Fill_Value(quality!C249)</f>
        <v/>
      </c>
      <c r="D249" s="18"/>
      <c r="E249" s="19"/>
      <c r="F249" s="19"/>
      <c r="G249" s="19"/>
      <c r="H249" s="19"/>
      <c r="I249" s="19"/>
      <c r="J249" s="19"/>
      <c r="K249" s="19"/>
      <c r="L249" s="19"/>
      <c r="M249" s="19"/>
      <c r="N249" s="19"/>
      <c r="O249" s="19"/>
      <c r="P249" s="17"/>
    </row>
    <row r="250" spans="1:16" x14ac:dyDescent="0.3">
      <c r="A250" s="14"/>
      <c r="B250" s="14" t="str">
        <f>Fill_Value(quality!B250)</f>
        <v/>
      </c>
      <c r="C250" s="14" t="str">
        <f>Fill_Value(quality!C250)</f>
        <v/>
      </c>
      <c r="D250" s="15"/>
      <c r="E250" s="16"/>
      <c r="F250" s="16"/>
      <c r="G250" s="16"/>
      <c r="H250" s="16"/>
      <c r="I250" s="16"/>
      <c r="J250" s="16"/>
      <c r="K250" s="16"/>
      <c r="L250" s="16"/>
      <c r="M250" s="16"/>
      <c r="N250" s="16"/>
      <c r="O250" s="16"/>
      <c r="P250" s="14"/>
    </row>
    <row r="251" spans="1:16" x14ac:dyDescent="0.3">
      <c r="A251" s="17"/>
      <c r="B251" s="17" t="str">
        <f>Fill_Value(quality!B251)</f>
        <v/>
      </c>
      <c r="C251" s="17" t="str">
        <f>Fill_Value(quality!C251)</f>
        <v/>
      </c>
      <c r="D251" s="18"/>
      <c r="E251" s="19"/>
      <c r="F251" s="19"/>
      <c r="G251" s="19"/>
      <c r="H251" s="19"/>
      <c r="I251" s="19"/>
      <c r="J251" s="19"/>
      <c r="K251" s="19"/>
      <c r="L251" s="19"/>
      <c r="M251" s="19"/>
      <c r="N251" s="19"/>
      <c r="O251" s="19"/>
      <c r="P251" s="17"/>
    </row>
    <row r="252" spans="1:16" x14ac:dyDescent="0.3">
      <c r="A252" s="14"/>
      <c r="B252" s="14" t="str">
        <f>Fill_Value(quality!B252)</f>
        <v/>
      </c>
      <c r="C252" s="14" t="str">
        <f>Fill_Value(quality!C252)</f>
        <v/>
      </c>
      <c r="D252" s="15"/>
      <c r="E252" s="16"/>
      <c r="F252" s="16"/>
      <c r="G252" s="16"/>
      <c r="H252" s="16"/>
      <c r="I252" s="16"/>
      <c r="J252" s="16"/>
      <c r="K252" s="16"/>
      <c r="L252" s="16"/>
      <c r="M252" s="16"/>
      <c r="N252" s="16"/>
      <c r="O252" s="16"/>
      <c r="P252" s="14"/>
    </row>
    <row r="253" spans="1:16" x14ac:dyDescent="0.3">
      <c r="A253" s="17"/>
      <c r="B253" s="17" t="str">
        <f>Fill_Value(quality!B253)</f>
        <v/>
      </c>
      <c r="C253" s="17" t="str">
        <f>Fill_Value(quality!C253)</f>
        <v/>
      </c>
      <c r="D253" s="18"/>
      <c r="E253" s="19"/>
      <c r="F253" s="19"/>
      <c r="G253" s="19"/>
      <c r="H253" s="19"/>
      <c r="I253" s="19"/>
      <c r="J253" s="19"/>
      <c r="K253" s="19"/>
      <c r="L253" s="19"/>
      <c r="M253" s="19"/>
      <c r="N253" s="19"/>
      <c r="O253" s="19"/>
      <c r="P253" s="17"/>
    </row>
    <row r="254" spans="1:16" x14ac:dyDescent="0.3">
      <c r="A254" s="14"/>
      <c r="B254" s="14" t="str">
        <f>Fill_Value(quality!B254)</f>
        <v/>
      </c>
      <c r="C254" s="14" t="str">
        <f>Fill_Value(quality!C254)</f>
        <v/>
      </c>
      <c r="D254" s="15"/>
      <c r="E254" s="16"/>
      <c r="F254" s="16"/>
      <c r="G254" s="16"/>
      <c r="H254" s="16"/>
      <c r="I254" s="16"/>
      <c r="J254" s="16"/>
      <c r="K254" s="16"/>
      <c r="L254" s="16"/>
      <c r="M254" s="16"/>
      <c r="N254" s="16"/>
      <c r="O254" s="16"/>
      <c r="P254" s="14"/>
    </row>
    <row r="255" spans="1:16" x14ac:dyDescent="0.3">
      <c r="A255" s="17"/>
      <c r="B255" s="17" t="str">
        <f>Fill_Value(quality!B255)</f>
        <v/>
      </c>
      <c r="C255" s="17" t="str">
        <f>Fill_Value(quality!C255)</f>
        <v/>
      </c>
      <c r="D255" s="18"/>
      <c r="E255" s="19"/>
      <c r="F255" s="19"/>
      <c r="G255" s="19"/>
      <c r="H255" s="19"/>
      <c r="I255" s="19"/>
      <c r="J255" s="19"/>
      <c r="K255" s="19"/>
      <c r="L255" s="19"/>
      <c r="M255" s="19"/>
      <c r="N255" s="19"/>
      <c r="O255" s="19"/>
      <c r="P255" s="17"/>
    </row>
    <row r="256" spans="1:16" x14ac:dyDescent="0.3">
      <c r="A256" s="14"/>
      <c r="B256" s="14" t="str">
        <f>Fill_Value(quality!B256)</f>
        <v/>
      </c>
      <c r="C256" s="14" t="str">
        <f>Fill_Value(quality!C256)</f>
        <v/>
      </c>
      <c r="D256" s="15"/>
      <c r="E256" s="16"/>
      <c r="F256" s="16"/>
      <c r="G256" s="16"/>
      <c r="H256" s="16"/>
      <c r="I256" s="16"/>
      <c r="J256" s="16"/>
      <c r="K256" s="16"/>
      <c r="L256" s="16"/>
      <c r="M256" s="16"/>
      <c r="N256" s="16"/>
      <c r="O256" s="16"/>
      <c r="P256" s="14"/>
    </row>
    <row r="257" spans="1:16" x14ac:dyDescent="0.3">
      <c r="A257" s="17"/>
      <c r="B257" s="17" t="str">
        <f>Fill_Value(quality!B257)</f>
        <v/>
      </c>
      <c r="C257" s="17" t="str">
        <f>Fill_Value(quality!C257)</f>
        <v/>
      </c>
      <c r="D257" s="18"/>
      <c r="E257" s="19"/>
      <c r="F257" s="19"/>
      <c r="G257" s="19"/>
      <c r="H257" s="19"/>
      <c r="I257" s="19"/>
      <c r="J257" s="19"/>
      <c r="K257" s="19"/>
      <c r="L257" s="19"/>
      <c r="M257" s="19"/>
      <c r="N257" s="19"/>
      <c r="O257" s="19"/>
      <c r="P257" s="17"/>
    </row>
    <row r="258" spans="1:16" x14ac:dyDescent="0.3">
      <c r="A258" s="14"/>
      <c r="B258" s="14" t="str">
        <f>Fill_Value(quality!B258)</f>
        <v/>
      </c>
      <c r="C258" s="14" t="str">
        <f>Fill_Value(quality!C258)</f>
        <v/>
      </c>
      <c r="D258" s="15"/>
      <c r="E258" s="16"/>
      <c r="F258" s="16"/>
      <c r="G258" s="16"/>
      <c r="H258" s="16"/>
      <c r="I258" s="16"/>
      <c r="J258" s="16"/>
      <c r="K258" s="16"/>
      <c r="L258" s="16"/>
      <c r="M258" s="16"/>
      <c r="N258" s="16"/>
      <c r="O258" s="16"/>
      <c r="P258" s="14"/>
    </row>
    <row r="259" spans="1:16" x14ac:dyDescent="0.3">
      <c r="A259" s="17"/>
      <c r="B259" s="17" t="str">
        <f>Fill_Value(quality!B259)</f>
        <v/>
      </c>
      <c r="C259" s="17" t="str">
        <f>Fill_Value(quality!C259)</f>
        <v/>
      </c>
      <c r="D259" s="18"/>
      <c r="E259" s="19"/>
      <c r="F259" s="19"/>
      <c r="G259" s="19"/>
      <c r="H259" s="19"/>
      <c r="I259" s="19"/>
      <c r="J259" s="19"/>
      <c r="K259" s="19"/>
      <c r="L259" s="19"/>
      <c r="M259" s="19"/>
      <c r="N259" s="19"/>
      <c r="O259" s="19"/>
      <c r="P259" s="17"/>
    </row>
    <row r="260" spans="1:16" x14ac:dyDescent="0.3">
      <c r="A260" s="14"/>
      <c r="B260" s="14" t="str">
        <f>Fill_Value(quality!B260)</f>
        <v/>
      </c>
      <c r="C260" s="14" t="str">
        <f>Fill_Value(quality!C260)</f>
        <v/>
      </c>
      <c r="D260" s="15"/>
      <c r="E260" s="16"/>
      <c r="F260" s="16"/>
      <c r="G260" s="16"/>
      <c r="H260" s="16"/>
      <c r="I260" s="16"/>
      <c r="J260" s="16"/>
      <c r="K260" s="16"/>
      <c r="L260" s="16"/>
      <c r="M260" s="16"/>
      <c r="N260" s="16"/>
      <c r="O260" s="16"/>
      <c r="P260" s="14"/>
    </row>
    <row r="261" spans="1:16" x14ac:dyDescent="0.3">
      <c r="A261" s="17"/>
      <c r="B261" s="17" t="str">
        <f>Fill_Value(quality!B261)</f>
        <v/>
      </c>
      <c r="C261" s="17" t="str">
        <f>Fill_Value(quality!C261)</f>
        <v/>
      </c>
      <c r="D261" s="18"/>
      <c r="E261" s="19"/>
      <c r="F261" s="19"/>
      <c r="G261" s="19"/>
      <c r="H261" s="19"/>
      <c r="I261" s="19"/>
      <c r="J261" s="19"/>
      <c r="K261" s="19"/>
      <c r="L261" s="19"/>
      <c r="M261" s="19"/>
      <c r="N261" s="19"/>
      <c r="O261" s="19"/>
      <c r="P261" s="17"/>
    </row>
    <row r="262" spans="1:16" x14ac:dyDescent="0.3">
      <c r="A262" s="14"/>
      <c r="B262" s="14" t="str">
        <f>Fill_Value(quality!B262)</f>
        <v/>
      </c>
      <c r="C262" s="14" t="str">
        <f>Fill_Value(quality!C262)</f>
        <v/>
      </c>
      <c r="D262" s="15"/>
      <c r="E262" s="16"/>
      <c r="F262" s="16"/>
      <c r="G262" s="16"/>
      <c r="H262" s="16"/>
      <c r="I262" s="16"/>
      <c r="J262" s="16"/>
      <c r="K262" s="16"/>
      <c r="L262" s="16"/>
      <c r="M262" s="16"/>
      <c r="N262" s="16"/>
      <c r="O262" s="16"/>
      <c r="P262" s="14"/>
    </row>
    <row r="263" spans="1:16" x14ac:dyDescent="0.3">
      <c r="A263" s="17"/>
      <c r="B263" s="17" t="str">
        <f>Fill_Value(quality!B263)</f>
        <v/>
      </c>
      <c r="C263" s="17" t="str">
        <f>Fill_Value(quality!C263)</f>
        <v/>
      </c>
      <c r="D263" s="18"/>
      <c r="E263" s="19"/>
      <c r="F263" s="19"/>
      <c r="G263" s="19"/>
      <c r="H263" s="19"/>
      <c r="I263" s="19"/>
      <c r="J263" s="19"/>
      <c r="K263" s="19"/>
      <c r="L263" s="19"/>
      <c r="M263" s="19"/>
      <c r="N263" s="19"/>
      <c r="O263" s="19"/>
      <c r="P263" s="17"/>
    </row>
    <row r="264" spans="1:16" x14ac:dyDescent="0.3">
      <c r="A264" s="14"/>
      <c r="B264" s="14" t="str">
        <f>Fill_Value(quality!B264)</f>
        <v/>
      </c>
      <c r="C264" s="14" t="str">
        <f>Fill_Value(quality!C264)</f>
        <v/>
      </c>
      <c r="D264" s="15"/>
      <c r="E264" s="16"/>
      <c r="F264" s="16"/>
      <c r="G264" s="16"/>
      <c r="H264" s="16"/>
      <c r="I264" s="16"/>
      <c r="J264" s="16"/>
      <c r="K264" s="16"/>
      <c r="L264" s="16"/>
      <c r="M264" s="16"/>
      <c r="N264" s="16"/>
      <c r="O264" s="16"/>
      <c r="P264" s="14"/>
    </row>
    <row r="265" spans="1:16" x14ac:dyDescent="0.3">
      <c r="A265" s="17"/>
      <c r="B265" s="17" t="str">
        <f>Fill_Value(quality!B265)</f>
        <v/>
      </c>
      <c r="C265" s="17" t="str">
        <f>Fill_Value(quality!C265)</f>
        <v/>
      </c>
      <c r="D265" s="18"/>
      <c r="E265" s="19"/>
      <c r="F265" s="19"/>
      <c r="G265" s="19"/>
      <c r="H265" s="19"/>
      <c r="I265" s="19"/>
      <c r="J265" s="19"/>
      <c r="K265" s="19"/>
      <c r="L265" s="19"/>
      <c r="M265" s="19"/>
      <c r="N265" s="19"/>
      <c r="O265" s="19"/>
      <c r="P265" s="17"/>
    </row>
    <row r="266" spans="1:16" x14ac:dyDescent="0.3">
      <c r="A266" s="14"/>
      <c r="B266" s="14" t="str">
        <f>Fill_Value(quality!B266)</f>
        <v/>
      </c>
      <c r="C266" s="14" t="str">
        <f>Fill_Value(quality!C266)</f>
        <v/>
      </c>
      <c r="D266" s="15"/>
      <c r="E266" s="16"/>
      <c r="F266" s="16"/>
      <c r="G266" s="16"/>
      <c r="H266" s="16"/>
      <c r="I266" s="16"/>
      <c r="J266" s="16"/>
      <c r="K266" s="16"/>
      <c r="L266" s="16"/>
      <c r="M266" s="16"/>
      <c r="N266" s="16"/>
      <c r="O266" s="16"/>
      <c r="P266" s="14"/>
    </row>
    <row r="267" spans="1:16" x14ac:dyDescent="0.3">
      <c r="A267" s="17"/>
      <c r="B267" s="17" t="str">
        <f>Fill_Value(quality!B267)</f>
        <v/>
      </c>
      <c r="C267" s="17" t="str">
        <f>Fill_Value(quality!C267)</f>
        <v/>
      </c>
      <c r="D267" s="18"/>
      <c r="E267" s="19"/>
      <c r="F267" s="19"/>
      <c r="G267" s="19"/>
      <c r="H267" s="19"/>
      <c r="I267" s="19"/>
      <c r="J267" s="19"/>
      <c r="K267" s="19"/>
      <c r="L267" s="19"/>
      <c r="M267" s="19"/>
      <c r="N267" s="19"/>
      <c r="O267" s="19"/>
      <c r="P267" s="17"/>
    </row>
    <row r="268" spans="1:16" x14ac:dyDescent="0.3">
      <c r="A268" s="14"/>
      <c r="B268" s="14" t="str">
        <f>Fill_Value(quality!B268)</f>
        <v/>
      </c>
      <c r="C268" s="14" t="str">
        <f>Fill_Value(quality!C268)</f>
        <v/>
      </c>
      <c r="D268" s="15"/>
      <c r="E268" s="16"/>
      <c r="F268" s="16"/>
      <c r="G268" s="16"/>
      <c r="H268" s="16"/>
      <c r="I268" s="16"/>
      <c r="J268" s="16"/>
      <c r="K268" s="16"/>
      <c r="L268" s="16"/>
      <c r="M268" s="16"/>
      <c r="N268" s="16"/>
      <c r="O268" s="16"/>
      <c r="P268" s="14"/>
    </row>
    <row r="269" spans="1:16" x14ac:dyDescent="0.3">
      <c r="A269" s="17"/>
      <c r="B269" s="17" t="str">
        <f>Fill_Value(quality!B269)</f>
        <v/>
      </c>
      <c r="C269" s="17" t="str">
        <f>Fill_Value(quality!C269)</f>
        <v/>
      </c>
      <c r="D269" s="18"/>
      <c r="E269" s="19"/>
      <c r="F269" s="19"/>
      <c r="G269" s="19"/>
      <c r="H269" s="19"/>
      <c r="I269" s="19"/>
      <c r="J269" s="19"/>
      <c r="K269" s="19"/>
      <c r="L269" s="19"/>
      <c r="M269" s="19"/>
      <c r="N269" s="19"/>
      <c r="O269" s="19"/>
      <c r="P269" s="17"/>
    </row>
    <row r="270" spans="1:16" x14ac:dyDescent="0.3">
      <c r="A270" s="14"/>
      <c r="B270" s="14" t="str">
        <f>Fill_Value(quality!B270)</f>
        <v/>
      </c>
      <c r="C270" s="14" t="str">
        <f>Fill_Value(quality!C270)</f>
        <v/>
      </c>
      <c r="D270" s="15"/>
      <c r="E270" s="16"/>
      <c r="F270" s="16"/>
      <c r="G270" s="16"/>
      <c r="H270" s="16"/>
      <c r="I270" s="16"/>
      <c r="J270" s="16"/>
      <c r="K270" s="16"/>
      <c r="L270" s="16"/>
      <c r="M270" s="16"/>
      <c r="N270" s="16"/>
      <c r="O270" s="16"/>
      <c r="P270" s="14"/>
    </row>
    <row r="271" spans="1:16" x14ac:dyDescent="0.3">
      <c r="A271" s="17"/>
      <c r="B271" s="17" t="str">
        <f>Fill_Value(quality!B271)</f>
        <v/>
      </c>
      <c r="C271" s="17" t="str">
        <f>Fill_Value(quality!C271)</f>
        <v/>
      </c>
      <c r="D271" s="18"/>
      <c r="E271" s="19"/>
      <c r="F271" s="19"/>
      <c r="G271" s="19"/>
      <c r="H271" s="19"/>
      <c r="I271" s="19"/>
      <c r="J271" s="19"/>
      <c r="K271" s="19"/>
      <c r="L271" s="19"/>
      <c r="M271" s="19"/>
      <c r="N271" s="19"/>
      <c r="O271" s="19"/>
      <c r="P271" s="17"/>
    </row>
    <row r="272" spans="1:16" x14ac:dyDescent="0.3">
      <c r="A272" s="14"/>
      <c r="B272" s="14" t="str">
        <f>Fill_Value(quality!B272)</f>
        <v/>
      </c>
      <c r="C272" s="14" t="str">
        <f>Fill_Value(quality!C272)</f>
        <v/>
      </c>
      <c r="D272" s="15"/>
      <c r="E272" s="16"/>
      <c r="F272" s="16"/>
      <c r="G272" s="16"/>
      <c r="H272" s="16"/>
      <c r="I272" s="16"/>
      <c r="J272" s="16"/>
      <c r="K272" s="16"/>
      <c r="L272" s="16"/>
      <c r="M272" s="16"/>
      <c r="N272" s="16"/>
      <c r="O272" s="16"/>
      <c r="P272" s="14"/>
    </row>
    <row r="273" spans="1:16" x14ac:dyDescent="0.3">
      <c r="A273" s="17"/>
      <c r="B273" s="17" t="str">
        <f>Fill_Value(quality!B273)</f>
        <v/>
      </c>
      <c r="C273" s="17" t="str">
        <f>Fill_Value(quality!C273)</f>
        <v/>
      </c>
      <c r="D273" s="18"/>
      <c r="E273" s="19"/>
      <c r="F273" s="19"/>
      <c r="G273" s="19"/>
      <c r="H273" s="19"/>
      <c r="I273" s="19"/>
      <c r="J273" s="19"/>
      <c r="K273" s="19"/>
      <c r="L273" s="19"/>
      <c r="M273" s="19"/>
      <c r="N273" s="19"/>
      <c r="O273" s="19"/>
      <c r="P273" s="17"/>
    </row>
    <row r="274" spans="1:16" x14ac:dyDescent="0.3">
      <c r="A274" s="14"/>
      <c r="B274" s="14" t="str">
        <f>Fill_Value(quality!B274)</f>
        <v/>
      </c>
      <c r="C274" s="14" t="str">
        <f>Fill_Value(quality!C274)</f>
        <v/>
      </c>
      <c r="D274" s="15"/>
      <c r="E274" s="16"/>
      <c r="F274" s="16"/>
      <c r="G274" s="16"/>
      <c r="H274" s="16"/>
      <c r="I274" s="16"/>
      <c r="J274" s="16"/>
      <c r="K274" s="16"/>
      <c r="L274" s="16"/>
      <c r="M274" s="16"/>
      <c r="N274" s="16"/>
      <c r="O274" s="16"/>
      <c r="P274" s="14"/>
    </row>
    <row r="275" spans="1:16" x14ac:dyDescent="0.3">
      <c r="A275" s="17"/>
      <c r="B275" s="17" t="str">
        <f>Fill_Value(quality!B275)</f>
        <v/>
      </c>
      <c r="C275" s="17" t="str">
        <f>Fill_Value(quality!C275)</f>
        <v/>
      </c>
      <c r="D275" s="18"/>
      <c r="E275" s="19"/>
      <c r="F275" s="19"/>
      <c r="G275" s="19"/>
      <c r="H275" s="19"/>
      <c r="I275" s="19"/>
      <c r="J275" s="19"/>
      <c r="K275" s="19"/>
      <c r="L275" s="19"/>
      <c r="M275" s="19"/>
      <c r="N275" s="19"/>
      <c r="O275" s="19"/>
      <c r="P275" s="17"/>
    </row>
    <row r="276" spans="1:16" x14ac:dyDescent="0.3">
      <c r="A276" s="14"/>
      <c r="B276" s="14" t="str">
        <f>Fill_Value(quality!B276)</f>
        <v/>
      </c>
      <c r="C276" s="14" t="str">
        <f>Fill_Value(quality!C276)</f>
        <v/>
      </c>
      <c r="D276" s="15"/>
      <c r="E276" s="16"/>
      <c r="F276" s="16"/>
      <c r="G276" s="16"/>
      <c r="H276" s="16"/>
      <c r="I276" s="16"/>
      <c r="J276" s="16"/>
      <c r="K276" s="16"/>
      <c r="L276" s="16"/>
      <c r="M276" s="16"/>
      <c r="N276" s="16"/>
      <c r="O276" s="16"/>
      <c r="P276" s="14"/>
    </row>
    <row r="277" spans="1:16" x14ac:dyDescent="0.3">
      <c r="A277" s="17"/>
      <c r="B277" s="17" t="str">
        <f>Fill_Value(quality!B277)</f>
        <v/>
      </c>
      <c r="C277" s="17" t="str">
        <f>Fill_Value(quality!C277)</f>
        <v/>
      </c>
      <c r="D277" s="18"/>
      <c r="E277" s="19"/>
      <c r="F277" s="19"/>
      <c r="G277" s="19"/>
      <c r="H277" s="19"/>
      <c r="I277" s="19"/>
      <c r="J277" s="19"/>
      <c r="K277" s="19"/>
      <c r="L277" s="19"/>
      <c r="M277" s="19"/>
      <c r="N277" s="19"/>
      <c r="O277" s="19"/>
      <c r="P277" s="17"/>
    </row>
    <row r="278" spans="1:16" x14ac:dyDescent="0.3">
      <c r="A278" s="14"/>
      <c r="B278" s="14" t="str">
        <f>Fill_Value(quality!B278)</f>
        <v/>
      </c>
      <c r="C278" s="14" t="str">
        <f>Fill_Value(quality!C278)</f>
        <v/>
      </c>
      <c r="D278" s="15"/>
      <c r="E278" s="16"/>
      <c r="F278" s="16"/>
      <c r="G278" s="16"/>
      <c r="H278" s="16"/>
      <c r="I278" s="16"/>
      <c r="J278" s="16"/>
      <c r="K278" s="16"/>
      <c r="L278" s="16"/>
      <c r="M278" s="16"/>
      <c r="N278" s="16"/>
      <c r="O278" s="16"/>
      <c r="P278" s="14"/>
    </row>
    <row r="279" spans="1:16" x14ac:dyDescent="0.3">
      <c r="A279" s="17"/>
      <c r="B279" s="17" t="str">
        <f>Fill_Value(quality!B279)</f>
        <v/>
      </c>
      <c r="C279" s="17" t="str">
        <f>Fill_Value(quality!C279)</f>
        <v/>
      </c>
      <c r="D279" s="18"/>
      <c r="E279" s="19"/>
      <c r="F279" s="19"/>
      <c r="G279" s="19"/>
      <c r="H279" s="19"/>
      <c r="I279" s="19"/>
      <c r="J279" s="19"/>
      <c r="K279" s="19"/>
      <c r="L279" s="19"/>
      <c r="M279" s="19"/>
      <c r="N279" s="19"/>
      <c r="O279" s="19"/>
      <c r="P279" s="17"/>
    </row>
    <row r="280" spans="1:16" x14ac:dyDescent="0.3">
      <c r="A280" s="14"/>
      <c r="B280" s="14" t="str">
        <f>Fill_Value(quality!B280)</f>
        <v/>
      </c>
      <c r="C280" s="14" t="str">
        <f>Fill_Value(quality!C280)</f>
        <v/>
      </c>
      <c r="D280" s="15"/>
      <c r="E280" s="16"/>
      <c r="F280" s="16"/>
      <c r="G280" s="16"/>
      <c r="H280" s="16"/>
      <c r="I280" s="16"/>
      <c r="J280" s="16"/>
      <c r="K280" s="16"/>
      <c r="L280" s="16"/>
      <c r="M280" s="16"/>
      <c r="N280" s="16"/>
      <c r="O280" s="16"/>
      <c r="P280" s="14"/>
    </row>
    <row r="281" spans="1:16" x14ac:dyDescent="0.3">
      <c r="A281" s="17"/>
      <c r="B281" s="17" t="str">
        <f>Fill_Value(quality!B281)</f>
        <v/>
      </c>
      <c r="C281" s="17" t="str">
        <f>Fill_Value(quality!C281)</f>
        <v/>
      </c>
      <c r="D281" s="18"/>
      <c r="E281" s="19"/>
      <c r="F281" s="19"/>
      <c r="G281" s="19"/>
      <c r="H281" s="19"/>
      <c r="I281" s="19"/>
      <c r="J281" s="19"/>
      <c r="K281" s="19"/>
      <c r="L281" s="19"/>
      <c r="M281" s="19"/>
      <c r="N281" s="19"/>
      <c r="O281" s="19"/>
      <c r="P281" s="17"/>
    </row>
    <row r="282" spans="1:16" x14ac:dyDescent="0.3">
      <c r="A282" s="14"/>
      <c r="B282" s="14" t="str">
        <f>Fill_Value(quality!B282)</f>
        <v/>
      </c>
      <c r="C282" s="14" t="str">
        <f>Fill_Value(quality!C282)</f>
        <v/>
      </c>
      <c r="D282" s="15"/>
      <c r="E282" s="16"/>
      <c r="F282" s="16"/>
      <c r="G282" s="16"/>
      <c r="H282" s="16"/>
      <c r="I282" s="16"/>
      <c r="J282" s="16"/>
      <c r="K282" s="16"/>
      <c r="L282" s="16"/>
      <c r="M282" s="16"/>
      <c r="N282" s="16"/>
      <c r="O282" s="16"/>
      <c r="P282" s="14"/>
    </row>
    <row r="283" spans="1:16" x14ac:dyDescent="0.3">
      <c r="A283" s="17"/>
      <c r="B283" s="17" t="str">
        <f>Fill_Value(quality!B283)</f>
        <v/>
      </c>
      <c r="C283" s="17" t="str">
        <f>Fill_Value(quality!C283)</f>
        <v/>
      </c>
      <c r="D283" s="18"/>
      <c r="E283" s="19"/>
      <c r="F283" s="19"/>
      <c r="G283" s="19"/>
      <c r="H283" s="19"/>
      <c r="I283" s="19"/>
      <c r="J283" s="19"/>
      <c r="K283" s="19"/>
      <c r="L283" s="19"/>
      <c r="M283" s="19"/>
      <c r="N283" s="19"/>
      <c r="O283" s="19"/>
      <c r="P283" s="17"/>
    </row>
    <row r="284" spans="1:16" x14ac:dyDescent="0.3">
      <c r="A284" s="14"/>
      <c r="B284" s="14" t="str">
        <f>Fill_Value(quality!B284)</f>
        <v/>
      </c>
      <c r="C284" s="14" t="str">
        <f>Fill_Value(quality!C284)</f>
        <v/>
      </c>
      <c r="D284" s="15"/>
      <c r="E284" s="16"/>
      <c r="F284" s="16"/>
      <c r="G284" s="16"/>
      <c r="H284" s="16"/>
      <c r="I284" s="16"/>
      <c r="J284" s="16"/>
      <c r="K284" s="16"/>
      <c r="L284" s="16"/>
      <c r="M284" s="16"/>
      <c r="N284" s="16"/>
      <c r="O284" s="16"/>
      <c r="P284" s="14"/>
    </row>
    <row r="285" spans="1:16" x14ac:dyDescent="0.3">
      <c r="A285" s="17"/>
      <c r="B285" s="17" t="str">
        <f>Fill_Value(quality!B285)</f>
        <v/>
      </c>
      <c r="C285" s="17" t="str">
        <f>Fill_Value(quality!C285)</f>
        <v/>
      </c>
      <c r="D285" s="18"/>
      <c r="E285" s="19"/>
      <c r="F285" s="19"/>
      <c r="G285" s="19"/>
      <c r="H285" s="19"/>
      <c r="I285" s="19"/>
      <c r="J285" s="19"/>
      <c r="K285" s="19"/>
      <c r="L285" s="19"/>
      <c r="M285" s="19"/>
      <c r="N285" s="19"/>
      <c r="O285" s="19"/>
      <c r="P285" s="17"/>
    </row>
    <row r="286" spans="1:16" x14ac:dyDescent="0.3">
      <c r="A286" s="14"/>
      <c r="B286" s="14" t="str">
        <f>Fill_Value(quality!B286)</f>
        <v/>
      </c>
      <c r="C286" s="14" t="str">
        <f>Fill_Value(quality!C286)</f>
        <v/>
      </c>
      <c r="D286" s="15"/>
      <c r="E286" s="16"/>
      <c r="F286" s="16"/>
      <c r="G286" s="16"/>
      <c r="H286" s="16"/>
      <c r="I286" s="16"/>
      <c r="J286" s="16"/>
      <c r="K286" s="16"/>
      <c r="L286" s="16"/>
      <c r="M286" s="16"/>
      <c r="N286" s="16"/>
      <c r="O286" s="16"/>
      <c r="P286" s="14"/>
    </row>
    <row r="287" spans="1:16" x14ac:dyDescent="0.3">
      <c r="A287" s="17"/>
      <c r="B287" s="17" t="str">
        <f>Fill_Value(quality!B287)</f>
        <v/>
      </c>
      <c r="C287" s="17" t="str">
        <f>Fill_Value(quality!C287)</f>
        <v/>
      </c>
      <c r="D287" s="18"/>
      <c r="E287" s="19"/>
      <c r="F287" s="19"/>
      <c r="G287" s="19"/>
      <c r="H287" s="19"/>
      <c r="I287" s="19"/>
      <c r="J287" s="19"/>
      <c r="K287" s="19"/>
      <c r="L287" s="19"/>
      <c r="M287" s="19"/>
      <c r="N287" s="19"/>
      <c r="O287" s="19"/>
      <c r="P287" s="17"/>
    </row>
    <row r="288" spans="1:16" x14ac:dyDescent="0.3">
      <c r="A288" s="14"/>
      <c r="B288" s="14" t="str">
        <f>Fill_Value(quality!B288)</f>
        <v/>
      </c>
      <c r="C288" s="14" t="str">
        <f>Fill_Value(quality!C288)</f>
        <v/>
      </c>
      <c r="D288" s="15"/>
      <c r="E288" s="16"/>
      <c r="F288" s="16"/>
      <c r="G288" s="16"/>
      <c r="H288" s="16"/>
      <c r="I288" s="16"/>
      <c r="J288" s="16"/>
      <c r="K288" s="16"/>
      <c r="L288" s="16"/>
      <c r="M288" s="16"/>
      <c r="N288" s="16"/>
      <c r="O288" s="16"/>
      <c r="P288" s="14"/>
    </row>
    <row r="289" spans="1:16" x14ac:dyDescent="0.3">
      <c r="A289" s="17"/>
      <c r="B289" s="17" t="str">
        <f>Fill_Value(quality!B289)</f>
        <v/>
      </c>
      <c r="C289" s="17" t="str">
        <f>Fill_Value(quality!C289)</f>
        <v/>
      </c>
      <c r="D289" s="18"/>
      <c r="E289" s="19"/>
      <c r="F289" s="19"/>
      <c r="G289" s="19"/>
      <c r="H289" s="19"/>
      <c r="I289" s="19"/>
      <c r="J289" s="19"/>
      <c r="K289" s="19"/>
      <c r="L289" s="19"/>
      <c r="M289" s="19"/>
      <c r="N289" s="19"/>
      <c r="O289" s="19"/>
      <c r="P289" s="17"/>
    </row>
    <row r="290" spans="1:16" x14ac:dyDescent="0.3">
      <c r="A290" s="14"/>
      <c r="B290" s="14" t="str">
        <f>Fill_Value(quality!B290)</f>
        <v/>
      </c>
      <c r="C290" s="14" t="str">
        <f>Fill_Value(quality!C290)</f>
        <v/>
      </c>
      <c r="D290" s="15"/>
      <c r="E290" s="16"/>
      <c r="F290" s="16"/>
      <c r="G290" s="16"/>
      <c r="H290" s="16"/>
      <c r="I290" s="16"/>
      <c r="J290" s="16"/>
      <c r="K290" s="16"/>
      <c r="L290" s="16"/>
      <c r="M290" s="16"/>
      <c r="N290" s="16"/>
      <c r="O290" s="16"/>
      <c r="P290" s="14"/>
    </row>
    <row r="291" spans="1:16" x14ac:dyDescent="0.3">
      <c r="A291" s="17"/>
      <c r="B291" s="17" t="str">
        <f>Fill_Value(quality!B291)</f>
        <v/>
      </c>
      <c r="C291" s="17" t="str">
        <f>Fill_Value(quality!C291)</f>
        <v/>
      </c>
      <c r="D291" s="18"/>
      <c r="E291" s="19"/>
      <c r="F291" s="19"/>
      <c r="G291" s="19"/>
      <c r="H291" s="19"/>
      <c r="I291" s="19"/>
      <c r="J291" s="19"/>
      <c r="K291" s="19"/>
      <c r="L291" s="19"/>
      <c r="M291" s="19"/>
      <c r="N291" s="19"/>
      <c r="O291" s="19"/>
      <c r="P291" s="17"/>
    </row>
    <row r="292" spans="1:16" x14ac:dyDescent="0.3">
      <c r="A292" s="14"/>
      <c r="B292" s="14" t="str">
        <f>Fill_Value(quality!B292)</f>
        <v/>
      </c>
      <c r="C292" s="14" t="str">
        <f>Fill_Value(quality!C292)</f>
        <v/>
      </c>
      <c r="D292" s="15"/>
      <c r="E292" s="16"/>
      <c r="F292" s="16"/>
      <c r="G292" s="16"/>
      <c r="H292" s="16"/>
      <c r="I292" s="16"/>
      <c r="J292" s="16"/>
      <c r="K292" s="16"/>
      <c r="L292" s="16"/>
      <c r="M292" s="16"/>
      <c r="N292" s="16"/>
      <c r="O292" s="16"/>
      <c r="P292" s="14"/>
    </row>
    <row r="293" spans="1:16" x14ac:dyDescent="0.3">
      <c r="A293" s="17"/>
      <c r="B293" s="17" t="str">
        <f>Fill_Value(quality!B293)</f>
        <v/>
      </c>
      <c r="C293" s="17" t="str">
        <f>Fill_Value(quality!C293)</f>
        <v/>
      </c>
      <c r="D293" s="18"/>
      <c r="E293" s="19"/>
      <c r="F293" s="19"/>
      <c r="G293" s="19"/>
      <c r="H293" s="19"/>
      <c r="I293" s="19"/>
      <c r="J293" s="19"/>
      <c r="K293" s="19"/>
      <c r="L293" s="19"/>
      <c r="M293" s="19"/>
      <c r="N293" s="19"/>
      <c r="O293" s="19"/>
      <c r="P293" s="17"/>
    </row>
    <row r="294" spans="1:16" x14ac:dyDescent="0.3">
      <c r="A294" s="14"/>
      <c r="B294" s="14" t="str">
        <f>Fill_Value(quality!B294)</f>
        <v/>
      </c>
      <c r="C294" s="14" t="str">
        <f>Fill_Value(quality!C294)</f>
        <v/>
      </c>
      <c r="D294" s="15"/>
      <c r="E294" s="16"/>
      <c r="F294" s="16"/>
      <c r="G294" s="16"/>
      <c r="H294" s="16"/>
      <c r="I294" s="16"/>
      <c r="J294" s="16"/>
      <c r="K294" s="16"/>
      <c r="L294" s="16"/>
      <c r="M294" s="16"/>
      <c r="N294" s="16"/>
      <c r="O294" s="16"/>
      <c r="P294" s="14"/>
    </row>
    <row r="295" spans="1:16" x14ac:dyDescent="0.3">
      <c r="A295" s="17"/>
      <c r="B295" s="17" t="str">
        <f>Fill_Value(quality!B295)</f>
        <v/>
      </c>
      <c r="C295" s="17" t="str">
        <f>Fill_Value(quality!C295)</f>
        <v/>
      </c>
      <c r="D295" s="18"/>
      <c r="E295" s="19"/>
      <c r="F295" s="19"/>
      <c r="G295" s="19"/>
      <c r="H295" s="19"/>
      <c r="I295" s="19"/>
      <c r="J295" s="19"/>
      <c r="K295" s="19"/>
      <c r="L295" s="19"/>
      <c r="M295" s="19"/>
      <c r="N295" s="19"/>
      <c r="O295" s="19"/>
      <c r="P295" s="17"/>
    </row>
    <row r="296" spans="1:16" x14ac:dyDescent="0.3">
      <c r="A296" s="14"/>
      <c r="B296" s="14" t="str">
        <f>Fill_Value(quality!B296)</f>
        <v/>
      </c>
      <c r="C296" s="14" t="str">
        <f>Fill_Value(quality!C296)</f>
        <v/>
      </c>
      <c r="D296" s="15"/>
      <c r="E296" s="16"/>
      <c r="F296" s="16"/>
      <c r="G296" s="16"/>
      <c r="H296" s="16"/>
      <c r="I296" s="16"/>
      <c r="J296" s="16"/>
      <c r="K296" s="16"/>
      <c r="L296" s="16"/>
      <c r="M296" s="16"/>
      <c r="N296" s="16"/>
      <c r="O296" s="16"/>
      <c r="P296" s="14"/>
    </row>
    <row r="297" spans="1:16" x14ac:dyDescent="0.3">
      <c r="A297" s="17"/>
      <c r="B297" s="17" t="str">
        <f>Fill_Value(quality!B297)</f>
        <v/>
      </c>
      <c r="C297" s="17" t="str">
        <f>Fill_Value(quality!C297)</f>
        <v/>
      </c>
      <c r="D297" s="18"/>
      <c r="E297" s="19"/>
      <c r="F297" s="19"/>
      <c r="G297" s="19"/>
      <c r="H297" s="19"/>
      <c r="I297" s="19"/>
      <c r="J297" s="19"/>
      <c r="K297" s="19"/>
      <c r="L297" s="19"/>
      <c r="M297" s="19"/>
      <c r="N297" s="19"/>
      <c r="O297" s="19"/>
      <c r="P297" s="17"/>
    </row>
    <row r="298" spans="1:16" x14ac:dyDescent="0.3">
      <c r="A298" s="14"/>
      <c r="B298" s="14" t="str">
        <f>Fill_Value(quality!B298)</f>
        <v/>
      </c>
      <c r="C298" s="14" t="str">
        <f>Fill_Value(quality!C298)</f>
        <v/>
      </c>
      <c r="D298" s="15"/>
      <c r="E298" s="16"/>
      <c r="F298" s="16"/>
      <c r="G298" s="16"/>
      <c r="H298" s="16"/>
      <c r="I298" s="16"/>
      <c r="J298" s="16"/>
      <c r="K298" s="16"/>
      <c r="L298" s="16"/>
      <c r="M298" s="16"/>
      <c r="N298" s="16"/>
      <c r="O298" s="16"/>
      <c r="P298" s="14"/>
    </row>
    <row r="299" spans="1:16" x14ac:dyDescent="0.3">
      <c r="A299" s="17"/>
      <c r="B299" s="17" t="str">
        <f>Fill_Value(quality!B299)</f>
        <v/>
      </c>
      <c r="C299" s="17" t="str">
        <f>Fill_Value(quality!C299)</f>
        <v/>
      </c>
      <c r="D299" s="18"/>
      <c r="E299" s="19"/>
      <c r="F299" s="19"/>
      <c r="G299" s="19"/>
      <c r="H299" s="19"/>
      <c r="I299" s="19"/>
      <c r="J299" s="19"/>
      <c r="K299" s="19"/>
      <c r="L299" s="19"/>
      <c r="M299" s="19"/>
      <c r="N299" s="19"/>
      <c r="O299" s="19"/>
      <c r="P299" s="17"/>
    </row>
    <row r="300" spans="1:16" x14ac:dyDescent="0.3">
      <c r="A300" s="14"/>
      <c r="B300" s="14" t="str">
        <f>Fill_Value(quality!B300)</f>
        <v/>
      </c>
      <c r="C300" s="14" t="str">
        <f>Fill_Value(quality!C300)</f>
        <v/>
      </c>
      <c r="D300" s="15"/>
      <c r="E300" s="16"/>
      <c r="F300" s="16"/>
      <c r="G300" s="16"/>
      <c r="H300" s="16"/>
      <c r="I300" s="16"/>
      <c r="J300" s="16"/>
      <c r="K300" s="16"/>
      <c r="L300" s="16"/>
      <c r="M300" s="16"/>
      <c r="N300" s="16"/>
      <c r="O300" s="16"/>
      <c r="P300" s="14"/>
    </row>
    <row r="301" spans="1:16" x14ac:dyDescent="0.3">
      <c r="A301" s="17"/>
      <c r="B301" s="17" t="str">
        <f>Fill_Value(quality!B301)</f>
        <v/>
      </c>
      <c r="C301" s="17" t="str">
        <f>Fill_Value(quality!C301)</f>
        <v/>
      </c>
      <c r="D301" s="18"/>
      <c r="E301" s="19"/>
      <c r="F301" s="19"/>
      <c r="G301" s="19"/>
      <c r="H301" s="19"/>
      <c r="I301" s="19"/>
      <c r="J301" s="19"/>
      <c r="K301" s="19"/>
      <c r="L301" s="19"/>
      <c r="M301" s="19"/>
      <c r="N301" s="19"/>
      <c r="O301" s="19"/>
      <c r="P301" s="17"/>
    </row>
    <row r="302" spans="1:16" x14ac:dyDescent="0.3">
      <c r="A302" s="14"/>
      <c r="B302" s="14" t="str">
        <f>Fill_Value(quality!B302)</f>
        <v/>
      </c>
      <c r="C302" s="14" t="str">
        <f>Fill_Value(quality!C302)</f>
        <v/>
      </c>
      <c r="D302" s="15"/>
      <c r="E302" s="16"/>
      <c r="F302" s="16"/>
      <c r="G302" s="16"/>
      <c r="H302" s="16"/>
      <c r="I302" s="16"/>
      <c r="J302" s="16"/>
      <c r="K302" s="16"/>
      <c r="L302" s="16"/>
      <c r="M302" s="16"/>
      <c r="N302" s="16"/>
      <c r="O302" s="16"/>
      <c r="P302" s="14"/>
    </row>
  </sheetData>
  <pageMargins left="0.7" right="0.7" top="0.75" bottom="0.75" header="0.3" footer="0.3"/>
  <pageSetup orientation="portrait" horizontalDpi="300"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F0B8DF-C0B2-40B4-BAB4-7AFBF8E97034}">
  <sheetPr codeName="Sheet5"/>
  <dimension ref="A1:Q302"/>
  <sheetViews>
    <sheetView tabSelected="1" workbookViewId="0">
      <pane ySplit="1" topLeftCell="A2" activePane="bottomLeft" state="frozen"/>
      <selection pane="bottomLeft" activeCell="I29" sqref="I29"/>
    </sheetView>
  </sheetViews>
  <sheetFormatPr defaultRowHeight="14.4" x14ac:dyDescent="0.3"/>
  <cols>
    <col min="1" max="1" width="10.109375" style="7" customWidth="1"/>
    <col min="2" max="2" width="19.109375" style="7" bestFit="1" customWidth="1"/>
    <col min="3" max="3" width="39.6640625" style="7" customWidth="1"/>
    <col min="4" max="4" width="15.44140625" style="8" customWidth="1"/>
    <col min="5" max="5" width="11.6640625" style="9" bestFit="1" customWidth="1"/>
    <col min="6" max="6" width="13.44140625" style="9" bestFit="1" customWidth="1"/>
    <col min="7" max="8" width="13.44140625" style="9" customWidth="1"/>
    <col min="9" max="9" width="12.6640625" style="9" bestFit="1" customWidth="1"/>
    <col min="10" max="10" width="10.44140625" style="9" bestFit="1" customWidth="1"/>
    <col min="11" max="11" width="14.6640625" style="9" bestFit="1" customWidth="1"/>
    <col min="12" max="12" width="12.6640625" style="9" bestFit="1" customWidth="1"/>
    <col min="13" max="13" width="11.109375" style="9" customWidth="1"/>
    <col min="14" max="14" width="12.109375" style="9" bestFit="1" customWidth="1"/>
    <col min="15" max="15" width="11.109375" style="9" bestFit="1" customWidth="1"/>
    <col min="16" max="16" width="59.88671875" style="7" customWidth="1"/>
    <col min="17" max="17" width="17.33203125" style="7" bestFit="1" customWidth="1"/>
    <col min="18" max="16384" width="8.88671875" style="7"/>
  </cols>
  <sheetData>
    <row r="1" spans="1:17" x14ac:dyDescent="0.3">
      <c r="A1" s="10" t="s">
        <v>146</v>
      </c>
      <c r="B1" s="10" t="s">
        <v>145</v>
      </c>
      <c r="C1" s="10" t="s">
        <v>5</v>
      </c>
      <c r="D1" s="11" t="str">
        <f>quality!D1</f>
        <v>Common</v>
      </c>
      <c r="E1" s="11" t="str">
        <f>quality!E1</f>
        <v>0.12</v>
      </c>
      <c r="F1" s="11" t="str">
        <f>quality!F1</f>
        <v>0.2</v>
      </c>
      <c r="G1" s="11" t="str">
        <f>quality!G1</f>
        <v>0.24</v>
      </c>
      <c r="H1" s="11" t="str">
        <f>quality!H1</f>
        <v>0.28</v>
      </c>
      <c r="I1" s="11" t="str">
        <f>quality!I1</f>
        <v>0.32</v>
      </c>
      <c r="J1" s="11" t="str">
        <f>quality!J1</f>
        <v>0.4</v>
      </c>
      <c r="K1" s="11" t="str">
        <f>quality!K1</f>
        <v>0.48</v>
      </c>
      <c r="L1" s="11" t="str">
        <f>quality!L1</f>
        <v>0.56</v>
      </c>
      <c r="M1" s="11" t="str">
        <f>quality!M1</f>
        <v>0.64</v>
      </c>
      <c r="N1" s="11" t="str">
        <f>quality!N1</f>
        <v>0.72</v>
      </c>
      <c r="O1" s="11" t="str">
        <f>quality!O1</f>
        <v>0.8</v>
      </c>
      <c r="P1" s="52" t="str">
        <f>quality!P1</f>
        <v>Remarks</v>
      </c>
      <c r="Q1" s="13"/>
    </row>
    <row r="2" spans="1:17" x14ac:dyDescent="0.3">
      <c r="A2" s="14" t="s">
        <v>147</v>
      </c>
      <c r="B2" s="14"/>
      <c r="C2" s="14" t="s">
        <v>149</v>
      </c>
      <c r="D2" s="15"/>
      <c r="E2" s="16" t="str">
        <f>quality!E2</f>
        <v>Fine</v>
      </c>
      <c r="F2" s="16" t="str">
        <f>quality!F2</f>
        <v>Quality</v>
      </c>
      <c r="G2" s="16" t="str">
        <f>quality!G2</f>
        <v>Coarse</v>
      </c>
      <c r="H2" s="16" t="str">
        <f>quality!H2</f>
        <v>Quick</v>
      </c>
      <c r="I2" s="16" t="str">
        <f>quality!I2</f>
        <v>Draft</v>
      </c>
      <c r="J2" s="16" t="str">
        <f>quality!J2</f>
        <v>Fast</v>
      </c>
      <c r="K2" s="16" t="str">
        <f>quality!K2</f>
        <v>Medium</v>
      </c>
      <c r="L2" s="16" t="str">
        <f>quality!L2</f>
        <v>Rough</v>
      </c>
      <c r="M2" s="16" t="str">
        <f>quality!M2</f>
        <v>Big</v>
      </c>
      <c r="N2" s="16" t="str">
        <f>quality!N2</f>
        <v>Large</v>
      </c>
      <c r="O2" s="16" t="str">
        <f>quality!O2</f>
        <v>Giant</v>
      </c>
      <c r="P2" s="14"/>
      <c r="Q2" s="4"/>
    </row>
    <row r="3" spans="1:17" x14ac:dyDescent="0.3">
      <c r="A3" s="17"/>
      <c r="B3" s="17"/>
      <c r="C3" s="17" t="s">
        <v>148</v>
      </c>
      <c r="D3" s="18">
        <f>quality!D3</f>
        <v>4</v>
      </c>
      <c r="E3" s="19"/>
      <c r="F3" s="19"/>
      <c r="G3" s="19"/>
      <c r="H3" s="19"/>
      <c r="I3" s="19"/>
      <c r="J3" s="19"/>
      <c r="K3" s="19"/>
      <c r="L3" s="19"/>
      <c r="M3" s="19"/>
      <c r="N3" s="19"/>
      <c r="O3" s="19"/>
      <c r="P3" s="17"/>
      <c r="Q3" s="5"/>
    </row>
    <row r="4" spans="1:17" x14ac:dyDescent="0.3">
      <c r="A4" s="14"/>
      <c r="B4" s="14"/>
      <c r="C4" s="14" t="s">
        <v>150</v>
      </c>
      <c r="D4" s="15" t="str">
        <f>PRINTER_DEF</f>
        <v>4maxpro_speed_0_6mm_nozzle</v>
      </c>
      <c r="E4" s="16"/>
      <c r="F4" s="16"/>
      <c r="G4" s="16"/>
      <c r="H4" s="16"/>
      <c r="I4" s="16"/>
      <c r="J4" s="16"/>
      <c r="K4" s="16"/>
      <c r="L4" s="16"/>
      <c r="M4" s="16"/>
      <c r="N4" s="16"/>
      <c r="O4" s="16"/>
      <c r="P4" s="14"/>
      <c r="Q4" s="4"/>
    </row>
    <row r="5" spans="1:17" x14ac:dyDescent="0.3">
      <c r="A5" s="17"/>
      <c r="B5" s="17"/>
      <c r="C5" s="17" t="s">
        <v>0</v>
      </c>
      <c r="D5" s="18">
        <f>quality!D5</f>
        <v>0.2</v>
      </c>
      <c r="E5" s="18">
        <f>quality!E5</f>
        <v>0.12</v>
      </c>
      <c r="F5" s="18">
        <f>quality!F5</f>
        <v>0.2</v>
      </c>
      <c r="G5" s="18">
        <f>quality!G5</f>
        <v>0.24</v>
      </c>
      <c r="H5" s="18">
        <f>quality!H5</f>
        <v>0.28000000000000003</v>
      </c>
      <c r="I5" s="18">
        <f>quality!I5</f>
        <v>0.32</v>
      </c>
      <c r="J5" s="18">
        <f>quality!J5</f>
        <v>0.4</v>
      </c>
      <c r="K5" s="18">
        <f>quality!K5</f>
        <v>0.48</v>
      </c>
      <c r="L5" s="18">
        <f>quality!L5</f>
        <v>0.56000000000000005</v>
      </c>
      <c r="M5" s="18">
        <f>quality!M5</f>
        <v>0.64</v>
      </c>
      <c r="N5" s="18">
        <f>quality!N5</f>
        <v>0.72</v>
      </c>
      <c r="O5" s="18">
        <f>quality!O5</f>
        <v>0.8</v>
      </c>
      <c r="P5" s="17"/>
      <c r="Q5" s="5"/>
    </row>
    <row r="6" spans="1:17" x14ac:dyDescent="0.3">
      <c r="A6" s="14" t="s">
        <v>151</v>
      </c>
      <c r="B6" s="14"/>
      <c r="C6" s="14" t="s">
        <v>152</v>
      </c>
      <c r="D6" s="15"/>
      <c r="E6" s="15" t="str">
        <f>quality!E6</f>
        <v>fine</v>
      </c>
      <c r="F6" s="15" t="str">
        <f>quality!F6</f>
        <v>quality</v>
      </c>
      <c r="G6" s="15" t="str">
        <f>quality!G6</f>
        <v>coarse</v>
      </c>
      <c r="H6" s="15" t="str">
        <f>quality!H6</f>
        <v>quick</v>
      </c>
      <c r="I6" s="15" t="str">
        <f>quality!I6</f>
        <v>draft</v>
      </c>
      <c r="J6" s="15" t="str">
        <f>quality!J6</f>
        <v>fast</v>
      </c>
      <c r="K6" s="15" t="str">
        <f>quality!K6</f>
        <v>medium</v>
      </c>
      <c r="L6" s="15" t="str">
        <f>quality!L6</f>
        <v>rough</v>
      </c>
      <c r="M6" s="15" t="str">
        <f>quality!M6</f>
        <v>big</v>
      </c>
      <c r="N6" s="15" t="str">
        <f>quality!N6</f>
        <v>large</v>
      </c>
      <c r="O6" s="15" t="str">
        <f>quality!O6</f>
        <v>giant</v>
      </c>
      <c r="P6" s="14"/>
      <c r="Q6" s="4"/>
    </row>
    <row r="7" spans="1:17" x14ac:dyDescent="0.3">
      <c r="A7" s="17"/>
      <c r="B7" s="17"/>
      <c r="C7" s="17" t="s">
        <v>153</v>
      </c>
      <c r="D7" s="18" t="str">
        <f>quality!D7</f>
        <v>quality</v>
      </c>
      <c r="E7" s="19"/>
      <c r="F7" s="19"/>
      <c r="G7" s="19"/>
      <c r="H7" s="19"/>
      <c r="I7" s="19"/>
      <c r="J7" s="19"/>
      <c r="K7" s="19"/>
      <c r="L7" s="19"/>
      <c r="M7" s="19"/>
      <c r="N7" s="19"/>
      <c r="O7" s="19"/>
      <c r="P7" s="17"/>
      <c r="Q7" s="5"/>
    </row>
    <row r="8" spans="1:17" x14ac:dyDescent="0.3">
      <c r="A8" s="14"/>
      <c r="B8" s="14"/>
      <c r="C8" s="14" t="s">
        <v>154</v>
      </c>
      <c r="D8" s="15">
        <f>quality!D8</f>
        <v>10</v>
      </c>
      <c r="E8" s="16"/>
      <c r="F8" s="16"/>
      <c r="G8" s="16"/>
      <c r="H8" s="16"/>
      <c r="I8" s="16"/>
      <c r="J8" s="16"/>
      <c r="K8" s="16"/>
      <c r="L8" s="16"/>
      <c r="M8" s="16"/>
      <c r="N8" s="16"/>
      <c r="O8" s="16"/>
      <c r="P8" s="14"/>
      <c r="Q8" s="4"/>
    </row>
    <row r="9" spans="1:17" x14ac:dyDescent="0.3">
      <c r="A9" s="17"/>
      <c r="B9" s="17"/>
      <c r="C9" s="17" t="s">
        <v>165</v>
      </c>
      <c r="D9" s="18" t="str">
        <f ca="1">SUBSTITUTE(TRIM(LOWER(MID(CELL("filename",A1),FIND("]",CELL("filename",A1))+1,255))),"quality","generic")</f>
        <v>generic_pla</v>
      </c>
      <c r="E9" s="19"/>
      <c r="F9" s="19"/>
      <c r="G9" s="19"/>
      <c r="H9" s="19"/>
      <c r="I9" s="19"/>
      <c r="J9" s="19"/>
      <c r="K9" s="19"/>
      <c r="L9" s="19"/>
      <c r="M9" s="19"/>
      <c r="N9" s="19"/>
      <c r="O9" s="19"/>
      <c r="P9" s="17"/>
      <c r="Q9" s="5"/>
    </row>
    <row r="10" spans="1:17" x14ac:dyDescent="0.3">
      <c r="A10" s="14" t="s">
        <v>156</v>
      </c>
      <c r="B10" s="14" t="str">
        <f>Fill_Value(quality!B10)</f>
        <v>Quality</v>
      </c>
      <c r="C10" s="14" t="str">
        <f>Fill_Value(quality!C10)</f>
        <v>layer_height</v>
      </c>
      <c r="D10" s="15"/>
      <c r="E10" s="16"/>
      <c r="F10" s="16"/>
      <c r="G10" s="16"/>
      <c r="H10" s="16"/>
      <c r="I10" s="16"/>
      <c r="J10" s="16"/>
      <c r="K10" s="16"/>
      <c r="L10" s="16"/>
      <c r="M10" s="16"/>
      <c r="N10" s="16"/>
      <c r="O10" s="16"/>
      <c r="P10" s="14"/>
      <c r="Q10" s="4"/>
    </row>
    <row r="11" spans="1:17" x14ac:dyDescent="0.3">
      <c r="A11" s="17"/>
      <c r="B11" s="17" t="str">
        <f>Fill_Value(quality!B11)</f>
        <v/>
      </c>
      <c r="C11" s="17" t="str">
        <f>Fill_Value(quality!C11)</f>
        <v>line_width</v>
      </c>
      <c r="D11" s="18"/>
      <c r="E11" s="19"/>
      <c r="F11" s="19"/>
      <c r="G11" s="19"/>
      <c r="H11" s="19"/>
      <c r="I11" s="19"/>
      <c r="J11" s="19"/>
      <c r="K11" s="19"/>
      <c r="L11" s="19"/>
      <c r="M11" s="19"/>
      <c r="N11" s="19"/>
      <c r="O11" s="19"/>
      <c r="P11" s="17"/>
      <c r="Q11" s="5"/>
    </row>
    <row r="12" spans="1:17" x14ac:dyDescent="0.3">
      <c r="A12" s="14"/>
      <c r="B12" s="14" t="str">
        <f>Fill_Value(quality!B12)</f>
        <v/>
      </c>
      <c r="C12" s="14" t="str">
        <f>Fill_Value(quality!C12)</f>
        <v>wall_line_width</v>
      </c>
      <c r="D12" s="15"/>
      <c r="E12" s="16"/>
      <c r="F12" s="16"/>
      <c r="G12" s="16"/>
      <c r="H12" s="16"/>
      <c r="I12" s="16"/>
      <c r="J12" s="16"/>
      <c r="K12" s="16"/>
      <c r="L12" s="16"/>
      <c r="M12" s="16"/>
      <c r="N12" s="16"/>
      <c r="O12" s="16"/>
      <c r="P12" s="14"/>
      <c r="Q12" s="4"/>
    </row>
    <row r="13" spans="1:17" x14ac:dyDescent="0.3">
      <c r="A13" s="17"/>
      <c r="B13" s="17" t="str">
        <f>Fill_Value(quality!B13)</f>
        <v/>
      </c>
      <c r="C13" s="17" t="str">
        <f>Fill_Value(quality!C13)</f>
        <v>skin_line_width</v>
      </c>
      <c r="D13" s="18"/>
      <c r="E13" s="19"/>
      <c r="F13" s="19"/>
      <c r="G13" s="19"/>
      <c r="H13" s="19"/>
      <c r="I13" s="19"/>
      <c r="J13" s="19"/>
      <c r="K13" s="19"/>
      <c r="L13" s="19"/>
      <c r="M13" s="19"/>
      <c r="N13" s="19"/>
      <c r="O13" s="19"/>
      <c r="P13" s="17"/>
      <c r="Q13" s="5"/>
    </row>
    <row r="14" spans="1:17" x14ac:dyDescent="0.3">
      <c r="A14" s="14"/>
      <c r="B14" s="14" t="str">
        <f>Fill_Value(quality!B14)</f>
        <v/>
      </c>
      <c r="C14" s="14" t="str">
        <f>Fill_Value(quality!C14)</f>
        <v>skirt_brim_line_width</v>
      </c>
      <c r="D14" s="15"/>
      <c r="E14" s="16"/>
      <c r="F14" s="16"/>
      <c r="G14" s="16"/>
      <c r="H14" s="16"/>
      <c r="I14" s="16"/>
      <c r="J14" s="16"/>
      <c r="K14" s="16"/>
      <c r="L14" s="16"/>
      <c r="M14" s="16"/>
      <c r="N14" s="16"/>
      <c r="O14" s="16"/>
      <c r="P14" s="14"/>
      <c r="Q14" s="4"/>
    </row>
    <row r="15" spans="1:17" x14ac:dyDescent="0.3">
      <c r="A15" s="17"/>
      <c r="B15" s="17" t="str">
        <f>Fill_Value(quality!B15)</f>
        <v/>
      </c>
      <c r="C15" s="17" t="str">
        <f>Fill_Value(quality!C15)</f>
        <v>support_line_width</v>
      </c>
      <c r="D15" s="18"/>
      <c r="E15" s="19"/>
      <c r="F15" s="19"/>
      <c r="G15" s="19"/>
      <c r="H15" s="19"/>
      <c r="I15" s="19"/>
      <c r="J15" s="19"/>
      <c r="K15" s="19"/>
      <c r="L15" s="19"/>
      <c r="M15" s="19"/>
      <c r="N15" s="19"/>
      <c r="O15" s="19"/>
      <c r="P15" s="17"/>
      <c r="Q15" s="5"/>
    </row>
    <row r="16" spans="1:17" x14ac:dyDescent="0.3">
      <c r="A16" s="14"/>
      <c r="B16" s="14" t="str">
        <f>Fill_Value(quality!B16)</f>
        <v/>
      </c>
      <c r="C16" s="14" t="str">
        <f>Fill_Value(quality!C16)</f>
        <v>support_interface_line_width</v>
      </c>
      <c r="D16" s="15"/>
      <c r="E16" s="16"/>
      <c r="F16" s="16"/>
      <c r="G16" s="16"/>
      <c r="H16" s="16"/>
      <c r="I16" s="16"/>
      <c r="J16" s="16"/>
      <c r="K16" s="16"/>
      <c r="L16" s="16"/>
      <c r="M16" s="16"/>
      <c r="N16" s="16"/>
      <c r="O16" s="16"/>
      <c r="P16" s="14"/>
      <c r="Q16" s="4"/>
    </row>
    <row r="17" spans="1:17" x14ac:dyDescent="0.3">
      <c r="A17" s="17"/>
      <c r="B17" s="17" t="str">
        <f>Fill_Value(quality!B17)</f>
        <v/>
      </c>
      <c r="C17" s="17" t="str">
        <f>Fill_Value(quality!C17)</f>
        <v>infill_line_width</v>
      </c>
      <c r="D17" s="18"/>
      <c r="E17" s="19"/>
      <c r="F17" s="19"/>
      <c r="G17" s="19"/>
      <c r="H17" s="19"/>
      <c r="I17" s="19"/>
      <c r="J17" s="19"/>
      <c r="K17" s="19"/>
      <c r="L17" s="19"/>
      <c r="M17" s="19"/>
      <c r="N17" s="19"/>
      <c r="O17" s="19"/>
      <c r="P17" s="17"/>
      <c r="Q17" s="5"/>
    </row>
    <row r="18" spans="1:17" x14ac:dyDescent="0.3">
      <c r="A18" s="14"/>
      <c r="B18" s="14" t="str">
        <f>Fill_Value(quality!B18)</f>
        <v>Shell</v>
      </c>
      <c r="C18" s="14" t="str">
        <f>Fill_Value(quality!C18)</f>
        <v>wall_thickness</v>
      </c>
      <c r="D18" s="15"/>
      <c r="E18" s="16"/>
      <c r="F18" s="16"/>
      <c r="G18" s="16"/>
      <c r="H18" s="16"/>
      <c r="I18" s="16"/>
      <c r="J18" s="16"/>
      <c r="K18" s="16"/>
      <c r="L18" s="16"/>
      <c r="M18" s="16"/>
      <c r="N18" s="16"/>
      <c r="O18" s="16"/>
      <c r="P18" s="14"/>
      <c r="Q18" s="4"/>
    </row>
    <row r="19" spans="1:17" x14ac:dyDescent="0.3">
      <c r="A19" s="17"/>
      <c r="B19" s="17" t="str">
        <f>Fill_Value(quality!B19)</f>
        <v/>
      </c>
      <c r="C19" s="17" t="str">
        <f>Fill_Value(quality!C19)</f>
        <v>top_bottom_thickness</v>
      </c>
      <c r="D19" s="18"/>
      <c r="E19" s="19"/>
      <c r="F19" s="19"/>
      <c r="G19" s="19"/>
      <c r="H19" s="19"/>
      <c r="I19" s="19"/>
      <c r="J19" s="19"/>
      <c r="K19" s="19"/>
      <c r="L19" s="19"/>
      <c r="M19" s="19"/>
      <c r="N19" s="19"/>
      <c r="O19" s="19"/>
      <c r="P19" s="17"/>
      <c r="Q19" s="5"/>
    </row>
    <row r="20" spans="1:17" x14ac:dyDescent="0.3">
      <c r="A20" s="14"/>
      <c r="B20" s="14" t="str">
        <f>Fill_Value(quality!B20)</f>
        <v/>
      </c>
      <c r="C20" s="14" t="str">
        <f>Fill_Value(quality!C20)</f>
        <v>top_bottom_pattern</v>
      </c>
      <c r="D20" s="15"/>
      <c r="E20" s="16"/>
      <c r="F20" s="16"/>
      <c r="G20" s="16"/>
      <c r="H20" s="16"/>
      <c r="I20" s="16"/>
      <c r="J20" s="16"/>
      <c r="K20" s="16"/>
      <c r="L20" s="16"/>
      <c r="M20" s="16"/>
      <c r="N20" s="16"/>
      <c r="O20" s="16"/>
      <c r="P20" s="14"/>
      <c r="Q20" s="4"/>
    </row>
    <row r="21" spans="1:17" x14ac:dyDescent="0.3">
      <c r="A21" s="17"/>
      <c r="B21" s="17" t="str">
        <f>Fill_Value(quality!B21)</f>
        <v/>
      </c>
      <c r="C21" s="17" t="str">
        <f>Fill_Value(quality!C21)</f>
        <v>connect_skin_polygons</v>
      </c>
      <c r="D21" s="18"/>
      <c r="E21" s="19"/>
      <c r="F21" s="19"/>
      <c r="G21" s="19"/>
      <c r="H21" s="19"/>
      <c r="I21" s="19"/>
      <c r="J21" s="19"/>
      <c r="K21" s="19"/>
      <c r="L21" s="19"/>
      <c r="M21" s="19"/>
      <c r="N21" s="19"/>
      <c r="O21" s="19"/>
      <c r="P21" s="17"/>
      <c r="Q21" s="5"/>
    </row>
    <row r="22" spans="1:17" x14ac:dyDescent="0.3">
      <c r="A22" s="14"/>
      <c r="B22" s="14" t="str">
        <f>Fill_Value(quality!B22)</f>
        <v/>
      </c>
      <c r="C22" s="14" t="str">
        <f>Fill_Value(quality!C22)</f>
        <v>optimize_wall_printing_order</v>
      </c>
      <c r="D22" s="15"/>
      <c r="E22" s="16"/>
      <c r="F22" s="16"/>
      <c r="G22" s="16"/>
      <c r="H22" s="16"/>
      <c r="I22" s="16"/>
      <c r="J22" s="16"/>
      <c r="K22" s="16"/>
      <c r="L22" s="16"/>
      <c r="M22" s="16"/>
      <c r="N22" s="16"/>
      <c r="O22" s="16"/>
      <c r="P22" s="14"/>
      <c r="Q22" s="4"/>
    </row>
    <row r="23" spans="1:17" x14ac:dyDescent="0.3">
      <c r="A23" s="17"/>
      <c r="B23" s="17" t="str">
        <f>Fill_Value(quality!B23)</f>
        <v/>
      </c>
      <c r="C23" s="17" t="str">
        <f>Fill_Value(quality!C23)</f>
        <v>outer_inset_first</v>
      </c>
      <c r="D23" s="18"/>
      <c r="E23" s="19"/>
      <c r="F23" s="19"/>
      <c r="G23" s="19"/>
      <c r="H23" s="19"/>
      <c r="I23" s="19"/>
      <c r="J23" s="19"/>
      <c r="K23" s="19"/>
      <c r="L23" s="19"/>
      <c r="M23" s="19"/>
      <c r="N23" s="19"/>
      <c r="O23" s="19"/>
      <c r="P23" s="17"/>
      <c r="Q23" s="5"/>
    </row>
    <row r="24" spans="1:17" x14ac:dyDescent="0.3">
      <c r="A24" s="14"/>
      <c r="B24" s="14" t="str">
        <f>Fill_Value(quality!B24)</f>
        <v/>
      </c>
      <c r="C24" s="14" t="str">
        <f>Fill_Value(quality!C24)</f>
        <v>alternate_extra_perimeter</v>
      </c>
      <c r="D24" s="15"/>
      <c r="E24" s="16"/>
      <c r="F24" s="16"/>
      <c r="G24" s="16"/>
      <c r="H24" s="16"/>
      <c r="I24" s="16"/>
      <c r="J24" s="16"/>
      <c r="K24" s="16"/>
      <c r="L24" s="16"/>
      <c r="M24" s="16"/>
      <c r="N24" s="16"/>
      <c r="O24" s="16"/>
      <c r="P24" s="14"/>
      <c r="Q24" s="4"/>
    </row>
    <row r="25" spans="1:17" x14ac:dyDescent="0.3">
      <c r="A25" s="17"/>
      <c r="B25" s="17" t="str">
        <f>Fill_Value(quality!B25)</f>
        <v/>
      </c>
      <c r="C25" s="17" t="str">
        <f>Fill_Value(quality!C25)</f>
        <v>placeholder_skip</v>
      </c>
      <c r="D25" s="18"/>
      <c r="E25" s="19"/>
      <c r="F25" s="19"/>
      <c r="G25" s="19"/>
      <c r="H25" s="19"/>
      <c r="I25" s="19"/>
      <c r="J25" s="19"/>
      <c r="K25" s="19"/>
      <c r="L25" s="19"/>
      <c r="M25" s="19"/>
      <c r="N25" s="19"/>
      <c r="O25" s="19"/>
      <c r="P25" s="17"/>
      <c r="Q25" s="5"/>
    </row>
    <row r="26" spans="1:17" x14ac:dyDescent="0.3">
      <c r="A26" s="14"/>
      <c r="B26" s="14" t="str">
        <f>Fill_Value(quality!B26)</f>
        <v/>
      </c>
      <c r="C26" s="14" t="str">
        <f>Fill_Value(quality!C26)</f>
        <v>travel_compensate_overlapping_walls_enabled</v>
      </c>
      <c r="D26" s="15"/>
      <c r="E26" s="16"/>
      <c r="F26" s="16"/>
      <c r="G26" s="16"/>
      <c r="H26" s="16"/>
      <c r="I26" s="16"/>
      <c r="J26" s="16"/>
      <c r="K26" s="16"/>
      <c r="L26" s="16"/>
      <c r="M26" s="16"/>
      <c r="N26" s="16"/>
      <c r="O26" s="16"/>
      <c r="P26" s="14"/>
      <c r="Q26" s="4"/>
    </row>
    <row r="27" spans="1:17" x14ac:dyDescent="0.3">
      <c r="A27" s="17"/>
      <c r="B27" s="17" t="str">
        <f>Fill_Value(quality!B27)</f>
        <v/>
      </c>
      <c r="C27" s="17" t="str">
        <f>Fill_Value(quality!C27)</f>
        <v>fill_perimeter_gaps</v>
      </c>
      <c r="D27" s="18"/>
      <c r="E27" s="19"/>
      <c r="F27" s="19"/>
      <c r="G27" s="19"/>
      <c r="H27" s="19"/>
      <c r="I27" s="19"/>
      <c r="J27" s="19"/>
      <c r="K27" s="19"/>
      <c r="L27" s="19"/>
      <c r="M27" s="19"/>
      <c r="N27" s="19"/>
      <c r="O27" s="19"/>
      <c r="P27" s="17"/>
      <c r="Q27" s="5"/>
    </row>
    <row r="28" spans="1:17" x14ac:dyDescent="0.3">
      <c r="A28" s="14"/>
      <c r="B28" s="14" t="str">
        <f>Fill_Value(quality!B28)</f>
        <v/>
      </c>
      <c r="C28" s="14" t="str">
        <f>Fill_Value(quality!C28)</f>
        <v>filter_out_tiny_gaps</v>
      </c>
      <c r="D28" s="15"/>
      <c r="E28" s="16"/>
      <c r="F28" s="16"/>
      <c r="G28" s="16"/>
      <c r="H28" s="16"/>
      <c r="I28" s="16"/>
      <c r="J28" s="16"/>
      <c r="K28" s="16"/>
      <c r="L28" s="16"/>
      <c r="M28" s="16"/>
      <c r="N28" s="16"/>
      <c r="O28" s="16"/>
      <c r="P28" s="14"/>
      <c r="Q28" s="4"/>
    </row>
    <row r="29" spans="1:17" x14ac:dyDescent="0.3">
      <c r="A29" s="17"/>
      <c r="B29" s="17" t="str">
        <f>Fill_Value(quality!B29)</f>
        <v/>
      </c>
      <c r="C29" s="17" t="str">
        <f>Fill_Value(quality!C29)</f>
        <v>fill_outline_gaps</v>
      </c>
      <c r="D29" s="18"/>
      <c r="E29" s="19"/>
      <c r="F29" s="19"/>
      <c r="G29" s="19"/>
      <c r="H29" s="19"/>
      <c r="I29" s="19"/>
      <c r="J29" s="19"/>
      <c r="K29" s="19"/>
      <c r="L29" s="19"/>
      <c r="M29" s="19"/>
      <c r="N29" s="19"/>
      <c r="O29" s="19"/>
      <c r="P29" s="17"/>
      <c r="Q29" s="5"/>
    </row>
    <row r="30" spans="1:17" x14ac:dyDescent="0.3">
      <c r="A30" s="14"/>
      <c r="B30" s="14" t="str">
        <f>Fill_Value(quality!B30)</f>
        <v/>
      </c>
      <c r="C30" s="14" t="str">
        <f>Fill_Value(quality!C30)</f>
        <v>xy_offset</v>
      </c>
      <c r="D30" s="15"/>
      <c r="E30" s="16"/>
      <c r="F30" s="16"/>
      <c r="G30" s="16"/>
      <c r="H30" s="16"/>
      <c r="I30" s="16"/>
      <c r="J30" s="16"/>
      <c r="K30" s="16"/>
      <c r="L30" s="16"/>
      <c r="M30" s="16"/>
      <c r="N30" s="16"/>
      <c r="O30" s="16"/>
      <c r="P30" s="14"/>
      <c r="Q30" s="4"/>
    </row>
    <row r="31" spans="1:17" x14ac:dyDescent="0.3">
      <c r="A31" s="17"/>
      <c r="B31" s="17" t="str">
        <f>Fill_Value(quality!B31)</f>
        <v/>
      </c>
      <c r="C31" s="17" t="str">
        <f>Fill_Value(quality!C31)</f>
        <v>xy_offset_layer_0</v>
      </c>
      <c r="D31" s="18"/>
      <c r="E31" s="19"/>
      <c r="F31" s="19"/>
      <c r="G31" s="19"/>
      <c r="H31" s="19"/>
      <c r="I31" s="19"/>
      <c r="J31" s="19"/>
      <c r="K31" s="19"/>
      <c r="L31" s="19"/>
      <c r="M31" s="19"/>
      <c r="N31" s="19"/>
      <c r="O31" s="19"/>
      <c r="P31" s="17"/>
      <c r="Q31" s="5"/>
    </row>
    <row r="32" spans="1:17" x14ac:dyDescent="0.3">
      <c r="A32" s="14"/>
      <c r="B32" s="14" t="str">
        <f>Fill_Value(quality!B32)</f>
        <v/>
      </c>
      <c r="C32" s="14" t="str">
        <f>Fill_Value(quality!C32)</f>
        <v>z_seam_type</v>
      </c>
      <c r="D32" s="15"/>
      <c r="E32" s="16"/>
      <c r="F32" s="16"/>
      <c r="G32" s="16"/>
      <c r="H32" s="16"/>
      <c r="I32" s="16"/>
      <c r="J32" s="16"/>
      <c r="K32" s="16"/>
      <c r="L32" s="16"/>
      <c r="M32" s="16"/>
      <c r="N32" s="16"/>
      <c r="O32" s="16"/>
      <c r="P32" s="14"/>
      <c r="Q32" s="4"/>
    </row>
    <row r="33" spans="1:17" x14ac:dyDescent="0.3">
      <c r="A33" s="17"/>
      <c r="B33" s="17" t="str">
        <f>Fill_Value(quality!B33)</f>
        <v/>
      </c>
      <c r="C33" s="17" t="str">
        <f>Fill_Value(quality!C33)</f>
        <v>z_seam_corner</v>
      </c>
      <c r="D33" s="18"/>
      <c r="E33" s="19"/>
      <c r="F33" s="19"/>
      <c r="G33" s="19"/>
      <c r="H33" s="19"/>
      <c r="I33" s="19"/>
      <c r="J33" s="19"/>
      <c r="K33" s="19"/>
      <c r="L33" s="19"/>
      <c r="M33" s="19"/>
      <c r="N33" s="19"/>
      <c r="O33" s="19"/>
      <c r="P33" s="17"/>
      <c r="Q33" s="5"/>
    </row>
    <row r="34" spans="1:17" x14ac:dyDescent="0.3">
      <c r="A34" s="14"/>
      <c r="B34" s="14" t="str">
        <f>Fill_Value(quality!B34)</f>
        <v/>
      </c>
      <c r="C34" s="14" t="str">
        <f>Fill_Value(quality!C34)</f>
        <v>skin_no_small_gaps_heuristic</v>
      </c>
      <c r="D34" s="15"/>
      <c r="E34" s="16"/>
      <c r="F34" s="16"/>
      <c r="G34" s="16"/>
      <c r="H34" s="16"/>
      <c r="I34" s="16"/>
      <c r="J34" s="16"/>
      <c r="K34" s="16"/>
      <c r="L34" s="16"/>
      <c r="M34" s="16"/>
      <c r="N34" s="16"/>
      <c r="O34" s="16"/>
      <c r="P34" s="14"/>
      <c r="Q34" s="4"/>
    </row>
    <row r="35" spans="1:17" x14ac:dyDescent="0.3">
      <c r="A35" s="17"/>
      <c r="B35" s="17" t="str">
        <f>Fill_Value(quality!B35)</f>
        <v/>
      </c>
      <c r="C35" s="17" t="str">
        <f>Fill_Value(quality!C35)</f>
        <v>ironing_enabled</v>
      </c>
      <c r="D35" s="18"/>
      <c r="E35" s="19"/>
      <c r="F35" s="19"/>
      <c r="G35" s="19"/>
      <c r="H35" s="19"/>
      <c r="I35" s="19"/>
      <c r="J35" s="19"/>
      <c r="K35" s="19"/>
      <c r="L35" s="19"/>
      <c r="M35" s="19"/>
      <c r="N35" s="19"/>
      <c r="O35" s="19"/>
      <c r="P35" s="17"/>
      <c r="Q35" s="5"/>
    </row>
    <row r="36" spans="1:17" x14ac:dyDescent="0.3">
      <c r="A36" s="14"/>
      <c r="B36" s="14" t="str">
        <f>Fill_Value(quality!B36)</f>
        <v/>
      </c>
      <c r="C36" s="14" t="str">
        <f>Fill_Value(quality!C36)</f>
        <v>ironing_only_highest_layer</v>
      </c>
      <c r="D36" s="15"/>
      <c r="E36" s="16"/>
      <c r="F36" s="16"/>
      <c r="G36" s="16"/>
      <c r="H36" s="16"/>
      <c r="I36" s="16"/>
      <c r="J36" s="16"/>
      <c r="K36" s="16"/>
      <c r="L36" s="16"/>
      <c r="M36" s="16"/>
      <c r="N36" s="16"/>
      <c r="O36" s="16"/>
      <c r="P36" s="14"/>
      <c r="Q36" s="4"/>
    </row>
    <row r="37" spans="1:17" x14ac:dyDescent="0.3">
      <c r="A37" s="17"/>
      <c r="B37" s="17" t="str">
        <f>Fill_Value(quality!B37)</f>
        <v/>
      </c>
      <c r="C37" s="17" t="str">
        <f>Fill_Value(quality!C37)</f>
        <v>ironing_flow</v>
      </c>
      <c r="D37" s="21"/>
      <c r="E37" s="19"/>
      <c r="F37" s="19"/>
      <c r="G37" s="19"/>
      <c r="H37" s="19"/>
      <c r="I37" s="19"/>
      <c r="J37" s="19"/>
      <c r="K37" s="19"/>
      <c r="L37" s="19"/>
      <c r="M37" s="19"/>
      <c r="N37" s="19"/>
      <c r="O37" s="19"/>
      <c r="P37" s="17"/>
      <c r="Q37" s="5"/>
    </row>
    <row r="38" spans="1:17" x14ac:dyDescent="0.3">
      <c r="A38" s="14"/>
      <c r="B38" s="14" t="str">
        <f>Fill_Value(quality!B38)</f>
        <v>Infill</v>
      </c>
      <c r="C38" s="14" t="str">
        <f>Fill_Value(quality!C38)</f>
        <v>infill_pattern</v>
      </c>
      <c r="D38" s="15"/>
      <c r="E38" s="16"/>
      <c r="F38" s="16"/>
      <c r="G38" s="16"/>
      <c r="H38" s="16"/>
      <c r="I38" s="16"/>
      <c r="J38" s="16"/>
      <c r="K38" s="16"/>
      <c r="L38" s="16"/>
      <c r="M38" s="16"/>
      <c r="N38" s="16"/>
      <c r="O38" s="16"/>
      <c r="P38" s="14"/>
      <c r="Q38" s="4"/>
    </row>
    <row r="39" spans="1:17" x14ac:dyDescent="0.3">
      <c r="A39" s="17"/>
      <c r="B39" s="17" t="str">
        <f>Fill_Value(quality!B39)</f>
        <v/>
      </c>
      <c r="C39" s="17" t="str">
        <f>Fill_Value(quality!C39)</f>
        <v>zig_zaggify_infill</v>
      </c>
      <c r="D39" s="18"/>
      <c r="E39" s="19"/>
      <c r="F39" s="19"/>
      <c r="G39" s="19"/>
      <c r="H39" s="19"/>
      <c r="I39" s="19"/>
      <c r="J39" s="19"/>
      <c r="K39" s="19"/>
      <c r="L39" s="19"/>
      <c r="M39" s="19"/>
      <c r="N39" s="19"/>
      <c r="O39" s="19"/>
      <c r="P39" s="17"/>
      <c r="Q39" s="5"/>
    </row>
    <row r="40" spans="1:17" x14ac:dyDescent="0.3">
      <c r="A40" s="14"/>
      <c r="B40" s="14" t="str">
        <f>Fill_Value(quality!B40)</f>
        <v/>
      </c>
      <c r="C40" s="14" t="str">
        <f>Fill_Value(quality!C40)</f>
        <v>connect_infill_polygons</v>
      </c>
      <c r="D40" s="15"/>
      <c r="E40" s="16"/>
      <c r="F40" s="16"/>
      <c r="G40" s="16"/>
      <c r="H40" s="16"/>
      <c r="I40" s="16"/>
      <c r="J40" s="16"/>
      <c r="K40" s="16"/>
      <c r="L40" s="16"/>
      <c r="M40" s="16"/>
      <c r="N40" s="16"/>
      <c r="O40" s="16"/>
      <c r="P40" s="14"/>
      <c r="Q40" s="4"/>
    </row>
    <row r="41" spans="1:17" x14ac:dyDescent="0.3">
      <c r="A41" s="17"/>
      <c r="B41" s="17" t="str">
        <f>Fill_Value(quality!B41)</f>
        <v/>
      </c>
      <c r="C41" s="17" t="str">
        <f>Fill_Value(quality!C41)</f>
        <v>infill_overlap</v>
      </c>
      <c r="D41" s="18"/>
      <c r="E41" s="19"/>
      <c r="F41" s="19"/>
      <c r="G41" s="19"/>
      <c r="H41" s="19"/>
      <c r="I41" s="19"/>
      <c r="J41" s="19"/>
      <c r="K41" s="19"/>
      <c r="L41" s="19"/>
      <c r="M41" s="19"/>
      <c r="N41" s="19"/>
      <c r="O41" s="19"/>
      <c r="P41" s="17"/>
      <c r="Q41" s="5"/>
    </row>
    <row r="42" spans="1:17" x14ac:dyDescent="0.3">
      <c r="A42" s="14"/>
      <c r="B42" s="14" t="str">
        <f>Fill_Value(quality!B42)</f>
        <v/>
      </c>
      <c r="C42" s="14" t="str">
        <f>Fill_Value(quality!C42)</f>
        <v>infill_sparse_thickness</v>
      </c>
      <c r="D42" s="15"/>
      <c r="E42" s="16"/>
      <c r="F42" s="16"/>
      <c r="G42" s="16"/>
      <c r="H42" s="16"/>
      <c r="I42" s="16"/>
      <c r="J42" s="16"/>
      <c r="K42" s="16"/>
      <c r="L42" s="16"/>
      <c r="M42" s="16"/>
      <c r="N42" s="16"/>
      <c r="O42" s="16"/>
      <c r="P42" s="14"/>
      <c r="Q42" s="4"/>
    </row>
    <row r="43" spans="1:17" x14ac:dyDescent="0.3">
      <c r="A43" s="17"/>
      <c r="B43" s="17" t="str">
        <f>Fill_Value(quality!B43)</f>
        <v/>
      </c>
      <c r="C43" s="17" t="str">
        <f>Fill_Value(quality!C43)</f>
        <v>infill_before_walls</v>
      </c>
      <c r="D43" s="18"/>
      <c r="E43" s="19"/>
      <c r="F43" s="19"/>
      <c r="G43" s="19"/>
      <c r="H43" s="19"/>
      <c r="I43" s="19"/>
      <c r="J43" s="19"/>
      <c r="K43" s="19"/>
      <c r="L43" s="19"/>
      <c r="M43" s="19"/>
      <c r="N43" s="19"/>
      <c r="O43" s="19"/>
      <c r="P43" s="17"/>
      <c r="Q43" s="5"/>
    </row>
    <row r="44" spans="1:17" x14ac:dyDescent="0.3">
      <c r="A44" s="14"/>
      <c r="B44" s="14" t="str">
        <f>Fill_Value(quality!B44)</f>
        <v/>
      </c>
      <c r="C44" s="14" t="str">
        <f>Fill_Value(quality!C44)</f>
        <v>min_infill_area</v>
      </c>
      <c r="D44" s="15"/>
      <c r="E44" s="16"/>
      <c r="F44" s="16"/>
      <c r="G44" s="16"/>
      <c r="H44" s="16"/>
      <c r="I44" s="16"/>
      <c r="J44" s="16"/>
      <c r="K44" s="16"/>
      <c r="L44" s="16"/>
      <c r="M44" s="16"/>
      <c r="N44" s="16"/>
      <c r="O44" s="16"/>
      <c r="P44" s="14"/>
      <c r="Q44" s="4"/>
    </row>
    <row r="45" spans="1:17" x14ac:dyDescent="0.3">
      <c r="A45" s="17"/>
      <c r="B45" s="17" t="str">
        <f>Fill_Value(quality!B45)</f>
        <v/>
      </c>
      <c r="C45" s="17" t="str">
        <f>Fill_Value(quality!C45)</f>
        <v>infill_support_enabled</v>
      </c>
      <c r="D45" s="18"/>
      <c r="E45" s="19"/>
      <c r="F45" s="19"/>
      <c r="G45" s="19"/>
      <c r="H45" s="19"/>
      <c r="I45" s="19"/>
      <c r="J45" s="19"/>
      <c r="K45" s="19"/>
      <c r="L45" s="19"/>
      <c r="M45" s="19"/>
      <c r="N45" s="19"/>
      <c r="O45" s="19"/>
      <c r="P45" s="17"/>
      <c r="Q45" s="5"/>
    </row>
    <row r="46" spans="1:17" x14ac:dyDescent="0.3">
      <c r="A46" s="14"/>
      <c r="B46" s="14" t="str">
        <f>Fill_Value(quality!B46)</f>
        <v>Material</v>
      </c>
      <c r="C46" s="14" t="str">
        <f>Fill_Value(quality!C46)</f>
        <v>material_print_temperature</v>
      </c>
      <c r="D46" s="15">
        <v>210</v>
      </c>
      <c r="E46" s="16"/>
      <c r="F46" s="16"/>
      <c r="G46" s="16"/>
      <c r="H46" s="16"/>
      <c r="I46" s="16"/>
      <c r="J46" s="16"/>
      <c r="K46" s="16"/>
      <c r="L46" s="16"/>
      <c r="M46" s="16"/>
      <c r="N46" s="16"/>
      <c r="O46" s="16"/>
      <c r="P46" s="14"/>
      <c r="Q46" s="4"/>
    </row>
    <row r="47" spans="1:17" x14ac:dyDescent="0.3">
      <c r="A47" s="17"/>
      <c r="B47" s="17" t="str">
        <f>Fill_Value(quality!B47)</f>
        <v/>
      </c>
      <c r="C47" s="17" t="str">
        <f>Fill_Value(quality!C47)</f>
        <v>material_print_temperature_layer_0</v>
      </c>
      <c r="D47" s="18">
        <v>215</v>
      </c>
      <c r="E47" s="19"/>
      <c r="F47" s="19"/>
      <c r="G47" s="19"/>
      <c r="H47" s="19"/>
      <c r="I47" s="19"/>
      <c r="J47" s="19"/>
      <c r="K47" s="19"/>
      <c r="L47" s="19"/>
      <c r="M47" s="19"/>
      <c r="N47" s="19"/>
      <c r="O47" s="19"/>
      <c r="P47" s="17"/>
      <c r="Q47" s="5"/>
    </row>
    <row r="48" spans="1:17" x14ac:dyDescent="0.3">
      <c r="A48" s="14"/>
      <c r="B48" s="14" t="str">
        <f>Fill_Value(quality!B48)</f>
        <v/>
      </c>
      <c r="C48" s="14" t="str">
        <f>Fill_Value(quality!C48)</f>
        <v>material_bed_temperature</v>
      </c>
      <c r="D48" s="15">
        <v>60</v>
      </c>
      <c r="E48" s="16"/>
      <c r="F48" s="16"/>
      <c r="G48" s="16"/>
      <c r="H48" s="16"/>
      <c r="I48" s="16"/>
      <c r="J48" s="16"/>
      <c r="K48" s="16"/>
      <c r="L48" s="16"/>
      <c r="M48" s="16"/>
      <c r="N48" s="16"/>
      <c r="O48" s="16"/>
      <c r="P48" s="14"/>
      <c r="Q48" s="4"/>
    </row>
    <row r="49" spans="1:17" x14ac:dyDescent="0.3">
      <c r="A49" s="17"/>
      <c r="B49" s="17" t="str">
        <f>Fill_Value(quality!B49)</f>
        <v/>
      </c>
      <c r="C49" s="17" t="str">
        <f>Fill_Value(quality!C49)</f>
        <v>material_bed_temperature_layer_0</v>
      </c>
      <c r="D49" s="18">
        <v>60</v>
      </c>
      <c r="E49" s="19"/>
      <c r="F49" s="19"/>
      <c r="G49" s="19"/>
      <c r="H49" s="19"/>
      <c r="I49" s="19"/>
      <c r="J49" s="19"/>
      <c r="K49" s="19"/>
      <c r="L49" s="19"/>
      <c r="M49" s="19"/>
      <c r="N49" s="19"/>
      <c r="O49" s="19"/>
      <c r="P49" s="17"/>
      <c r="Q49" s="5"/>
    </row>
    <row r="50" spans="1:17" x14ac:dyDescent="0.3">
      <c r="A50" s="14"/>
      <c r="B50" s="14" t="str">
        <f>Fill_Value(quality!B50)</f>
        <v/>
      </c>
      <c r="C50" s="14" t="str">
        <f>Fill_Value(quality!C50)</f>
        <v>material_flow</v>
      </c>
      <c r="D50" s="15">
        <v>93</v>
      </c>
      <c r="E50" s="16"/>
      <c r="F50" s="16"/>
      <c r="G50" s="16"/>
      <c r="H50" s="16"/>
      <c r="I50" s="16"/>
      <c r="J50" s="16"/>
      <c r="K50" s="16"/>
      <c r="L50" s="16"/>
      <c r="M50" s="16"/>
      <c r="N50" s="16"/>
      <c r="O50" s="16"/>
      <c r="P50" s="14"/>
      <c r="Q50" s="4"/>
    </row>
    <row r="51" spans="1:17" x14ac:dyDescent="0.3">
      <c r="A51" s="17"/>
      <c r="B51" s="17" t="str">
        <f>Fill_Value(quality!B51)</f>
        <v/>
      </c>
      <c r="C51" s="17" t="str">
        <f>Fill_Value(quality!C51)</f>
        <v>material_flow_layer_0</v>
      </c>
      <c r="D51" s="18">
        <v>100</v>
      </c>
      <c r="E51" s="19"/>
      <c r="F51" s="19"/>
      <c r="G51" s="19"/>
      <c r="H51" s="19"/>
      <c r="I51" s="19"/>
      <c r="J51" s="19"/>
      <c r="K51" s="19"/>
      <c r="L51" s="19"/>
      <c r="M51" s="19"/>
      <c r="N51" s="19"/>
      <c r="O51" s="19"/>
      <c r="P51" s="17"/>
      <c r="Q51" s="5"/>
    </row>
    <row r="52" spans="1:17" x14ac:dyDescent="0.3">
      <c r="A52" s="14"/>
      <c r="B52" s="14" t="str">
        <f>Fill_Value(quality!B52)</f>
        <v/>
      </c>
      <c r="C52" s="14" t="str">
        <f>Fill_Value(quality!C52)</f>
        <v>retraction_enable</v>
      </c>
      <c r="D52" s="15" t="s">
        <v>169</v>
      </c>
      <c r="E52" s="16"/>
      <c r="F52" s="16"/>
      <c r="G52" s="16"/>
      <c r="H52" s="16"/>
      <c r="I52" s="16"/>
      <c r="J52" s="16"/>
      <c r="K52" s="16"/>
      <c r="L52" s="16"/>
      <c r="M52" s="16"/>
      <c r="N52" s="16"/>
      <c r="O52" s="16"/>
      <c r="P52" s="14"/>
      <c r="Q52" s="4"/>
    </row>
    <row r="53" spans="1:17" x14ac:dyDescent="0.3">
      <c r="A53" s="17"/>
      <c r="B53" s="17" t="str">
        <f>Fill_Value(quality!B53)</f>
        <v/>
      </c>
      <c r="C53" s="17" t="str">
        <f>Fill_Value(quality!C53)</f>
        <v>retract_at_layer_change</v>
      </c>
      <c r="D53" s="18" t="s">
        <v>169</v>
      </c>
      <c r="E53" s="19"/>
      <c r="F53" s="19"/>
      <c r="G53" s="19"/>
      <c r="H53" s="19"/>
      <c r="I53" s="19"/>
      <c r="J53" s="19"/>
      <c r="K53" s="19"/>
      <c r="L53" s="19"/>
      <c r="M53" s="19"/>
      <c r="N53" s="19"/>
      <c r="O53" s="19"/>
      <c r="P53" s="17"/>
      <c r="Q53" s="5"/>
    </row>
    <row r="54" spans="1:17" x14ac:dyDescent="0.3">
      <c r="A54" s="14"/>
      <c r="B54" s="14" t="str">
        <f>Fill_Value(quality!B54)</f>
        <v/>
      </c>
      <c r="C54" s="14" t="str">
        <f>Fill_Value(quality!C54)</f>
        <v>retraction_amount</v>
      </c>
      <c r="D54" s="15">
        <v>0.8</v>
      </c>
      <c r="E54" s="16"/>
      <c r="F54" s="16"/>
      <c r="G54" s="16"/>
      <c r="H54" s="16"/>
      <c r="I54" s="16"/>
      <c r="J54" s="16"/>
      <c r="K54" s="16"/>
      <c r="L54" s="16"/>
      <c r="M54" s="16"/>
      <c r="N54" s="16"/>
      <c r="O54" s="16"/>
      <c r="P54" s="14"/>
      <c r="Q54" s="4"/>
    </row>
    <row r="55" spans="1:17" x14ac:dyDescent="0.3">
      <c r="A55" s="17"/>
      <c r="B55" s="17" t="str">
        <f>Fill_Value(quality!B55)</f>
        <v/>
      </c>
      <c r="C55" s="17" t="str">
        <f>Fill_Value(quality!C55)</f>
        <v>retraction_retract_speed</v>
      </c>
      <c r="D55" s="18">
        <v>35</v>
      </c>
      <c r="E55" s="19"/>
      <c r="F55" s="19"/>
      <c r="G55" s="19"/>
      <c r="H55" s="19"/>
      <c r="I55" s="19"/>
      <c r="J55" s="19"/>
      <c r="K55" s="19"/>
      <c r="L55" s="19"/>
      <c r="M55" s="19"/>
      <c r="N55" s="19"/>
      <c r="O55" s="19"/>
      <c r="P55" s="17"/>
      <c r="Q55" s="5"/>
    </row>
    <row r="56" spans="1:17" x14ac:dyDescent="0.3">
      <c r="A56" s="14"/>
      <c r="B56" s="14" t="str">
        <f>Fill_Value(quality!B56)</f>
        <v/>
      </c>
      <c r="C56" s="14" t="str">
        <f>Fill_Value(quality!C56)</f>
        <v>retraction_prime_speed</v>
      </c>
      <c r="D56" s="15">
        <v>35</v>
      </c>
      <c r="E56" s="16"/>
      <c r="F56" s="16"/>
      <c r="G56" s="16"/>
      <c r="H56" s="16"/>
      <c r="I56" s="16"/>
      <c r="J56" s="16"/>
      <c r="K56" s="16"/>
      <c r="L56" s="16"/>
      <c r="M56" s="16"/>
      <c r="N56" s="16"/>
      <c r="O56" s="16"/>
      <c r="P56" s="14"/>
      <c r="Q56" s="4"/>
    </row>
    <row r="57" spans="1:17" x14ac:dyDescent="0.3">
      <c r="A57" s="17"/>
      <c r="B57" s="17" t="str">
        <f>Fill_Value(quality!B57)</f>
        <v/>
      </c>
      <c r="C57" s="17" t="str">
        <f>Fill_Value(quality!C57)</f>
        <v>retraction_extra_prime_amount</v>
      </c>
      <c r="D57" s="18"/>
      <c r="E57" s="19"/>
      <c r="F57" s="19"/>
      <c r="G57" s="19"/>
      <c r="H57" s="19"/>
      <c r="I57" s="19"/>
      <c r="J57" s="19"/>
      <c r="K57" s="19"/>
      <c r="L57" s="19"/>
      <c r="M57" s="19"/>
      <c r="N57" s="19"/>
      <c r="O57" s="19"/>
      <c r="P57" s="17"/>
      <c r="Q57" s="5"/>
    </row>
    <row r="58" spans="1:17" x14ac:dyDescent="0.3">
      <c r="A58" s="14"/>
      <c r="B58" s="14" t="str">
        <f>Fill_Value(quality!B58)</f>
        <v/>
      </c>
      <c r="C58" s="14" t="str">
        <f>Fill_Value(quality!C58)</f>
        <v>retraction_min_travel</v>
      </c>
      <c r="D58" s="15"/>
      <c r="E58" s="16"/>
      <c r="F58" s="16"/>
      <c r="G58" s="16"/>
      <c r="H58" s="16"/>
      <c r="I58" s="16"/>
      <c r="J58" s="16"/>
      <c r="K58" s="16"/>
      <c r="L58" s="16"/>
      <c r="M58" s="16"/>
      <c r="N58" s="16"/>
      <c r="O58" s="16"/>
      <c r="P58" s="14"/>
      <c r="Q58" s="4"/>
    </row>
    <row r="59" spans="1:17" x14ac:dyDescent="0.3">
      <c r="A59" s="17"/>
      <c r="B59" s="17" t="str">
        <f>Fill_Value(quality!B59)</f>
        <v/>
      </c>
      <c r="C59" s="17" t="str">
        <f>Fill_Value(quality!C59)</f>
        <v>retraction_count_max</v>
      </c>
      <c r="D59" s="18"/>
      <c r="E59" s="19"/>
      <c r="F59" s="19"/>
      <c r="G59" s="19"/>
      <c r="H59" s="19"/>
      <c r="I59" s="19"/>
      <c r="J59" s="19"/>
      <c r="K59" s="19"/>
      <c r="L59" s="19"/>
      <c r="M59" s="19"/>
      <c r="N59" s="19"/>
      <c r="O59" s="19"/>
      <c r="P59" s="17"/>
      <c r="Q59" s="5"/>
    </row>
    <row r="60" spans="1:17" x14ac:dyDescent="0.3">
      <c r="A60" s="14"/>
      <c r="B60" s="14" t="str">
        <f>Fill_Value(quality!B60)</f>
        <v/>
      </c>
      <c r="C60" s="14" t="str">
        <f>Fill_Value(quality!C60)</f>
        <v>retraction_extrusion_window</v>
      </c>
      <c r="D60" s="15"/>
      <c r="E60" s="16"/>
      <c r="F60" s="16"/>
      <c r="G60" s="16"/>
      <c r="H60" s="16"/>
      <c r="I60" s="16"/>
      <c r="J60" s="16"/>
      <c r="K60" s="16"/>
      <c r="L60" s="16"/>
      <c r="M60" s="16"/>
      <c r="N60" s="16"/>
      <c r="O60" s="16"/>
      <c r="P60" s="14"/>
      <c r="Q60" s="4"/>
    </row>
    <row r="61" spans="1:17" x14ac:dyDescent="0.3">
      <c r="A61" s="17"/>
      <c r="B61" s="17" t="str">
        <f>Fill_Value(quality!B61)</f>
        <v/>
      </c>
      <c r="C61" s="17" t="str">
        <f>Fill_Value(quality!C61)</f>
        <v>limit_support_retractions</v>
      </c>
      <c r="D61" s="18"/>
      <c r="E61" s="19"/>
      <c r="F61" s="19"/>
      <c r="G61" s="19"/>
      <c r="H61" s="19"/>
      <c r="I61" s="19"/>
      <c r="J61" s="19"/>
      <c r="K61" s="19"/>
      <c r="L61" s="19"/>
      <c r="M61" s="19"/>
      <c r="N61" s="19"/>
      <c r="O61" s="19"/>
      <c r="P61" s="17"/>
      <c r="Q61" s="5"/>
    </row>
    <row r="62" spans="1:17" x14ac:dyDescent="0.3">
      <c r="A62" s="14"/>
      <c r="B62" s="14" t="str">
        <f>Fill_Value(quality!B62)</f>
        <v>Speed</v>
      </c>
      <c r="C62" s="14" t="str">
        <f>Fill_Value(quality!C62)</f>
        <v>#Volumetric Max</v>
      </c>
      <c r="D62" s="15" t="str">
        <f ca="1">UPPER(SUBSTITUTE(TRIM(LOWER(MID(CELL("filename",A1),FIND("]",CELL("filename",A1))+1,255))),"quality_",""))</f>
        <v>PLA</v>
      </c>
      <c r="E62" s="22">
        <f ca="1">IFERROR(VLOOKUP($D$62,spec!$E$3:$Q$13,2,FALSE)/((Nozzle_Diameter*1.2)*E$1),0)</f>
        <v>133.10185185185188</v>
      </c>
      <c r="F62" s="22">
        <f ca="1">IFERROR(VLOOKUP($D$62,spec!$E$3:$Q$13,2,FALSE)/((Nozzle_Diameter*1.2)*F$1),0)</f>
        <v>79.861111111111114</v>
      </c>
      <c r="G62" s="22">
        <f ca="1">IFERROR(VLOOKUP($D$62,spec!$E$3:$Q$13,2,FALSE)/((Nozzle_Diameter*1.2)*G$1),0)</f>
        <v>66.550925925925938</v>
      </c>
      <c r="H62" s="22">
        <f ca="1">IFERROR(VLOOKUP($D$62,spec!$E$3:$Q$13,2,FALSE)/((Nozzle_Diameter*1.2)*H$1),0)</f>
        <v>57.043650793650791</v>
      </c>
      <c r="I62" s="22">
        <f ca="1">IFERROR(VLOOKUP($D$62,spec!$E$3:$Q$13,2,FALSE)/((Nozzle_Diameter*1.2)*I$1),0)</f>
        <v>49.913194444444443</v>
      </c>
      <c r="J62" s="22">
        <f ca="1">IFERROR(VLOOKUP($D$62,spec!$E$3:$Q$13,2,FALSE)/((Nozzle_Diameter*1.2)*J$1),0)</f>
        <v>39.930555555555557</v>
      </c>
      <c r="K62" s="22">
        <f ca="1">IFERROR(VLOOKUP($D$62,spec!$E$3:$Q$13,2,FALSE)/((Nozzle_Diameter*1.2)*K$1),0)</f>
        <v>33.275462962962969</v>
      </c>
      <c r="L62" s="22">
        <f ca="1">IFERROR(VLOOKUP($D$62,spec!$E$3:$Q$13,2,FALSE)/((Nozzle_Diameter*1.2)*L$1),0)</f>
        <v>28.521825396825395</v>
      </c>
      <c r="M62" s="22">
        <f ca="1">IFERROR(VLOOKUP($D$62,spec!$E$3:$Q$13,2,FALSE)/((Nozzle_Diameter*1.2)*M$1),0)</f>
        <v>24.956597222222221</v>
      </c>
      <c r="N62" s="22">
        <f ca="1">IFERROR(VLOOKUP($D$62,spec!$E$3:$Q$13,2,FALSE)/((Nozzle_Diameter*1.2)*N$1),0)</f>
        <v>22.183641975308642</v>
      </c>
      <c r="O62" s="22">
        <f ca="1">IFERROR(VLOOKUP($D$62,spec!$E$3:$Q$13,2,FALSE)/((Nozzle_Diameter*1.2)*O$1),0)</f>
        <v>19.965277777777779</v>
      </c>
      <c r="P62" s="14"/>
      <c r="Q62" s="4"/>
    </row>
    <row r="63" spans="1:17" x14ac:dyDescent="0.3">
      <c r="A63" s="17"/>
      <c r="B63" s="17" t="str">
        <f>Fill_Value(quality!B63)</f>
        <v/>
      </c>
      <c r="C63" s="17" t="str">
        <f>Fill_Value(quality!C63)</f>
        <v>#Manual Max</v>
      </c>
      <c r="D63" s="18">
        <v>90</v>
      </c>
      <c r="E63" s="19">
        <v>80</v>
      </c>
      <c r="F63" s="19">
        <v>70</v>
      </c>
      <c r="G63" s="19">
        <v>70</v>
      </c>
      <c r="H63" s="19">
        <v>70</v>
      </c>
      <c r="I63" s="19">
        <v>55</v>
      </c>
      <c r="J63" s="19">
        <v>45</v>
      </c>
      <c r="K63" s="19">
        <v>40</v>
      </c>
      <c r="L63" s="19">
        <v>35</v>
      </c>
      <c r="M63" s="19">
        <v>30</v>
      </c>
      <c r="N63" s="19">
        <v>25</v>
      </c>
      <c r="O63" s="19">
        <v>22</v>
      </c>
      <c r="P63" s="17"/>
      <c r="Q63" s="5"/>
    </row>
    <row r="64" spans="1:17" x14ac:dyDescent="0.3">
      <c r="A64" s="14"/>
      <c r="B64" s="14" t="str">
        <f>Fill_Value(quality!B64)</f>
        <v/>
      </c>
      <c r="C64" s="14" t="str">
        <f>Fill_Value(quality!C64)</f>
        <v>speed_print</v>
      </c>
      <c r="D64" s="15">
        <v>90</v>
      </c>
      <c r="E64" s="16">
        <f t="shared" ref="E64:O70" ca="1" si="0">GetSpeed($D64,E$63,E$62,SpeedType)</f>
        <v>80</v>
      </c>
      <c r="F64" s="16">
        <f t="shared" ca="1" si="0"/>
        <v>70</v>
      </c>
      <c r="G64" s="16">
        <f t="shared" ca="1" si="0"/>
        <v>67</v>
      </c>
      <c r="H64" s="16">
        <f t="shared" ca="1" si="0"/>
        <v>57</v>
      </c>
      <c r="I64" s="16">
        <f t="shared" ca="1" si="0"/>
        <v>50</v>
      </c>
      <c r="J64" s="16">
        <f t="shared" ca="1" si="0"/>
        <v>40</v>
      </c>
      <c r="K64" s="16">
        <f t="shared" ca="1" si="0"/>
        <v>33</v>
      </c>
      <c r="L64" s="16">
        <f t="shared" ca="1" si="0"/>
        <v>29</v>
      </c>
      <c r="M64" s="16">
        <f t="shared" ca="1" si="0"/>
        <v>25</v>
      </c>
      <c r="N64" s="16">
        <f t="shared" ca="1" si="0"/>
        <v>22</v>
      </c>
      <c r="O64" s="16">
        <f t="shared" ca="1" si="0"/>
        <v>20</v>
      </c>
      <c r="P64" s="14"/>
      <c r="Q64" s="4"/>
    </row>
    <row r="65" spans="1:17" x14ac:dyDescent="0.3">
      <c r="A65" s="17"/>
      <c r="B65" s="17" t="str">
        <f>Fill_Value(quality!B65)</f>
        <v/>
      </c>
      <c r="C65" s="17" t="str">
        <f>Fill_Value(quality!C65)</f>
        <v>speed_infill</v>
      </c>
      <c r="D65" s="18">
        <v>65</v>
      </c>
      <c r="E65" s="19">
        <f t="shared" ca="1" si="0"/>
        <v>65</v>
      </c>
      <c r="F65" s="19">
        <f t="shared" ca="1" si="0"/>
        <v>65</v>
      </c>
      <c r="G65" s="19">
        <f t="shared" ca="1" si="0"/>
        <v>65</v>
      </c>
      <c r="H65" s="19">
        <f t="shared" ca="1" si="0"/>
        <v>57</v>
      </c>
      <c r="I65" s="19">
        <f t="shared" ca="1" si="0"/>
        <v>50</v>
      </c>
      <c r="J65" s="19">
        <f t="shared" ca="1" si="0"/>
        <v>40</v>
      </c>
      <c r="K65" s="19">
        <f t="shared" ca="1" si="0"/>
        <v>33</v>
      </c>
      <c r="L65" s="19">
        <f t="shared" ca="1" si="0"/>
        <v>29</v>
      </c>
      <c r="M65" s="19">
        <f t="shared" ca="1" si="0"/>
        <v>25</v>
      </c>
      <c r="N65" s="19">
        <f t="shared" ca="1" si="0"/>
        <v>22</v>
      </c>
      <c r="O65" s="19">
        <f t="shared" ca="1" si="0"/>
        <v>20</v>
      </c>
      <c r="P65" s="17"/>
      <c r="Q65" s="5"/>
    </row>
    <row r="66" spans="1:17" x14ac:dyDescent="0.3">
      <c r="A66" s="14"/>
      <c r="B66" s="14" t="str">
        <f>Fill_Value(quality!B66)</f>
        <v/>
      </c>
      <c r="C66" s="14" t="str">
        <f>Fill_Value(quality!C66)</f>
        <v>speed_wall</v>
      </c>
      <c r="D66" s="15">
        <v>45</v>
      </c>
      <c r="E66" s="16">
        <f t="shared" ca="1" si="0"/>
        <v>45</v>
      </c>
      <c r="F66" s="16">
        <f t="shared" ca="1" si="0"/>
        <v>45</v>
      </c>
      <c r="G66" s="16">
        <f t="shared" ca="1" si="0"/>
        <v>45</v>
      </c>
      <c r="H66" s="16">
        <f t="shared" ca="1" si="0"/>
        <v>45</v>
      </c>
      <c r="I66" s="16">
        <f t="shared" ca="1" si="0"/>
        <v>45</v>
      </c>
      <c r="J66" s="16">
        <f t="shared" ca="1" si="0"/>
        <v>40</v>
      </c>
      <c r="K66" s="16">
        <f t="shared" ca="1" si="0"/>
        <v>33</v>
      </c>
      <c r="L66" s="16">
        <f t="shared" ca="1" si="0"/>
        <v>29</v>
      </c>
      <c r="M66" s="16">
        <f t="shared" ca="1" si="0"/>
        <v>25</v>
      </c>
      <c r="N66" s="16">
        <f t="shared" ca="1" si="0"/>
        <v>22</v>
      </c>
      <c r="O66" s="16">
        <f t="shared" ca="1" si="0"/>
        <v>20</v>
      </c>
      <c r="P66" s="14"/>
      <c r="Q66" s="4"/>
    </row>
    <row r="67" spans="1:17" x14ac:dyDescent="0.3">
      <c r="A67" s="17"/>
      <c r="B67" s="17" t="str">
        <f>Fill_Value(quality!B67)</f>
        <v/>
      </c>
      <c r="C67" s="17" t="str">
        <f>Fill_Value(quality!C67)</f>
        <v>speed_wall_0</v>
      </c>
      <c r="D67" s="18">
        <v>35</v>
      </c>
      <c r="E67" s="19">
        <f t="shared" ca="1" si="0"/>
        <v>35</v>
      </c>
      <c r="F67" s="19">
        <f t="shared" ca="1" si="0"/>
        <v>35</v>
      </c>
      <c r="G67" s="19">
        <f t="shared" ca="1" si="0"/>
        <v>35</v>
      </c>
      <c r="H67" s="19">
        <f t="shared" ca="1" si="0"/>
        <v>35</v>
      </c>
      <c r="I67" s="19">
        <f t="shared" ca="1" si="0"/>
        <v>35</v>
      </c>
      <c r="J67" s="19">
        <f t="shared" ca="1" si="0"/>
        <v>35</v>
      </c>
      <c r="K67" s="19">
        <f t="shared" ca="1" si="0"/>
        <v>33</v>
      </c>
      <c r="L67" s="19">
        <f t="shared" ca="1" si="0"/>
        <v>29</v>
      </c>
      <c r="M67" s="19">
        <f t="shared" ca="1" si="0"/>
        <v>25</v>
      </c>
      <c r="N67" s="19">
        <f t="shared" ca="1" si="0"/>
        <v>22</v>
      </c>
      <c r="O67" s="19">
        <f t="shared" ca="1" si="0"/>
        <v>20</v>
      </c>
      <c r="P67" s="17"/>
      <c r="Q67" s="5"/>
    </row>
    <row r="68" spans="1:17" x14ac:dyDescent="0.3">
      <c r="A68" s="14"/>
      <c r="B68" s="14" t="str">
        <f>Fill_Value(quality!B68)</f>
        <v/>
      </c>
      <c r="C68" s="14" t="str">
        <f>Fill_Value(quality!C68)</f>
        <v>speed_wall_x</v>
      </c>
      <c r="D68" s="15">
        <v>45</v>
      </c>
      <c r="E68" s="16">
        <f t="shared" ca="1" si="0"/>
        <v>45</v>
      </c>
      <c r="F68" s="16">
        <f t="shared" ca="1" si="0"/>
        <v>45</v>
      </c>
      <c r="G68" s="16">
        <f t="shared" ca="1" si="0"/>
        <v>45</v>
      </c>
      <c r="H68" s="16">
        <f t="shared" ca="1" si="0"/>
        <v>45</v>
      </c>
      <c r="I68" s="16">
        <f t="shared" ca="1" si="0"/>
        <v>45</v>
      </c>
      <c r="J68" s="16">
        <f t="shared" ca="1" si="0"/>
        <v>40</v>
      </c>
      <c r="K68" s="16">
        <f t="shared" ca="1" si="0"/>
        <v>33</v>
      </c>
      <c r="L68" s="16">
        <f t="shared" ca="1" si="0"/>
        <v>29</v>
      </c>
      <c r="M68" s="16">
        <f t="shared" ca="1" si="0"/>
        <v>25</v>
      </c>
      <c r="N68" s="16">
        <f t="shared" ca="1" si="0"/>
        <v>22</v>
      </c>
      <c r="O68" s="16">
        <f t="shared" ca="1" si="0"/>
        <v>20</v>
      </c>
      <c r="P68" s="14"/>
      <c r="Q68" s="4"/>
    </row>
    <row r="69" spans="1:17" x14ac:dyDescent="0.3">
      <c r="A69" s="17"/>
      <c r="B69" s="17" t="str">
        <f>Fill_Value(quality!B69)</f>
        <v/>
      </c>
      <c r="C69" s="17" t="str">
        <f>Fill_Value(quality!C69)</f>
        <v>speed_topbottom</v>
      </c>
      <c r="D69" s="18">
        <v>35</v>
      </c>
      <c r="E69" s="19">
        <f t="shared" ca="1" si="0"/>
        <v>35</v>
      </c>
      <c r="F69" s="19">
        <f t="shared" ca="1" si="0"/>
        <v>35</v>
      </c>
      <c r="G69" s="19">
        <f t="shared" ca="1" si="0"/>
        <v>35</v>
      </c>
      <c r="H69" s="19">
        <f t="shared" ca="1" si="0"/>
        <v>35</v>
      </c>
      <c r="I69" s="19">
        <f t="shared" ca="1" si="0"/>
        <v>35</v>
      </c>
      <c r="J69" s="19">
        <f t="shared" ca="1" si="0"/>
        <v>35</v>
      </c>
      <c r="K69" s="19">
        <f t="shared" ca="1" si="0"/>
        <v>33</v>
      </c>
      <c r="L69" s="19">
        <f t="shared" ca="1" si="0"/>
        <v>29</v>
      </c>
      <c r="M69" s="19">
        <f t="shared" ca="1" si="0"/>
        <v>25</v>
      </c>
      <c r="N69" s="19">
        <f t="shared" ca="1" si="0"/>
        <v>22</v>
      </c>
      <c r="O69" s="19">
        <f t="shared" ca="1" si="0"/>
        <v>20</v>
      </c>
      <c r="P69" s="23"/>
      <c r="Q69" s="5"/>
    </row>
    <row r="70" spans="1:17" x14ac:dyDescent="0.3">
      <c r="A70" s="14"/>
      <c r="B70" s="14" t="str">
        <f>Fill_Value(quality!B70)</f>
        <v/>
      </c>
      <c r="C70" s="14" t="str">
        <f>Fill_Value(quality!C70)</f>
        <v>speed_support</v>
      </c>
      <c r="D70" s="15">
        <v>45</v>
      </c>
      <c r="E70" s="16">
        <f t="shared" ca="1" si="0"/>
        <v>45</v>
      </c>
      <c r="F70" s="16">
        <f t="shared" ca="1" si="0"/>
        <v>45</v>
      </c>
      <c r="G70" s="16">
        <f t="shared" ca="1" si="0"/>
        <v>45</v>
      </c>
      <c r="H70" s="16">
        <f t="shared" ca="1" si="0"/>
        <v>45</v>
      </c>
      <c r="I70" s="16">
        <f t="shared" ca="1" si="0"/>
        <v>45</v>
      </c>
      <c r="J70" s="16">
        <f t="shared" ca="1" si="0"/>
        <v>40</v>
      </c>
      <c r="K70" s="16">
        <f t="shared" ca="1" si="0"/>
        <v>33</v>
      </c>
      <c r="L70" s="16">
        <f t="shared" ca="1" si="0"/>
        <v>29</v>
      </c>
      <c r="M70" s="16">
        <f t="shared" ca="1" si="0"/>
        <v>25</v>
      </c>
      <c r="N70" s="16">
        <f t="shared" ca="1" si="0"/>
        <v>22</v>
      </c>
      <c r="O70" s="16">
        <f t="shared" ca="1" si="0"/>
        <v>20</v>
      </c>
      <c r="P70" s="14"/>
      <c r="Q70" s="4"/>
    </row>
    <row r="71" spans="1:17" x14ac:dyDescent="0.3">
      <c r="A71" s="17"/>
      <c r="B71" s="17" t="str">
        <f>Fill_Value(quality!B71)</f>
        <v/>
      </c>
      <c r="C71" s="17" t="str">
        <f>Fill_Value(quality!C71)</f>
        <v>speed_travel</v>
      </c>
      <c r="D71" s="18"/>
      <c r="E71" s="19"/>
      <c r="F71" s="19"/>
      <c r="G71" s="19"/>
      <c r="H71" s="19"/>
      <c r="I71" s="19"/>
      <c r="J71" s="19"/>
      <c r="K71" s="19"/>
      <c r="L71" s="19"/>
      <c r="M71" s="19"/>
      <c r="N71" s="19"/>
      <c r="O71" s="19"/>
      <c r="P71" s="17"/>
      <c r="Q71" s="5"/>
    </row>
    <row r="72" spans="1:17" x14ac:dyDescent="0.3">
      <c r="A72" s="14"/>
      <c r="B72" s="14" t="str">
        <f>Fill_Value(quality!B72)</f>
        <v/>
      </c>
      <c r="C72" s="14" t="str">
        <f>Fill_Value(quality!C72)</f>
        <v>speed_layer_0</v>
      </c>
      <c r="D72" s="15"/>
      <c r="E72" s="16"/>
      <c r="F72" s="16"/>
      <c r="G72" s="16"/>
      <c r="H72" s="16"/>
      <c r="I72" s="16"/>
      <c r="J72" s="16"/>
      <c r="K72" s="16"/>
      <c r="L72" s="16"/>
      <c r="M72" s="16"/>
      <c r="N72" s="16"/>
      <c r="O72" s="16"/>
      <c r="P72" s="14"/>
      <c r="Q72" s="4"/>
    </row>
    <row r="73" spans="1:17" x14ac:dyDescent="0.3">
      <c r="A73" s="17"/>
      <c r="B73" s="17" t="str">
        <f>Fill_Value(quality!B73)</f>
        <v/>
      </c>
      <c r="C73" s="17" t="str">
        <f>Fill_Value(quality!C73)</f>
        <v>speed_print_layer_0</v>
      </c>
      <c r="D73" s="18"/>
      <c r="E73" s="19"/>
      <c r="F73" s="19"/>
      <c r="G73" s="19"/>
      <c r="H73" s="19"/>
      <c r="I73" s="19"/>
      <c r="J73" s="19"/>
      <c r="K73" s="19"/>
      <c r="L73" s="19"/>
      <c r="M73" s="19"/>
      <c r="N73" s="19"/>
      <c r="O73" s="19"/>
      <c r="P73" s="17"/>
      <c r="Q73" s="5"/>
    </row>
    <row r="74" spans="1:17" x14ac:dyDescent="0.3">
      <c r="A74" s="14"/>
      <c r="B74" s="14" t="str">
        <f>Fill_Value(quality!B74)</f>
        <v/>
      </c>
      <c r="C74" s="14" t="str">
        <f>Fill_Value(quality!C74)</f>
        <v>speed_travel_layer_0</v>
      </c>
      <c r="D74" s="15"/>
      <c r="E74" s="16"/>
      <c r="F74" s="16"/>
      <c r="G74" s="16"/>
      <c r="H74" s="16"/>
      <c r="I74" s="16"/>
      <c r="J74" s="16"/>
      <c r="K74" s="16"/>
      <c r="L74" s="16"/>
      <c r="M74" s="16"/>
      <c r="N74" s="16"/>
      <c r="O74" s="16"/>
      <c r="P74" s="14"/>
      <c r="Q74" s="4"/>
    </row>
    <row r="75" spans="1:17" x14ac:dyDescent="0.3">
      <c r="A75" s="17"/>
      <c r="B75" s="17" t="str">
        <f>Fill_Value(quality!B75)</f>
        <v/>
      </c>
      <c r="C75" s="17" t="str">
        <f>Fill_Value(quality!C75)</f>
        <v>speed_slowdown_layers</v>
      </c>
      <c r="D75" s="18"/>
      <c r="E75" s="19"/>
      <c r="F75" s="19"/>
      <c r="G75" s="19"/>
      <c r="H75" s="19"/>
      <c r="I75" s="19"/>
      <c r="J75" s="19"/>
      <c r="K75" s="19"/>
      <c r="L75" s="19"/>
      <c r="M75" s="19"/>
      <c r="N75" s="19"/>
      <c r="O75" s="19"/>
      <c r="P75" s="17"/>
      <c r="Q75" s="5"/>
    </row>
    <row r="76" spans="1:17" x14ac:dyDescent="0.3">
      <c r="A76" s="14"/>
      <c r="B76" s="14" t="str">
        <f>Fill_Value(quality!B76)</f>
        <v/>
      </c>
      <c r="C76" s="14" t="str">
        <f>Fill_Value(quality!C76)</f>
        <v>speed_equalize_flow_enabled</v>
      </c>
      <c r="D76" s="15"/>
      <c r="E76" s="16"/>
      <c r="F76" s="16"/>
      <c r="G76" s="16"/>
      <c r="H76" s="16"/>
      <c r="I76" s="16"/>
      <c r="J76" s="16"/>
      <c r="K76" s="16"/>
      <c r="L76" s="16"/>
      <c r="M76" s="16"/>
      <c r="N76" s="16"/>
      <c r="O76" s="16"/>
      <c r="P76" s="14"/>
      <c r="Q76" s="4"/>
    </row>
    <row r="77" spans="1:17" x14ac:dyDescent="0.3">
      <c r="A77" s="17"/>
      <c r="B77" s="17" t="str">
        <f>Fill_Value(quality!B77)</f>
        <v/>
      </c>
      <c r="C77" s="17" t="str">
        <f>Fill_Value(quality!C77)</f>
        <v>acceleration_enabled</v>
      </c>
      <c r="D77" s="18"/>
      <c r="E77" s="19"/>
      <c r="F77" s="19"/>
      <c r="G77" s="19"/>
      <c r="H77" s="19"/>
      <c r="I77" s="19"/>
      <c r="J77" s="19"/>
      <c r="K77" s="19"/>
      <c r="L77" s="19"/>
      <c r="M77" s="19"/>
      <c r="N77" s="19"/>
      <c r="O77" s="19"/>
      <c r="P77" s="17"/>
      <c r="Q77" s="5"/>
    </row>
    <row r="78" spans="1:17" x14ac:dyDescent="0.3">
      <c r="A78" s="14"/>
      <c r="B78" s="14" t="str">
        <f>Fill_Value(quality!B78)</f>
        <v/>
      </c>
      <c r="C78" s="14" t="str">
        <f>Fill_Value(quality!C78)</f>
        <v>acceleration_print</v>
      </c>
      <c r="D78" s="15"/>
      <c r="E78" s="16"/>
      <c r="F78" s="16"/>
      <c r="G78" s="16"/>
      <c r="H78" s="16"/>
      <c r="I78" s="16"/>
      <c r="J78" s="16"/>
      <c r="K78" s="16"/>
      <c r="L78" s="16"/>
      <c r="M78" s="16"/>
      <c r="N78" s="16"/>
      <c r="O78" s="16"/>
      <c r="P78" s="14"/>
      <c r="Q78" s="4"/>
    </row>
    <row r="79" spans="1:17" x14ac:dyDescent="0.3">
      <c r="A79" s="17"/>
      <c r="B79" s="17" t="str">
        <f>Fill_Value(quality!B79)</f>
        <v/>
      </c>
      <c r="C79" s="17" t="str">
        <f>Fill_Value(quality!C79)</f>
        <v>acceleration_travel</v>
      </c>
      <c r="D79" s="18"/>
      <c r="E79" s="19"/>
      <c r="F79" s="19"/>
      <c r="G79" s="19"/>
      <c r="H79" s="19"/>
      <c r="I79" s="19"/>
      <c r="J79" s="19"/>
      <c r="K79" s="19"/>
      <c r="L79" s="19"/>
      <c r="M79" s="19"/>
      <c r="N79" s="19"/>
      <c r="O79" s="19"/>
      <c r="P79" s="17"/>
      <c r="Q79" s="5"/>
    </row>
    <row r="80" spans="1:17" x14ac:dyDescent="0.3">
      <c r="A80" s="14"/>
      <c r="B80" s="14" t="str">
        <f>Fill_Value(quality!B80)</f>
        <v/>
      </c>
      <c r="C80" s="14" t="str">
        <f>Fill_Value(quality!C80)</f>
        <v>acceleration_layer_0</v>
      </c>
      <c r="D80" s="15"/>
      <c r="E80" s="16"/>
      <c r="F80" s="16"/>
      <c r="G80" s="16"/>
      <c r="H80" s="16"/>
      <c r="I80" s="16"/>
      <c r="J80" s="16"/>
      <c r="K80" s="16"/>
      <c r="L80" s="16"/>
      <c r="M80" s="16"/>
      <c r="N80" s="16"/>
      <c r="O80" s="16"/>
      <c r="P80" s="14"/>
      <c r="Q80" s="4"/>
    </row>
    <row r="81" spans="1:17" x14ac:dyDescent="0.3">
      <c r="A81" s="17"/>
      <c r="B81" s="17" t="str">
        <f>Fill_Value(quality!B81)</f>
        <v/>
      </c>
      <c r="C81" s="17" t="str">
        <f>Fill_Value(quality!C81)</f>
        <v>jerk_enabled</v>
      </c>
      <c r="D81" s="18"/>
      <c r="E81" s="19"/>
      <c r="F81" s="19"/>
      <c r="G81" s="19"/>
      <c r="H81" s="19"/>
      <c r="I81" s="19"/>
      <c r="J81" s="19"/>
      <c r="K81" s="19"/>
      <c r="L81" s="19"/>
      <c r="M81" s="19"/>
      <c r="N81" s="19"/>
      <c r="O81" s="19"/>
      <c r="P81" s="17"/>
      <c r="Q81" s="5"/>
    </row>
    <row r="82" spans="1:17" x14ac:dyDescent="0.3">
      <c r="A82" s="14"/>
      <c r="B82" s="14" t="str">
        <f>Fill_Value(quality!B82)</f>
        <v/>
      </c>
      <c r="C82" s="14" t="str">
        <f>Fill_Value(quality!C82)</f>
        <v>jerk_print</v>
      </c>
      <c r="D82" s="15"/>
      <c r="E82" s="16"/>
      <c r="F82" s="16"/>
      <c r="G82" s="16"/>
      <c r="H82" s="16"/>
      <c r="I82" s="16"/>
      <c r="J82" s="16"/>
      <c r="K82" s="16"/>
      <c r="L82" s="16"/>
      <c r="M82" s="16"/>
      <c r="N82" s="16"/>
      <c r="O82" s="16"/>
      <c r="P82" s="14"/>
      <c r="Q82" s="4"/>
    </row>
    <row r="83" spans="1:17" x14ac:dyDescent="0.3">
      <c r="A83" s="17"/>
      <c r="B83" s="17" t="str">
        <f>Fill_Value(quality!B83)</f>
        <v/>
      </c>
      <c r="C83" s="17" t="str">
        <f>Fill_Value(quality!C83)</f>
        <v>jerk_travel</v>
      </c>
      <c r="D83" s="18"/>
      <c r="E83" s="19"/>
      <c r="F83" s="19"/>
      <c r="G83" s="19"/>
      <c r="H83" s="19"/>
      <c r="I83" s="19"/>
      <c r="J83" s="19"/>
      <c r="K83" s="19"/>
      <c r="L83" s="19"/>
      <c r="M83" s="19"/>
      <c r="N83" s="19"/>
      <c r="O83" s="19"/>
      <c r="P83" s="17"/>
      <c r="Q83" s="5"/>
    </row>
    <row r="84" spans="1:17" x14ac:dyDescent="0.3">
      <c r="A84" s="14"/>
      <c r="B84" s="14" t="str">
        <f>Fill_Value(quality!B84)</f>
        <v/>
      </c>
      <c r="C84" s="14" t="str">
        <f>Fill_Value(quality!C84)</f>
        <v>jerk_layer_0</v>
      </c>
      <c r="D84" s="15"/>
      <c r="E84" s="16"/>
      <c r="F84" s="16"/>
      <c r="G84" s="16"/>
      <c r="H84" s="16"/>
      <c r="I84" s="16"/>
      <c r="J84" s="16"/>
      <c r="K84" s="16"/>
      <c r="L84" s="16"/>
      <c r="M84" s="16"/>
      <c r="N84" s="16"/>
      <c r="O84" s="16"/>
      <c r="P84" s="14"/>
      <c r="Q84" s="4"/>
    </row>
    <row r="85" spans="1:17" x14ac:dyDescent="0.3">
      <c r="A85" s="17"/>
      <c r="B85" s="17" t="str">
        <f>Fill_Value(quality!B85)</f>
        <v>Travel</v>
      </c>
      <c r="C85" s="17" t="str">
        <f>Fill_Value(quality!C85)</f>
        <v>retraction_combing</v>
      </c>
      <c r="D85" s="18"/>
      <c r="E85" s="19"/>
      <c r="F85" s="19"/>
      <c r="G85" s="19"/>
      <c r="H85" s="19"/>
      <c r="I85" s="19"/>
      <c r="J85" s="19"/>
      <c r="K85" s="19"/>
      <c r="L85" s="19"/>
      <c r="M85" s="19"/>
      <c r="N85" s="19"/>
      <c r="O85" s="19"/>
      <c r="P85" s="17"/>
      <c r="Q85" s="5"/>
    </row>
    <row r="86" spans="1:17" x14ac:dyDescent="0.3">
      <c r="A86" s="14"/>
      <c r="B86" s="14" t="str">
        <f>Fill_Value(quality!B86)</f>
        <v/>
      </c>
      <c r="C86" s="14" t="str">
        <f>Fill_Value(quality!C86)</f>
        <v>retraction_combing_max_distance</v>
      </c>
      <c r="D86" s="15"/>
      <c r="E86" s="16"/>
      <c r="F86" s="16"/>
      <c r="G86" s="16"/>
      <c r="H86" s="16"/>
      <c r="I86" s="16"/>
      <c r="J86" s="16"/>
      <c r="K86" s="16"/>
      <c r="L86" s="16"/>
      <c r="M86" s="16"/>
      <c r="N86" s="16"/>
      <c r="O86" s="16"/>
      <c r="P86" s="14"/>
      <c r="Q86" s="4"/>
    </row>
    <row r="87" spans="1:17" x14ac:dyDescent="0.3">
      <c r="A87" s="17"/>
      <c r="B87" s="17" t="str">
        <f>Fill_Value(quality!B87)</f>
        <v/>
      </c>
      <c r="C87" s="17" t="str">
        <f>Fill_Value(quality!C87)</f>
        <v>travel_retract_before_outer_wall</v>
      </c>
      <c r="D87" s="18"/>
      <c r="E87" s="19"/>
      <c r="F87" s="19"/>
      <c r="G87" s="19"/>
      <c r="H87" s="19"/>
      <c r="I87" s="19"/>
      <c r="J87" s="19"/>
      <c r="K87" s="19"/>
      <c r="L87" s="19"/>
      <c r="M87" s="19"/>
      <c r="N87" s="19"/>
      <c r="O87" s="19"/>
      <c r="P87" s="17"/>
      <c r="Q87" s="5"/>
    </row>
    <row r="88" spans="1:17" x14ac:dyDescent="0.3">
      <c r="A88" s="14"/>
      <c r="B88" s="14" t="str">
        <f>Fill_Value(quality!B88)</f>
        <v/>
      </c>
      <c r="C88" s="14" t="str">
        <f>Fill_Value(quality!C88)</f>
        <v>travel_avoid_other_parts</v>
      </c>
      <c r="D88" s="15"/>
      <c r="E88" s="16"/>
      <c r="F88" s="16"/>
      <c r="G88" s="16"/>
      <c r="H88" s="16"/>
      <c r="I88" s="16"/>
      <c r="J88" s="16"/>
      <c r="K88" s="16"/>
      <c r="L88" s="16"/>
      <c r="M88" s="16"/>
      <c r="N88" s="16"/>
      <c r="O88" s="16"/>
      <c r="P88" s="14"/>
      <c r="Q88" s="4"/>
    </row>
    <row r="89" spans="1:17" x14ac:dyDescent="0.3">
      <c r="A89" s="17"/>
      <c r="B89" s="17" t="str">
        <f>Fill_Value(quality!B89)</f>
        <v/>
      </c>
      <c r="C89" s="17" t="str">
        <f>Fill_Value(quality!C89)</f>
        <v>travel_avoid_supports</v>
      </c>
      <c r="D89" s="18"/>
      <c r="E89" s="19"/>
      <c r="F89" s="19"/>
      <c r="G89" s="19"/>
      <c r="H89" s="19"/>
      <c r="I89" s="19"/>
      <c r="J89" s="19"/>
      <c r="K89" s="19"/>
      <c r="L89" s="19"/>
      <c r="M89" s="19"/>
      <c r="N89" s="19"/>
      <c r="O89" s="19"/>
      <c r="P89" s="17"/>
      <c r="Q89" s="5"/>
    </row>
    <row r="90" spans="1:17" x14ac:dyDescent="0.3">
      <c r="A90" s="14"/>
      <c r="B90" s="14" t="str">
        <f>Fill_Value(quality!B90)</f>
        <v/>
      </c>
      <c r="C90" s="14" t="str">
        <f>Fill_Value(quality!C90)</f>
        <v>start_layers_at_same_position</v>
      </c>
      <c r="D90" s="15"/>
      <c r="E90" s="16"/>
      <c r="F90" s="16"/>
      <c r="G90" s="16"/>
      <c r="H90" s="16"/>
      <c r="I90" s="16"/>
      <c r="J90" s="16"/>
      <c r="K90" s="16"/>
      <c r="L90" s="16"/>
      <c r="M90" s="16"/>
      <c r="N90" s="16"/>
      <c r="O90" s="16"/>
      <c r="P90" s="14"/>
      <c r="Q90" s="4"/>
    </row>
    <row r="91" spans="1:17" x14ac:dyDescent="0.3">
      <c r="A91" s="17"/>
      <c r="B91" s="17" t="str">
        <f>Fill_Value(quality!B91)</f>
        <v/>
      </c>
      <c r="C91" s="17" t="str">
        <f>Fill_Value(quality!C91)</f>
        <v>retraction_hop_enabled</v>
      </c>
      <c r="D91" s="18" t="str">
        <f>"True"</f>
        <v>True</v>
      </c>
      <c r="E91" s="19"/>
      <c r="F91" s="19"/>
      <c r="G91" s="19"/>
      <c r="H91" s="19"/>
      <c r="I91" s="19"/>
      <c r="J91" s="19"/>
      <c r="K91" s="19"/>
      <c r="L91" s="19"/>
      <c r="M91" s="19"/>
      <c r="N91" s="19"/>
      <c r="O91" s="19"/>
      <c r="P91" s="17"/>
      <c r="Q91" s="5"/>
    </row>
    <row r="92" spans="1:17" x14ac:dyDescent="0.3">
      <c r="A92" s="14"/>
      <c r="B92" s="14" t="str">
        <f>Fill_Value(quality!B92)</f>
        <v/>
      </c>
      <c r="C92" s="14" t="str">
        <f>Fill_Value(quality!C92)</f>
        <v>retraction_hop_only_when_collides</v>
      </c>
      <c r="D92" s="15" t="str">
        <f>"False"</f>
        <v>False</v>
      </c>
      <c r="E92" s="16"/>
      <c r="F92" s="16"/>
      <c r="G92" s="16"/>
      <c r="H92" s="16"/>
      <c r="I92" s="16"/>
      <c r="J92" s="16"/>
      <c r="K92" s="16"/>
      <c r="L92" s="16"/>
      <c r="M92" s="16"/>
      <c r="N92" s="16"/>
      <c r="O92" s="16"/>
      <c r="P92" s="14"/>
      <c r="Q92" s="4"/>
    </row>
    <row r="93" spans="1:17" x14ac:dyDescent="0.3">
      <c r="A93" s="17"/>
      <c r="B93" s="17" t="str">
        <f>Fill_Value(quality!B93)</f>
        <v/>
      </c>
      <c r="C93" s="17" t="str">
        <f>Fill_Value(quality!C93)</f>
        <v>retraction_hop</v>
      </c>
      <c r="D93" s="18">
        <v>0.4</v>
      </c>
      <c r="E93" s="19"/>
      <c r="F93" s="19"/>
      <c r="G93" s="19"/>
      <c r="H93" s="19"/>
      <c r="I93" s="19"/>
      <c r="J93" s="19"/>
      <c r="K93" s="19"/>
      <c r="L93" s="19"/>
      <c r="M93" s="19"/>
      <c r="N93" s="19"/>
      <c r="O93" s="19"/>
      <c r="P93" s="17"/>
      <c r="Q93" s="5"/>
    </row>
    <row r="94" spans="1:17" x14ac:dyDescent="0.3">
      <c r="A94" s="14"/>
      <c r="B94" s="14" t="str">
        <f>Fill_Value(quality!B94)</f>
        <v>Cooling</v>
      </c>
      <c r="C94" s="14" t="str">
        <f>Fill_Value(quality!C94)</f>
        <v>cool_fan_enabled</v>
      </c>
      <c r="D94" s="15" t="str">
        <f>"True"</f>
        <v>True</v>
      </c>
      <c r="E94" s="16"/>
      <c r="F94" s="16"/>
      <c r="G94" s="16"/>
      <c r="H94" s="16"/>
      <c r="I94" s="16"/>
      <c r="J94" s="16"/>
      <c r="K94" s="16"/>
      <c r="L94" s="16"/>
      <c r="M94" s="16"/>
      <c r="N94" s="16"/>
      <c r="O94" s="16"/>
      <c r="P94" s="14"/>
      <c r="Q94" s="4"/>
    </row>
    <row r="95" spans="1:17" x14ac:dyDescent="0.3">
      <c r="A95" s="17"/>
      <c r="B95" s="17" t="str">
        <f>Fill_Value(quality!B95)</f>
        <v/>
      </c>
      <c r="C95" s="17" t="str">
        <f>Fill_Value(quality!C95)</f>
        <v>cool_fan_speed</v>
      </c>
      <c r="D95" s="18">
        <v>100</v>
      </c>
      <c r="E95" s="19"/>
      <c r="F95" s="19"/>
      <c r="G95" s="19"/>
      <c r="H95" s="19"/>
      <c r="I95" s="19"/>
      <c r="J95" s="19"/>
      <c r="K95" s="19"/>
      <c r="L95" s="19"/>
      <c r="M95" s="19"/>
      <c r="N95" s="19"/>
      <c r="O95" s="19"/>
      <c r="P95" s="17"/>
      <c r="Q95" s="5"/>
    </row>
    <row r="96" spans="1:17" x14ac:dyDescent="0.3">
      <c r="A96" s="14"/>
      <c r="B96" s="14" t="str">
        <f>Fill_Value(quality!B96)</f>
        <v/>
      </c>
      <c r="C96" s="14" t="str">
        <f>Fill_Value(quality!C96)</f>
        <v>cool_fan_speed_min</v>
      </c>
      <c r="D96" s="15">
        <v>100</v>
      </c>
      <c r="E96" s="16"/>
      <c r="F96" s="16"/>
      <c r="G96" s="16"/>
      <c r="H96" s="16"/>
      <c r="I96" s="16"/>
      <c r="J96" s="16"/>
      <c r="K96" s="16"/>
      <c r="L96" s="16"/>
      <c r="M96" s="16"/>
      <c r="N96" s="16"/>
      <c r="O96" s="16"/>
      <c r="P96" s="14"/>
      <c r="Q96" s="4"/>
    </row>
    <row r="97" spans="1:17" x14ac:dyDescent="0.3">
      <c r="A97" s="17"/>
      <c r="B97" s="17" t="str">
        <f>Fill_Value(quality!B97)</f>
        <v/>
      </c>
      <c r="C97" s="17" t="str">
        <f>Fill_Value(quality!C97)</f>
        <v>cool_fan_speed_max</v>
      </c>
      <c r="D97" s="18"/>
      <c r="E97" s="19"/>
      <c r="F97" s="19"/>
      <c r="G97" s="19"/>
      <c r="H97" s="19"/>
      <c r="I97" s="19"/>
      <c r="J97" s="19"/>
      <c r="K97" s="19"/>
      <c r="L97" s="19"/>
      <c r="M97" s="19"/>
      <c r="N97" s="19"/>
      <c r="O97" s="19"/>
      <c r="P97" s="17"/>
      <c r="Q97" s="5"/>
    </row>
    <row r="98" spans="1:17" x14ac:dyDescent="0.3">
      <c r="A98" s="14"/>
      <c r="B98" s="14" t="str">
        <f>Fill_Value(quality!B98)</f>
        <v/>
      </c>
      <c r="C98" s="14" t="str">
        <f>Fill_Value(quality!C98)</f>
        <v>cool_min_layer_time_fan_speed_max</v>
      </c>
      <c r="D98" s="15"/>
      <c r="E98" s="16"/>
      <c r="F98" s="16"/>
      <c r="G98" s="16"/>
      <c r="H98" s="16"/>
      <c r="I98" s="16"/>
      <c r="J98" s="16"/>
      <c r="K98" s="16"/>
      <c r="L98" s="16"/>
      <c r="M98" s="16"/>
      <c r="N98" s="16"/>
      <c r="O98" s="16"/>
      <c r="P98" s="14"/>
      <c r="Q98" s="4"/>
    </row>
    <row r="99" spans="1:17" x14ac:dyDescent="0.3">
      <c r="A99" s="17"/>
      <c r="B99" s="17" t="str">
        <f>Fill_Value(quality!B99)</f>
        <v/>
      </c>
      <c r="C99" s="17" t="str">
        <f>Fill_Value(quality!C99)</f>
        <v>cool_fan_speed_0</v>
      </c>
      <c r="D99" s="18"/>
      <c r="E99" s="19"/>
      <c r="F99" s="19"/>
      <c r="G99" s="19"/>
      <c r="H99" s="19"/>
      <c r="I99" s="19"/>
      <c r="J99" s="19"/>
      <c r="K99" s="19"/>
      <c r="L99" s="19"/>
      <c r="M99" s="19"/>
      <c r="N99" s="19"/>
      <c r="O99" s="19"/>
      <c r="P99" s="17"/>
      <c r="Q99" s="5"/>
    </row>
    <row r="100" spans="1:17" x14ac:dyDescent="0.3">
      <c r="A100" s="14"/>
      <c r="B100" s="14" t="str">
        <f>Fill_Value(quality!B100)</f>
        <v/>
      </c>
      <c r="C100" s="14" t="str">
        <f>Fill_Value(quality!C100)</f>
        <v>cool_fan_full_at_height</v>
      </c>
      <c r="D100" s="15"/>
      <c r="E100" s="16"/>
      <c r="F100" s="16"/>
      <c r="G100" s="16"/>
      <c r="H100" s="16"/>
      <c r="I100" s="16"/>
      <c r="J100" s="16"/>
      <c r="K100" s="16"/>
      <c r="L100" s="16"/>
      <c r="M100" s="16"/>
      <c r="N100" s="16"/>
      <c r="O100" s="16"/>
      <c r="P100" s="14"/>
      <c r="Q100" s="4"/>
    </row>
    <row r="101" spans="1:17" x14ac:dyDescent="0.3">
      <c r="A101" s="17"/>
      <c r="B101" s="17" t="str">
        <f>Fill_Value(quality!B101)</f>
        <v/>
      </c>
      <c r="C101" s="17" t="str">
        <f>Fill_Value(quality!C101)</f>
        <v>cool_fan_full_layer</v>
      </c>
      <c r="D101" s="18">
        <v>2</v>
      </c>
      <c r="E101" s="19"/>
      <c r="F101" s="19"/>
      <c r="G101" s="19"/>
      <c r="H101" s="19"/>
      <c r="I101" s="19"/>
      <c r="J101" s="19"/>
      <c r="K101" s="19"/>
      <c r="L101" s="19"/>
      <c r="M101" s="19"/>
      <c r="N101" s="19"/>
      <c r="O101" s="19"/>
      <c r="P101" s="17"/>
      <c r="Q101" s="5"/>
    </row>
    <row r="102" spans="1:17" x14ac:dyDescent="0.3">
      <c r="A102" s="14"/>
      <c r="B102" s="14" t="str">
        <f>Fill_Value(quality!B102)</f>
        <v/>
      </c>
      <c r="C102" s="14" t="str">
        <f>Fill_Value(quality!C102)</f>
        <v>cool_min_layer_time</v>
      </c>
      <c r="D102" s="15"/>
      <c r="E102" s="16"/>
      <c r="F102" s="16"/>
      <c r="G102" s="16"/>
      <c r="H102" s="16"/>
      <c r="I102" s="16"/>
      <c r="J102" s="16"/>
      <c r="K102" s="16"/>
      <c r="L102" s="16"/>
      <c r="M102" s="16"/>
      <c r="N102" s="16"/>
      <c r="O102" s="16"/>
      <c r="P102" s="14"/>
      <c r="Q102" s="4"/>
    </row>
    <row r="103" spans="1:17" x14ac:dyDescent="0.3">
      <c r="A103" s="17"/>
      <c r="B103" s="17" t="str">
        <f>Fill_Value(quality!B103)</f>
        <v/>
      </c>
      <c r="C103" s="17" t="str">
        <f>Fill_Value(quality!C103)</f>
        <v>cool_min_speed</v>
      </c>
      <c r="D103" s="18"/>
      <c r="E103" s="19"/>
      <c r="F103" s="19"/>
      <c r="G103" s="19"/>
      <c r="H103" s="19"/>
      <c r="I103" s="19"/>
      <c r="J103" s="19"/>
      <c r="K103" s="19"/>
      <c r="L103" s="19"/>
      <c r="M103" s="19"/>
      <c r="N103" s="19"/>
      <c r="O103" s="19"/>
      <c r="P103" s="17"/>
      <c r="Q103" s="5"/>
    </row>
    <row r="104" spans="1:17" x14ac:dyDescent="0.3">
      <c r="A104" s="14"/>
      <c r="B104" s="14" t="str">
        <f>Fill_Value(quality!B104)</f>
        <v/>
      </c>
      <c r="C104" s="14" t="str">
        <f>Fill_Value(quality!C104)</f>
        <v>cool_lift_head</v>
      </c>
      <c r="D104" s="15"/>
      <c r="E104" s="16"/>
      <c r="F104" s="16"/>
      <c r="G104" s="16"/>
      <c r="H104" s="16"/>
      <c r="I104" s="16"/>
      <c r="J104" s="16"/>
      <c r="K104" s="16"/>
      <c r="L104" s="16"/>
      <c r="M104" s="16"/>
      <c r="N104" s="16"/>
      <c r="O104" s="16"/>
      <c r="P104" s="14"/>
      <c r="Q104" s="4"/>
    </row>
    <row r="105" spans="1:17" x14ac:dyDescent="0.3">
      <c r="A105" s="17"/>
      <c r="B105" s="17" t="str">
        <f>Fill_Value(quality!B105)</f>
        <v>Support</v>
      </c>
      <c r="C105" s="17" t="str">
        <f>Fill_Value(quality!C105)</f>
        <v>support_enable</v>
      </c>
      <c r="D105" s="18"/>
      <c r="E105" s="19"/>
      <c r="F105" s="19"/>
      <c r="G105" s="19"/>
      <c r="H105" s="19"/>
      <c r="I105" s="19"/>
      <c r="J105" s="19"/>
      <c r="K105" s="19"/>
      <c r="L105" s="19"/>
      <c r="M105" s="19"/>
      <c r="N105" s="19"/>
      <c r="O105" s="19"/>
      <c r="P105" s="17"/>
      <c r="Q105" s="5"/>
    </row>
    <row r="106" spans="1:17" x14ac:dyDescent="0.3">
      <c r="A106" s="14"/>
      <c r="B106" s="14" t="str">
        <f>Fill_Value(quality!B106)</f>
        <v/>
      </c>
      <c r="C106" s="14" t="str">
        <f>Fill_Value(quality!C106)</f>
        <v>support_type</v>
      </c>
      <c r="D106" s="15"/>
      <c r="E106" s="16"/>
      <c r="F106" s="16"/>
      <c r="G106" s="16"/>
      <c r="H106" s="16"/>
      <c r="I106" s="16"/>
      <c r="J106" s="16"/>
      <c r="K106" s="16"/>
      <c r="L106" s="16"/>
      <c r="M106" s="16"/>
      <c r="N106" s="16"/>
      <c r="O106" s="16"/>
      <c r="P106" s="14"/>
      <c r="Q106" s="4"/>
    </row>
    <row r="107" spans="1:17" x14ac:dyDescent="0.3">
      <c r="A107" s="17"/>
      <c r="B107" s="17" t="str">
        <f>Fill_Value(quality!B107)</f>
        <v/>
      </c>
      <c r="C107" s="17" t="str">
        <f>Fill_Value(quality!C107)</f>
        <v>support_angle</v>
      </c>
      <c r="D107" s="18"/>
      <c r="E107" s="19"/>
      <c r="F107" s="19"/>
      <c r="G107" s="19"/>
      <c r="H107" s="19"/>
      <c r="I107" s="19"/>
      <c r="J107" s="19"/>
      <c r="K107" s="19"/>
      <c r="L107" s="19"/>
      <c r="M107" s="19"/>
      <c r="N107" s="19"/>
      <c r="O107" s="19"/>
      <c r="P107" s="17"/>
      <c r="Q107" s="5"/>
    </row>
    <row r="108" spans="1:17" x14ac:dyDescent="0.3">
      <c r="A108" s="14"/>
      <c r="B108" s="14" t="str">
        <f>Fill_Value(quality!B108)</f>
        <v/>
      </c>
      <c r="C108" s="14" t="str">
        <f>Fill_Value(quality!C108)</f>
        <v>support_wall_count</v>
      </c>
      <c r="D108" s="15"/>
      <c r="E108" s="16"/>
      <c r="F108" s="16"/>
      <c r="G108" s="16"/>
      <c r="H108" s="16"/>
      <c r="I108" s="16"/>
      <c r="J108" s="16"/>
      <c r="K108" s="16"/>
      <c r="L108" s="16"/>
      <c r="M108" s="16"/>
      <c r="N108" s="16"/>
      <c r="O108" s="16"/>
      <c r="P108" s="14"/>
      <c r="Q108" s="4"/>
    </row>
    <row r="109" spans="1:17" x14ac:dyDescent="0.3">
      <c r="A109" s="17"/>
      <c r="B109" s="17" t="str">
        <f>Fill_Value(quality!B109)</f>
        <v/>
      </c>
      <c r="C109" s="17" t="str">
        <f>Fill_Value(quality!C109)</f>
        <v>zig_zaggify_support</v>
      </c>
      <c r="D109" s="18"/>
      <c r="E109" s="19"/>
      <c r="F109" s="19"/>
      <c r="G109" s="19"/>
      <c r="H109" s="19"/>
      <c r="I109" s="19"/>
      <c r="J109" s="19"/>
      <c r="K109" s="19"/>
      <c r="L109" s="19"/>
      <c r="M109" s="19"/>
      <c r="N109" s="19"/>
      <c r="O109" s="19"/>
      <c r="P109" s="17"/>
      <c r="Q109" s="5"/>
    </row>
    <row r="110" spans="1:17" x14ac:dyDescent="0.3">
      <c r="A110" s="14"/>
      <c r="B110" s="14" t="str">
        <f>Fill_Value(quality!B110)</f>
        <v/>
      </c>
      <c r="C110" s="14" t="str">
        <f>Fill_Value(quality!C110)</f>
        <v>support_connect_zigzags</v>
      </c>
      <c r="D110" s="15"/>
      <c r="E110" s="16"/>
      <c r="F110" s="16"/>
      <c r="G110" s="16"/>
      <c r="H110" s="16"/>
      <c r="I110" s="16"/>
      <c r="J110" s="16"/>
      <c r="K110" s="16"/>
      <c r="L110" s="16"/>
      <c r="M110" s="16"/>
      <c r="N110" s="16"/>
      <c r="O110" s="16"/>
      <c r="P110" s="14"/>
      <c r="Q110" s="4"/>
    </row>
    <row r="111" spans="1:17" x14ac:dyDescent="0.3">
      <c r="A111" s="17"/>
      <c r="B111" s="17" t="str">
        <f>Fill_Value(quality!B111)</f>
        <v/>
      </c>
      <c r="C111" s="17" t="str">
        <f>Fill_Value(quality!C111)</f>
        <v>support_infill_rate</v>
      </c>
      <c r="D111" s="18"/>
      <c r="E111" s="19"/>
      <c r="F111" s="19"/>
      <c r="G111" s="19"/>
      <c r="H111" s="19"/>
      <c r="I111" s="19"/>
      <c r="J111" s="19"/>
      <c r="K111" s="19"/>
      <c r="L111" s="19"/>
      <c r="M111" s="19"/>
      <c r="N111" s="19"/>
      <c r="O111" s="19"/>
      <c r="P111" s="17"/>
      <c r="Q111" s="5"/>
    </row>
    <row r="112" spans="1:17" x14ac:dyDescent="0.3">
      <c r="A112" s="14"/>
      <c r="B112" s="14" t="str">
        <f>Fill_Value(quality!B112)</f>
        <v/>
      </c>
      <c r="C112" s="14" t="str">
        <f>Fill_Value(quality!C112)</f>
        <v>support_brim_enable</v>
      </c>
      <c r="D112" s="15"/>
      <c r="E112" s="16"/>
      <c r="F112" s="16"/>
      <c r="G112" s="16"/>
      <c r="H112" s="16"/>
      <c r="I112" s="16"/>
      <c r="J112" s="16"/>
      <c r="K112" s="16"/>
      <c r="L112" s="16"/>
      <c r="M112" s="16"/>
      <c r="N112" s="16"/>
      <c r="O112" s="16"/>
      <c r="P112" s="14"/>
      <c r="Q112" s="4"/>
    </row>
    <row r="113" spans="1:17" x14ac:dyDescent="0.3">
      <c r="A113" s="17"/>
      <c r="B113" s="17" t="str">
        <f>Fill_Value(quality!B113)</f>
        <v/>
      </c>
      <c r="C113" s="17" t="str">
        <f>Fill_Value(quality!C113)</f>
        <v>support_brim_width</v>
      </c>
      <c r="D113" s="18"/>
      <c r="E113" s="19"/>
      <c r="F113" s="19"/>
      <c r="G113" s="19"/>
      <c r="H113" s="19"/>
      <c r="I113" s="19"/>
      <c r="J113" s="19"/>
      <c r="K113" s="19"/>
      <c r="L113" s="19"/>
      <c r="M113" s="19"/>
      <c r="N113" s="19"/>
      <c r="O113" s="19"/>
      <c r="P113" s="17"/>
      <c r="Q113" s="5"/>
    </row>
    <row r="114" spans="1:17" x14ac:dyDescent="0.3">
      <c r="A114" s="14"/>
      <c r="B114" s="14" t="str">
        <f>Fill_Value(quality!B114)</f>
        <v/>
      </c>
      <c r="C114" s="14" t="str">
        <f>Fill_Value(quality!C114)</f>
        <v>support_z_distance</v>
      </c>
      <c r="D114" s="15"/>
      <c r="E114" s="16"/>
      <c r="F114" s="16"/>
      <c r="G114" s="16"/>
      <c r="H114" s="16"/>
      <c r="I114" s="16"/>
      <c r="J114" s="16"/>
      <c r="K114" s="16"/>
      <c r="L114" s="16"/>
      <c r="M114" s="16"/>
      <c r="N114" s="16"/>
      <c r="O114" s="16"/>
      <c r="P114" s="14"/>
      <c r="Q114" s="4"/>
    </row>
    <row r="115" spans="1:17" x14ac:dyDescent="0.3">
      <c r="A115" s="17"/>
      <c r="B115" s="17" t="str">
        <f>Fill_Value(quality!B115)</f>
        <v/>
      </c>
      <c r="C115" s="17" t="str">
        <f>Fill_Value(quality!C115)</f>
        <v>support_xy_distance</v>
      </c>
      <c r="D115" s="18"/>
      <c r="E115" s="19"/>
      <c r="F115" s="19"/>
      <c r="G115" s="19"/>
      <c r="H115" s="19"/>
      <c r="I115" s="19"/>
      <c r="J115" s="19"/>
      <c r="K115" s="19"/>
      <c r="L115" s="19"/>
      <c r="M115" s="19"/>
      <c r="N115" s="19"/>
      <c r="O115" s="19"/>
      <c r="P115" s="17"/>
      <c r="Q115" s="5"/>
    </row>
    <row r="116" spans="1:17" x14ac:dyDescent="0.3">
      <c r="A116" s="14"/>
      <c r="B116" s="14" t="str">
        <f>Fill_Value(quality!B116)</f>
        <v/>
      </c>
      <c r="C116" s="14" t="str">
        <f>Fill_Value(quality!C116)</f>
        <v>support_xy_distance_overhang</v>
      </c>
      <c r="D116" s="15"/>
      <c r="E116" s="16"/>
      <c r="F116" s="16"/>
      <c r="G116" s="16"/>
      <c r="H116" s="16"/>
      <c r="I116" s="16"/>
      <c r="J116" s="16"/>
      <c r="K116" s="16"/>
      <c r="L116" s="16"/>
      <c r="M116" s="16"/>
      <c r="N116" s="16"/>
      <c r="O116" s="16"/>
      <c r="P116" s="14"/>
      <c r="Q116" s="4"/>
    </row>
    <row r="117" spans="1:17" x14ac:dyDescent="0.3">
      <c r="A117" s="17"/>
      <c r="B117" s="17" t="str">
        <f>Fill_Value(quality!B117)</f>
        <v/>
      </c>
      <c r="C117" s="17" t="str">
        <f>Fill_Value(quality!C117)</f>
        <v>support_join_distance</v>
      </c>
      <c r="D117" s="18"/>
      <c r="E117" s="19"/>
      <c r="F117" s="19"/>
      <c r="G117" s="19"/>
      <c r="H117" s="19"/>
      <c r="I117" s="19"/>
      <c r="J117" s="19"/>
      <c r="K117" s="19"/>
      <c r="L117" s="19"/>
      <c r="M117" s="19"/>
      <c r="N117" s="19"/>
      <c r="O117" s="19"/>
      <c r="P117" s="17"/>
      <c r="Q117" s="5"/>
    </row>
    <row r="118" spans="1:17" x14ac:dyDescent="0.3">
      <c r="A118" s="14"/>
      <c r="B118" s="14" t="str">
        <f>Fill_Value(quality!B118)</f>
        <v/>
      </c>
      <c r="C118" s="14" t="str">
        <f>Fill_Value(quality!C118)</f>
        <v>support_offset</v>
      </c>
      <c r="D118" s="15"/>
      <c r="E118" s="16"/>
      <c r="F118" s="16"/>
      <c r="G118" s="16"/>
      <c r="H118" s="16"/>
      <c r="I118" s="16"/>
      <c r="J118" s="16"/>
      <c r="K118" s="16"/>
      <c r="L118" s="16"/>
      <c r="M118" s="16"/>
      <c r="N118" s="16"/>
      <c r="O118" s="16"/>
      <c r="P118" s="14"/>
      <c r="Q118" s="4"/>
    </row>
    <row r="119" spans="1:17" x14ac:dyDescent="0.3">
      <c r="A119" s="17"/>
      <c r="B119" s="17" t="str">
        <f>Fill_Value(quality!B119)</f>
        <v/>
      </c>
      <c r="C119" s="17" t="str">
        <f>Fill_Value(quality!C119)</f>
        <v>support_infill_sparse_thickness</v>
      </c>
      <c r="D119" s="18"/>
      <c r="E119" s="19"/>
      <c r="F119" s="19"/>
      <c r="G119" s="19"/>
      <c r="H119" s="19"/>
      <c r="I119" s="19"/>
      <c r="J119" s="19"/>
      <c r="K119" s="19"/>
      <c r="L119" s="19"/>
      <c r="M119" s="19"/>
      <c r="N119" s="19"/>
      <c r="O119" s="19"/>
      <c r="P119" s="17"/>
      <c r="Q119" s="5"/>
    </row>
    <row r="120" spans="1:17" x14ac:dyDescent="0.3">
      <c r="A120" s="14"/>
      <c r="B120" s="14" t="str">
        <f>Fill_Value(quality!B120)</f>
        <v/>
      </c>
      <c r="C120" s="14" t="str">
        <f>Fill_Value(quality!C120)</f>
        <v>minimum_support_area</v>
      </c>
      <c r="D120" s="15"/>
      <c r="E120" s="16"/>
      <c r="F120" s="16"/>
      <c r="G120" s="16"/>
      <c r="H120" s="16"/>
      <c r="I120" s="16"/>
      <c r="J120" s="16"/>
      <c r="K120" s="16"/>
      <c r="L120" s="16"/>
      <c r="M120" s="16"/>
      <c r="N120" s="16"/>
      <c r="O120" s="16"/>
      <c r="P120" s="14"/>
      <c r="Q120" s="4"/>
    </row>
    <row r="121" spans="1:17" x14ac:dyDescent="0.3">
      <c r="A121" s="17"/>
      <c r="B121" s="17" t="str">
        <f>Fill_Value(quality!B121)</f>
        <v/>
      </c>
      <c r="C121" s="17" t="str">
        <f>Fill_Value(quality!C121)</f>
        <v>support_interface_enable</v>
      </c>
      <c r="D121" s="18"/>
      <c r="E121" s="19"/>
      <c r="F121" s="19"/>
      <c r="G121" s="19"/>
      <c r="H121" s="19"/>
      <c r="I121" s="19"/>
      <c r="J121" s="19"/>
      <c r="K121" s="19"/>
      <c r="L121" s="19"/>
      <c r="M121" s="19"/>
      <c r="N121" s="19"/>
      <c r="O121" s="19"/>
      <c r="P121" s="17"/>
      <c r="Q121" s="5"/>
    </row>
    <row r="122" spans="1:17" x14ac:dyDescent="0.3">
      <c r="A122" s="14"/>
      <c r="B122" s="14" t="str">
        <f>Fill_Value(quality!B122)</f>
        <v/>
      </c>
      <c r="C122" s="14" t="str">
        <f>Fill_Value(quality!C122)</f>
        <v>support_interface_height</v>
      </c>
      <c r="D122" s="15"/>
      <c r="E122" s="16"/>
      <c r="F122" s="16"/>
      <c r="G122" s="16"/>
      <c r="H122" s="16"/>
      <c r="I122" s="16"/>
      <c r="J122" s="16"/>
      <c r="K122" s="16"/>
      <c r="L122" s="16"/>
      <c r="M122" s="16"/>
      <c r="N122" s="16"/>
      <c r="O122" s="16"/>
      <c r="P122" s="14"/>
      <c r="Q122" s="4"/>
    </row>
    <row r="123" spans="1:17" x14ac:dyDescent="0.3">
      <c r="A123" s="17"/>
      <c r="B123" s="17" t="str">
        <f>Fill_Value(quality!B123)</f>
        <v/>
      </c>
      <c r="C123" s="17" t="str">
        <f>Fill_Value(quality!C123)</f>
        <v>support_interface_density</v>
      </c>
      <c r="D123" s="18"/>
      <c r="E123" s="19"/>
      <c r="F123" s="19"/>
      <c r="G123" s="19"/>
      <c r="H123" s="19"/>
      <c r="I123" s="19"/>
      <c r="J123" s="19"/>
      <c r="K123" s="19"/>
      <c r="L123" s="19"/>
      <c r="M123" s="19"/>
      <c r="N123" s="19"/>
      <c r="O123" s="19"/>
      <c r="P123" s="17"/>
      <c r="Q123" s="5"/>
    </row>
    <row r="124" spans="1:17" x14ac:dyDescent="0.3">
      <c r="A124" s="14"/>
      <c r="B124" s="14" t="str">
        <f>Fill_Value(quality!B124)</f>
        <v/>
      </c>
      <c r="C124" s="14" t="str">
        <f>Fill_Value(quality!C124)</f>
        <v>support_roof_line_distance</v>
      </c>
      <c r="D124" s="15"/>
      <c r="E124" s="16"/>
      <c r="F124" s="16"/>
      <c r="G124" s="16"/>
      <c r="H124" s="16"/>
      <c r="I124" s="16"/>
      <c r="J124" s="16"/>
      <c r="K124" s="16"/>
      <c r="L124" s="16"/>
      <c r="M124" s="16"/>
      <c r="N124" s="16"/>
      <c r="O124" s="16"/>
      <c r="P124" s="14"/>
      <c r="Q124" s="4"/>
    </row>
    <row r="125" spans="1:17" x14ac:dyDescent="0.3">
      <c r="A125" s="17"/>
      <c r="B125" s="17" t="str">
        <f>Fill_Value(quality!B125)</f>
        <v/>
      </c>
      <c r="C125" s="17" t="str">
        <f>Fill_Value(quality!C125)</f>
        <v>support_bottom_line_distance</v>
      </c>
      <c r="D125" s="18"/>
      <c r="E125" s="19"/>
      <c r="F125" s="19"/>
      <c r="G125" s="19"/>
      <c r="H125" s="19"/>
      <c r="I125" s="19"/>
      <c r="J125" s="19"/>
      <c r="K125" s="19"/>
      <c r="L125" s="19"/>
      <c r="M125" s="19"/>
      <c r="N125" s="19"/>
      <c r="O125" s="19"/>
      <c r="P125" s="17"/>
      <c r="Q125" s="5"/>
    </row>
    <row r="126" spans="1:17" x14ac:dyDescent="0.3">
      <c r="A126" s="14"/>
      <c r="B126" s="14" t="str">
        <f>Fill_Value(quality!B126)</f>
        <v/>
      </c>
      <c r="C126" s="14" t="str">
        <f>Fill_Value(quality!C126)</f>
        <v>support_interface_pattern</v>
      </c>
      <c r="D126" s="15"/>
      <c r="E126" s="16"/>
      <c r="F126" s="16"/>
      <c r="G126" s="16"/>
      <c r="H126" s="16"/>
      <c r="I126" s="16"/>
      <c r="J126" s="16"/>
      <c r="K126" s="16"/>
      <c r="L126" s="16"/>
      <c r="M126" s="16"/>
      <c r="N126" s="16"/>
      <c r="O126" s="16"/>
      <c r="P126" s="14"/>
      <c r="Q126" s="4"/>
    </row>
    <row r="127" spans="1:17" x14ac:dyDescent="0.3">
      <c r="A127" s="17"/>
      <c r="B127" s="17" t="str">
        <f>Fill_Value(quality!B127)</f>
        <v/>
      </c>
      <c r="C127" s="17" t="str">
        <f>Fill_Value(quality!C127)</f>
        <v>minimum_interface_area</v>
      </c>
      <c r="D127" s="18"/>
      <c r="E127" s="19"/>
      <c r="F127" s="19"/>
      <c r="G127" s="19"/>
      <c r="H127" s="19"/>
      <c r="I127" s="19"/>
      <c r="J127" s="19"/>
      <c r="K127" s="19"/>
      <c r="L127" s="19"/>
      <c r="M127" s="19"/>
      <c r="N127" s="19"/>
      <c r="O127" s="19"/>
      <c r="P127" s="17"/>
      <c r="Q127" s="5"/>
    </row>
    <row r="128" spans="1:17" x14ac:dyDescent="0.3">
      <c r="A128" s="14"/>
      <c r="B128" s="14" t="str">
        <f>Fill_Value(quality!B128)</f>
        <v/>
      </c>
      <c r="C128" s="14" t="str">
        <f>Fill_Value(quality!C128)</f>
        <v>support_interface_offset</v>
      </c>
      <c r="D128" s="15"/>
      <c r="E128" s="16"/>
      <c r="F128" s="16"/>
      <c r="G128" s="16"/>
      <c r="H128" s="16"/>
      <c r="I128" s="16"/>
      <c r="J128" s="16"/>
      <c r="K128" s="16"/>
      <c r="L128" s="16"/>
      <c r="M128" s="16"/>
      <c r="N128" s="16"/>
      <c r="O128" s="16"/>
      <c r="P128" s="14"/>
      <c r="Q128" s="4"/>
    </row>
    <row r="129" spans="1:17" x14ac:dyDescent="0.3">
      <c r="A129" s="17"/>
      <c r="B129" s="17" t="str">
        <f>Fill_Value(quality!B129)</f>
        <v/>
      </c>
      <c r="C129" s="17" t="str">
        <f>Fill_Value(quality!C129)</f>
        <v>support_fan_enable</v>
      </c>
      <c r="D129" s="18"/>
      <c r="E129" s="19"/>
      <c r="F129" s="19"/>
      <c r="G129" s="19"/>
      <c r="H129" s="19"/>
      <c r="I129" s="19"/>
      <c r="J129" s="19"/>
      <c r="K129" s="19"/>
      <c r="L129" s="19"/>
      <c r="M129" s="19"/>
      <c r="N129" s="19"/>
      <c r="O129" s="19"/>
      <c r="P129" s="17"/>
      <c r="Q129" s="5"/>
    </row>
    <row r="130" spans="1:17" x14ac:dyDescent="0.3">
      <c r="A130" s="14"/>
      <c r="B130" s="14" t="str">
        <f>Fill_Value(quality!B130)</f>
        <v/>
      </c>
      <c r="C130" s="14" t="str">
        <f>Fill_Value(quality!C130)</f>
        <v>support_supported_skin_fan_speed</v>
      </c>
      <c r="D130" s="15"/>
      <c r="E130" s="16"/>
      <c r="F130" s="16"/>
      <c r="G130" s="16"/>
      <c r="H130" s="16"/>
      <c r="I130" s="16"/>
      <c r="J130" s="16"/>
      <c r="K130" s="16"/>
      <c r="L130" s="16"/>
      <c r="M130" s="16"/>
      <c r="N130" s="16"/>
      <c r="O130" s="16"/>
      <c r="P130" s="14"/>
      <c r="Q130" s="4"/>
    </row>
    <row r="131" spans="1:17" x14ac:dyDescent="0.3">
      <c r="A131" s="17"/>
      <c r="B131" s="17" t="str">
        <f>Fill_Value(quality!B131)</f>
        <v/>
      </c>
      <c r="C131" s="17" t="str">
        <f>Fill_Value(quality!C131)</f>
        <v>support_use_towers</v>
      </c>
      <c r="D131" s="18"/>
      <c r="E131" s="19"/>
      <c r="F131" s="19"/>
      <c r="G131" s="19"/>
      <c r="H131" s="19"/>
      <c r="I131" s="19"/>
      <c r="J131" s="19"/>
      <c r="K131" s="19"/>
      <c r="L131" s="19"/>
      <c r="M131" s="19"/>
      <c r="N131" s="19"/>
      <c r="O131" s="19"/>
      <c r="P131" s="17"/>
      <c r="Q131" s="5"/>
    </row>
    <row r="132" spans="1:17" x14ac:dyDescent="0.3">
      <c r="A132" s="14"/>
      <c r="B132" s="14" t="str">
        <f>Fill_Value(quality!B132)</f>
        <v>Build Plate Adhesion</v>
      </c>
      <c r="C132" s="14" t="str">
        <f>Fill_Value(quality!C132)</f>
        <v>adhesion_type</v>
      </c>
      <c r="D132" s="15"/>
      <c r="E132" s="16"/>
      <c r="F132" s="16"/>
      <c r="G132" s="16"/>
      <c r="H132" s="16"/>
      <c r="I132" s="16"/>
      <c r="J132" s="16"/>
      <c r="K132" s="16"/>
      <c r="L132" s="16"/>
      <c r="M132" s="16"/>
      <c r="N132" s="16"/>
      <c r="O132" s="16"/>
      <c r="P132" s="14"/>
      <c r="Q132" s="4"/>
    </row>
    <row r="133" spans="1:17" x14ac:dyDescent="0.3">
      <c r="A133" s="17"/>
      <c r="B133" s="17" t="str">
        <f>Fill_Value(quality!B133)</f>
        <v/>
      </c>
      <c r="C133" s="17" t="str">
        <f>Fill_Value(quality!C133)</f>
        <v>skirt_line_count</v>
      </c>
      <c r="D133" s="18"/>
      <c r="E133" s="19"/>
      <c r="F133" s="19"/>
      <c r="G133" s="19"/>
      <c r="H133" s="19"/>
      <c r="I133" s="19"/>
      <c r="J133" s="19"/>
      <c r="K133" s="19"/>
      <c r="L133" s="19"/>
      <c r="M133" s="19"/>
      <c r="N133" s="19"/>
      <c r="O133" s="19"/>
      <c r="P133" s="17"/>
      <c r="Q133" s="5"/>
    </row>
    <row r="134" spans="1:17" x14ac:dyDescent="0.3">
      <c r="A134" s="14"/>
      <c r="B134" s="14" t="str">
        <f>Fill_Value(quality!B134)</f>
        <v/>
      </c>
      <c r="C134" s="14" t="str">
        <f>Fill_Value(quality!C134)</f>
        <v>skirt_gap</v>
      </c>
      <c r="D134" s="15"/>
      <c r="E134" s="16"/>
      <c r="F134" s="16"/>
      <c r="G134" s="16"/>
      <c r="H134" s="16"/>
      <c r="I134" s="16"/>
      <c r="J134" s="16"/>
      <c r="K134" s="16"/>
      <c r="L134" s="16"/>
      <c r="M134" s="16"/>
      <c r="N134" s="16"/>
      <c r="O134" s="16"/>
      <c r="P134" s="14"/>
      <c r="Q134" s="4"/>
    </row>
    <row r="135" spans="1:17" x14ac:dyDescent="0.3">
      <c r="A135" s="17"/>
      <c r="B135" s="17" t="str">
        <f>Fill_Value(quality!B135)</f>
        <v/>
      </c>
      <c r="C135" s="17" t="str">
        <f>Fill_Value(quality!C135)</f>
        <v>skirt_brim_minimal_length</v>
      </c>
      <c r="D135" s="18"/>
      <c r="E135" s="19"/>
      <c r="F135" s="19"/>
      <c r="G135" s="19"/>
      <c r="H135" s="19"/>
      <c r="I135" s="19"/>
      <c r="J135" s="19"/>
      <c r="K135" s="19"/>
      <c r="L135" s="19"/>
      <c r="M135" s="19"/>
      <c r="N135" s="19"/>
      <c r="O135" s="19"/>
      <c r="P135" s="17"/>
      <c r="Q135" s="5"/>
    </row>
    <row r="136" spans="1:17" x14ac:dyDescent="0.3">
      <c r="A136" s="14"/>
      <c r="B136" s="14" t="str">
        <f>Fill_Value(quality!B136)</f>
        <v/>
      </c>
      <c r="C136" s="14" t="str">
        <f>Fill_Value(quality!C136)</f>
        <v>brim_width</v>
      </c>
      <c r="D136" s="15"/>
      <c r="E136" s="16"/>
      <c r="F136" s="16"/>
      <c r="G136" s="16"/>
      <c r="H136" s="16"/>
      <c r="I136" s="16"/>
      <c r="J136" s="16"/>
      <c r="K136" s="16"/>
      <c r="L136" s="16"/>
      <c r="M136" s="16"/>
      <c r="N136" s="16"/>
      <c r="O136" s="16"/>
      <c r="P136" s="14"/>
      <c r="Q136" s="4"/>
    </row>
    <row r="137" spans="1:17" x14ac:dyDescent="0.3">
      <c r="A137" s="17"/>
      <c r="B137" s="17" t="str">
        <f>Fill_Value(quality!B137)</f>
        <v/>
      </c>
      <c r="C137" s="17" t="str">
        <f>Fill_Value(quality!C137)</f>
        <v>brim_line_count</v>
      </c>
      <c r="D137" s="18"/>
      <c r="E137" s="19"/>
      <c r="F137" s="19"/>
      <c r="G137" s="19"/>
      <c r="H137" s="19"/>
      <c r="I137" s="19"/>
      <c r="J137" s="19"/>
      <c r="K137" s="19"/>
      <c r="L137" s="19"/>
      <c r="M137" s="19"/>
      <c r="N137" s="19"/>
      <c r="O137" s="19"/>
      <c r="P137" s="17"/>
      <c r="Q137" s="5"/>
    </row>
    <row r="138" spans="1:17" x14ac:dyDescent="0.3">
      <c r="A138" s="14"/>
      <c r="B138" s="14" t="str">
        <f>Fill_Value(quality!B138)</f>
        <v/>
      </c>
      <c r="C138" s="14" t="str">
        <f>Fill_Value(quality!C138)</f>
        <v>brim_replaces_support</v>
      </c>
      <c r="D138" s="15"/>
      <c r="E138" s="16"/>
      <c r="F138" s="16"/>
      <c r="G138" s="16"/>
      <c r="H138" s="16"/>
      <c r="I138" s="16"/>
      <c r="J138" s="16"/>
      <c r="K138" s="16"/>
      <c r="L138" s="16"/>
      <c r="M138" s="16"/>
      <c r="N138" s="16"/>
      <c r="O138" s="16"/>
      <c r="P138" s="14"/>
      <c r="Q138" s="4"/>
    </row>
    <row r="139" spans="1:17" x14ac:dyDescent="0.3">
      <c r="A139" s="17"/>
      <c r="B139" s="17" t="str">
        <f>Fill_Value(quality!B139)</f>
        <v/>
      </c>
      <c r="C139" s="17" t="str">
        <f>Fill_Value(quality!C139)</f>
        <v>brim_outside_only</v>
      </c>
      <c r="D139" s="18"/>
      <c r="E139" s="19"/>
      <c r="F139" s="19"/>
      <c r="G139" s="19"/>
      <c r="H139" s="19"/>
      <c r="I139" s="19"/>
      <c r="J139" s="19"/>
      <c r="K139" s="19"/>
      <c r="L139" s="19"/>
      <c r="M139" s="19"/>
      <c r="N139" s="19"/>
      <c r="O139" s="19"/>
      <c r="P139" s="17"/>
      <c r="Q139" s="5"/>
    </row>
    <row r="140" spans="1:17" x14ac:dyDescent="0.3">
      <c r="A140" s="14"/>
      <c r="B140" s="14" t="str">
        <f>Fill_Value(quality!B140)</f>
        <v/>
      </c>
      <c r="C140" s="14" t="str">
        <f>Fill_Value(quality!C140)</f>
        <v>adhesion_z_offset_adjust</v>
      </c>
      <c r="D140" s="15">
        <v>0</v>
      </c>
      <c r="E140" s="16"/>
      <c r="F140" s="16"/>
      <c r="G140" s="16"/>
      <c r="H140" s="16"/>
      <c r="I140" s="16"/>
      <c r="J140" s="16"/>
      <c r="K140" s="16"/>
      <c r="L140" s="16"/>
      <c r="M140" s="16"/>
      <c r="N140" s="16"/>
      <c r="O140" s="16"/>
      <c r="P140" s="14"/>
      <c r="Q140" s="4"/>
    </row>
    <row r="141" spans="1:17" x14ac:dyDescent="0.3">
      <c r="A141" s="17"/>
      <c r="B141" s="17" t="str">
        <f>Fill_Value(quality!B141)</f>
        <v>Special Modes</v>
      </c>
      <c r="C141" s="17" t="str">
        <f>Fill_Value(quality!C141)</f>
        <v>relative_extrusion</v>
      </c>
      <c r="D141" s="18"/>
      <c r="E141" s="19"/>
      <c r="F141" s="19"/>
      <c r="G141" s="19"/>
      <c r="H141" s="19"/>
      <c r="I141" s="19"/>
      <c r="J141" s="19"/>
      <c r="K141" s="19"/>
      <c r="L141" s="19"/>
      <c r="M141" s="19"/>
      <c r="N141" s="19"/>
      <c r="O141" s="19"/>
      <c r="P141" s="17"/>
      <c r="Q141" s="5"/>
    </row>
    <row r="142" spans="1:17" x14ac:dyDescent="0.3">
      <c r="A142" s="14"/>
      <c r="B142" s="14" t="str">
        <f>Fill_Value(quality!B142)</f>
        <v>Experimental</v>
      </c>
      <c r="C142" s="14" t="str">
        <f>Fill_Value(quality!C142)</f>
        <v>support_tree_enable</v>
      </c>
      <c r="D142" s="15"/>
      <c r="E142" s="16"/>
      <c r="F142" s="16"/>
      <c r="G142" s="16"/>
      <c r="H142" s="16"/>
      <c r="I142" s="16"/>
      <c r="J142" s="16"/>
      <c r="K142" s="16"/>
      <c r="L142" s="16"/>
      <c r="M142" s="16"/>
      <c r="N142" s="16"/>
      <c r="O142" s="16"/>
      <c r="P142" s="14"/>
      <c r="Q142" s="4"/>
    </row>
    <row r="143" spans="1:17" x14ac:dyDescent="0.3">
      <c r="A143" s="17"/>
      <c r="B143" s="17" t="str">
        <f>Fill_Value(quality!B143)</f>
        <v/>
      </c>
      <c r="C143" s="17" t="str">
        <f>Fill_Value(quality!C143)</f>
        <v>support_tree_branch_distance</v>
      </c>
      <c r="D143" s="18"/>
      <c r="E143" s="19"/>
      <c r="F143" s="19"/>
      <c r="G143" s="19"/>
      <c r="H143" s="19"/>
      <c r="I143" s="19"/>
      <c r="J143" s="19"/>
      <c r="K143" s="19"/>
      <c r="L143" s="19"/>
      <c r="M143" s="19"/>
      <c r="N143" s="19"/>
      <c r="O143" s="19"/>
      <c r="P143" s="17"/>
      <c r="Q143" s="5"/>
    </row>
    <row r="144" spans="1:17" x14ac:dyDescent="0.3">
      <c r="A144" s="14"/>
      <c r="B144" s="14" t="str">
        <f>Fill_Value(quality!B144)</f>
        <v/>
      </c>
      <c r="C144" s="14" t="str">
        <f>Fill_Value(quality!C144)</f>
        <v>roofing_line_width</v>
      </c>
      <c r="D144" s="15"/>
      <c r="E144" s="16"/>
      <c r="F144" s="16"/>
      <c r="G144" s="16"/>
      <c r="H144" s="16"/>
      <c r="I144" s="16"/>
      <c r="J144" s="16"/>
      <c r="K144" s="16"/>
      <c r="L144" s="16"/>
      <c r="M144" s="16"/>
      <c r="N144" s="16"/>
      <c r="O144" s="16"/>
      <c r="P144" s="14"/>
      <c r="Q144" s="4"/>
    </row>
    <row r="145" spans="1:17" x14ac:dyDescent="0.3">
      <c r="A145" s="17"/>
      <c r="B145" s="17" t="str">
        <f>Fill_Value(quality!B145)</f>
        <v/>
      </c>
      <c r="C145" s="17" t="str">
        <f>Fill_Value(quality!C145)</f>
        <v>roofing_pattern</v>
      </c>
      <c r="D145" s="18"/>
      <c r="E145" s="19"/>
      <c r="F145" s="19"/>
      <c r="G145" s="19"/>
      <c r="H145" s="19"/>
      <c r="I145" s="19"/>
      <c r="J145" s="19"/>
      <c r="K145" s="19"/>
      <c r="L145" s="19"/>
      <c r="M145" s="19"/>
      <c r="N145" s="19"/>
      <c r="O145" s="19"/>
      <c r="P145" s="17"/>
      <c r="Q145" s="5"/>
    </row>
    <row r="146" spans="1:17" x14ac:dyDescent="0.3">
      <c r="A146" s="14"/>
      <c r="B146" s="14" t="str">
        <f>Fill_Value(quality!B146)</f>
        <v/>
      </c>
      <c r="C146" s="14" t="str">
        <f>Fill_Value(quality!C146)</f>
        <v>roofing_angles</v>
      </c>
      <c r="D146" s="15"/>
      <c r="E146" s="16"/>
      <c r="F146" s="16"/>
      <c r="G146" s="16"/>
      <c r="H146" s="16"/>
      <c r="I146" s="16"/>
      <c r="J146" s="16"/>
      <c r="K146" s="16"/>
      <c r="L146" s="16"/>
      <c r="M146" s="16"/>
      <c r="N146" s="16"/>
      <c r="O146" s="16"/>
      <c r="P146" s="14"/>
      <c r="Q146" s="4"/>
    </row>
    <row r="147" spans="1:17" x14ac:dyDescent="0.3">
      <c r="A147" s="17"/>
      <c r="B147" s="17" t="str">
        <f>Fill_Value(quality!B147)</f>
        <v/>
      </c>
      <c r="C147" s="17" t="str">
        <f>Fill_Value(quality!C147)</f>
        <v>infill_enable_travel_optimization</v>
      </c>
      <c r="D147" s="18"/>
      <c r="E147" s="19"/>
      <c r="F147" s="19"/>
      <c r="G147" s="19"/>
      <c r="H147" s="19"/>
      <c r="I147" s="19"/>
      <c r="J147" s="19"/>
      <c r="K147" s="19"/>
      <c r="L147" s="19"/>
      <c r="M147" s="19"/>
      <c r="N147" s="19"/>
      <c r="O147" s="19"/>
      <c r="P147" s="17"/>
      <c r="Q147" s="5"/>
    </row>
    <row r="148" spans="1:17" x14ac:dyDescent="0.3">
      <c r="A148" s="14"/>
      <c r="B148" s="14" t="str">
        <f>Fill_Value(quality!B148)</f>
        <v/>
      </c>
      <c r="C148" s="14" t="str">
        <f>Fill_Value(quality!C148)</f>
        <v>support_skip_some_zags</v>
      </c>
      <c r="D148" s="15"/>
      <c r="E148" s="16"/>
      <c r="F148" s="16"/>
      <c r="G148" s="16"/>
      <c r="H148" s="16"/>
      <c r="I148" s="16"/>
      <c r="J148" s="16"/>
      <c r="K148" s="16"/>
      <c r="L148" s="16"/>
      <c r="M148" s="16"/>
      <c r="N148" s="16"/>
      <c r="O148" s="16"/>
      <c r="P148" s="14"/>
      <c r="Q148" s="4"/>
    </row>
    <row r="149" spans="1:17" x14ac:dyDescent="0.3">
      <c r="A149" s="17"/>
      <c r="B149" s="17" t="str">
        <f>Fill_Value(quality!B149)</f>
        <v/>
      </c>
      <c r="C149" s="17" t="str">
        <f>Fill_Value(quality!C149)</f>
        <v>draft_shield_enabled</v>
      </c>
      <c r="D149" s="18"/>
      <c r="E149" s="19"/>
      <c r="F149" s="19"/>
      <c r="G149" s="19"/>
      <c r="H149" s="19"/>
      <c r="I149" s="19"/>
      <c r="J149" s="19"/>
      <c r="K149" s="19"/>
      <c r="L149" s="19"/>
      <c r="M149" s="19"/>
      <c r="N149" s="19"/>
      <c r="O149" s="19"/>
      <c r="P149" s="17"/>
      <c r="Q149" s="5"/>
    </row>
    <row r="150" spans="1:17" x14ac:dyDescent="0.3">
      <c r="A150" s="14"/>
      <c r="B150" s="14" t="str">
        <f>Fill_Value(quality!B150)</f>
        <v/>
      </c>
      <c r="C150" s="14" t="str">
        <f>Fill_Value(quality!C150)</f>
        <v>conical_overhang_enabled</v>
      </c>
      <c r="D150" s="15"/>
      <c r="E150" s="16"/>
      <c r="F150" s="16"/>
      <c r="G150" s="16"/>
      <c r="H150" s="16"/>
      <c r="I150" s="16"/>
      <c r="J150" s="16"/>
      <c r="K150" s="16"/>
      <c r="L150" s="16"/>
      <c r="M150" s="16"/>
      <c r="N150" s="16"/>
      <c r="O150" s="16"/>
      <c r="P150" s="14"/>
      <c r="Q150" s="4"/>
    </row>
    <row r="151" spans="1:17" x14ac:dyDescent="0.3">
      <c r="A151" s="17"/>
      <c r="B151" s="17" t="str">
        <f>Fill_Value(quality!B151)</f>
        <v/>
      </c>
      <c r="C151" s="17" t="str">
        <f>Fill_Value(quality!C151)</f>
        <v>coasting_enable</v>
      </c>
      <c r="D151" s="18"/>
      <c r="E151" s="19"/>
      <c r="F151" s="19"/>
      <c r="G151" s="19"/>
      <c r="H151" s="19"/>
      <c r="I151" s="19"/>
      <c r="J151" s="19"/>
      <c r="K151" s="19"/>
      <c r="L151" s="19"/>
      <c r="M151" s="19"/>
      <c r="N151" s="19"/>
      <c r="O151" s="19"/>
      <c r="P151" s="17"/>
      <c r="Q151" s="5"/>
    </row>
    <row r="152" spans="1:17" x14ac:dyDescent="0.3">
      <c r="A152" s="14"/>
      <c r="B152" s="14" t="str">
        <f>Fill_Value(quality!B152)</f>
        <v/>
      </c>
      <c r="C152" s="14" t="str">
        <f>Fill_Value(quality!C152)</f>
        <v>coasting_volume</v>
      </c>
      <c r="D152" s="15"/>
      <c r="E152" s="16"/>
      <c r="F152" s="16"/>
      <c r="G152" s="16"/>
      <c r="H152" s="16"/>
      <c r="I152" s="16"/>
      <c r="J152" s="16"/>
      <c r="K152" s="16"/>
      <c r="L152" s="16"/>
      <c r="M152" s="16"/>
      <c r="N152" s="16"/>
      <c r="O152" s="16"/>
      <c r="P152" s="14"/>
      <c r="Q152" s="4"/>
    </row>
    <row r="153" spans="1:17" x14ac:dyDescent="0.3">
      <c r="A153" s="17"/>
      <c r="B153" s="17" t="str">
        <f>Fill_Value(quality!B153)</f>
        <v/>
      </c>
      <c r="C153" s="17" t="str">
        <f>Fill_Value(quality!C153)</f>
        <v>coasting_min_volume</v>
      </c>
      <c r="D153" s="18"/>
      <c r="E153" s="19"/>
      <c r="F153" s="19"/>
      <c r="G153" s="19"/>
      <c r="H153" s="19"/>
      <c r="I153" s="19"/>
      <c r="J153" s="19"/>
      <c r="K153" s="19"/>
      <c r="L153" s="19"/>
      <c r="M153" s="19"/>
      <c r="N153" s="19"/>
      <c r="O153" s="19"/>
      <c r="P153" s="17"/>
      <c r="Q153" s="5"/>
    </row>
    <row r="154" spans="1:17" x14ac:dyDescent="0.3">
      <c r="A154" s="14"/>
      <c r="B154" s="14" t="str">
        <f>Fill_Value(quality!B154)</f>
        <v/>
      </c>
      <c r="C154" s="14" t="str">
        <f>Fill_Value(quality!C154)</f>
        <v>skin_alternate_rotation</v>
      </c>
      <c r="D154" s="15"/>
      <c r="E154" s="16"/>
      <c r="F154" s="16"/>
      <c r="G154" s="16"/>
      <c r="H154" s="16"/>
      <c r="I154" s="16"/>
      <c r="J154" s="16"/>
      <c r="K154" s="16"/>
      <c r="L154" s="16"/>
      <c r="M154" s="16"/>
      <c r="N154" s="16"/>
      <c r="O154" s="16"/>
      <c r="P154" s="14"/>
      <c r="Q154" s="4"/>
    </row>
    <row r="155" spans="1:17" x14ac:dyDescent="0.3">
      <c r="A155" s="17"/>
      <c r="B155" s="17" t="str">
        <f>Fill_Value(quality!B155)</f>
        <v/>
      </c>
      <c r="C155" s="17" t="str">
        <f>Fill_Value(quality!C155)</f>
        <v>spaghetti_infill_enabled</v>
      </c>
      <c r="D155" s="18"/>
      <c r="E155" s="19"/>
      <c r="F155" s="19"/>
      <c r="G155" s="19"/>
      <c r="H155" s="19"/>
      <c r="I155" s="19"/>
      <c r="J155" s="19"/>
      <c r="K155" s="19"/>
      <c r="L155" s="19"/>
      <c r="M155" s="19"/>
      <c r="N155" s="19"/>
      <c r="O155" s="19"/>
      <c r="P155" s="17"/>
      <c r="Q155" s="5"/>
    </row>
    <row r="156" spans="1:17" x14ac:dyDescent="0.3">
      <c r="A156" s="14"/>
      <c r="B156" s="14" t="str">
        <f>Fill_Value(quality!B156)</f>
        <v/>
      </c>
      <c r="C156" s="14" t="str">
        <f>Fill_Value(quality!C156)</f>
        <v>support_conical_enabled</v>
      </c>
      <c r="D156" s="15"/>
      <c r="E156" s="16"/>
      <c r="F156" s="16"/>
      <c r="G156" s="16"/>
      <c r="H156" s="16"/>
      <c r="I156" s="16"/>
      <c r="J156" s="16"/>
      <c r="K156" s="16"/>
      <c r="L156" s="16"/>
      <c r="M156" s="16"/>
      <c r="N156" s="16"/>
      <c r="O156" s="16"/>
      <c r="P156" s="14"/>
      <c r="Q156" s="4"/>
    </row>
    <row r="157" spans="1:17" x14ac:dyDescent="0.3">
      <c r="A157" s="17"/>
      <c r="B157" s="17" t="str">
        <f>Fill_Value(quality!B157)</f>
        <v/>
      </c>
      <c r="C157" s="17" t="str">
        <f>Fill_Value(quality!C157)</f>
        <v>magic_fuzzy_skin_enabled</v>
      </c>
      <c r="D157" s="18"/>
      <c r="E157" s="19"/>
      <c r="F157" s="19"/>
      <c r="G157" s="19"/>
      <c r="H157" s="19"/>
      <c r="I157" s="19"/>
      <c r="J157" s="19"/>
      <c r="K157" s="19"/>
      <c r="L157" s="19"/>
      <c r="M157" s="19"/>
      <c r="N157" s="19"/>
      <c r="O157" s="19"/>
      <c r="P157" s="17"/>
      <c r="Q157" s="5"/>
    </row>
    <row r="158" spans="1:17" x14ac:dyDescent="0.3">
      <c r="A158" s="14"/>
      <c r="B158" s="14" t="str">
        <f>Fill_Value(quality!B158)</f>
        <v/>
      </c>
      <c r="C158" s="14" t="str">
        <f>Fill_Value(quality!C158)</f>
        <v>wireframe_enabled</v>
      </c>
      <c r="D158" s="15"/>
      <c r="E158" s="16"/>
      <c r="F158" s="16"/>
      <c r="G158" s="16"/>
      <c r="H158" s="16"/>
      <c r="I158" s="16"/>
      <c r="J158" s="16"/>
      <c r="K158" s="16"/>
      <c r="L158" s="16"/>
      <c r="M158" s="16"/>
      <c r="N158" s="16"/>
      <c r="O158" s="16"/>
      <c r="P158" s="14"/>
      <c r="Q158" s="4"/>
    </row>
    <row r="159" spans="1:17" x14ac:dyDescent="0.3">
      <c r="A159" s="17"/>
      <c r="B159" s="17" t="str">
        <f>Fill_Value(quality!B159)</f>
        <v/>
      </c>
      <c r="C159" s="17" t="str">
        <f>Fill_Value(quality!C159)</f>
        <v>adaptive_layer_height_enabled</v>
      </c>
      <c r="D159" s="18"/>
      <c r="E159" s="19"/>
      <c r="F159" s="19"/>
      <c r="G159" s="19"/>
      <c r="H159" s="19"/>
      <c r="I159" s="19"/>
      <c r="J159" s="19"/>
      <c r="K159" s="19"/>
      <c r="L159" s="19"/>
      <c r="M159" s="19"/>
      <c r="N159" s="19"/>
      <c r="O159" s="19"/>
      <c r="P159" s="17"/>
      <c r="Q159" s="5"/>
    </row>
    <row r="160" spans="1:17" x14ac:dyDescent="0.3">
      <c r="A160" s="14"/>
      <c r="B160" s="14" t="str">
        <f>Fill_Value(quality!B160)</f>
        <v/>
      </c>
      <c r="C160" s="14" t="str">
        <f>Fill_Value(quality!C160)</f>
        <v>adaptive_layer_height_variation</v>
      </c>
      <c r="D160" s="15"/>
      <c r="E160" s="16"/>
      <c r="F160" s="16"/>
      <c r="G160" s="16"/>
      <c r="H160" s="16"/>
      <c r="I160" s="16"/>
      <c r="J160" s="16"/>
      <c r="K160" s="16"/>
      <c r="L160" s="16"/>
      <c r="M160" s="16"/>
      <c r="N160" s="16"/>
      <c r="O160" s="16"/>
      <c r="P160" s="14"/>
      <c r="Q160" s="4"/>
    </row>
    <row r="161" spans="1:17" x14ac:dyDescent="0.3">
      <c r="A161" s="17"/>
      <c r="B161" s="17" t="str">
        <f>Fill_Value(quality!B161)</f>
        <v/>
      </c>
      <c r="C161" s="17" t="str">
        <f>Fill_Value(quality!C161)</f>
        <v>adaptive_layer_height_variation_step</v>
      </c>
      <c r="D161" s="18"/>
      <c r="E161" s="19"/>
      <c r="F161" s="19"/>
      <c r="G161" s="19"/>
      <c r="H161" s="19"/>
      <c r="I161" s="19"/>
      <c r="J161" s="19"/>
      <c r="K161" s="19"/>
      <c r="L161" s="19"/>
      <c r="M161" s="19"/>
      <c r="N161" s="19"/>
      <c r="O161" s="19"/>
      <c r="P161" s="17"/>
      <c r="Q161" s="5"/>
    </row>
    <row r="162" spans="1:17" x14ac:dyDescent="0.3">
      <c r="A162" s="14"/>
      <c r="B162" s="14" t="str">
        <f>Fill_Value(quality!B162)</f>
        <v/>
      </c>
      <c r="C162" s="14" t="str">
        <f>Fill_Value(quality!C162)</f>
        <v>wall_overhang_angle</v>
      </c>
      <c r="D162" s="15"/>
      <c r="E162" s="16"/>
      <c r="F162" s="16"/>
      <c r="G162" s="16"/>
      <c r="H162" s="16"/>
      <c r="I162" s="16"/>
      <c r="J162" s="16"/>
      <c r="K162" s="16"/>
      <c r="L162" s="16"/>
      <c r="M162" s="16"/>
      <c r="N162" s="16"/>
      <c r="O162" s="16"/>
      <c r="P162" s="14"/>
      <c r="Q162" s="4"/>
    </row>
    <row r="163" spans="1:17" x14ac:dyDescent="0.3">
      <c r="A163" s="17"/>
      <c r="B163" s="17" t="str">
        <f>Fill_Value(quality!B163)</f>
        <v/>
      </c>
      <c r="C163" s="17" t="str">
        <f>Fill_Value(quality!C163)</f>
        <v>wall_overhang_speed_factor</v>
      </c>
      <c r="D163" s="18"/>
      <c r="E163" s="19"/>
      <c r="F163" s="19"/>
      <c r="G163" s="19"/>
      <c r="H163" s="19"/>
      <c r="I163" s="19"/>
      <c r="J163" s="19"/>
      <c r="K163" s="19"/>
      <c r="L163" s="19"/>
      <c r="M163" s="19"/>
      <c r="N163" s="19"/>
      <c r="O163" s="19"/>
      <c r="P163" s="17"/>
      <c r="Q163" s="5"/>
    </row>
    <row r="164" spans="1:17" x14ac:dyDescent="0.3">
      <c r="A164" s="14"/>
      <c r="B164" s="14" t="str">
        <f>Fill_Value(quality!B164)</f>
        <v/>
      </c>
      <c r="C164" s="14" t="str">
        <f>Fill_Value(quality!C164)</f>
        <v>bridge_settings_enabled</v>
      </c>
      <c r="D164" s="15"/>
      <c r="E164" s="16"/>
      <c r="F164" s="16"/>
      <c r="G164" s="16"/>
      <c r="H164" s="16"/>
      <c r="I164" s="16"/>
      <c r="J164" s="16"/>
      <c r="K164" s="16"/>
      <c r="L164" s="16"/>
      <c r="M164" s="16"/>
      <c r="N164" s="16"/>
      <c r="O164" s="16"/>
      <c r="P164" s="14"/>
      <c r="Q164" s="4"/>
    </row>
    <row r="165" spans="1:17" x14ac:dyDescent="0.3">
      <c r="A165" s="17"/>
      <c r="B165" s="17" t="str">
        <f>Fill_Value(quality!B165)</f>
        <v/>
      </c>
      <c r="C165" s="17" t="str">
        <f>Fill_Value(quality!C165)</f>
        <v>bridge_wall_min_length</v>
      </c>
      <c r="D165" s="18"/>
      <c r="E165" s="19"/>
      <c r="F165" s="19"/>
      <c r="G165" s="19"/>
      <c r="H165" s="19"/>
      <c r="I165" s="19"/>
      <c r="J165" s="19"/>
      <c r="K165" s="19"/>
      <c r="L165" s="19"/>
      <c r="M165" s="19"/>
      <c r="N165" s="19"/>
      <c r="O165" s="19"/>
      <c r="P165" s="17"/>
      <c r="Q165" s="5"/>
    </row>
    <row r="166" spans="1:17" x14ac:dyDescent="0.3">
      <c r="A166" s="14"/>
      <c r="B166" s="14" t="str">
        <f>Fill_Value(quality!B166)</f>
        <v/>
      </c>
      <c r="C166" s="14" t="str">
        <f>Fill_Value(quality!C166)</f>
        <v>bridge_skin_support_threshold</v>
      </c>
      <c r="D166" s="15"/>
      <c r="E166" s="16"/>
      <c r="F166" s="16"/>
      <c r="G166" s="16"/>
      <c r="H166" s="16"/>
      <c r="I166" s="16"/>
      <c r="J166" s="16"/>
      <c r="K166" s="16"/>
      <c r="L166" s="16"/>
      <c r="M166" s="16"/>
      <c r="N166" s="16"/>
      <c r="O166" s="16"/>
      <c r="P166" s="14"/>
      <c r="Q166" s="4"/>
    </row>
    <row r="167" spans="1:17" x14ac:dyDescent="0.3">
      <c r="A167" s="17"/>
      <c r="B167" s="17" t="str">
        <f>Fill_Value(quality!B167)</f>
        <v/>
      </c>
      <c r="C167" s="17" t="str">
        <f>Fill_Value(quality!C167)</f>
        <v>bridge_wall_coast</v>
      </c>
      <c r="D167" s="18"/>
      <c r="E167" s="19"/>
      <c r="F167" s="19"/>
      <c r="G167" s="19"/>
      <c r="H167" s="19"/>
      <c r="I167" s="19"/>
      <c r="J167" s="19"/>
      <c r="K167" s="19"/>
      <c r="L167" s="19"/>
      <c r="M167" s="19"/>
      <c r="N167" s="19"/>
      <c r="O167" s="19"/>
      <c r="P167" s="17"/>
      <c r="Q167" s="5"/>
    </row>
    <row r="168" spans="1:17" x14ac:dyDescent="0.3">
      <c r="A168" s="14"/>
      <c r="B168" s="14" t="str">
        <f>Fill_Value(quality!B168)</f>
        <v/>
      </c>
      <c r="C168" s="14" t="str">
        <f>Fill_Value(quality!C168)</f>
        <v>bridge_wall_speed</v>
      </c>
      <c r="D168" s="15"/>
      <c r="E168" s="16"/>
      <c r="F168" s="16"/>
      <c r="G168" s="16"/>
      <c r="H168" s="16"/>
      <c r="I168" s="16"/>
      <c r="J168" s="16"/>
      <c r="K168" s="16"/>
      <c r="L168" s="16"/>
      <c r="M168" s="16"/>
      <c r="N168" s="16"/>
      <c r="O168" s="16"/>
      <c r="P168" s="14"/>
      <c r="Q168" s="4"/>
    </row>
    <row r="169" spans="1:17" x14ac:dyDescent="0.3">
      <c r="A169" s="17"/>
      <c r="B169" s="17" t="str">
        <f>Fill_Value(quality!B169)</f>
        <v/>
      </c>
      <c r="C169" s="17" t="str">
        <f>Fill_Value(quality!C169)</f>
        <v>bridge_wall_material_flow</v>
      </c>
      <c r="D169" s="18"/>
      <c r="E169" s="19"/>
      <c r="F169" s="19"/>
      <c r="G169" s="19"/>
      <c r="H169" s="19"/>
      <c r="I169" s="19"/>
      <c r="J169" s="19"/>
      <c r="K169" s="19"/>
      <c r="L169" s="19"/>
      <c r="M169" s="19"/>
      <c r="N169" s="19"/>
      <c r="O169" s="19"/>
      <c r="P169" s="17"/>
      <c r="Q169" s="5"/>
    </row>
    <row r="170" spans="1:17" x14ac:dyDescent="0.3">
      <c r="A170" s="14"/>
      <c r="B170" s="14" t="str">
        <f>Fill_Value(quality!B170)</f>
        <v/>
      </c>
      <c r="C170" s="14" t="str">
        <f>Fill_Value(quality!C170)</f>
        <v>bridge_skin_speed</v>
      </c>
      <c r="D170" s="15"/>
      <c r="E170" s="16"/>
      <c r="F170" s="16"/>
      <c r="G170" s="16"/>
      <c r="H170" s="16"/>
      <c r="I170" s="16"/>
      <c r="J170" s="16"/>
      <c r="K170" s="16"/>
      <c r="L170" s="16"/>
      <c r="M170" s="16"/>
      <c r="N170" s="16"/>
      <c r="O170" s="16"/>
      <c r="P170" s="14"/>
      <c r="Q170" s="4"/>
    </row>
    <row r="171" spans="1:17" x14ac:dyDescent="0.3">
      <c r="A171" s="17"/>
      <c r="B171" s="17" t="str">
        <f>Fill_Value(quality!B171)</f>
        <v/>
      </c>
      <c r="C171" s="17" t="str">
        <f>Fill_Value(quality!C171)</f>
        <v>bridge_skin_material_flow</v>
      </c>
      <c r="D171" s="18"/>
      <c r="E171" s="19"/>
      <c r="F171" s="19"/>
      <c r="G171" s="19"/>
      <c r="H171" s="19"/>
      <c r="I171" s="19"/>
      <c r="J171" s="19"/>
      <c r="K171" s="19"/>
      <c r="L171" s="19"/>
      <c r="M171" s="19"/>
      <c r="N171" s="19"/>
      <c r="O171" s="19"/>
      <c r="P171" s="17"/>
      <c r="Q171" s="5"/>
    </row>
    <row r="172" spans="1:17" x14ac:dyDescent="0.3">
      <c r="A172" s="14"/>
      <c r="B172" s="14" t="str">
        <f>Fill_Value(quality!B172)</f>
        <v/>
      </c>
      <c r="C172" s="14" t="str">
        <f>Fill_Value(quality!C172)</f>
        <v>bridge_skin_density</v>
      </c>
      <c r="D172" s="15"/>
      <c r="E172" s="16"/>
      <c r="F172" s="16"/>
      <c r="G172" s="16"/>
      <c r="H172" s="16"/>
      <c r="I172" s="16"/>
      <c r="J172" s="16"/>
      <c r="K172" s="16"/>
      <c r="L172" s="16"/>
      <c r="M172" s="16"/>
      <c r="N172" s="16"/>
      <c r="O172" s="16"/>
      <c r="P172" s="14"/>
      <c r="Q172" s="4"/>
    </row>
    <row r="173" spans="1:17" x14ac:dyDescent="0.3">
      <c r="A173" s="17"/>
      <c r="B173" s="17" t="str">
        <f>Fill_Value(quality!B173)</f>
        <v/>
      </c>
      <c r="C173" s="17" t="str">
        <f>Fill_Value(quality!C173)</f>
        <v>bridge_fan_speed</v>
      </c>
      <c r="D173" s="18"/>
      <c r="E173" s="19"/>
      <c r="F173" s="19"/>
      <c r="G173" s="19"/>
      <c r="H173" s="19"/>
      <c r="I173" s="19"/>
      <c r="J173" s="19"/>
      <c r="K173" s="19"/>
      <c r="L173" s="19"/>
      <c r="M173" s="19"/>
      <c r="N173" s="19"/>
      <c r="O173" s="19"/>
      <c r="P173" s="17"/>
      <c r="Q173" s="5"/>
    </row>
    <row r="174" spans="1:17" x14ac:dyDescent="0.3">
      <c r="A174" s="14"/>
      <c r="B174" s="14" t="str">
        <f>Fill_Value(quality!B174)</f>
        <v/>
      </c>
      <c r="C174" s="14" t="str">
        <f>Fill_Value(quality!C174)</f>
        <v>bridge_enable_more_layers</v>
      </c>
      <c r="D174" s="15"/>
      <c r="E174" s="16"/>
      <c r="F174" s="16"/>
      <c r="G174" s="16"/>
      <c r="H174" s="16"/>
      <c r="I174" s="16"/>
      <c r="J174" s="16"/>
      <c r="K174" s="16"/>
      <c r="L174" s="16"/>
      <c r="M174" s="16"/>
      <c r="N174" s="16"/>
      <c r="O174" s="16"/>
      <c r="P174" s="14"/>
      <c r="Q174" s="4"/>
    </row>
    <row r="175" spans="1:17" x14ac:dyDescent="0.3">
      <c r="A175" s="17"/>
      <c r="B175" s="17" t="str">
        <f>Fill_Value(quality!B175)</f>
        <v/>
      </c>
      <c r="C175" s="17" t="str">
        <f>Fill_Value(quality!C175)</f>
        <v>pressure_advance_adjust</v>
      </c>
      <c r="D175" s="18">
        <v>0.03</v>
      </c>
      <c r="E175" s="19"/>
      <c r="F175" s="19"/>
      <c r="G175" s="19"/>
      <c r="H175" s="19"/>
      <c r="I175" s="19"/>
      <c r="J175" s="19"/>
      <c r="K175" s="19"/>
      <c r="L175" s="19"/>
      <c r="M175" s="19"/>
      <c r="N175" s="19"/>
      <c r="O175" s="19"/>
      <c r="P175" s="17"/>
      <c r="Q175" s="5"/>
    </row>
    <row r="176" spans="1:17" x14ac:dyDescent="0.3">
      <c r="A176" s="14"/>
      <c r="B176" s="14" t="str">
        <f>Fill_Value(quality!B176)</f>
        <v/>
      </c>
      <c r="C176" s="14" t="str">
        <f>Fill_Value(quality!C176)</f>
        <v>junction_deviation</v>
      </c>
      <c r="D176" s="15"/>
      <c r="E176" s="16"/>
      <c r="F176" s="16"/>
      <c r="G176" s="16"/>
      <c r="H176" s="16"/>
      <c r="I176" s="16"/>
      <c r="J176" s="16"/>
      <c r="K176" s="16"/>
      <c r="L176" s="16"/>
      <c r="M176" s="16"/>
      <c r="N176" s="16"/>
      <c r="O176" s="16"/>
      <c r="P176" s="14"/>
      <c r="Q176" s="4"/>
    </row>
    <row r="177" spans="1:17" x14ac:dyDescent="0.3">
      <c r="A177" s="17"/>
      <c r="B177" s="17" t="str">
        <f>Fill_Value(quality!B177)</f>
        <v/>
      </c>
      <c r="C177" s="17" t="str">
        <f>Fill_Value(quality!C177)</f>
        <v/>
      </c>
      <c r="D177" s="18"/>
      <c r="E177" s="19"/>
      <c r="F177" s="19"/>
      <c r="G177" s="19"/>
      <c r="H177" s="19"/>
      <c r="I177" s="19"/>
      <c r="J177" s="19"/>
      <c r="K177" s="19"/>
      <c r="L177" s="19"/>
      <c r="M177" s="19"/>
      <c r="N177" s="19"/>
      <c r="O177" s="19"/>
      <c r="P177" s="17"/>
      <c r="Q177" s="5"/>
    </row>
    <row r="178" spans="1:17" x14ac:dyDescent="0.3">
      <c r="A178" s="14"/>
      <c r="B178" s="14" t="str">
        <f>Fill_Value(quality!B178)</f>
        <v/>
      </c>
      <c r="C178" s="14" t="str">
        <f>Fill_Value(quality!C178)</f>
        <v/>
      </c>
      <c r="D178" s="15"/>
      <c r="E178" s="16"/>
      <c r="F178" s="16"/>
      <c r="G178" s="16"/>
      <c r="H178" s="16"/>
      <c r="I178" s="16"/>
      <c r="J178" s="16"/>
      <c r="K178" s="16"/>
      <c r="L178" s="16"/>
      <c r="M178" s="16"/>
      <c r="N178" s="16"/>
      <c r="O178" s="16"/>
      <c r="P178" s="14"/>
      <c r="Q178" s="4"/>
    </row>
    <row r="179" spans="1:17" x14ac:dyDescent="0.3">
      <c r="A179" s="17"/>
      <c r="B179" s="17" t="str">
        <f>Fill_Value(quality!B179)</f>
        <v/>
      </c>
      <c r="C179" s="17" t="str">
        <f>Fill_Value(quality!C179)</f>
        <v/>
      </c>
      <c r="D179" s="18"/>
      <c r="E179" s="19"/>
      <c r="F179" s="19"/>
      <c r="G179" s="19"/>
      <c r="H179" s="19"/>
      <c r="I179" s="19"/>
      <c r="J179" s="19"/>
      <c r="K179" s="19"/>
      <c r="L179" s="19"/>
      <c r="M179" s="19"/>
      <c r="N179" s="19"/>
      <c r="O179" s="19"/>
      <c r="P179" s="17"/>
      <c r="Q179" s="5"/>
    </row>
    <row r="180" spans="1:17" x14ac:dyDescent="0.3">
      <c r="A180" s="14"/>
      <c r="B180" s="14" t="str">
        <f>Fill_Value(quality!B180)</f>
        <v/>
      </c>
      <c r="C180" s="14" t="str">
        <f>Fill_Value(quality!C180)</f>
        <v/>
      </c>
      <c r="D180" s="15"/>
      <c r="E180" s="16"/>
      <c r="F180" s="16"/>
      <c r="G180" s="16"/>
      <c r="H180" s="16"/>
      <c r="I180" s="16"/>
      <c r="J180" s="16"/>
      <c r="K180" s="16"/>
      <c r="L180" s="16"/>
      <c r="M180" s="16"/>
      <c r="N180" s="16"/>
      <c r="O180" s="16"/>
      <c r="P180" s="14"/>
      <c r="Q180" s="4"/>
    </row>
    <row r="181" spans="1:17" x14ac:dyDescent="0.3">
      <c r="A181" s="17"/>
      <c r="B181" s="17" t="str">
        <f>Fill_Value(quality!B181)</f>
        <v/>
      </c>
      <c r="C181" s="17" t="str">
        <f>Fill_Value(quality!C181)</f>
        <v/>
      </c>
      <c r="D181" s="18"/>
      <c r="E181" s="19"/>
      <c r="F181" s="19"/>
      <c r="G181" s="19"/>
      <c r="H181" s="19"/>
      <c r="I181" s="19"/>
      <c r="J181" s="19"/>
      <c r="K181" s="19"/>
      <c r="L181" s="19"/>
      <c r="M181" s="19"/>
      <c r="N181" s="19"/>
      <c r="O181" s="19"/>
      <c r="P181" s="17"/>
      <c r="Q181" s="5"/>
    </row>
    <row r="182" spans="1:17" x14ac:dyDescent="0.3">
      <c r="A182" s="14"/>
      <c r="B182" s="14" t="str">
        <f>Fill_Value(quality!B182)</f>
        <v/>
      </c>
      <c r="C182" s="14" t="str">
        <f>Fill_Value(quality!C182)</f>
        <v/>
      </c>
      <c r="D182" s="15"/>
      <c r="E182" s="16"/>
      <c r="F182" s="16"/>
      <c r="G182" s="16"/>
      <c r="H182" s="16"/>
      <c r="I182" s="16"/>
      <c r="J182" s="16"/>
      <c r="K182" s="16"/>
      <c r="L182" s="16"/>
      <c r="M182" s="16"/>
      <c r="N182" s="16"/>
      <c r="O182" s="16"/>
      <c r="P182" s="14"/>
      <c r="Q182" s="4"/>
    </row>
    <row r="183" spans="1:17" x14ac:dyDescent="0.3">
      <c r="A183" s="17"/>
      <c r="B183" s="17" t="str">
        <f>Fill_Value(quality!B183)</f>
        <v/>
      </c>
      <c r="C183" s="17" t="str">
        <f>Fill_Value(quality!C183)</f>
        <v/>
      </c>
      <c r="D183" s="18"/>
      <c r="E183" s="19"/>
      <c r="F183" s="19"/>
      <c r="G183" s="19"/>
      <c r="H183" s="19"/>
      <c r="I183" s="19"/>
      <c r="J183" s="19"/>
      <c r="K183" s="19"/>
      <c r="L183" s="19"/>
      <c r="M183" s="19"/>
      <c r="N183" s="19"/>
      <c r="O183" s="19"/>
      <c r="P183" s="17"/>
      <c r="Q183" s="5"/>
    </row>
    <row r="184" spans="1:17" x14ac:dyDescent="0.3">
      <c r="A184" s="14"/>
      <c r="B184" s="14" t="str">
        <f>Fill_Value(quality!B184)</f>
        <v/>
      </c>
      <c r="C184" s="14" t="str">
        <f>Fill_Value(quality!C184)</f>
        <v/>
      </c>
      <c r="D184" s="15"/>
      <c r="E184" s="16"/>
      <c r="F184" s="16"/>
      <c r="G184" s="16"/>
      <c r="H184" s="16"/>
      <c r="I184" s="16"/>
      <c r="J184" s="16"/>
      <c r="K184" s="16"/>
      <c r="L184" s="16"/>
      <c r="M184" s="16"/>
      <c r="N184" s="16"/>
      <c r="O184" s="16"/>
      <c r="P184" s="14"/>
      <c r="Q184" s="4"/>
    </row>
    <row r="185" spans="1:17" x14ac:dyDescent="0.3">
      <c r="A185" s="17"/>
      <c r="B185" s="17" t="str">
        <f>Fill_Value(quality!B185)</f>
        <v/>
      </c>
      <c r="C185" s="17" t="str">
        <f>Fill_Value(quality!C185)</f>
        <v/>
      </c>
      <c r="D185" s="18"/>
      <c r="E185" s="19"/>
      <c r="F185" s="19"/>
      <c r="G185" s="19"/>
      <c r="H185" s="19"/>
      <c r="I185" s="19"/>
      <c r="J185" s="19"/>
      <c r="K185" s="19"/>
      <c r="L185" s="19"/>
      <c r="M185" s="19"/>
      <c r="N185" s="19"/>
      <c r="O185" s="19"/>
      <c r="P185" s="17"/>
      <c r="Q185" s="5"/>
    </row>
    <row r="186" spans="1:17" x14ac:dyDescent="0.3">
      <c r="A186" s="14"/>
      <c r="B186" s="14" t="str">
        <f>Fill_Value(quality!B186)</f>
        <v/>
      </c>
      <c r="C186" s="14" t="str">
        <f>Fill_Value(quality!C186)</f>
        <v/>
      </c>
      <c r="D186" s="15"/>
      <c r="E186" s="16"/>
      <c r="F186" s="16"/>
      <c r="G186" s="16"/>
      <c r="H186" s="16"/>
      <c r="I186" s="16"/>
      <c r="J186" s="16"/>
      <c r="K186" s="16"/>
      <c r="L186" s="16"/>
      <c r="M186" s="16"/>
      <c r="N186" s="16"/>
      <c r="O186" s="16"/>
      <c r="P186" s="14"/>
      <c r="Q186" s="4"/>
    </row>
    <row r="187" spans="1:17" x14ac:dyDescent="0.3">
      <c r="A187" s="17"/>
      <c r="B187" s="17" t="str">
        <f>Fill_Value(quality!B187)</f>
        <v/>
      </c>
      <c r="C187" s="17" t="str">
        <f>Fill_Value(quality!C187)</f>
        <v/>
      </c>
      <c r="D187" s="18"/>
      <c r="E187" s="19"/>
      <c r="F187" s="19"/>
      <c r="G187" s="19"/>
      <c r="H187" s="19"/>
      <c r="I187" s="19"/>
      <c r="J187" s="19"/>
      <c r="K187" s="19"/>
      <c r="L187" s="19"/>
      <c r="M187" s="19"/>
      <c r="N187" s="19"/>
      <c r="O187" s="19"/>
      <c r="P187" s="17"/>
      <c r="Q187" s="5"/>
    </row>
    <row r="188" spans="1:17" x14ac:dyDescent="0.3">
      <c r="A188" s="14"/>
      <c r="B188" s="14" t="str">
        <f>Fill_Value(quality!B188)</f>
        <v/>
      </c>
      <c r="C188" s="14" t="str">
        <f>Fill_Value(quality!C188)</f>
        <v/>
      </c>
      <c r="D188" s="15"/>
      <c r="E188" s="16"/>
      <c r="F188" s="16"/>
      <c r="G188" s="16"/>
      <c r="H188" s="16"/>
      <c r="I188" s="16"/>
      <c r="J188" s="16"/>
      <c r="K188" s="16"/>
      <c r="L188" s="16"/>
      <c r="M188" s="16"/>
      <c r="N188" s="16"/>
      <c r="O188" s="16"/>
      <c r="P188" s="14"/>
      <c r="Q188" s="4"/>
    </row>
    <row r="189" spans="1:17" x14ac:dyDescent="0.3">
      <c r="A189" s="17"/>
      <c r="B189" s="17" t="str">
        <f>Fill_Value(quality!B189)</f>
        <v/>
      </c>
      <c r="C189" s="17" t="str">
        <f>Fill_Value(quality!C189)</f>
        <v/>
      </c>
      <c r="D189" s="18"/>
      <c r="E189" s="19"/>
      <c r="F189" s="19"/>
      <c r="G189" s="19"/>
      <c r="H189" s="19"/>
      <c r="I189" s="19"/>
      <c r="J189" s="19"/>
      <c r="K189" s="19"/>
      <c r="L189" s="19"/>
      <c r="M189" s="19"/>
      <c r="N189" s="19"/>
      <c r="O189" s="19"/>
      <c r="P189" s="17"/>
      <c r="Q189" s="5"/>
    </row>
    <row r="190" spans="1:17" x14ac:dyDescent="0.3">
      <c r="A190" s="14"/>
      <c r="B190" s="14" t="str">
        <f>Fill_Value(quality!B190)</f>
        <v/>
      </c>
      <c r="C190" s="14" t="str">
        <f>Fill_Value(quality!C190)</f>
        <v/>
      </c>
      <c r="D190" s="15"/>
      <c r="E190" s="16"/>
      <c r="F190" s="16"/>
      <c r="G190" s="16"/>
      <c r="H190" s="16"/>
      <c r="I190" s="16"/>
      <c r="J190" s="16"/>
      <c r="K190" s="16"/>
      <c r="L190" s="16"/>
      <c r="M190" s="16"/>
      <c r="N190" s="16"/>
      <c r="O190" s="16"/>
      <c r="P190" s="14"/>
      <c r="Q190" s="4"/>
    </row>
    <row r="191" spans="1:17" x14ac:dyDescent="0.3">
      <c r="A191" s="17"/>
      <c r="B191" s="17" t="str">
        <f>Fill_Value(quality!B191)</f>
        <v/>
      </c>
      <c r="C191" s="17" t="str">
        <f>Fill_Value(quality!C191)</f>
        <v/>
      </c>
      <c r="D191" s="18"/>
      <c r="E191" s="19"/>
      <c r="F191" s="19"/>
      <c r="G191" s="19"/>
      <c r="H191" s="19"/>
      <c r="I191" s="19"/>
      <c r="J191" s="19"/>
      <c r="K191" s="19"/>
      <c r="L191" s="19"/>
      <c r="M191" s="19"/>
      <c r="N191" s="19"/>
      <c r="O191" s="19"/>
      <c r="P191" s="17"/>
      <c r="Q191" s="5"/>
    </row>
    <row r="192" spans="1:17" x14ac:dyDescent="0.3">
      <c r="A192" s="14"/>
      <c r="B192" s="14" t="str">
        <f>Fill_Value(quality!B192)</f>
        <v/>
      </c>
      <c r="C192" s="14" t="str">
        <f>Fill_Value(quality!C192)</f>
        <v/>
      </c>
      <c r="D192" s="15"/>
      <c r="E192" s="16"/>
      <c r="F192" s="16"/>
      <c r="G192" s="16"/>
      <c r="H192" s="16"/>
      <c r="I192" s="16"/>
      <c r="J192" s="16"/>
      <c r="K192" s="16"/>
      <c r="L192" s="16"/>
      <c r="M192" s="16"/>
      <c r="N192" s="16"/>
      <c r="O192" s="16"/>
      <c r="P192" s="14"/>
      <c r="Q192" s="4"/>
    </row>
    <row r="193" spans="1:17" x14ac:dyDescent="0.3">
      <c r="A193" s="17"/>
      <c r="B193" s="17" t="str">
        <f>Fill_Value(quality!B193)</f>
        <v/>
      </c>
      <c r="C193" s="17" t="str">
        <f>Fill_Value(quality!C193)</f>
        <v/>
      </c>
      <c r="D193" s="18"/>
      <c r="E193" s="19"/>
      <c r="F193" s="19"/>
      <c r="G193" s="19"/>
      <c r="H193" s="19"/>
      <c r="I193" s="19"/>
      <c r="J193" s="19"/>
      <c r="K193" s="19"/>
      <c r="L193" s="19"/>
      <c r="M193" s="19"/>
      <c r="N193" s="19"/>
      <c r="O193" s="19"/>
      <c r="P193" s="17"/>
      <c r="Q193" s="5"/>
    </row>
    <row r="194" spans="1:17" x14ac:dyDescent="0.3">
      <c r="A194" s="14"/>
      <c r="B194" s="14" t="str">
        <f>Fill_Value(quality!B194)</f>
        <v/>
      </c>
      <c r="C194" s="14" t="str">
        <f>Fill_Value(quality!C194)</f>
        <v/>
      </c>
      <c r="D194" s="15"/>
      <c r="E194" s="16"/>
      <c r="F194" s="16"/>
      <c r="G194" s="16"/>
      <c r="H194" s="16"/>
      <c r="I194" s="16"/>
      <c r="J194" s="16"/>
      <c r="K194" s="16"/>
      <c r="L194" s="16"/>
      <c r="M194" s="16"/>
      <c r="N194" s="16"/>
      <c r="O194" s="16"/>
      <c r="P194" s="14"/>
      <c r="Q194" s="4"/>
    </row>
    <row r="195" spans="1:17" x14ac:dyDescent="0.3">
      <c r="A195" s="17"/>
      <c r="B195" s="17" t="str">
        <f>Fill_Value(quality!B195)</f>
        <v/>
      </c>
      <c r="C195" s="17" t="str">
        <f>Fill_Value(quality!C195)</f>
        <v/>
      </c>
      <c r="D195" s="18"/>
      <c r="E195" s="19"/>
      <c r="F195" s="19"/>
      <c r="G195" s="19"/>
      <c r="H195" s="19"/>
      <c r="I195" s="19"/>
      <c r="J195" s="19"/>
      <c r="K195" s="19"/>
      <c r="L195" s="19"/>
      <c r="M195" s="19"/>
      <c r="N195" s="19"/>
      <c r="O195" s="19"/>
      <c r="P195" s="17"/>
      <c r="Q195" s="5"/>
    </row>
    <row r="196" spans="1:17" x14ac:dyDescent="0.3">
      <c r="A196" s="14"/>
      <c r="B196" s="14" t="str">
        <f>Fill_Value(quality!B196)</f>
        <v/>
      </c>
      <c r="C196" s="14" t="str">
        <f>Fill_Value(quality!C196)</f>
        <v/>
      </c>
      <c r="D196" s="15"/>
      <c r="E196" s="16"/>
      <c r="F196" s="16"/>
      <c r="G196" s="16"/>
      <c r="H196" s="16"/>
      <c r="I196" s="16"/>
      <c r="J196" s="16"/>
      <c r="K196" s="16"/>
      <c r="L196" s="16"/>
      <c r="M196" s="16"/>
      <c r="N196" s="16"/>
      <c r="O196" s="16"/>
      <c r="P196" s="14"/>
      <c r="Q196" s="4"/>
    </row>
    <row r="197" spans="1:17" x14ac:dyDescent="0.3">
      <c r="A197" s="17"/>
      <c r="B197" s="17" t="str">
        <f>Fill_Value(quality!B197)</f>
        <v/>
      </c>
      <c r="C197" s="17" t="str">
        <f>Fill_Value(quality!C197)</f>
        <v/>
      </c>
      <c r="D197" s="18"/>
      <c r="E197" s="19"/>
      <c r="F197" s="19"/>
      <c r="G197" s="19"/>
      <c r="H197" s="19"/>
      <c r="I197" s="19"/>
      <c r="J197" s="19"/>
      <c r="K197" s="19"/>
      <c r="L197" s="19"/>
      <c r="M197" s="19"/>
      <c r="N197" s="19"/>
      <c r="O197" s="19"/>
      <c r="P197" s="17"/>
      <c r="Q197" s="5"/>
    </row>
    <row r="198" spans="1:17" x14ac:dyDescent="0.3">
      <c r="A198" s="14"/>
      <c r="B198" s="14" t="str">
        <f>Fill_Value(quality!B198)</f>
        <v/>
      </c>
      <c r="C198" s="14" t="str">
        <f>Fill_Value(quality!C198)</f>
        <v/>
      </c>
      <c r="D198" s="15"/>
      <c r="E198" s="16"/>
      <c r="F198" s="16"/>
      <c r="G198" s="16"/>
      <c r="H198" s="16"/>
      <c r="I198" s="16"/>
      <c r="J198" s="16"/>
      <c r="K198" s="16"/>
      <c r="L198" s="16"/>
      <c r="M198" s="16"/>
      <c r="N198" s="16"/>
      <c r="O198" s="16"/>
      <c r="P198" s="14"/>
      <c r="Q198" s="4"/>
    </row>
    <row r="199" spans="1:17" x14ac:dyDescent="0.3">
      <c r="A199" s="17"/>
      <c r="B199" s="17" t="str">
        <f>Fill_Value(quality!B199)</f>
        <v/>
      </c>
      <c r="C199" s="17" t="str">
        <f>Fill_Value(quality!C199)</f>
        <v/>
      </c>
      <c r="D199" s="18"/>
      <c r="E199" s="19"/>
      <c r="F199" s="19"/>
      <c r="G199" s="19"/>
      <c r="H199" s="19"/>
      <c r="I199" s="19"/>
      <c r="J199" s="19"/>
      <c r="K199" s="19"/>
      <c r="L199" s="19"/>
      <c r="M199" s="19"/>
      <c r="N199" s="19"/>
      <c r="O199" s="19"/>
      <c r="P199" s="17"/>
      <c r="Q199" s="5"/>
    </row>
    <row r="200" spans="1:17" x14ac:dyDescent="0.3">
      <c r="A200" s="14"/>
      <c r="B200" s="14" t="str">
        <f>Fill_Value(quality!B200)</f>
        <v/>
      </c>
      <c r="C200" s="14" t="str">
        <f>Fill_Value(quality!C200)</f>
        <v/>
      </c>
      <c r="D200" s="15"/>
      <c r="E200" s="16"/>
      <c r="F200" s="16"/>
      <c r="G200" s="16"/>
      <c r="H200" s="16"/>
      <c r="I200" s="16"/>
      <c r="J200" s="16"/>
      <c r="K200" s="16"/>
      <c r="L200" s="16"/>
      <c r="M200" s="16"/>
      <c r="N200" s="16"/>
      <c r="O200" s="16"/>
      <c r="P200" s="14"/>
      <c r="Q200" s="4"/>
    </row>
    <row r="201" spans="1:17" x14ac:dyDescent="0.3">
      <c r="A201" s="17"/>
      <c r="B201" s="17" t="str">
        <f>Fill_Value(quality!B201)</f>
        <v/>
      </c>
      <c r="C201" s="17" t="str">
        <f>Fill_Value(quality!C201)</f>
        <v/>
      </c>
      <c r="D201" s="18"/>
      <c r="E201" s="19"/>
      <c r="F201" s="19"/>
      <c r="G201" s="19"/>
      <c r="H201" s="19"/>
      <c r="I201" s="19"/>
      <c r="J201" s="19"/>
      <c r="K201" s="19"/>
      <c r="L201" s="19"/>
      <c r="M201" s="19"/>
      <c r="N201" s="19"/>
      <c r="O201" s="19"/>
      <c r="P201" s="17"/>
      <c r="Q201" s="5"/>
    </row>
    <row r="202" spans="1:17" x14ac:dyDescent="0.3">
      <c r="A202" s="14"/>
      <c r="B202" s="14" t="str">
        <f>Fill_Value(quality!B202)</f>
        <v/>
      </c>
      <c r="C202" s="14" t="str">
        <f>Fill_Value(quality!C202)</f>
        <v/>
      </c>
      <c r="D202" s="15"/>
      <c r="E202" s="16"/>
      <c r="F202" s="16"/>
      <c r="G202" s="16"/>
      <c r="H202" s="16"/>
      <c r="I202" s="16"/>
      <c r="J202" s="16"/>
      <c r="K202" s="16"/>
      <c r="L202" s="16"/>
      <c r="M202" s="16"/>
      <c r="N202" s="16"/>
      <c r="O202" s="16"/>
      <c r="P202" s="14"/>
      <c r="Q202" s="4"/>
    </row>
    <row r="203" spans="1:17" x14ac:dyDescent="0.3">
      <c r="A203" s="17"/>
      <c r="B203" s="17" t="str">
        <f>Fill_Value(quality!B203)</f>
        <v/>
      </c>
      <c r="C203" s="17" t="str">
        <f>Fill_Value(quality!C203)</f>
        <v/>
      </c>
      <c r="D203" s="18"/>
      <c r="E203" s="19"/>
      <c r="F203" s="19"/>
      <c r="G203" s="19"/>
      <c r="H203" s="19"/>
      <c r="I203" s="19"/>
      <c r="J203" s="19"/>
      <c r="K203" s="19"/>
      <c r="L203" s="19"/>
      <c r="M203" s="19"/>
      <c r="N203" s="19"/>
      <c r="O203" s="19"/>
      <c r="P203" s="17"/>
      <c r="Q203" s="5"/>
    </row>
    <row r="204" spans="1:17" x14ac:dyDescent="0.3">
      <c r="A204" s="14"/>
      <c r="B204" s="14" t="str">
        <f>Fill_Value(quality!B204)</f>
        <v/>
      </c>
      <c r="C204" s="14" t="str">
        <f>Fill_Value(quality!C204)</f>
        <v/>
      </c>
      <c r="D204" s="15"/>
      <c r="E204" s="16"/>
      <c r="F204" s="16"/>
      <c r="G204" s="16"/>
      <c r="H204" s="16"/>
      <c r="I204" s="16"/>
      <c r="J204" s="16"/>
      <c r="K204" s="16"/>
      <c r="L204" s="16"/>
      <c r="M204" s="16"/>
      <c r="N204" s="16"/>
      <c r="O204" s="16"/>
      <c r="P204" s="14"/>
      <c r="Q204" s="4"/>
    </row>
    <row r="205" spans="1:17" x14ac:dyDescent="0.3">
      <c r="A205" s="17"/>
      <c r="B205" s="17" t="str">
        <f>Fill_Value(quality!B205)</f>
        <v/>
      </c>
      <c r="C205" s="17" t="str">
        <f>Fill_Value(quality!C205)</f>
        <v/>
      </c>
      <c r="D205" s="18"/>
      <c r="E205" s="19"/>
      <c r="F205" s="19"/>
      <c r="G205" s="19"/>
      <c r="H205" s="19"/>
      <c r="I205" s="19"/>
      <c r="J205" s="19"/>
      <c r="K205" s="19"/>
      <c r="L205" s="19"/>
      <c r="M205" s="19"/>
      <c r="N205" s="19"/>
      <c r="O205" s="19"/>
      <c r="P205" s="17"/>
      <c r="Q205" s="5"/>
    </row>
    <row r="206" spans="1:17" x14ac:dyDescent="0.3">
      <c r="A206" s="14"/>
      <c r="B206" s="14" t="str">
        <f>Fill_Value(quality!B206)</f>
        <v/>
      </c>
      <c r="C206" s="14" t="str">
        <f>Fill_Value(quality!C206)</f>
        <v/>
      </c>
      <c r="D206" s="15"/>
      <c r="E206" s="16"/>
      <c r="F206" s="16"/>
      <c r="G206" s="16"/>
      <c r="H206" s="16"/>
      <c r="I206" s="16"/>
      <c r="J206" s="16"/>
      <c r="K206" s="16"/>
      <c r="L206" s="16"/>
      <c r="M206" s="16"/>
      <c r="N206" s="16"/>
      <c r="O206" s="16"/>
      <c r="P206" s="14"/>
      <c r="Q206" s="4"/>
    </row>
    <row r="207" spans="1:17" x14ac:dyDescent="0.3">
      <c r="A207" s="17"/>
      <c r="B207" s="17" t="str">
        <f>Fill_Value(quality!B207)</f>
        <v/>
      </c>
      <c r="C207" s="17" t="str">
        <f>Fill_Value(quality!C207)</f>
        <v/>
      </c>
      <c r="D207" s="18"/>
      <c r="E207" s="19"/>
      <c r="F207" s="19"/>
      <c r="G207" s="19"/>
      <c r="H207" s="19"/>
      <c r="I207" s="19"/>
      <c r="J207" s="19"/>
      <c r="K207" s="19"/>
      <c r="L207" s="19"/>
      <c r="M207" s="19"/>
      <c r="N207" s="19"/>
      <c r="O207" s="19"/>
      <c r="P207" s="17"/>
      <c r="Q207" s="5"/>
    </row>
    <row r="208" spans="1:17" x14ac:dyDescent="0.3">
      <c r="A208" s="14"/>
      <c r="B208" s="14" t="str">
        <f>Fill_Value(quality!B208)</f>
        <v/>
      </c>
      <c r="C208" s="14" t="str">
        <f>Fill_Value(quality!C208)</f>
        <v/>
      </c>
      <c r="D208" s="15"/>
      <c r="E208" s="16"/>
      <c r="F208" s="16"/>
      <c r="G208" s="16"/>
      <c r="H208" s="16"/>
      <c r="I208" s="16"/>
      <c r="J208" s="16"/>
      <c r="K208" s="16"/>
      <c r="L208" s="16"/>
      <c r="M208" s="16"/>
      <c r="N208" s="16"/>
      <c r="O208" s="16"/>
      <c r="P208" s="14"/>
      <c r="Q208" s="4"/>
    </row>
    <row r="209" spans="1:17" x14ac:dyDescent="0.3">
      <c r="A209" s="17"/>
      <c r="B209" s="17" t="str">
        <f>Fill_Value(quality!B209)</f>
        <v/>
      </c>
      <c r="C209" s="17" t="str">
        <f>Fill_Value(quality!C209)</f>
        <v/>
      </c>
      <c r="D209" s="18"/>
      <c r="E209" s="19"/>
      <c r="F209" s="19"/>
      <c r="G209" s="19"/>
      <c r="H209" s="19"/>
      <c r="I209" s="19"/>
      <c r="J209" s="19"/>
      <c r="K209" s="19"/>
      <c r="L209" s="19"/>
      <c r="M209" s="19"/>
      <c r="N209" s="19"/>
      <c r="O209" s="19"/>
      <c r="P209" s="17"/>
      <c r="Q209" s="5"/>
    </row>
    <row r="210" spans="1:17" x14ac:dyDescent="0.3">
      <c r="A210" s="14"/>
      <c r="B210" s="14" t="str">
        <f>Fill_Value(quality!B210)</f>
        <v/>
      </c>
      <c r="C210" s="14" t="str">
        <f>Fill_Value(quality!C210)</f>
        <v/>
      </c>
      <c r="D210" s="15"/>
      <c r="E210" s="16"/>
      <c r="F210" s="16"/>
      <c r="G210" s="16"/>
      <c r="H210" s="16"/>
      <c r="I210" s="16"/>
      <c r="J210" s="16"/>
      <c r="K210" s="16"/>
      <c r="L210" s="16"/>
      <c r="M210" s="16"/>
      <c r="N210" s="16"/>
      <c r="O210" s="16"/>
      <c r="P210" s="14"/>
      <c r="Q210" s="4"/>
    </row>
    <row r="211" spans="1:17" x14ac:dyDescent="0.3">
      <c r="A211" s="17"/>
      <c r="B211" s="17" t="str">
        <f>Fill_Value(quality!B211)</f>
        <v/>
      </c>
      <c r="C211" s="17" t="str">
        <f>Fill_Value(quality!C211)</f>
        <v/>
      </c>
      <c r="D211" s="18"/>
      <c r="E211" s="19"/>
      <c r="F211" s="19"/>
      <c r="G211" s="19"/>
      <c r="H211" s="19"/>
      <c r="I211" s="19"/>
      <c r="J211" s="19"/>
      <c r="K211" s="19"/>
      <c r="L211" s="19"/>
      <c r="M211" s="19"/>
      <c r="N211" s="19"/>
      <c r="O211" s="19"/>
      <c r="P211" s="17"/>
      <c r="Q211" s="5"/>
    </row>
    <row r="212" spans="1:17" x14ac:dyDescent="0.3">
      <c r="A212" s="14"/>
      <c r="B212" s="14" t="str">
        <f>Fill_Value(quality!B212)</f>
        <v/>
      </c>
      <c r="C212" s="14" t="str">
        <f>Fill_Value(quality!C212)</f>
        <v/>
      </c>
      <c r="D212" s="15"/>
      <c r="E212" s="16"/>
      <c r="F212" s="16"/>
      <c r="G212" s="16"/>
      <c r="H212" s="16"/>
      <c r="I212" s="16"/>
      <c r="J212" s="16"/>
      <c r="K212" s="16"/>
      <c r="L212" s="16"/>
      <c r="M212" s="16"/>
      <c r="N212" s="16"/>
      <c r="O212" s="16"/>
      <c r="P212" s="14"/>
      <c r="Q212" s="4"/>
    </row>
    <row r="213" spans="1:17" x14ac:dyDescent="0.3">
      <c r="A213" s="17"/>
      <c r="B213" s="17" t="str">
        <f>Fill_Value(quality!B213)</f>
        <v/>
      </c>
      <c r="C213" s="17" t="str">
        <f>Fill_Value(quality!C213)</f>
        <v/>
      </c>
      <c r="D213" s="18"/>
      <c r="E213" s="19"/>
      <c r="F213" s="19"/>
      <c r="G213" s="19"/>
      <c r="H213" s="19"/>
      <c r="I213" s="19"/>
      <c r="J213" s="19"/>
      <c r="K213" s="19"/>
      <c r="L213" s="19"/>
      <c r="M213" s="19"/>
      <c r="N213" s="19"/>
      <c r="O213" s="19"/>
      <c r="P213" s="17"/>
      <c r="Q213" s="5"/>
    </row>
    <row r="214" spans="1:17" x14ac:dyDescent="0.3">
      <c r="A214" s="14"/>
      <c r="B214" s="14" t="str">
        <f>Fill_Value(quality!B214)</f>
        <v/>
      </c>
      <c r="C214" s="14" t="str">
        <f>Fill_Value(quality!C214)</f>
        <v/>
      </c>
      <c r="D214" s="15"/>
      <c r="E214" s="16"/>
      <c r="F214" s="16"/>
      <c r="G214" s="16"/>
      <c r="H214" s="16"/>
      <c r="I214" s="16"/>
      <c r="J214" s="16"/>
      <c r="K214" s="16"/>
      <c r="L214" s="16"/>
      <c r="M214" s="16"/>
      <c r="N214" s="16"/>
      <c r="O214" s="16"/>
      <c r="P214" s="14"/>
      <c r="Q214" s="4"/>
    </row>
    <row r="215" spans="1:17" x14ac:dyDescent="0.3">
      <c r="A215" s="17"/>
      <c r="B215" s="17" t="str">
        <f>Fill_Value(quality!B215)</f>
        <v/>
      </c>
      <c r="C215" s="17" t="str">
        <f>Fill_Value(quality!C215)</f>
        <v/>
      </c>
      <c r="D215" s="18"/>
      <c r="E215" s="19"/>
      <c r="F215" s="19"/>
      <c r="G215" s="19"/>
      <c r="H215" s="19"/>
      <c r="I215" s="19"/>
      <c r="J215" s="19"/>
      <c r="K215" s="19"/>
      <c r="L215" s="19"/>
      <c r="M215" s="19"/>
      <c r="N215" s="19"/>
      <c r="O215" s="19"/>
      <c r="P215" s="17"/>
      <c r="Q215" s="5"/>
    </row>
    <row r="216" spans="1:17" x14ac:dyDescent="0.3">
      <c r="A216" s="14"/>
      <c r="B216" s="14" t="str">
        <f>Fill_Value(quality!B216)</f>
        <v/>
      </c>
      <c r="C216" s="14" t="str">
        <f>Fill_Value(quality!C216)</f>
        <v/>
      </c>
      <c r="D216" s="15"/>
      <c r="E216" s="16"/>
      <c r="F216" s="16"/>
      <c r="G216" s="16"/>
      <c r="H216" s="16"/>
      <c r="I216" s="16"/>
      <c r="J216" s="16"/>
      <c r="K216" s="16"/>
      <c r="L216" s="16"/>
      <c r="M216" s="16"/>
      <c r="N216" s="16"/>
      <c r="O216" s="16"/>
      <c r="P216" s="14"/>
      <c r="Q216" s="4"/>
    </row>
    <row r="217" spans="1:17" x14ac:dyDescent="0.3">
      <c r="A217" s="17"/>
      <c r="B217" s="17" t="str">
        <f>Fill_Value(quality!B217)</f>
        <v/>
      </c>
      <c r="C217" s="17" t="str">
        <f>Fill_Value(quality!C217)</f>
        <v/>
      </c>
      <c r="D217" s="18"/>
      <c r="E217" s="19"/>
      <c r="F217" s="19"/>
      <c r="G217" s="19"/>
      <c r="H217" s="19"/>
      <c r="I217" s="19"/>
      <c r="J217" s="19"/>
      <c r="K217" s="19"/>
      <c r="L217" s="19"/>
      <c r="M217" s="19"/>
      <c r="N217" s="19"/>
      <c r="O217" s="19"/>
      <c r="P217" s="17"/>
      <c r="Q217" s="5"/>
    </row>
    <row r="218" spans="1:17" x14ac:dyDescent="0.3">
      <c r="A218" s="14"/>
      <c r="B218" s="14" t="str">
        <f>Fill_Value(quality!B218)</f>
        <v/>
      </c>
      <c r="C218" s="14" t="str">
        <f>Fill_Value(quality!C218)</f>
        <v/>
      </c>
      <c r="D218" s="15"/>
      <c r="E218" s="16"/>
      <c r="F218" s="16"/>
      <c r="G218" s="16"/>
      <c r="H218" s="16"/>
      <c r="I218" s="16"/>
      <c r="J218" s="16"/>
      <c r="K218" s="16"/>
      <c r="L218" s="16"/>
      <c r="M218" s="16"/>
      <c r="N218" s="16"/>
      <c r="O218" s="16"/>
      <c r="P218" s="14"/>
      <c r="Q218" s="4"/>
    </row>
    <row r="219" spans="1:17" x14ac:dyDescent="0.3">
      <c r="A219" s="17"/>
      <c r="B219" s="17" t="str">
        <f>Fill_Value(quality!B219)</f>
        <v/>
      </c>
      <c r="C219" s="17" t="str">
        <f>Fill_Value(quality!C219)</f>
        <v/>
      </c>
      <c r="D219" s="18"/>
      <c r="E219" s="19"/>
      <c r="F219" s="19"/>
      <c r="G219" s="19"/>
      <c r="H219" s="19"/>
      <c r="I219" s="19"/>
      <c r="J219" s="19"/>
      <c r="K219" s="19"/>
      <c r="L219" s="19"/>
      <c r="M219" s="19"/>
      <c r="N219" s="19"/>
      <c r="O219" s="19"/>
      <c r="P219" s="17"/>
      <c r="Q219" s="5"/>
    </row>
    <row r="220" spans="1:17" x14ac:dyDescent="0.3">
      <c r="A220" s="14"/>
      <c r="B220" s="14" t="str">
        <f>Fill_Value(quality!B220)</f>
        <v/>
      </c>
      <c r="C220" s="14" t="str">
        <f>Fill_Value(quality!C220)</f>
        <v/>
      </c>
      <c r="D220" s="15"/>
      <c r="E220" s="16"/>
      <c r="F220" s="16"/>
      <c r="G220" s="16"/>
      <c r="H220" s="16"/>
      <c r="I220" s="16"/>
      <c r="J220" s="16"/>
      <c r="K220" s="16"/>
      <c r="L220" s="16"/>
      <c r="M220" s="16"/>
      <c r="N220" s="16"/>
      <c r="O220" s="16"/>
      <c r="P220" s="14"/>
      <c r="Q220" s="4"/>
    </row>
    <row r="221" spans="1:17" x14ac:dyDescent="0.3">
      <c r="A221" s="17"/>
      <c r="B221" s="17" t="str">
        <f>Fill_Value(quality!B221)</f>
        <v/>
      </c>
      <c r="C221" s="17" t="str">
        <f>Fill_Value(quality!C221)</f>
        <v/>
      </c>
      <c r="D221" s="18"/>
      <c r="E221" s="19"/>
      <c r="F221" s="19"/>
      <c r="G221" s="19"/>
      <c r="H221" s="19"/>
      <c r="I221" s="19"/>
      <c r="J221" s="19"/>
      <c r="K221" s="19"/>
      <c r="L221" s="19"/>
      <c r="M221" s="19"/>
      <c r="N221" s="19"/>
      <c r="O221" s="19"/>
      <c r="P221" s="17"/>
      <c r="Q221" s="5"/>
    </row>
    <row r="222" spans="1:17" x14ac:dyDescent="0.3">
      <c r="A222" s="14"/>
      <c r="B222" s="14" t="str">
        <f>Fill_Value(quality!B222)</f>
        <v/>
      </c>
      <c r="C222" s="14" t="str">
        <f>Fill_Value(quality!C222)</f>
        <v/>
      </c>
      <c r="D222" s="15"/>
      <c r="E222" s="16"/>
      <c r="F222" s="16"/>
      <c r="G222" s="16"/>
      <c r="H222" s="16"/>
      <c r="I222" s="16"/>
      <c r="J222" s="16"/>
      <c r="K222" s="16"/>
      <c r="L222" s="16"/>
      <c r="M222" s="16"/>
      <c r="N222" s="16"/>
      <c r="O222" s="16"/>
      <c r="P222" s="14"/>
      <c r="Q222" s="4"/>
    </row>
    <row r="223" spans="1:17" x14ac:dyDescent="0.3">
      <c r="A223" s="17"/>
      <c r="B223" s="17" t="str">
        <f>Fill_Value(quality!B223)</f>
        <v/>
      </c>
      <c r="C223" s="17" t="str">
        <f>Fill_Value(quality!C223)</f>
        <v/>
      </c>
      <c r="D223" s="18"/>
      <c r="E223" s="19"/>
      <c r="F223" s="19"/>
      <c r="G223" s="19"/>
      <c r="H223" s="19"/>
      <c r="I223" s="19"/>
      <c r="J223" s="19"/>
      <c r="K223" s="19"/>
      <c r="L223" s="19"/>
      <c r="M223" s="19"/>
      <c r="N223" s="19"/>
      <c r="O223" s="19"/>
      <c r="P223" s="17"/>
      <c r="Q223" s="5"/>
    </row>
    <row r="224" spans="1:17" x14ac:dyDescent="0.3">
      <c r="A224" s="14"/>
      <c r="B224" s="14" t="str">
        <f>Fill_Value(quality!B224)</f>
        <v/>
      </c>
      <c r="C224" s="14" t="str">
        <f>Fill_Value(quality!C224)</f>
        <v/>
      </c>
      <c r="D224" s="15"/>
      <c r="E224" s="16"/>
      <c r="F224" s="16"/>
      <c r="G224" s="16"/>
      <c r="H224" s="16"/>
      <c r="I224" s="16"/>
      <c r="J224" s="16"/>
      <c r="K224" s="16"/>
      <c r="L224" s="16"/>
      <c r="M224" s="16"/>
      <c r="N224" s="16"/>
      <c r="O224" s="16"/>
      <c r="P224" s="14"/>
      <c r="Q224" s="4"/>
    </row>
    <row r="225" spans="1:17" x14ac:dyDescent="0.3">
      <c r="A225" s="17"/>
      <c r="B225" s="17" t="str">
        <f>Fill_Value(quality!B225)</f>
        <v/>
      </c>
      <c r="C225" s="17" t="str">
        <f>Fill_Value(quality!C225)</f>
        <v/>
      </c>
      <c r="D225" s="18"/>
      <c r="E225" s="19"/>
      <c r="F225" s="19"/>
      <c r="G225" s="19"/>
      <c r="H225" s="19"/>
      <c r="I225" s="19"/>
      <c r="J225" s="19"/>
      <c r="K225" s="19"/>
      <c r="L225" s="19"/>
      <c r="M225" s="19"/>
      <c r="N225" s="19"/>
      <c r="O225" s="19"/>
      <c r="P225" s="17"/>
      <c r="Q225" s="5"/>
    </row>
    <row r="226" spans="1:17" x14ac:dyDescent="0.3">
      <c r="A226" s="14"/>
      <c r="B226" s="14" t="str">
        <f>Fill_Value(quality!B226)</f>
        <v/>
      </c>
      <c r="C226" s="14" t="str">
        <f>Fill_Value(quality!C226)</f>
        <v/>
      </c>
      <c r="D226" s="15"/>
      <c r="E226" s="16"/>
      <c r="F226" s="16"/>
      <c r="G226" s="16"/>
      <c r="H226" s="16"/>
      <c r="I226" s="16"/>
      <c r="J226" s="16"/>
      <c r="K226" s="16"/>
      <c r="L226" s="16"/>
      <c r="M226" s="16"/>
      <c r="N226" s="16"/>
      <c r="O226" s="16"/>
      <c r="P226" s="14"/>
      <c r="Q226" s="4"/>
    </row>
    <row r="227" spans="1:17" x14ac:dyDescent="0.3">
      <c r="A227" s="17"/>
      <c r="B227" s="17" t="str">
        <f>Fill_Value(quality!B227)</f>
        <v/>
      </c>
      <c r="C227" s="17" t="str">
        <f>Fill_Value(quality!C227)</f>
        <v/>
      </c>
      <c r="D227" s="18"/>
      <c r="E227" s="19"/>
      <c r="F227" s="19"/>
      <c r="G227" s="19"/>
      <c r="H227" s="19"/>
      <c r="I227" s="19"/>
      <c r="J227" s="19"/>
      <c r="K227" s="19"/>
      <c r="L227" s="19"/>
      <c r="M227" s="19"/>
      <c r="N227" s="19"/>
      <c r="O227" s="19"/>
      <c r="P227" s="17"/>
      <c r="Q227" s="5"/>
    </row>
    <row r="228" spans="1:17" x14ac:dyDescent="0.3">
      <c r="A228" s="14"/>
      <c r="B228" s="14" t="str">
        <f>Fill_Value(quality!B228)</f>
        <v/>
      </c>
      <c r="C228" s="14" t="str">
        <f>Fill_Value(quality!C228)</f>
        <v/>
      </c>
      <c r="D228" s="15"/>
      <c r="E228" s="16"/>
      <c r="F228" s="16"/>
      <c r="G228" s="16"/>
      <c r="H228" s="16"/>
      <c r="I228" s="16"/>
      <c r="J228" s="16"/>
      <c r="K228" s="16"/>
      <c r="L228" s="16"/>
      <c r="M228" s="16"/>
      <c r="N228" s="16"/>
      <c r="O228" s="16"/>
      <c r="P228" s="14"/>
      <c r="Q228" s="4"/>
    </row>
    <row r="229" spans="1:17" x14ac:dyDescent="0.3">
      <c r="A229" s="17"/>
      <c r="B229" s="17" t="str">
        <f>Fill_Value(quality!B229)</f>
        <v/>
      </c>
      <c r="C229" s="17" t="str">
        <f>Fill_Value(quality!C229)</f>
        <v/>
      </c>
      <c r="D229" s="18"/>
      <c r="E229" s="19"/>
      <c r="F229" s="19"/>
      <c r="G229" s="19"/>
      <c r="H229" s="19"/>
      <c r="I229" s="19"/>
      <c r="J229" s="19"/>
      <c r="K229" s="19"/>
      <c r="L229" s="19"/>
      <c r="M229" s="19"/>
      <c r="N229" s="19"/>
      <c r="O229" s="19"/>
      <c r="P229" s="17"/>
      <c r="Q229" s="5"/>
    </row>
    <row r="230" spans="1:17" x14ac:dyDescent="0.3">
      <c r="A230" s="14"/>
      <c r="B230" s="14" t="str">
        <f>Fill_Value(quality!B230)</f>
        <v/>
      </c>
      <c r="C230" s="14" t="str">
        <f>Fill_Value(quality!C230)</f>
        <v/>
      </c>
      <c r="D230" s="15"/>
      <c r="E230" s="16"/>
      <c r="F230" s="16"/>
      <c r="G230" s="16"/>
      <c r="H230" s="16"/>
      <c r="I230" s="16"/>
      <c r="J230" s="16"/>
      <c r="K230" s="16"/>
      <c r="L230" s="16"/>
      <c r="M230" s="16"/>
      <c r="N230" s="16"/>
      <c r="O230" s="16"/>
      <c r="P230" s="14"/>
      <c r="Q230" s="4"/>
    </row>
    <row r="231" spans="1:17" x14ac:dyDescent="0.3">
      <c r="A231" s="17"/>
      <c r="B231" s="17" t="str">
        <f>Fill_Value(quality!B231)</f>
        <v/>
      </c>
      <c r="C231" s="17" t="str">
        <f>Fill_Value(quality!C231)</f>
        <v/>
      </c>
      <c r="D231" s="18"/>
      <c r="E231" s="19"/>
      <c r="F231" s="19"/>
      <c r="G231" s="19"/>
      <c r="H231" s="19"/>
      <c r="I231" s="19"/>
      <c r="J231" s="19"/>
      <c r="K231" s="19"/>
      <c r="L231" s="19"/>
      <c r="M231" s="19"/>
      <c r="N231" s="19"/>
      <c r="O231" s="19"/>
      <c r="P231" s="17"/>
      <c r="Q231" s="5"/>
    </row>
    <row r="232" spans="1:17" x14ac:dyDescent="0.3">
      <c r="A232" s="14"/>
      <c r="B232" s="14" t="str">
        <f>Fill_Value(quality!B232)</f>
        <v/>
      </c>
      <c r="C232" s="14" t="str">
        <f>Fill_Value(quality!C232)</f>
        <v/>
      </c>
      <c r="D232" s="15"/>
      <c r="E232" s="16"/>
      <c r="F232" s="16"/>
      <c r="G232" s="16"/>
      <c r="H232" s="16"/>
      <c r="I232" s="16"/>
      <c r="J232" s="16"/>
      <c r="K232" s="16"/>
      <c r="L232" s="16"/>
      <c r="M232" s="16"/>
      <c r="N232" s="16"/>
      <c r="O232" s="16"/>
      <c r="P232" s="14"/>
      <c r="Q232" s="4"/>
    </row>
    <row r="233" spans="1:17" x14ac:dyDescent="0.3">
      <c r="A233" s="17"/>
      <c r="B233" s="17" t="str">
        <f>Fill_Value(quality!B233)</f>
        <v/>
      </c>
      <c r="C233" s="17" t="str">
        <f>Fill_Value(quality!C233)</f>
        <v/>
      </c>
      <c r="D233" s="18"/>
      <c r="E233" s="19"/>
      <c r="F233" s="19"/>
      <c r="G233" s="19"/>
      <c r="H233" s="19"/>
      <c r="I233" s="19"/>
      <c r="J233" s="19"/>
      <c r="K233" s="19"/>
      <c r="L233" s="19"/>
      <c r="M233" s="19"/>
      <c r="N233" s="19"/>
      <c r="O233" s="19"/>
      <c r="P233" s="17"/>
      <c r="Q233" s="5"/>
    </row>
    <row r="234" spans="1:17" x14ac:dyDescent="0.3">
      <c r="A234" s="14"/>
      <c r="B234" s="14" t="str">
        <f>Fill_Value(quality!B234)</f>
        <v/>
      </c>
      <c r="C234" s="14" t="str">
        <f>Fill_Value(quality!C234)</f>
        <v/>
      </c>
      <c r="D234" s="15"/>
      <c r="E234" s="16"/>
      <c r="F234" s="16"/>
      <c r="G234" s="16"/>
      <c r="H234" s="16"/>
      <c r="I234" s="16"/>
      <c r="J234" s="16"/>
      <c r="K234" s="16"/>
      <c r="L234" s="16"/>
      <c r="M234" s="16"/>
      <c r="N234" s="16"/>
      <c r="O234" s="16"/>
      <c r="P234" s="14"/>
      <c r="Q234" s="4"/>
    </row>
    <row r="235" spans="1:17" x14ac:dyDescent="0.3">
      <c r="A235" s="17"/>
      <c r="B235" s="17" t="str">
        <f>Fill_Value(quality!B235)</f>
        <v/>
      </c>
      <c r="C235" s="17" t="str">
        <f>Fill_Value(quality!C235)</f>
        <v/>
      </c>
      <c r="D235" s="18"/>
      <c r="E235" s="19"/>
      <c r="F235" s="19"/>
      <c r="G235" s="19"/>
      <c r="H235" s="19"/>
      <c r="I235" s="19"/>
      <c r="J235" s="19"/>
      <c r="K235" s="19"/>
      <c r="L235" s="19"/>
      <c r="M235" s="19"/>
      <c r="N235" s="19"/>
      <c r="O235" s="19"/>
      <c r="P235" s="17"/>
      <c r="Q235" s="5"/>
    </row>
    <row r="236" spans="1:17" x14ac:dyDescent="0.3">
      <c r="A236" s="14"/>
      <c r="B236" s="14" t="str">
        <f>Fill_Value(quality!B236)</f>
        <v/>
      </c>
      <c r="C236" s="14" t="str">
        <f>Fill_Value(quality!C236)</f>
        <v/>
      </c>
      <c r="D236" s="15"/>
      <c r="E236" s="16"/>
      <c r="F236" s="16"/>
      <c r="G236" s="16"/>
      <c r="H236" s="16"/>
      <c r="I236" s="16"/>
      <c r="J236" s="16"/>
      <c r="K236" s="16"/>
      <c r="L236" s="16"/>
      <c r="M236" s="16"/>
      <c r="N236" s="16"/>
      <c r="O236" s="16"/>
      <c r="P236" s="14"/>
      <c r="Q236" s="4"/>
    </row>
    <row r="237" spans="1:17" x14ac:dyDescent="0.3">
      <c r="A237" s="17"/>
      <c r="B237" s="17" t="str">
        <f>Fill_Value(quality!B237)</f>
        <v/>
      </c>
      <c r="C237" s="17" t="str">
        <f>Fill_Value(quality!C237)</f>
        <v/>
      </c>
      <c r="D237" s="18"/>
      <c r="E237" s="19"/>
      <c r="F237" s="19"/>
      <c r="G237" s="19"/>
      <c r="H237" s="19"/>
      <c r="I237" s="19"/>
      <c r="J237" s="19"/>
      <c r="K237" s="19"/>
      <c r="L237" s="19"/>
      <c r="M237" s="19"/>
      <c r="N237" s="19"/>
      <c r="O237" s="19"/>
      <c r="P237" s="17"/>
      <c r="Q237" s="5"/>
    </row>
    <row r="238" spans="1:17" x14ac:dyDescent="0.3">
      <c r="A238" s="14"/>
      <c r="B238" s="14" t="str">
        <f>Fill_Value(quality!B238)</f>
        <v/>
      </c>
      <c r="C238" s="14" t="str">
        <f>Fill_Value(quality!C238)</f>
        <v/>
      </c>
      <c r="D238" s="15"/>
      <c r="E238" s="16"/>
      <c r="F238" s="16"/>
      <c r="G238" s="16"/>
      <c r="H238" s="16"/>
      <c r="I238" s="16"/>
      <c r="J238" s="16"/>
      <c r="K238" s="16"/>
      <c r="L238" s="16"/>
      <c r="M238" s="16"/>
      <c r="N238" s="16"/>
      <c r="O238" s="16"/>
      <c r="P238" s="14"/>
      <c r="Q238" s="4"/>
    </row>
    <row r="239" spans="1:17" x14ac:dyDescent="0.3">
      <c r="A239" s="17"/>
      <c r="B239" s="17" t="str">
        <f>Fill_Value(quality!B239)</f>
        <v/>
      </c>
      <c r="C239" s="17" t="str">
        <f>Fill_Value(quality!C239)</f>
        <v/>
      </c>
      <c r="D239" s="18"/>
      <c r="E239" s="19"/>
      <c r="F239" s="19"/>
      <c r="G239" s="19"/>
      <c r="H239" s="19"/>
      <c r="I239" s="19"/>
      <c r="J239" s="19"/>
      <c r="K239" s="19"/>
      <c r="L239" s="19"/>
      <c r="M239" s="19"/>
      <c r="N239" s="19"/>
      <c r="O239" s="19"/>
      <c r="P239" s="17"/>
      <c r="Q239" s="5"/>
    </row>
    <row r="240" spans="1:17" x14ac:dyDescent="0.3">
      <c r="A240" s="14"/>
      <c r="B240" s="14" t="str">
        <f>Fill_Value(quality!B240)</f>
        <v/>
      </c>
      <c r="C240" s="14" t="str">
        <f>Fill_Value(quality!C240)</f>
        <v/>
      </c>
      <c r="D240" s="15"/>
      <c r="E240" s="16"/>
      <c r="F240" s="16"/>
      <c r="G240" s="16"/>
      <c r="H240" s="16"/>
      <c r="I240" s="16"/>
      <c r="J240" s="16"/>
      <c r="K240" s="16"/>
      <c r="L240" s="16"/>
      <c r="M240" s="16"/>
      <c r="N240" s="16"/>
      <c r="O240" s="16"/>
      <c r="P240" s="14"/>
      <c r="Q240" s="4"/>
    </row>
    <row r="241" spans="1:17" x14ac:dyDescent="0.3">
      <c r="A241" s="17"/>
      <c r="B241" s="17" t="str">
        <f>Fill_Value(quality!B241)</f>
        <v/>
      </c>
      <c r="C241" s="17" t="str">
        <f>Fill_Value(quality!C241)</f>
        <v/>
      </c>
      <c r="D241" s="18"/>
      <c r="E241" s="19"/>
      <c r="F241" s="19"/>
      <c r="G241" s="19"/>
      <c r="H241" s="19"/>
      <c r="I241" s="19"/>
      <c r="J241" s="19"/>
      <c r="K241" s="19"/>
      <c r="L241" s="19"/>
      <c r="M241" s="19"/>
      <c r="N241" s="19"/>
      <c r="O241" s="19"/>
      <c r="P241" s="17"/>
      <c r="Q241" s="5"/>
    </row>
    <row r="242" spans="1:17" x14ac:dyDescent="0.3">
      <c r="A242" s="14"/>
      <c r="B242" s="14" t="str">
        <f>Fill_Value(quality!B242)</f>
        <v/>
      </c>
      <c r="C242" s="14" t="str">
        <f>Fill_Value(quality!C242)</f>
        <v/>
      </c>
      <c r="D242" s="15"/>
      <c r="E242" s="16"/>
      <c r="F242" s="16"/>
      <c r="G242" s="16"/>
      <c r="H242" s="16"/>
      <c r="I242" s="16"/>
      <c r="J242" s="16"/>
      <c r="K242" s="16"/>
      <c r="L242" s="16"/>
      <c r="M242" s="16"/>
      <c r="N242" s="16"/>
      <c r="O242" s="16"/>
      <c r="P242" s="14"/>
      <c r="Q242" s="4"/>
    </row>
    <row r="243" spans="1:17" x14ac:dyDescent="0.3">
      <c r="A243" s="17"/>
      <c r="B243" s="17" t="str">
        <f>Fill_Value(quality!B243)</f>
        <v/>
      </c>
      <c r="C243" s="17" t="str">
        <f>Fill_Value(quality!C243)</f>
        <v/>
      </c>
      <c r="D243" s="18"/>
      <c r="E243" s="19"/>
      <c r="F243" s="19"/>
      <c r="G243" s="19"/>
      <c r="H243" s="19"/>
      <c r="I243" s="19"/>
      <c r="J243" s="19"/>
      <c r="K243" s="19"/>
      <c r="L243" s="19"/>
      <c r="M243" s="19"/>
      <c r="N243" s="19"/>
      <c r="O243" s="19"/>
      <c r="P243" s="17"/>
      <c r="Q243" s="5"/>
    </row>
    <row r="244" spans="1:17" x14ac:dyDescent="0.3">
      <c r="A244" s="14"/>
      <c r="B244" s="14" t="str">
        <f>Fill_Value(quality!B244)</f>
        <v/>
      </c>
      <c r="C244" s="14" t="str">
        <f>Fill_Value(quality!C244)</f>
        <v/>
      </c>
      <c r="D244" s="15"/>
      <c r="E244" s="16"/>
      <c r="F244" s="16"/>
      <c r="G244" s="16"/>
      <c r="H244" s="16"/>
      <c r="I244" s="16"/>
      <c r="J244" s="16"/>
      <c r="K244" s="16"/>
      <c r="L244" s="16"/>
      <c r="M244" s="16"/>
      <c r="N244" s="16"/>
      <c r="O244" s="16"/>
      <c r="P244" s="14"/>
      <c r="Q244" s="4"/>
    </row>
    <row r="245" spans="1:17" x14ac:dyDescent="0.3">
      <c r="A245" s="17"/>
      <c r="B245" s="17" t="str">
        <f>Fill_Value(quality!B245)</f>
        <v/>
      </c>
      <c r="C245" s="17" t="str">
        <f>Fill_Value(quality!C245)</f>
        <v/>
      </c>
      <c r="D245" s="18"/>
      <c r="E245" s="19"/>
      <c r="F245" s="19"/>
      <c r="G245" s="19"/>
      <c r="H245" s="19"/>
      <c r="I245" s="19"/>
      <c r="J245" s="19"/>
      <c r="K245" s="19"/>
      <c r="L245" s="19"/>
      <c r="M245" s="19"/>
      <c r="N245" s="19"/>
      <c r="O245" s="19"/>
      <c r="P245" s="17"/>
      <c r="Q245" s="5"/>
    </row>
    <row r="246" spans="1:17" x14ac:dyDescent="0.3">
      <c r="A246" s="14"/>
      <c r="B246" s="14" t="str">
        <f>Fill_Value(quality!B246)</f>
        <v/>
      </c>
      <c r="C246" s="14" t="str">
        <f>Fill_Value(quality!C246)</f>
        <v/>
      </c>
      <c r="D246" s="15"/>
      <c r="E246" s="16"/>
      <c r="F246" s="16"/>
      <c r="G246" s="16"/>
      <c r="H246" s="16"/>
      <c r="I246" s="16"/>
      <c r="J246" s="16"/>
      <c r="K246" s="16"/>
      <c r="L246" s="16"/>
      <c r="M246" s="16"/>
      <c r="N246" s="16"/>
      <c r="O246" s="16"/>
      <c r="P246" s="14"/>
      <c r="Q246" s="4"/>
    </row>
    <row r="247" spans="1:17" x14ac:dyDescent="0.3">
      <c r="A247" s="17"/>
      <c r="B247" s="17" t="str">
        <f>Fill_Value(quality!B247)</f>
        <v/>
      </c>
      <c r="C247" s="17" t="str">
        <f>Fill_Value(quality!C247)</f>
        <v/>
      </c>
      <c r="D247" s="18"/>
      <c r="E247" s="19"/>
      <c r="F247" s="19"/>
      <c r="G247" s="19"/>
      <c r="H247" s="19"/>
      <c r="I247" s="19"/>
      <c r="J247" s="19"/>
      <c r="K247" s="19"/>
      <c r="L247" s="19"/>
      <c r="M247" s="19"/>
      <c r="N247" s="19"/>
      <c r="O247" s="19"/>
      <c r="P247" s="17"/>
      <c r="Q247" s="5"/>
    </row>
    <row r="248" spans="1:17" x14ac:dyDescent="0.3">
      <c r="A248" s="14"/>
      <c r="B248" s="14" t="str">
        <f>Fill_Value(quality!B248)</f>
        <v/>
      </c>
      <c r="C248" s="14" t="str">
        <f>Fill_Value(quality!C248)</f>
        <v/>
      </c>
      <c r="D248" s="15"/>
      <c r="E248" s="16"/>
      <c r="F248" s="16"/>
      <c r="G248" s="16"/>
      <c r="H248" s="16"/>
      <c r="I248" s="16"/>
      <c r="J248" s="16"/>
      <c r="K248" s="16"/>
      <c r="L248" s="16"/>
      <c r="M248" s="16"/>
      <c r="N248" s="16"/>
      <c r="O248" s="16"/>
      <c r="P248" s="14"/>
      <c r="Q248" s="4"/>
    </row>
    <row r="249" spans="1:17" x14ac:dyDescent="0.3">
      <c r="A249" s="17"/>
      <c r="B249" s="17" t="str">
        <f>Fill_Value(quality!B249)</f>
        <v/>
      </c>
      <c r="C249" s="17" t="str">
        <f>Fill_Value(quality!C249)</f>
        <v/>
      </c>
      <c r="D249" s="18"/>
      <c r="E249" s="19"/>
      <c r="F249" s="19"/>
      <c r="G249" s="19"/>
      <c r="H249" s="19"/>
      <c r="I249" s="19"/>
      <c r="J249" s="19"/>
      <c r="K249" s="19"/>
      <c r="L249" s="19"/>
      <c r="M249" s="19"/>
      <c r="N249" s="19"/>
      <c r="O249" s="19"/>
      <c r="P249" s="17"/>
      <c r="Q249" s="5"/>
    </row>
    <row r="250" spans="1:17" x14ac:dyDescent="0.3">
      <c r="A250" s="14"/>
      <c r="B250" s="14" t="str">
        <f>Fill_Value(quality!B250)</f>
        <v/>
      </c>
      <c r="C250" s="14" t="str">
        <f>Fill_Value(quality!C250)</f>
        <v/>
      </c>
      <c r="D250" s="15"/>
      <c r="E250" s="16"/>
      <c r="F250" s="16"/>
      <c r="G250" s="16"/>
      <c r="H250" s="16"/>
      <c r="I250" s="16"/>
      <c r="J250" s="16"/>
      <c r="K250" s="16"/>
      <c r="L250" s="16"/>
      <c r="M250" s="16"/>
      <c r="N250" s="16"/>
      <c r="O250" s="16"/>
      <c r="P250" s="14"/>
      <c r="Q250" s="4"/>
    </row>
    <row r="251" spans="1:17" x14ac:dyDescent="0.3">
      <c r="A251" s="17"/>
      <c r="B251" s="17" t="str">
        <f>Fill_Value(quality!B251)</f>
        <v/>
      </c>
      <c r="C251" s="17" t="str">
        <f>Fill_Value(quality!C251)</f>
        <v/>
      </c>
      <c r="D251" s="18"/>
      <c r="E251" s="19"/>
      <c r="F251" s="19"/>
      <c r="G251" s="19"/>
      <c r="H251" s="19"/>
      <c r="I251" s="19"/>
      <c r="J251" s="19"/>
      <c r="K251" s="19"/>
      <c r="L251" s="19"/>
      <c r="M251" s="19"/>
      <c r="N251" s="19"/>
      <c r="O251" s="19"/>
      <c r="P251" s="17"/>
      <c r="Q251" s="5"/>
    </row>
    <row r="252" spans="1:17" x14ac:dyDescent="0.3">
      <c r="A252" s="14"/>
      <c r="B252" s="14" t="str">
        <f>Fill_Value(quality!B252)</f>
        <v/>
      </c>
      <c r="C252" s="14" t="str">
        <f>Fill_Value(quality!C252)</f>
        <v/>
      </c>
      <c r="D252" s="15"/>
      <c r="E252" s="16"/>
      <c r="F252" s="16"/>
      <c r="G252" s="16"/>
      <c r="H252" s="16"/>
      <c r="I252" s="16"/>
      <c r="J252" s="16"/>
      <c r="K252" s="16"/>
      <c r="L252" s="16"/>
      <c r="M252" s="16"/>
      <c r="N252" s="16"/>
      <c r="O252" s="16"/>
      <c r="P252" s="14"/>
      <c r="Q252" s="4"/>
    </row>
    <row r="253" spans="1:17" x14ac:dyDescent="0.3">
      <c r="A253" s="17"/>
      <c r="B253" s="17" t="str">
        <f>Fill_Value(quality!B253)</f>
        <v/>
      </c>
      <c r="C253" s="17" t="str">
        <f>Fill_Value(quality!C253)</f>
        <v/>
      </c>
      <c r="D253" s="18"/>
      <c r="E253" s="19"/>
      <c r="F253" s="19"/>
      <c r="G253" s="19"/>
      <c r="H253" s="19"/>
      <c r="I253" s="19"/>
      <c r="J253" s="19"/>
      <c r="K253" s="19"/>
      <c r="L253" s="19"/>
      <c r="M253" s="19"/>
      <c r="N253" s="19"/>
      <c r="O253" s="19"/>
      <c r="P253" s="17"/>
      <c r="Q253" s="5"/>
    </row>
    <row r="254" spans="1:17" x14ac:dyDescent="0.3">
      <c r="A254" s="14"/>
      <c r="B254" s="14" t="str">
        <f>Fill_Value(quality!B254)</f>
        <v/>
      </c>
      <c r="C254" s="14" t="str">
        <f>Fill_Value(quality!C254)</f>
        <v/>
      </c>
      <c r="D254" s="15"/>
      <c r="E254" s="16"/>
      <c r="F254" s="16"/>
      <c r="G254" s="16"/>
      <c r="H254" s="16"/>
      <c r="I254" s="16"/>
      <c r="J254" s="16"/>
      <c r="K254" s="16"/>
      <c r="L254" s="16"/>
      <c r="M254" s="16"/>
      <c r="N254" s="16"/>
      <c r="O254" s="16"/>
      <c r="P254" s="14"/>
      <c r="Q254" s="4"/>
    </row>
    <row r="255" spans="1:17" x14ac:dyDescent="0.3">
      <c r="A255" s="17"/>
      <c r="B255" s="17" t="str">
        <f>Fill_Value(quality!B255)</f>
        <v/>
      </c>
      <c r="C255" s="17" t="str">
        <f>Fill_Value(quality!C255)</f>
        <v/>
      </c>
      <c r="D255" s="18"/>
      <c r="E255" s="19"/>
      <c r="F255" s="19"/>
      <c r="G255" s="19"/>
      <c r="H255" s="19"/>
      <c r="I255" s="19"/>
      <c r="J255" s="19"/>
      <c r="K255" s="19"/>
      <c r="L255" s="19"/>
      <c r="M255" s="19"/>
      <c r="N255" s="19"/>
      <c r="O255" s="19"/>
      <c r="P255" s="17"/>
      <c r="Q255" s="5"/>
    </row>
    <row r="256" spans="1:17" x14ac:dyDescent="0.3">
      <c r="A256" s="14"/>
      <c r="B256" s="14" t="str">
        <f>Fill_Value(quality!B256)</f>
        <v/>
      </c>
      <c r="C256" s="14" t="str">
        <f>Fill_Value(quality!C256)</f>
        <v/>
      </c>
      <c r="D256" s="15"/>
      <c r="E256" s="16"/>
      <c r="F256" s="16"/>
      <c r="G256" s="16"/>
      <c r="H256" s="16"/>
      <c r="I256" s="16"/>
      <c r="J256" s="16"/>
      <c r="K256" s="16"/>
      <c r="L256" s="16"/>
      <c r="M256" s="16"/>
      <c r="N256" s="16"/>
      <c r="O256" s="16"/>
      <c r="P256" s="14"/>
      <c r="Q256" s="4"/>
    </row>
    <row r="257" spans="1:17" x14ac:dyDescent="0.3">
      <c r="A257" s="17"/>
      <c r="B257" s="17" t="str">
        <f>Fill_Value(quality!B257)</f>
        <v/>
      </c>
      <c r="C257" s="17" t="str">
        <f>Fill_Value(quality!C257)</f>
        <v/>
      </c>
      <c r="D257" s="18"/>
      <c r="E257" s="19"/>
      <c r="F257" s="19"/>
      <c r="G257" s="19"/>
      <c r="H257" s="19"/>
      <c r="I257" s="19"/>
      <c r="J257" s="19"/>
      <c r="K257" s="19"/>
      <c r="L257" s="19"/>
      <c r="M257" s="19"/>
      <c r="N257" s="19"/>
      <c r="O257" s="19"/>
      <c r="P257" s="17"/>
      <c r="Q257" s="5"/>
    </row>
    <row r="258" spans="1:17" x14ac:dyDescent="0.3">
      <c r="A258" s="14"/>
      <c r="B258" s="14" t="str">
        <f>Fill_Value(quality!B258)</f>
        <v/>
      </c>
      <c r="C258" s="14" t="str">
        <f>Fill_Value(quality!C258)</f>
        <v/>
      </c>
      <c r="D258" s="15"/>
      <c r="E258" s="16"/>
      <c r="F258" s="16"/>
      <c r="G258" s="16"/>
      <c r="H258" s="16"/>
      <c r="I258" s="16"/>
      <c r="J258" s="16"/>
      <c r="K258" s="16"/>
      <c r="L258" s="16"/>
      <c r="M258" s="16"/>
      <c r="N258" s="16"/>
      <c r="O258" s="16"/>
      <c r="P258" s="14"/>
      <c r="Q258" s="4"/>
    </row>
    <row r="259" spans="1:17" x14ac:dyDescent="0.3">
      <c r="A259" s="17"/>
      <c r="B259" s="17" t="str">
        <f>Fill_Value(quality!B259)</f>
        <v/>
      </c>
      <c r="C259" s="17" t="str">
        <f>Fill_Value(quality!C259)</f>
        <v/>
      </c>
      <c r="D259" s="18"/>
      <c r="E259" s="19"/>
      <c r="F259" s="19"/>
      <c r="G259" s="19"/>
      <c r="H259" s="19"/>
      <c r="I259" s="19"/>
      <c r="J259" s="19"/>
      <c r="K259" s="19"/>
      <c r="L259" s="19"/>
      <c r="M259" s="19"/>
      <c r="N259" s="19"/>
      <c r="O259" s="19"/>
      <c r="P259" s="17"/>
      <c r="Q259" s="5"/>
    </row>
    <row r="260" spans="1:17" x14ac:dyDescent="0.3">
      <c r="A260" s="14"/>
      <c r="B260" s="14" t="str">
        <f>Fill_Value(quality!B260)</f>
        <v/>
      </c>
      <c r="C260" s="14" t="str">
        <f>Fill_Value(quality!C260)</f>
        <v/>
      </c>
      <c r="D260" s="15"/>
      <c r="E260" s="16"/>
      <c r="F260" s="16"/>
      <c r="G260" s="16"/>
      <c r="H260" s="16"/>
      <c r="I260" s="16"/>
      <c r="J260" s="16"/>
      <c r="K260" s="16"/>
      <c r="L260" s="16"/>
      <c r="M260" s="16"/>
      <c r="N260" s="16"/>
      <c r="O260" s="16"/>
      <c r="P260" s="14"/>
      <c r="Q260" s="4"/>
    </row>
    <row r="261" spans="1:17" x14ac:dyDescent="0.3">
      <c r="A261" s="17"/>
      <c r="B261" s="17" t="str">
        <f>Fill_Value(quality!B261)</f>
        <v/>
      </c>
      <c r="C261" s="17" t="str">
        <f>Fill_Value(quality!C261)</f>
        <v/>
      </c>
      <c r="D261" s="18"/>
      <c r="E261" s="19"/>
      <c r="F261" s="19"/>
      <c r="G261" s="19"/>
      <c r="H261" s="19"/>
      <c r="I261" s="19"/>
      <c r="J261" s="19"/>
      <c r="K261" s="19"/>
      <c r="L261" s="19"/>
      <c r="M261" s="19"/>
      <c r="N261" s="19"/>
      <c r="O261" s="19"/>
      <c r="P261" s="17"/>
      <c r="Q261" s="5"/>
    </row>
    <row r="262" spans="1:17" x14ac:dyDescent="0.3">
      <c r="A262" s="14"/>
      <c r="B262" s="14" t="str">
        <f>Fill_Value(quality!B262)</f>
        <v/>
      </c>
      <c r="C262" s="14" t="str">
        <f>Fill_Value(quality!C262)</f>
        <v/>
      </c>
      <c r="D262" s="15"/>
      <c r="E262" s="16"/>
      <c r="F262" s="16"/>
      <c r="G262" s="16"/>
      <c r="H262" s="16"/>
      <c r="I262" s="16"/>
      <c r="J262" s="16"/>
      <c r="K262" s="16"/>
      <c r="L262" s="16"/>
      <c r="M262" s="16"/>
      <c r="N262" s="16"/>
      <c r="O262" s="16"/>
      <c r="P262" s="14"/>
      <c r="Q262" s="4"/>
    </row>
    <row r="263" spans="1:17" x14ac:dyDescent="0.3">
      <c r="A263" s="17"/>
      <c r="B263" s="17" t="str">
        <f>Fill_Value(quality!B263)</f>
        <v/>
      </c>
      <c r="C263" s="17" t="str">
        <f>Fill_Value(quality!C263)</f>
        <v/>
      </c>
      <c r="D263" s="18"/>
      <c r="E263" s="19"/>
      <c r="F263" s="19"/>
      <c r="G263" s="19"/>
      <c r="H263" s="19"/>
      <c r="I263" s="19"/>
      <c r="J263" s="19"/>
      <c r="K263" s="19"/>
      <c r="L263" s="19"/>
      <c r="M263" s="19"/>
      <c r="N263" s="19"/>
      <c r="O263" s="19"/>
      <c r="P263" s="17"/>
      <c r="Q263" s="5"/>
    </row>
    <row r="264" spans="1:17" x14ac:dyDescent="0.3">
      <c r="A264" s="14"/>
      <c r="B264" s="14" t="str">
        <f>Fill_Value(quality!B264)</f>
        <v/>
      </c>
      <c r="C264" s="14" t="str">
        <f>Fill_Value(quality!C264)</f>
        <v/>
      </c>
      <c r="D264" s="15"/>
      <c r="E264" s="16"/>
      <c r="F264" s="16"/>
      <c r="G264" s="16"/>
      <c r="H264" s="16"/>
      <c r="I264" s="16"/>
      <c r="J264" s="16"/>
      <c r="K264" s="16"/>
      <c r="L264" s="16"/>
      <c r="M264" s="16"/>
      <c r="N264" s="16"/>
      <c r="O264" s="16"/>
      <c r="P264" s="14"/>
      <c r="Q264" s="4"/>
    </row>
    <row r="265" spans="1:17" x14ac:dyDescent="0.3">
      <c r="A265" s="17"/>
      <c r="B265" s="17" t="str">
        <f>Fill_Value(quality!B265)</f>
        <v/>
      </c>
      <c r="C265" s="17" t="str">
        <f>Fill_Value(quality!C265)</f>
        <v/>
      </c>
      <c r="D265" s="18"/>
      <c r="E265" s="19"/>
      <c r="F265" s="19"/>
      <c r="G265" s="19"/>
      <c r="H265" s="19"/>
      <c r="I265" s="19"/>
      <c r="J265" s="19"/>
      <c r="K265" s="19"/>
      <c r="L265" s="19"/>
      <c r="M265" s="19"/>
      <c r="N265" s="19"/>
      <c r="O265" s="19"/>
      <c r="P265" s="17"/>
      <c r="Q265" s="5"/>
    </row>
    <row r="266" spans="1:17" x14ac:dyDescent="0.3">
      <c r="A266" s="14"/>
      <c r="B266" s="14" t="str">
        <f>Fill_Value(quality!B266)</f>
        <v/>
      </c>
      <c r="C266" s="14" t="str">
        <f>Fill_Value(quality!C266)</f>
        <v/>
      </c>
      <c r="D266" s="15"/>
      <c r="E266" s="16"/>
      <c r="F266" s="16"/>
      <c r="G266" s="16"/>
      <c r="H266" s="16"/>
      <c r="I266" s="16"/>
      <c r="J266" s="16"/>
      <c r="K266" s="16"/>
      <c r="L266" s="16"/>
      <c r="M266" s="16"/>
      <c r="N266" s="16"/>
      <c r="O266" s="16"/>
      <c r="P266" s="14"/>
      <c r="Q266" s="4"/>
    </row>
    <row r="267" spans="1:17" x14ac:dyDescent="0.3">
      <c r="A267" s="17"/>
      <c r="B267" s="17" t="str">
        <f>Fill_Value(quality!B267)</f>
        <v/>
      </c>
      <c r="C267" s="17" t="str">
        <f>Fill_Value(quality!C267)</f>
        <v/>
      </c>
      <c r="D267" s="18"/>
      <c r="E267" s="19"/>
      <c r="F267" s="19"/>
      <c r="G267" s="19"/>
      <c r="H267" s="19"/>
      <c r="I267" s="19"/>
      <c r="J267" s="19"/>
      <c r="K267" s="19"/>
      <c r="L267" s="19"/>
      <c r="M267" s="19"/>
      <c r="N267" s="19"/>
      <c r="O267" s="19"/>
      <c r="P267" s="17"/>
      <c r="Q267" s="5"/>
    </row>
    <row r="268" spans="1:17" x14ac:dyDescent="0.3">
      <c r="A268" s="14"/>
      <c r="B268" s="14" t="str">
        <f>Fill_Value(quality!B268)</f>
        <v/>
      </c>
      <c r="C268" s="14" t="str">
        <f>Fill_Value(quality!C268)</f>
        <v/>
      </c>
      <c r="D268" s="15"/>
      <c r="E268" s="16"/>
      <c r="F268" s="16"/>
      <c r="G268" s="16"/>
      <c r="H268" s="16"/>
      <c r="I268" s="16"/>
      <c r="J268" s="16"/>
      <c r="K268" s="16"/>
      <c r="L268" s="16"/>
      <c r="M268" s="16"/>
      <c r="N268" s="16"/>
      <c r="O268" s="16"/>
      <c r="P268" s="14"/>
      <c r="Q268" s="4"/>
    </row>
    <row r="269" spans="1:17" x14ac:dyDescent="0.3">
      <c r="A269" s="17"/>
      <c r="B269" s="17" t="str">
        <f>Fill_Value(quality!B269)</f>
        <v/>
      </c>
      <c r="C269" s="17" t="str">
        <f>Fill_Value(quality!C269)</f>
        <v/>
      </c>
      <c r="D269" s="18"/>
      <c r="E269" s="19"/>
      <c r="F269" s="19"/>
      <c r="G269" s="19"/>
      <c r="H269" s="19"/>
      <c r="I269" s="19"/>
      <c r="J269" s="19"/>
      <c r="K269" s="19"/>
      <c r="L269" s="19"/>
      <c r="M269" s="19"/>
      <c r="N269" s="19"/>
      <c r="O269" s="19"/>
      <c r="P269" s="17"/>
      <c r="Q269" s="5"/>
    </row>
    <row r="270" spans="1:17" x14ac:dyDescent="0.3">
      <c r="A270" s="14"/>
      <c r="B270" s="14" t="str">
        <f>Fill_Value(quality!B270)</f>
        <v/>
      </c>
      <c r="C270" s="14" t="str">
        <f>Fill_Value(quality!C270)</f>
        <v/>
      </c>
      <c r="D270" s="15"/>
      <c r="E270" s="16"/>
      <c r="F270" s="16"/>
      <c r="G270" s="16"/>
      <c r="H270" s="16"/>
      <c r="I270" s="16"/>
      <c r="J270" s="16"/>
      <c r="K270" s="16"/>
      <c r="L270" s="16"/>
      <c r="M270" s="16"/>
      <c r="N270" s="16"/>
      <c r="O270" s="16"/>
      <c r="P270" s="14"/>
      <c r="Q270" s="4"/>
    </row>
    <row r="271" spans="1:17" x14ac:dyDescent="0.3">
      <c r="A271" s="17"/>
      <c r="B271" s="17" t="str">
        <f>Fill_Value(quality!B271)</f>
        <v/>
      </c>
      <c r="C271" s="17" t="str">
        <f>Fill_Value(quality!C271)</f>
        <v/>
      </c>
      <c r="D271" s="18"/>
      <c r="E271" s="19"/>
      <c r="F271" s="19"/>
      <c r="G271" s="19"/>
      <c r="H271" s="19"/>
      <c r="I271" s="19"/>
      <c r="J271" s="19"/>
      <c r="K271" s="19"/>
      <c r="L271" s="19"/>
      <c r="M271" s="19"/>
      <c r="N271" s="19"/>
      <c r="O271" s="19"/>
      <c r="P271" s="17"/>
      <c r="Q271" s="5"/>
    </row>
    <row r="272" spans="1:17" x14ac:dyDescent="0.3">
      <c r="A272" s="14"/>
      <c r="B272" s="14" t="str">
        <f>Fill_Value(quality!B272)</f>
        <v/>
      </c>
      <c r="C272" s="14" t="str">
        <f>Fill_Value(quality!C272)</f>
        <v/>
      </c>
      <c r="D272" s="15"/>
      <c r="E272" s="16"/>
      <c r="F272" s="16"/>
      <c r="G272" s="16"/>
      <c r="H272" s="16"/>
      <c r="I272" s="16"/>
      <c r="J272" s="16"/>
      <c r="K272" s="16"/>
      <c r="L272" s="16"/>
      <c r="M272" s="16"/>
      <c r="N272" s="16"/>
      <c r="O272" s="16"/>
      <c r="P272" s="14"/>
      <c r="Q272" s="4"/>
    </row>
    <row r="273" spans="1:17" x14ac:dyDescent="0.3">
      <c r="A273" s="17"/>
      <c r="B273" s="17" t="str">
        <f>Fill_Value(quality!B273)</f>
        <v/>
      </c>
      <c r="C273" s="17" t="str">
        <f>Fill_Value(quality!C273)</f>
        <v/>
      </c>
      <c r="D273" s="18"/>
      <c r="E273" s="19"/>
      <c r="F273" s="19"/>
      <c r="G273" s="19"/>
      <c r="H273" s="19"/>
      <c r="I273" s="19"/>
      <c r="J273" s="19"/>
      <c r="K273" s="19"/>
      <c r="L273" s="19"/>
      <c r="M273" s="19"/>
      <c r="N273" s="19"/>
      <c r="O273" s="19"/>
      <c r="P273" s="17"/>
      <c r="Q273" s="5"/>
    </row>
    <row r="274" spans="1:17" x14ac:dyDescent="0.3">
      <c r="A274" s="14"/>
      <c r="B274" s="14" t="str">
        <f>Fill_Value(quality!B274)</f>
        <v/>
      </c>
      <c r="C274" s="14" t="str">
        <f>Fill_Value(quality!C274)</f>
        <v/>
      </c>
      <c r="D274" s="15"/>
      <c r="E274" s="16"/>
      <c r="F274" s="16"/>
      <c r="G274" s="16"/>
      <c r="H274" s="16"/>
      <c r="I274" s="16"/>
      <c r="J274" s="16"/>
      <c r="K274" s="16"/>
      <c r="L274" s="16"/>
      <c r="M274" s="16"/>
      <c r="N274" s="16"/>
      <c r="O274" s="16"/>
      <c r="P274" s="14"/>
      <c r="Q274" s="4"/>
    </row>
    <row r="275" spans="1:17" x14ac:dyDescent="0.3">
      <c r="A275" s="17"/>
      <c r="B275" s="17" t="str">
        <f>Fill_Value(quality!B275)</f>
        <v/>
      </c>
      <c r="C275" s="17" t="str">
        <f>Fill_Value(quality!C275)</f>
        <v/>
      </c>
      <c r="D275" s="18"/>
      <c r="E275" s="19"/>
      <c r="F275" s="19"/>
      <c r="G275" s="19"/>
      <c r="H275" s="19"/>
      <c r="I275" s="19"/>
      <c r="J275" s="19"/>
      <c r="K275" s="19"/>
      <c r="L275" s="19"/>
      <c r="M275" s="19"/>
      <c r="N275" s="19"/>
      <c r="O275" s="19"/>
      <c r="P275" s="17"/>
      <c r="Q275" s="5"/>
    </row>
    <row r="276" spans="1:17" x14ac:dyDescent="0.3">
      <c r="A276" s="14"/>
      <c r="B276" s="14" t="str">
        <f>Fill_Value(quality!B276)</f>
        <v/>
      </c>
      <c r="C276" s="14" t="str">
        <f>Fill_Value(quality!C276)</f>
        <v/>
      </c>
      <c r="D276" s="15"/>
      <c r="E276" s="16"/>
      <c r="F276" s="16"/>
      <c r="G276" s="16"/>
      <c r="H276" s="16"/>
      <c r="I276" s="16"/>
      <c r="J276" s="16"/>
      <c r="K276" s="16"/>
      <c r="L276" s="16"/>
      <c r="M276" s="16"/>
      <c r="N276" s="16"/>
      <c r="O276" s="16"/>
      <c r="P276" s="14"/>
      <c r="Q276" s="4"/>
    </row>
    <row r="277" spans="1:17" x14ac:dyDescent="0.3">
      <c r="A277" s="17"/>
      <c r="B277" s="17" t="str">
        <f>Fill_Value(quality!B277)</f>
        <v/>
      </c>
      <c r="C277" s="17" t="str">
        <f>Fill_Value(quality!C277)</f>
        <v/>
      </c>
      <c r="D277" s="18"/>
      <c r="E277" s="19"/>
      <c r="F277" s="19"/>
      <c r="G277" s="19"/>
      <c r="H277" s="19"/>
      <c r="I277" s="19"/>
      <c r="J277" s="19"/>
      <c r="K277" s="19"/>
      <c r="L277" s="19"/>
      <c r="M277" s="19"/>
      <c r="N277" s="19"/>
      <c r="O277" s="19"/>
      <c r="P277" s="17"/>
      <c r="Q277" s="5"/>
    </row>
    <row r="278" spans="1:17" x14ac:dyDescent="0.3">
      <c r="A278" s="14"/>
      <c r="B278" s="14" t="str">
        <f>Fill_Value(quality!B278)</f>
        <v/>
      </c>
      <c r="C278" s="14" t="str">
        <f>Fill_Value(quality!C278)</f>
        <v/>
      </c>
      <c r="D278" s="15"/>
      <c r="E278" s="16"/>
      <c r="F278" s="16"/>
      <c r="G278" s="16"/>
      <c r="H278" s="16"/>
      <c r="I278" s="16"/>
      <c r="J278" s="16"/>
      <c r="K278" s="16"/>
      <c r="L278" s="16"/>
      <c r="M278" s="16"/>
      <c r="N278" s="16"/>
      <c r="O278" s="16"/>
      <c r="P278" s="14"/>
      <c r="Q278" s="4"/>
    </row>
    <row r="279" spans="1:17" x14ac:dyDescent="0.3">
      <c r="A279" s="17"/>
      <c r="B279" s="17" t="str">
        <f>Fill_Value(quality!B279)</f>
        <v/>
      </c>
      <c r="C279" s="17" t="str">
        <f>Fill_Value(quality!C279)</f>
        <v/>
      </c>
      <c r="D279" s="18"/>
      <c r="E279" s="19"/>
      <c r="F279" s="19"/>
      <c r="G279" s="19"/>
      <c r="H279" s="19"/>
      <c r="I279" s="19"/>
      <c r="J279" s="19"/>
      <c r="K279" s="19"/>
      <c r="L279" s="19"/>
      <c r="M279" s="19"/>
      <c r="N279" s="19"/>
      <c r="O279" s="19"/>
      <c r="P279" s="17"/>
      <c r="Q279" s="5"/>
    </row>
    <row r="280" spans="1:17" x14ac:dyDescent="0.3">
      <c r="A280" s="14"/>
      <c r="B280" s="14" t="str">
        <f>Fill_Value(quality!B280)</f>
        <v/>
      </c>
      <c r="C280" s="14" t="str">
        <f>Fill_Value(quality!C280)</f>
        <v/>
      </c>
      <c r="D280" s="15"/>
      <c r="E280" s="16"/>
      <c r="F280" s="16"/>
      <c r="G280" s="16"/>
      <c r="H280" s="16"/>
      <c r="I280" s="16"/>
      <c r="J280" s="16"/>
      <c r="K280" s="16"/>
      <c r="L280" s="16"/>
      <c r="M280" s="16"/>
      <c r="N280" s="16"/>
      <c r="O280" s="16"/>
      <c r="P280" s="14"/>
      <c r="Q280" s="4"/>
    </row>
    <row r="281" spans="1:17" x14ac:dyDescent="0.3">
      <c r="A281" s="17"/>
      <c r="B281" s="17" t="str">
        <f>Fill_Value(quality!B281)</f>
        <v/>
      </c>
      <c r="C281" s="17" t="str">
        <f>Fill_Value(quality!C281)</f>
        <v/>
      </c>
      <c r="D281" s="18"/>
      <c r="E281" s="19"/>
      <c r="F281" s="19"/>
      <c r="G281" s="19"/>
      <c r="H281" s="19"/>
      <c r="I281" s="19"/>
      <c r="J281" s="19"/>
      <c r="K281" s="19"/>
      <c r="L281" s="19"/>
      <c r="M281" s="19"/>
      <c r="N281" s="19"/>
      <c r="O281" s="19"/>
      <c r="P281" s="17"/>
      <c r="Q281" s="5"/>
    </row>
    <row r="282" spans="1:17" x14ac:dyDescent="0.3">
      <c r="A282" s="14"/>
      <c r="B282" s="14" t="str">
        <f>Fill_Value(quality!B282)</f>
        <v/>
      </c>
      <c r="C282" s="14" t="str">
        <f>Fill_Value(quality!C282)</f>
        <v/>
      </c>
      <c r="D282" s="15"/>
      <c r="E282" s="16"/>
      <c r="F282" s="16"/>
      <c r="G282" s="16"/>
      <c r="H282" s="16"/>
      <c r="I282" s="16"/>
      <c r="J282" s="16"/>
      <c r="K282" s="16"/>
      <c r="L282" s="16"/>
      <c r="M282" s="16"/>
      <c r="N282" s="16"/>
      <c r="O282" s="16"/>
      <c r="P282" s="14"/>
      <c r="Q282" s="4"/>
    </row>
    <row r="283" spans="1:17" x14ac:dyDescent="0.3">
      <c r="A283" s="17"/>
      <c r="B283" s="17" t="str">
        <f>Fill_Value(quality!B283)</f>
        <v/>
      </c>
      <c r="C283" s="17" t="str">
        <f>Fill_Value(quality!C283)</f>
        <v/>
      </c>
      <c r="D283" s="18"/>
      <c r="E283" s="19"/>
      <c r="F283" s="19"/>
      <c r="G283" s="19"/>
      <c r="H283" s="19"/>
      <c r="I283" s="19"/>
      <c r="J283" s="19"/>
      <c r="K283" s="19"/>
      <c r="L283" s="19"/>
      <c r="M283" s="19"/>
      <c r="N283" s="19"/>
      <c r="O283" s="19"/>
      <c r="P283" s="17"/>
      <c r="Q283" s="5"/>
    </row>
    <row r="284" spans="1:17" x14ac:dyDescent="0.3">
      <c r="A284" s="14"/>
      <c r="B284" s="14" t="str">
        <f>Fill_Value(quality!B284)</f>
        <v/>
      </c>
      <c r="C284" s="14" t="str">
        <f>Fill_Value(quality!C284)</f>
        <v/>
      </c>
      <c r="D284" s="15"/>
      <c r="E284" s="16"/>
      <c r="F284" s="16"/>
      <c r="G284" s="16"/>
      <c r="H284" s="16"/>
      <c r="I284" s="16"/>
      <c r="J284" s="16"/>
      <c r="K284" s="16"/>
      <c r="L284" s="16"/>
      <c r="M284" s="16"/>
      <c r="N284" s="16"/>
      <c r="O284" s="16"/>
      <c r="P284" s="14"/>
      <c r="Q284" s="4"/>
    </row>
    <row r="285" spans="1:17" x14ac:dyDescent="0.3">
      <c r="A285" s="17"/>
      <c r="B285" s="17" t="str">
        <f>Fill_Value(quality!B285)</f>
        <v/>
      </c>
      <c r="C285" s="17" t="str">
        <f>Fill_Value(quality!C285)</f>
        <v/>
      </c>
      <c r="D285" s="18"/>
      <c r="E285" s="19"/>
      <c r="F285" s="19"/>
      <c r="G285" s="19"/>
      <c r="H285" s="19"/>
      <c r="I285" s="19"/>
      <c r="J285" s="19"/>
      <c r="K285" s="19"/>
      <c r="L285" s="19"/>
      <c r="M285" s="19"/>
      <c r="N285" s="19"/>
      <c r="O285" s="19"/>
      <c r="P285" s="17"/>
      <c r="Q285" s="5"/>
    </row>
    <row r="286" spans="1:17" x14ac:dyDescent="0.3">
      <c r="A286" s="14"/>
      <c r="B286" s="14" t="str">
        <f>Fill_Value(quality!B286)</f>
        <v/>
      </c>
      <c r="C286" s="14" t="str">
        <f>Fill_Value(quality!C286)</f>
        <v/>
      </c>
      <c r="D286" s="15"/>
      <c r="E286" s="16"/>
      <c r="F286" s="16"/>
      <c r="G286" s="16"/>
      <c r="H286" s="16"/>
      <c r="I286" s="16"/>
      <c r="J286" s="16"/>
      <c r="K286" s="16"/>
      <c r="L286" s="16"/>
      <c r="M286" s="16"/>
      <c r="N286" s="16"/>
      <c r="O286" s="16"/>
      <c r="P286" s="14"/>
      <c r="Q286" s="4"/>
    </row>
    <row r="287" spans="1:17" x14ac:dyDescent="0.3">
      <c r="A287" s="17"/>
      <c r="B287" s="17" t="str">
        <f>Fill_Value(quality!B287)</f>
        <v/>
      </c>
      <c r="C287" s="17" t="str">
        <f>Fill_Value(quality!C287)</f>
        <v/>
      </c>
      <c r="D287" s="18"/>
      <c r="E287" s="19"/>
      <c r="F287" s="19"/>
      <c r="G287" s="19"/>
      <c r="H287" s="19"/>
      <c r="I287" s="19"/>
      <c r="J287" s="19"/>
      <c r="K287" s="19"/>
      <c r="L287" s="19"/>
      <c r="M287" s="19"/>
      <c r="N287" s="19"/>
      <c r="O287" s="19"/>
      <c r="P287" s="17"/>
      <c r="Q287" s="5"/>
    </row>
    <row r="288" spans="1:17" x14ac:dyDescent="0.3">
      <c r="A288" s="14"/>
      <c r="B288" s="14" t="str">
        <f>Fill_Value(quality!B288)</f>
        <v/>
      </c>
      <c r="C288" s="14" t="str">
        <f>Fill_Value(quality!C288)</f>
        <v/>
      </c>
      <c r="D288" s="15"/>
      <c r="E288" s="16"/>
      <c r="F288" s="16"/>
      <c r="G288" s="16"/>
      <c r="H288" s="16"/>
      <c r="I288" s="16"/>
      <c r="J288" s="16"/>
      <c r="K288" s="16"/>
      <c r="L288" s="16"/>
      <c r="M288" s="16"/>
      <c r="N288" s="16"/>
      <c r="O288" s="16"/>
      <c r="P288" s="14"/>
      <c r="Q288" s="4"/>
    </row>
    <row r="289" spans="1:17" x14ac:dyDescent="0.3">
      <c r="A289" s="17"/>
      <c r="B289" s="17" t="str">
        <f>Fill_Value(quality!B289)</f>
        <v/>
      </c>
      <c r="C289" s="17" t="str">
        <f>Fill_Value(quality!C289)</f>
        <v/>
      </c>
      <c r="D289" s="18"/>
      <c r="E289" s="19"/>
      <c r="F289" s="19"/>
      <c r="G289" s="19"/>
      <c r="H289" s="19"/>
      <c r="I289" s="19"/>
      <c r="J289" s="19"/>
      <c r="K289" s="19"/>
      <c r="L289" s="19"/>
      <c r="M289" s="19"/>
      <c r="N289" s="19"/>
      <c r="O289" s="19"/>
      <c r="P289" s="17"/>
      <c r="Q289" s="5"/>
    </row>
    <row r="290" spans="1:17" x14ac:dyDescent="0.3">
      <c r="A290" s="14"/>
      <c r="B290" s="14" t="str">
        <f>Fill_Value(quality!B290)</f>
        <v/>
      </c>
      <c r="C290" s="14" t="str">
        <f>Fill_Value(quality!C290)</f>
        <v/>
      </c>
      <c r="D290" s="15"/>
      <c r="E290" s="16"/>
      <c r="F290" s="16"/>
      <c r="G290" s="16"/>
      <c r="H290" s="16"/>
      <c r="I290" s="16"/>
      <c r="J290" s="16"/>
      <c r="K290" s="16"/>
      <c r="L290" s="16"/>
      <c r="M290" s="16"/>
      <c r="N290" s="16"/>
      <c r="O290" s="16"/>
      <c r="P290" s="14"/>
      <c r="Q290" s="4"/>
    </row>
    <row r="291" spans="1:17" x14ac:dyDescent="0.3">
      <c r="A291" s="17"/>
      <c r="B291" s="17" t="str">
        <f>Fill_Value(quality!B291)</f>
        <v/>
      </c>
      <c r="C291" s="17" t="str">
        <f>Fill_Value(quality!C291)</f>
        <v/>
      </c>
      <c r="D291" s="18"/>
      <c r="E291" s="19"/>
      <c r="F291" s="19"/>
      <c r="G291" s="19"/>
      <c r="H291" s="19"/>
      <c r="I291" s="19"/>
      <c r="J291" s="19"/>
      <c r="K291" s="19"/>
      <c r="L291" s="19"/>
      <c r="M291" s="19"/>
      <c r="N291" s="19"/>
      <c r="O291" s="19"/>
      <c r="P291" s="17"/>
      <c r="Q291" s="5"/>
    </row>
    <row r="292" spans="1:17" x14ac:dyDescent="0.3">
      <c r="A292" s="14"/>
      <c r="B292" s="14" t="str">
        <f>Fill_Value(quality!B292)</f>
        <v/>
      </c>
      <c r="C292" s="14" t="str">
        <f>Fill_Value(quality!C292)</f>
        <v/>
      </c>
      <c r="D292" s="15"/>
      <c r="E292" s="16"/>
      <c r="F292" s="16"/>
      <c r="G292" s="16"/>
      <c r="H292" s="16"/>
      <c r="I292" s="16"/>
      <c r="J292" s="16"/>
      <c r="K292" s="16"/>
      <c r="L292" s="16"/>
      <c r="M292" s="16"/>
      <c r="N292" s="16"/>
      <c r="O292" s="16"/>
      <c r="P292" s="14"/>
      <c r="Q292" s="4"/>
    </row>
    <row r="293" spans="1:17" x14ac:dyDescent="0.3">
      <c r="A293" s="17"/>
      <c r="B293" s="17" t="str">
        <f>Fill_Value(quality!B293)</f>
        <v/>
      </c>
      <c r="C293" s="17" t="str">
        <f>Fill_Value(quality!C293)</f>
        <v/>
      </c>
      <c r="D293" s="18"/>
      <c r="E293" s="19"/>
      <c r="F293" s="19"/>
      <c r="G293" s="19"/>
      <c r="H293" s="19"/>
      <c r="I293" s="19"/>
      <c r="J293" s="19"/>
      <c r="K293" s="19"/>
      <c r="L293" s="19"/>
      <c r="M293" s="19"/>
      <c r="N293" s="19"/>
      <c r="O293" s="19"/>
      <c r="P293" s="17"/>
      <c r="Q293" s="5"/>
    </row>
    <row r="294" spans="1:17" x14ac:dyDescent="0.3">
      <c r="A294" s="14"/>
      <c r="B294" s="14" t="str">
        <f>Fill_Value(quality!B294)</f>
        <v/>
      </c>
      <c r="C294" s="14" t="str">
        <f>Fill_Value(quality!C294)</f>
        <v/>
      </c>
      <c r="D294" s="15"/>
      <c r="E294" s="16"/>
      <c r="F294" s="16"/>
      <c r="G294" s="16"/>
      <c r="H294" s="16"/>
      <c r="I294" s="16"/>
      <c r="J294" s="16"/>
      <c r="K294" s="16"/>
      <c r="L294" s="16"/>
      <c r="M294" s="16"/>
      <c r="N294" s="16"/>
      <c r="O294" s="16"/>
      <c r="P294" s="14"/>
      <c r="Q294" s="4"/>
    </row>
    <row r="295" spans="1:17" x14ac:dyDescent="0.3">
      <c r="A295" s="17"/>
      <c r="B295" s="17" t="str">
        <f>Fill_Value(quality!B295)</f>
        <v/>
      </c>
      <c r="C295" s="17" t="str">
        <f>Fill_Value(quality!C295)</f>
        <v/>
      </c>
      <c r="D295" s="18"/>
      <c r="E295" s="19"/>
      <c r="F295" s="19"/>
      <c r="G295" s="19"/>
      <c r="H295" s="19"/>
      <c r="I295" s="19"/>
      <c r="J295" s="19"/>
      <c r="K295" s="19"/>
      <c r="L295" s="19"/>
      <c r="M295" s="19"/>
      <c r="N295" s="19"/>
      <c r="O295" s="19"/>
      <c r="P295" s="17"/>
      <c r="Q295" s="5"/>
    </row>
    <row r="296" spans="1:17" x14ac:dyDescent="0.3">
      <c r="A296" s="14"/>
      <c r="B296" s="14" t="str">
        <f>Fill_Value(quality!B296)</f>
        <v/>
      </c>
      <c r="C296" s="14" t="str">
        <f>Fill_Value(quality!C296)</f>
        <v/>
      </c>
      <c r="D296" s="15"/>
      <c r="E296" s="16"/>
      <c r="F296" s="16"/>
      <c r="G296" s="16"/>
      <c r="H296" s="16"/>
      <c r="I296" s="16"/>
      <c r="J296" s="16"/>
      <c r="K296" s="16"/>
      <c r="L296" s="16"/>
      <c r="M296" s="16"/>
      <c r="N296" s="16"/>
      <c r="O296" s="16"/>
      <c r="P296" s="14"/>
      <c r="Q296" s="4"/>
    </row>
    <row r="297" spans="1:17" x14ac:dyDescent="0.3">
      <c r="A297" s="17"/>
      <c r="B297" s="17" t="str">
        <f>Fill_Value(quality!B297)</f>
        <v/>
      </c>
      <c r="C297" s="17" t="str">
        <f>Fill_Value(quality!C297)</f>
        <v/>
      </c>
      <c r="D297" s="18"/>
      <c r="E297" s="19"/>
      <c r="F297" s="19"/>
      <c r="G297" s="19"/>
      <c r="H297" s="19"/>
      <c r="I297" s="19"/>
      <c r="J297" s="19"/>
      <c r="K297" s="19"/>
      <c r="L297" s="19"/>
      <c r="M297" s="19"/>
      <c r="N297" s="19"/>
      <c r="O297" s="19"/>
      <c r="P297" s="17"/>
      <c r="Q297" s="5"/>
    </row>
    <row r="298" spans="1:17" x14ac:dyDescent="0.3">
      <c r="A298" s="14"/>
      <c r="B298" s="14" t="str">
        <f>Fill_Value(quality!B298)</f>
        <v/>
      </c>
      <c r="C298" s="14" t="str">
        <f>Fill_Value(quality!C298)</f>
        <v/>
      </c>
      <c r="D298" s="15"/>
      <c r="E298" s="16"/>
      <c r="F298" s="16"/>
      <c r="G298" s="16"/>
      <c r="H298" s="16"/>
      <c r="I298" s="16"/>
      <c r="J298" s="16"/>
      <c r="K298" s="16"/>
      <c r="L298" s="16"/>
      <c r="M298" s="16"/>
      <c r="N298" s="16"/>
      <c r="O298" s="16"/>
      <c r="P298" s="14"/>
      <c r="Q298" s="4"/>
    </row>
    <row r="299" spans="1:17" x14ac:dyDescent="0.3">
      <c r="A299" s="17"/>
      <c r="B299" s="17" t="str">
        <f>Fill_Value(quality!B299)</f>
        <v/>
      </c>
      <c r="C299" s="17" t="str">
        <f>Fill_Value(quality!C299)</f>
        <v/>
      </c>
      <c r="D299" s="18"/>
      <c r="E299" s="19"/>
      <c r="F299" s="19"/>
      <c r="G299" s="19"/>
      <c r="H299" s="19"/>
      <c r="I299" s="19"/>
      <c r="J299" s="19"/>
      <c r="K299" s="19"/>
      <c r="L299" s="19"/>
      <c r="M299" s="19"/>
      <c r="N299" s="19"/>
      <c r="O299" s="19"/>
      <c r="P299" s="17"/>
      <c r="Q299" s="5"/>
    </row>
    <row r="300" spans="1:17" x14ac:dyDescent="0.3">
      <c r="A300" s="14"/>
      <c r="B300" s="14" t="str">
        <f>Fill_Value(quality!B300)</f>
        <v/>
      </c>
      <c r="C300" s="14" t="str">
        <f>Fill_Value(quality!C300)</f>
        <v/>
      </c>
      <c r="D300" s="15"/>
      <c r="E300" s="16"/>
      <c r="F300" s="16"/>
      <c r="G300" s="16"/>
      <c r="H300" s="16"/>
      <c r="I300" s="16"/>
      <c r="J300" s="16"/>
      <c r="K300" s="16"/>
      <c r="L300" s="16"/>
      <c r="M300" s="16"/>
      <c r="N300" s="16"/>
      <c r="O300" s="16"/>
      <c r="P300" s="14"/>
      <c r="Q300" s="4"/>
    </row>
    <row r="301" spans="1:17" x14ac:dyDescent="0.3">
      <c r="A301" s="17"/>
      <c r="B301" s="17" t="str">
        <f>Fill_Value(quality!B301)</f>
        <v/>
      </c>
      <c r="C301" s="17" t="str">
        <f>Fill_Value(quality!C301)</f>
        <v/>
      </c>
      <c r="D301" s="18"/>
      <c r="E301" s="19"/>
      <c r="F301" s="19"/>
      <c r="G301" s="19"/>
      <c r="H301" s="19"/>
      <c r="I301" s="19"/>
      <c r="J301" s="19"/>
      <c r="K301" s="19"/>
      <c r="L301" s="19"/>
      <c r="M301" s="19"/>
      <c r="N301" s="19"/>
      <c r="O301" s="19"/>
      <c r="P301" s="17"/>
      <c r="Q301" s="5"/>
    </row>
    <row r="302" spans="1:17" x14ac:dyDescent="0.3">
      <c r="A302" s="14"/>
      <c r="B302" s="14" t="str">
        <f>Fill_Value(quality!B302)</f>
        <v/>
      </c>
      <c r="C302" s="14" t="str">
        <f>Fill_Value(quality!C302)</f>
        <v/>
      </c>
      <c r="D302" s="15"/>
      <c r="E302" s="16"/>
      <c r="F302" s="16"/>
      <c r="G302" s="16"/>
      <c r="H302" s="16"/>
      <c r="I302" s="16"/>
      <c r="J302" s="16"/>
      <c r="K302" s="16"/>
      <c r="L302" s="16"/>
      <c r="M302" s="16"/>
      <c r="N302" s="16"/>
      <c r="O302" s="16"/>
      <c r="P302" s="14"/>
      <c r="Q302" s="4"/>
    </row>
  </sheetData>
  <pageMargins left="0.7" right="0.7" top="0.75" bottom="0.75" header="0.3" footer="0.3"/>
  <pageSetup orientation="portrait" horizontalDpi="300" verticalDpi="300" r:id="rId1"/>
</worksheet>
</file>

<file path=customUI/customUI14.xml><?xml version="1.0" encoding="utf-8"?>
<customUI xmlns="http://schemas.microsoft.com/office/2009/07/customui">
  <ribbon startFromScratch="false">
    <tabs>
      <tab id="curaTab" label="Cura">
        <group id="curaSlicerMainGroup" label="Profile Generator">
          <button id="generateProfiles" label="Generate Profiles" imageMso="EditConnectedSystem" size="large" onAction="GenerateProfiles_Click"/>
          <button id="calculateNow" label="ReCalculate Now" imageMso="CalculateNow" size="large" onAction="RecalculateAll_Click"/>
          <button id="openFolder" label="Open Folder" imageMso="ContentFolderMenu" size="normal" onAction="OpenFolder_Click"/>
        </group>
        <group id="curaSlicerImportExportGroup" label="Update Settings">
          <button id="formatCurrentSheet" label="Format Active Sheet" imageMso="ConditionalFormattingColorScalesGallery" size="large" onAction="FormatActiveSheet_Click"/>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12</vt:i4>
      </vt:variant>
    </vt:vector>
  </HeadingPairs>
  <TitlesOfParts>
    <vt:vector size="18" baseType="lpstr">
      <vt:lpstr>spec</vt:lpstr>
      <vt:lpstr>spec_filament</vt:lpstr>
      <vt:lpstr>spec_speed</vt:lpstr>
      <vt:lpstr>quality</vt:lpstr>
      <vt:lpstr>quality_PETG</vt:lpstr>
      <vt:lpstr>quality_PLA</vt:lpstr>
      <vt:lpstr>APPDATA_FOLDER</vt:lpstr>
      <vt:lpstr>FILAMENT_NAME</vt:lpstr>
      <vt:lpstr>HotendType</vt:lpstr>
      <vt:lpstr>MAX_ACCELERATION</vt:lpstr>
      <vt:lpstr>Max_Layer_Height</vt:lpstr>
      <vt:lpstr>MAX_PRINT_ACCELERATION</vt:lpstr>
      <vt:lpstr>Meterial_Thickness</vt:lpstr>
      <vt:lpstr>Min_Layer_Height</vt:lpstr>
      <vt:lpstr>Nozzle_Diameter</vt:lpstr>
      <vt:lpstr>PRINTER_DEF</vt:lpstr>
      <vt:lpstr>Printer_Name</vt:lpstr>
      <vt:lpstr>SpeedType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Kannan Krishnamoorthy</dc:creator>
  <cp:lastModifiedBy>Kannan Krishnamoorthy</cp:lastModifiedBy>
  <dcterms:created xsi:type="dcterms:W3CDTF">2019-04-01T16:45:55Z</dcterms:created>
  <dcterms:modified xsi:type="dcterms:W3CDTF">2020-01-07T00:25:15Z</dcterms:modified>
</cp:coreProperties>
</file>