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PrusaSlicer_Generator_Titan_DD\"/>
    </mc:Choice>
  </mc:AlternateContent>
  <xr:revisionPtr revIDLastSave="0" documentId="13_ncr:1_{1F1F5D5F-8B42-4EA8-A64D-B7CC5CD3F5D0}" xr6:coauthVersionLast="45" xr6:coauthVersionMax="45" xr10:uidLastSave="{00000000-0000-0000-0000-000000000000}"/>
  <bookViews>
    <workbookView xWindow="-120" yWindow="-120" windowWidth="29040" windowHeight="15840" activeTab="7"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4" i="5"/>
  <c r="C35" i="5"/>
  <c r="C36" i="5"/>
  <c r="C37" i="5" s="1"/>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F71" i="2"/>
  <c r="N11" i="10"/>
  <c r="F76" i="2"/>
  <c r="G72" i="2"/>
  <c r="I11" i="11"/>
  <c r="K12" i="2"/>
  <c r="G69" i="2"/>
  <c r="F72" i="2"/>
  <c r="N12" i="2"/>
  <c r="I8" i="11"/>
  <c r="L12" i="11"/>
  <c r="I12" i="11"/>
  <c r="L11" i="2"/>
  <c r="I8" i="2"/>
  <c r="K8" i="10"/>
  <c r="D12" i="10"/>
  <c r="J8" i="10"/>
  <c r="I12" i="2"/>
  <c r="K8" i="11"/>
  <c r="L12" i="10"/>
  <c r="F69" i="2"/>
  <c r="E11" i="2"/>
  <c r="M11" i="2"/>
  <c r="H11" i="10"/>
  <c r="J8" i="2"/>
  <c r="B8" i="13"/>
  <c r="H12" i="10"/>
  <c r="H8" i="11"/>
  <c r="K12" i="10"/>
  <c r="D12" i="2"/>
  <c r="D8" i="10"/>
  <c r="G70" i="2"/>
  <c r="L8" i="10"/>
  <c r="L11" i="10"/>
  <c r="L8" i="2"/>
  <c r="L8" i="11"/>
  <c r="I8" i="10"/>
  <c r="D8" i="11"/>
  <c r="E8" i="11"/>
  <c r="E11" i="10"/>
  <c r="J11" i="11"/>
  <c r="N12" i="10"/>
  <c r="E11" i="11"/>
  <c r="M8" i="10"/>
  <c r="J12" i="2"/>
  <c r="E8" i="10"/>
  <c r="E12" i="11"/>
  <c r="F77" i="2"/>
  <c r="K11" i="2"/>
  <c r="D8" i="2"/>
  <c r="F74" i="2"/>
  <c r="F70" i="2"/>
  <c r="G71" i="2"/>
  <c r="B13" i="13"/>
  <c r="K11" i="10"/>
  <c r="D11" i="10"/>
  <c r="H8" i="10"/>
  <c r="B3" i="13"/>
  <c r="B12" i="13"/>
  <c r="E12" i="10"/>
  <c r="G76" i="2"/>
  <c r="H8" i="2"/>
  <c r="F73" i="2"/>
  <c r="J12" i="10"/>
  <c r="L12" i="2"/>
  <c r="K12" i="11"/>
  <c r="N12" i="11"/>
  <c r="H12" i="11"/>
  <c r="M12" i="10"/>
  <c r="F68" i="2"/>
  <c r="I11" i="2"/>
  <c r="J12" i="11"/>
  <c r="I11" i="10"/>
  <c r="I12" i="10"/>
  <c r="B6" i="13"/>
  <c r="M12" i="11"/>
  <c r="M11" i="11"/>
  <c r="N8" i="11"/>
  <c r="G68" i="2"/>
  <c r="B5" i="13"/>
  <c r="D11" i="2"/>
  <c r="B11" i="13"/>
  <c r="M8" i="11"/>
  <c r="M8" i="2"/>
  <c r="M11" i="10"/>
  <c r="D11" i="11"/>
  <c r="J8" i="11"/>
  <c r="B14" i="13"/>
  <c r="K8" i="2"/>
  <c r="H12" i="2"/>
  <c r="J11" i="2"/>
  <c r="N8" i="10"/>
  <c r="D12" i="11"/>
  <c r="N11" i="2"/>
  <c r="N8" i="2"/>
  <c r="N11" i="11"/>
  <c r="H11" i="11"/>
  <c r="B4" i="13"/>
  <c r="G73" i="2"/>
  <c r="B15" i="13"/>
  <c r="K11" i="11"/>
  <c r="G74" i="2"/>
  <c r="J11" i="10"/>
  <c r="L11" i="11"/>
  <c r="E8" i="2"/>
  <c r="G77" i="2"/>
  <c r="M12" i="2"/>
  <c r="H11" i="2"/>
  <c r="E12" i="2"/>
  <c r="B9" i="13"/>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16" i="13"/>
  <c r="B10" i="13"/>
  <c r="D29" i="3"/>
  <c r="H29" i="3"/>
  <c r="B7" i="13"/>
  <c r="F29" i="3"/>
  <c r="E29" i="3"/>
  <c r="I29" i="3"/>
  <c r="B17" i="13"/>
  <c r="G29" i="3"/>
  <c r="D90" i="2"/>
  <c r="N68" i="2"/>
  <c r="M90" i="2"/>
  <c r="F90" i="10"/>
  <c r="K90" i="10"/>
  <c r="N70" i="2"/>
  <c r="N90" i="11"/>
  <c r="E90" i="10"/>
  <c r="D90" i="11"/>
  <c r="L90" i="2"/>
  <c r="J90" i="2"/>
  <c r="N76" i="2"/>
  <c r="H90" i="10"/>
  <c r="J90" i="10"/>
  <c r="E90" i="2"/>
  <c r="J90" i="11"/>
  <c r="L90" i="10"/>
  <c r="N69" i="2"/>
  <c r="N71" i="2"/>
  <c r="M90" i="11"/>
  <c r="I90" i="11"/>
  <c r="N73" i="2"/>
  <c r="I90" i="10"/>
  <c r="N72" i="2"/>
  <c r="G90" i="11"/>
  <c r="N90" i="10"/>
  <c r="K90" i="11"/>
  <c r="G90" i="10"/>
  <c r="H90" i="11"/>
  <c r="H90" i="2"/>
  <c r="M90" i="10"/>
  <c r="I90" i="2"/>
  <c r="L90" i="11"/>
  <c r="K90" i="2"/>
  <c r="E90" i="11"/>
  <c r="D90" i="10"/>
  <c r="N74" i="2"/>
  <c r="F90" i="11"/>
  <c r="N77" i="2"/>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I76" i="10"/>
  <c r="H70" i="11"/>
  <c r="E76" i="10"/>
  <c r="M77" i="10"/>
  <c r="M77" i="2"/>
  <c r="N68" i="11"/>
  <c r="J71" i="2"/>
  <c r="N70" i="10"/>
  <c r="H73" i="2"/>
  <c r="K74" i="11"/>
  <c r="E74" i="10"/>
  <c r="E72" i="10"/>
  <c r="L70" i="10"/>
  <c r="I71" i="11"/>
  <c r="D69" i="2"/>
  <c r="L69" i="10"/>
  <c r="J74" i="2"/>
  <c r="G73" i="10"/>
  <c r="F71" i="11"/>
  <c r="H70" i="2"/>
  <c r="G68" i="11"/>
  <c r="F72" i="11"/>
  <c r="K71" i="10"/>
  <c r="K76" i="11"/>
  <c r="E72" i="2"/>
  <c r="I77" i="10"/>
  <c r="M73" i="11"/>
  <c r="J70" i="10"/>
  <c r="D73" i="11"/>
  <c r="M71" i="11"/>
  <c r="H68" i="11"/>
  <c r="G77" i="10"/>
  <c r="F76" i="11"/>
  <c r="M68" i="10"/>
  <c r="D71" i="10"/>
  <c r="I69" i="2"/>
  <c r="M68" i="11"/>
  <c r="H74" i="10"/>
  <c r="L72" i="10"/>
  <c r="F73" i="11"/>
  <c r="N77" i="10"/>
  <c r="F74" i="10"/>
  <c r="G69" i="10"/>
  <c r="J72" i="2"/>
  <c r="D69" i="10"/>
  <c r="G74" i="10"/>
  <c r="F70" i="11"/>
  <c r="F71" i="10"/>
  <c r="N69" i="10"/>
  <c r="K72" i="11"/>
  <c r="J70" i="2"/>
  <c r="N71" i="11"/>
  <c r="J74" i="10"/>
  <c r="K70" i="11"/>
  <c r="M76" i="11"/>
  <c r="N76" i="10"/>
  <c r="J68" i="10"/>
  <c r="G70" i="11"/>
  <c r="I74" i="10"/>
  <c r="E74" i="2"/>
  <c r="L76" i="11"/>
  <c r="F72" i="10"/>
  <c r="H77" i="11"/>
  <c r="E77" i="11"/>
  <c r="D73" i="10"/>
  <c r="M71" i="2"/>
  <c r="H69" i="11"/>
  <c r="I68" i="2"/>
  <c r="J73" i="2"/>
  <c r="J69" i="2"/>
  <c r="G72" i="11"/>
  <c r="K76" i="2"/>
  <c r="I69" i="11"/>
  <c r="H74" i="11"/>
  <c r="E71" i="10"/>
  <c r="L70" i="2"/>
  <c r="I69" i="10"/>
  <c r="I73" i="11"/>
  <c r="L69" i="11"/>
  <c r="D77" i="11"/>
  <c r="H68" i="2"/>
  <c r="G69" i="11"/>
  <c r="D69" i="11"/>
  <c r="L68" i="10"/>
  <c r="K77" i="2"/>
  <c r="L73" i="2"/>
  <c r="M70" i="2"/>
  <c r="E70" i="2"/>
  <c r="D74" i="2"/>
  <c r="E71" i="11"/>
  <c r="K73" i="11"/>
  <c r="G73" i="11"/>
  <c r="D71" i="2"/>
  <c r="H70" i="10"/>
  <c r="G70" i="10"/>
  <c r="L72" i="2"/>
  <c r="F73" i="10"/>
  <c r="J69" i="11"/>
  <c r="J68" i="2"/>
  <c r="G76" i="11"/>
  <c r="J68" i="11"/>
  <c r="E77" i="10"/>
  <c r="L77" i="2"/>
  <c r="J76" i="10"/>
  <c r="I72" i="11"/>
  <c r="M72" i="11"/>
  <c r="L71" i="2"/>
  <c r="D68" i="10"/>
  <c r="I76" i="2"/>
  <c r="G76" i="10"/>
  <c r="E70" i="11"/>
  <c r="M69" i="11"/>
  <c r="I77" i="2"/>
  <c r="N71" i="10"/>
  <c r="E71" i="2"/>
  <c r="H71" i="11"/>
  <c r="K71" i="11"/>
  <c r="H72" i="11"/>
  <c r="M70" i="11"/>
  <c r="M72" i="10"/>
  <c r="L71" i="10"/>
  <c r="K69" i="10"/>
  <c r="J71" i="10"/>
  <c r="G72" i="10"/>
  <c r="J73" i="11"/>
  <c r="E68" i="11"/>
  <c r="I70" i="2"/>
  <c r="D68" i="2"/>
  <c r="L68" i="11"/>
  <c r="H74" i="2"/>
  <c r="M76" i="10"/>
  <c r="N70" i="11"/>
  <c r="E70" i="10"/>
  <c r="J72" i="10"/>
  <c r="I68" i="11"/>
  <c r="N77" i="11"/>
  <c r="I68" i="10"/>
  <c r="F77" i="10"/>
  <c r="J71" i="11"/>
  <c r="H68" i="10"/>
  <c r="K73" i="2"/>
  <c r="N73" i="10"/>
  <c r="M68" i="2"/>
  <c r="M71" i="10"/>
  <c r="M73" i="10"/>
  <c r="K77" i="11"/>
  <c r="D74" i="11"/>
  <c r="E73" i="10"/>
  <c r="K69" i="11"/>
  <c r="L71" i="11"/>
  <c r="I73" i="2"/>
  <c r="K70" i="2"/>
  <c r="I72" i="10"/>
  <c r="F74" i="11"/>
  <c r="E77" i="2"/>
  <c r="D70" i="10"/>
  <c r="H76" i="10"/>
  <c r="I77" i="11"/>
  <c r="F68" i="11"/>
  <c r="L68" i="2"/>
  <c r="D77" i="2"/>
  <c r="F69" i="10"/>
  <c r="E73" i="2"/>
  <c r="E68" i="2"/>
  <c r="K68" i="10"/>
  <c r="J76" i="2"/>
  <c r="G71" i="10"/>
  <c r="L73" i="10"/>
  <c r="E69" i="10"/>
  <c r="M69" i="2"/>
  <c r="I71" i="10"/>
  <c r="H77" i="2"/>
  <c r="H73" i="11"/>
  <c r="I72" i="2"/>
  <c r="E69" i="11"/>
  <c r="E73" i="11"/>
  <c r="H76" i="11"/>
  <c r="K73" i="10"/>
  <c r="J70" i="11"/>
  <c r="D76" i="11"/>
  <c r="K69" i="2"/>
  <c r="K72" i="2"/>
  <c r="E69" i="2"/>
  <c r="J69" i="10"/>
  <c r="M74" i="11"/>
  <c r="N72" i="10"/>
  <c r="G71" i="11"/>
  <c r="J77" i="11"/>
  <c r="H76" i="2"/>
  <c r="M73" i="2"/>
  <c r="M77" i="11"/>
  <c r="K74" i="2"/>
  <c r="L74" i="11"/>
  <c r="M69" i="10"/>
  <c r="J72" i="11"/>
  <c r="K72" i="10"/>
  <c r="L69" i="2"/>
  <c r="D76" i="2"/>
  <c r="K76" i="10"/>
  <c r="L74" i="2"/>
  <c r="F70" i="10"/>
  <c r="J74" i="11"/>
  <c r="F76" i="10"/>
  <c r="H72" i="10"/>
  <c r="D76" i="10"/>
  <c r="M74" i="2"/>
  <c r="I76" i="11"/>
  <c r="D70" i="2"/>
  <c r="H71" i="10"/>
  <c r="M76" i="2"/>
  <c r="D70" i="11"/>
  <c r="H77" i="10"/>
  <c r="L77" i="10"/>
  <c r="D72" i="11"/>
  <c r="H69" i="2"/>
  <c r="N72" i="11"/>
  <c r="N74" i="11"/>
  <c r="I73" i="10"/>
  <c r="I70" i="11"/>
  <c r="K74" i="10"/>
  <c r="D74" i="10"/>
  <c r="F68" i="10"/>
  <c r="N73" i="11"/>
  <c r="H73" i="10"/>
  <c r="E72" i="11"/>
  <c r="L76" i="2"/>
  <c r="D68" i="11"/>
  <c r="H72" i="2"/>
  <c r="I70" i="10"/>
  <c r="L74" i="10"/>
  <c r="E76" i="2"/>
  <c r="H71" i="2"/>
  <c r="K77" i="10"/>
  <c r="M70" i="10"/>
  <c r="L76" i="10"/>
  <c r="F69" i="11"/>
  <c r="D72" i="2"/>
  <c r="G77" i="11"/>
  <c r="E76" i="11"/>
  <c r="N68" i="10"/>
  <c r="J76" i="11"/>
  <c r="L72" i="11"/>
  <c r="E74" i="11"/>
  <c r="N74" i="10"/>
  <c r="N69" i="11"/>
  <c r="D73" i="2"/>
  <c r="F77" i="11"/>
  <c r="L77" i="11"/>
  <c r="N76" i="11"/>
  <c r="I74" i="2"/>
  <c r="J73" i="10"/>
  <c r="J77" i="10"/>
  <c r="D77" i="10"/>
  <c r="L73" i="11"/>
  <c r="L70" i="11"/>
  <c r="M74" i="10"/>
  <c r="K71" i="2"/>
  <c r="K68" i="2"/>
  <c r="K70" i="10"/>
  <c r="G68" i="10"/>
  <c r="I71" i="2"/>
  <c r="E68" i="10"/>
  <c r="J77" i="2"/>
  <c r="G74" i="11"/>
  <c r="M72" i="2"/>
  <c r="D71" i="11"/>
  <c r="K68" i="11"/>
  <c r="I74" i="11"/>
  <c r="H69" i="10"/>
  <c r="D7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<sst xmlns="http://schemas.openxmlformats.org/spreadsheetml/2006/main" count="1026" uniqueCount="490">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</sst>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B35" sqref="B35"/>
    </sheetView>
  </sheetViews>
  <sheetFormatPr defaultRowHeight="15" x14ac:dyDescent="0.25"/>
  <cols>
    <col min="1" max="1" width="25.85546875" bestFit="1" customWidth="1"/>
    <col min="2" max="2" width="51" bestFit="1" customWidth="1"/>
    <col min="3" max="4" width="9.85546875" customWidth="1"/>
    <col min="6" max="6" width="19.85546875" bestFit="1" customWidth="1"/>
    <col min="7" max="7" width="55.7109375" bestFit="1" customWidth="1"/>
    <col min="8" max="8" width="12.7109375" bestFit="1" customWidth="1"/>
    <col min="9" max="10" width="12.7109375" customWidth="1"/>
    <col min="19" max="19" width="7.85546875" bestFit="1" customWidth="1"/>
    <col min="20" max="20" width="18.140625" bestFit="1" customWidth="1"/>
    <col min="21" max="21" width="21.140625" bestFit="1" customWidth="1"/>
  </cols>
  <sheetData>
    <row r="1" spans="1:7" x14ac:dyDescent="0.25">
      <c r="A1" s="15" t="s">
        <v>206</v>
      </c>
      <c r="B1" s="15" t="s">
        <v>207</v>
      </c>
      <c r="C1" s="15" t="s">
        <v>314</v>
      </c>
      <c r="D1" s="15" t="s">
        <v>214</v>
      </c>
      <c r="F1" s="32" t="s">
        <v>467</v>
      </c>
      <c r="G1" s="31" t="s">
        <v>466</v>
      </c>
    </row>
    <row r="2" spans="1:7" x14ac:dyDescent="0.25">
      <c r="A2" s="21" t="s">
        <v>205</v>
      </c>
      <c r="B2" s="36">
        <v>0.6</v>
      </c>
      <c r="C2" s="21" t="s">
        <v>315</v>
      </c>
      <c r="D2" s="21"/>
      <c r="F2" s="25" t="s">
        <v>224</v>
      </c>
      <c r="G2" t="s">
        <v>366</v>
      </c>
    </row>
    <row r="3" spans="1:7" x14ac:dyDescent="0.25">
      <c r="A3" s="22" t="s">
        <v>208</v>
      </c>
      <c r="B3" s="23" t="str">
        <f>"AnyCubic " &amp;HotendType</f>
        <v>AnyCubic E3D V6</v>
      </c>
      <c r="C3" s="22"/>
      <c r="D3" s="22"/>
      <c r="F3" s="24"/>
      <c r="G3" t="s">
        <v>375</v>
      </c>
    </row>
    <row r="4" spans="1:7" x14ac:dyDescent="0.25">
      <c r="A4" s="21" t="s">
        <v>211</v>
      </c>
      <c r="B4" s="36" t="str">
        <f>B3 &amp; " " &amp; Nozzle_Diameter &amp; " mm"</f>
        <v>AnyCubic E3D V6 0.6 mm</v>
      </c>
      <c r="C4" s="21"/>
      <c r="D4" s="21"/>
    </row>
    <row r="5" spans="1:7" x14ac:dyDescent="0.25">
      <c r="A5" s="22" t="s">
        <v>209</v>
      </c>
      <c r="B5" s="37">
        <f>Nozzle_Diameter*0.2</f>
        <v>0.12</v>
      </c>
      <c r="C5" s="22" t="s">
        <v>315</v>
      </c>
      <c r="D5" s="22"/>
    </row>
    <row r="6" spans="1:7" x14ac:dyDescent="0.25">
      <c r="A6" s="21" t="s">
        <v>210</v>
      </c>
      <c r="B6" s="36">
        <f>Nozzle_Diameter*0.8</f>
        <v>0.48</v>
      </c>
      <c r="C6" s="21" t="s">
        <v>315</v>
      </c>
      <c r="D6" s="21"/>
      <c r="G6" s="4" t="s">
        <v>325</v>
      </c>
    </row>
    <row r="7" spans="1:7" x14ac:dyDescent="0.25">
      <c r="A7" s="24" t="s">
        <v>230</v>
      </c>
      <c r="B7" s="34" t="s">
        <v>372</v>
      </c>
      <c r="C7" s="24"/>
      <c r="D7" s="24"/>
      <c r="G7" s="3" t="s">
        <v>302</v>
      </c>
    </row>
    <row r="8" spans="1:7" x14ac:dyDescent="0.25">
      <c r="A8" s="21" t="s">
        <v>335</v>
      </c>
      <c r="B8" s="33" t="s">
        <v>336</v>
      </c>
      <c r="C8" s="21"/>
      <c r="D8" s="21"/>
      <c r="G8" s="4" t="s">
        <v>305</v>
      </c>
    </row>
    <row r="9" spans="1:7" x14ac:dyDescent="0.25">
      <c r="A9" s="24" t="s">
        <v>359</v>
      </c>
      <c r="B9" s="34" t="s">
        <v>364</v>
      </c>
      <c r="C9" s="24"/>
      <c r="D9" s="24"/>
      <c r="G9" s="3" t="s">
        <v>306</v>
      </c>
    </row>
    <row r="10" spans="1:7" x14ac:dyDescent="0.25">
      <c r="A10" s="26" t="s">
        <v>165</v>
      </c>
      <c r="B10" s="39">
        <v>150</v>
      </c>
      <c r="C10" s="26"/>
      <c r="D10" s="21"/>
    </row>
    <row r="11" spans="1:7" x14ac:dyDescent="0.25">
      <c r="A11" s="27" t="s">
        <v>166</v>
      </c>
      <c r="B11" s="38">
        <v>150</v>
      </c>
      <c r="C11" s="27"/>
      <c r="D11" s="24"/>
      <c r="G11" s="4" t="s">
        <v>301</v>
      </c>
    </row>
    <row r="12" spans="1:7" x14ac:dyDescent="0.25">
      <c r="A12" s="26" t="s">
        <v>167</v>
      </c>
      <c r="B12" s="39">
        <v>5</v>
      </c>
      <c r="C12" s="26"/>
      <c r="D12" s="21"/>
      <c r="G12" s="3" t="s">
        <v>299</v>
      </c>
    </row>
    <row r="13" spans="1:7" x14ac:dyDescent="0.25">
      <c r="A13" s="28" t="s">
        <v>168</v>
      </c>
      <c r="B13" s="41">
        <v>50</v>
      </c>
      <c r="C13" s="28"/>
      <c r="D13" s="22"/>
      <c r="G13" s="4" t="s">
        <v>300</v>
      </c>
    </row>
    <row r="14" spans="1:7" x14ac:dyDescent="0.25">
      <c r="A14" s="26" t="s">
        <v>458</v>
      </c>
      <c r="B14" s="33">
        <v>700</v>
      </c>
      <c r="C14" s="26"/>
      <c r="D14" s="21"/>
      <c r="G14" s="3" t="s">
        <v>366</v>
      </c>
    </row>
    <row r="15" spans="1:7" x14ac:dyDescent="0.25">
      <c r="A15" s="27" t="s">
        <v>169</v>
      </c>
      <c r="B15" s="38">
        <v>700</v>
      </c>
      <c r="C15" s="27"/>
      <c r="D15" s="22"/>
    </row>
    <row r="16" spans="1:7" x14ac:dyDescent="0.25">
      <c r="A16" s="29" t="s">
        <v>170</v>
      </c>
      <c r="B16" s="40">
        <v>700</v>
      </c>
      <c r="C16" s="29"/>
      <c r="D16" s="21"/>
      <c r="G16" t="s">
        <v>366</v>
      </c>
    </row>
    <row r="17" spans="1:7" x14ac:dyDescent="0.25">
      <c r="A17" s="27" t="s">
        <v>171</v>
      </c>
      <c r="B17" s="38">
        <v>20</v>
      </c>
      <c r="C17" s="27"/>
      <c r="D17" s="22"/>
      <c r="G17" t="s">
        <v>375</v>
      </c>
    </row>
    <row r="18" spans="1:7" x14ac:dyDescent="0.25">
      <c r="A18" s="29" t="s">
        <v>172</v>
      </c>
      <c r="B18" s="40">
        <v>15000</v>
      </c>
      <c r="C18" s="29"/>
      <c r="D18" s="21"/>
    </row>
    <row r="19" spans="1:7" x14ac:dyDescent="0.25">
      <c r="A19" s="9" t="s">
        <v>459</v>
      </c>
      <c r="B19" s="35">
        <v>8.1999999999999993</v>
      </c>
      <c r="C19" s="9"/>
      <c r="D19" s="22"/>
      <c r="G19" s="25" t="s">
        <v>325</v>
      </c>
    </row>
    <row r="20" spans="1:7" x14ac:dyDescent="0.25">
      <c r="A20" s="8" t="s">
        <v>177</v>
      </c>
      <c r="B20" s="30">
        <v>0.2</v>
      </c>
      <c r="C20" s="8"/>
      <c r="D20" s="21"/>
      <c r="G20" s="24" t="s">
        <v>457</v>
      </c>
    </row>
    <row r="21" spans="1:7" x14ac:dyDescent="0.25">
      <c r="A21" s="9" t="s">
        <v>178</v>
      </c>
      <c r="B21" s="35">
        <v>10</v>
      </c>
      <c r="C21" s="9"/>
      <c r="D21" s="22"/>
    </row>
    <row r="22" spans="1:7" x14ac:dyDescent="0.25">
      <c r="A22" s="8" t="s">
        <v>460</v>
      </c>
      <c r="B22" s="30">
        <v>3.9E-2</v>
      </c>
      <c r="C22" s="8"/>
      <c r="D22" s="8"/>
    </row>
    <row r="23" spans="1:7" x14ac:dyDescent="0.25">
      <c r="A23" s="9" t="s">
        <v>461</v>
      </c>
      <c r="B23" s="35">
        <v>100.06</v>
      </c>
      <c r="C23" s="9"/>
      <c r="D23" s="9"/>
    </row>
    <row r="24" spans="1:7" x14ac:dyDescent="0.25">
      <c r="A24" s="8" t="s">
        <v>462</v>
      </c>
      <c r="B24" s="30">
        <v>80.06</v>
      </c>
      <c r="C24" s="8"/>
      <c r="D24" s="8"/>
    </row>
    <row r="25" spans="1:7" x14ac:dyDescent="0.25">
      <c r="A25" s="9" t="s">
        <v>463</v>
      </c>
      <c r="B25" s="35">
        <v>800</v>
      </c>
      <c r="C25" s="9"/>
      <c r="D25" s="9"/>
    </row>
    <row r="26" spans="1:7" x14ac:dyDescent="0.25">
      <c r="A26" s="8" t="s">
        <v>464</v>
      </c>
      <c r="B26" s="30">
        <v>435</v>
      </c>
      <c r="C26" s="8"/>
      <c r="D26" s="8"/>
    </row>
    <row r="27" spans="1:7" x14ac:dyDescent="0.25">
      <c r="A27" s="9" t="s">
        <v>465</v>
      </c>
      <c r="B27" s="35">
        <v>0</v>
      </c>
      <c r="C27" s="9"/>
      <c r="D27" s="9"/>
    </row>
    <row r="28" spans="1:7" x14ac:dyDescent="0.25">
      <c r="A28" s="8" t="s">
        <v>468</v>
      </c>
      <c r="B28" s="30">
        <v>10</v>
      </c>
      <c r="C28" s="8"/>
      <c r="D28" s="8"/>
    </row>
    <row r="29" spans="1:7" x14ac:dyDescent="0.25">
      <c r="A29" s="9" t="s">
        <v>469</v>
      </c>
      <c r="B29" s="35">
        <v>280</v>
      </c>
      <c r="C29" s="9"/>
      <c r="D29" s="9"/>
    </row>
    <row r="30" spans="1:7" x14ac:dyDescent="0.25">
      <c r="A30" s="8" t="s">
        <v>470</v>
      </c>
      <c r="B30" s="30">
        <v>0</v>
      </c>
      <c r="C30" s="8"/>
      <c r="D30" s="8"/>
    </row>
    <row r="31" spans="1:7" x14ac:dyDescent="0.25">
      <c r="A31" s="9" t="s">
        <v>471</v>
      </c>
      <c r="B31" s="35">
        <v>200</v>
      </c>
      <c r="C31" s="9"/>
      <c r="D31" s="9"/>
    </row>
    <row r="32" spans="1:7" x14ac:dyDescent="0.25">
      <c r="A32" s="8" t="s">
        <v>472</v>
      </c>
      <c r="B32" s="30">
        <v>0</v>
      </c>
      <c r="C32" s="8"/>
      <c r="D32" s="8"/>
    </row>
    <row r="33" spans="1:4" x14ac:dyDescent="0.25">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5" x14ac:dyDescent="0.25"/>
  <sheetData>
    <row r="1" spans="1:16" x14ac:dyDescent="0.25">
      <c r="A1" s="49" t="s">
        <v>319</v>
      </c>
      <c r="B1" s="50"/>
      <c r="C1" s="50"/>
      <c r="D1" s="50"/>
      <c r="E1" s="50"/>
      <c r="F1" s="50"/>
      <c r="G1" s="50"/>
      <c r="H1" s="50"/>
      <c r="I1" s="50"/>
      <c r="J1" s="50"/>
      <c r="K1" s="50"/>
      <c r="L1" s="51"/>
      <c r="N1" s="52" t="s">
        <v>317</v>
      </c>
      <c r="O1" s="52"/>
      <c r="P1" s="52"/>
    </row>
    <row r="2" spans="1:16" x14ac:dyDescent="0.25">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25">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25">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25">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25">
      <c r="A6" s="9"/>
      <c r="B6" s="18"/>
      <c r="C6" s="18"/>
      <c r="D6" s="18"/>
      <c r="E6" s="18"/>
      <c r="F6" s="18"/>
      <c r="G6" s="18"/>
      <c r="H6" s="18"/>
      <c r="I6" s="18"/>
      <c r="J6" s="18"/>
      <c r="K6" s="18"/>
      <c r="L6" s="18"/>
      <c r="N6" s="2" t="s">
        <v>290</v>
      </c>
      <c r="O6" s="5">
        <v>1.5</v>
      </c>
      <c r="P6" s="5">
        <v>0.8</v>
      </c>
    </row>
    <row r="7" spans="1:16" x14ac:dyDescent="0.25">
      <c r="A7" s="8"/>
      <c r="B7" s="8"/>
      <c r="C7" s="8"/>
      <c r="D7" s="8"/>
      <c r="E7" s="8"/>
      <c r="F7" s="8"/>
      <c r="G7" s="8"/>
      <c r="H7" s="8"/>
      <c r="I7" s="8"/>
      <c r="J7" s="8"/>
      <c r="K7" s="8"/>
      <c r="L7" s="8"/>
      <c r="N7" s="2" t="s">
        <v>292</v>
      </c>
      <c r="O7" s="5">
        <v>1.5</v>
      </c>
      <c r="P7" s="5">
        <v>0.8</v>
      </c>
    </row>
    <row r="8" spans="1:16" x14ac:dyDescent="0.25">
      <c r="A8" s="9"/>
      <c r="B8" s="9"/>
      <c r="C8" s="9"/>
      <c r="D8" s="9"/>
      <c r="E8" s="9"/>
      <c r="F8" s="9"/>
      <c r="G8" s="9"/>
      <c r="H8" s="9"/>
      <c r="I8" s="9"/>
      <c r="J8" s="9"/>
      <c r="K8" s="9"/>
      <c r="L8" s="9"/>
      <c r="N8" s="2" t="s">
        <v>145</v>
      </c>
      <c r="O8" s="5">
        <v>1.5</v>
      </c>
      <c r="P8" s="5">
        <v>0.8</v>
      </c>
    </row>
    <row r="9" spans="1:16" x14ac:dyDescent="0.25">
      <c r="A9" s="8"/>
      <c r="B9" s="8"/>
      <c r="C9" s="8"/>
      <c r="D9" s="8"/>
      <c r="E9" s="8"/>
      <c r="F9" s="8"/>
      <c r="G9" s="8"/>
      <c r="H9" s="8"/>
      <c r="I9" s="8"/>
      <c r="J9" s="8"/>
      <c r="K9" s="8"/>
      <c r="L9" s="8"/>
      <c r="N9" s="2"/>
      <c r="O9" s="2"/>
      <c r="P9" s="2"/>
    </row>
    <row r="10" spans="1:16" x14ac:dyDescent="0.25">
      <c r="A10" s="9"/>
      <c r="B10" s="9"/>
      <c r="C10" s="9"/>
      <c r="D10" s="9"/>
      <c r="E10" s="9"/>
      <c r="F10" s="9"/>
      <c r="G10" s="9"/>
      <c r="H10" s="9"/>
      <c r="I10" s="9"/>
      <c r="J10" s="9"/>
      <c r="K10" s="9"/>
      <c r="L10" s="9"/>
      <c r="N10" s="2"/>
      <c r="O10" s="2"/>
      <c r="P10" s="2"/>
    </row>
    <row r="11" spans="1:16" x14ac:dyDescent="0.25">
      <c r="A11" s="49" t="s">
        <v>321</v>
      </c>
      <c r="B11" s="50"/>
      <c r="C11" s="50"/>
      <c r="D11" s="50"/>
      <c r="E11" s="50"/>
      <c r="F11" s="50"/>
      <c r="G11" s="50"/>
      <c r="H11" s="50"/>
      <c r="I11" s="50"/>
      <c r="J11" s="50"/>
      <c r="K11" s="50"/>
      <c r="L11" s="51"/>
      <c r="N11" s="2"/>
      <c r="O11" s="2"/>
      <c r="P11" s="2"/>
    </row>
    <row r="12" spans="1:16" x14ac:dyDescent="0.25">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25">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25">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25">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25">
      <c r="A16" s="9"/>
      <c r="B16" s="18"/>
      <c r="C16" s="18"/>
      <c r="D16" s="18"/>
      <c r="E16" s="18"/>
      <c r="F16" s="18"/>
      <c r="G16" s="18"/>
      <c r="H16" s="18"/>
      <c r="I16" s="18"/>
      <c r="J16" s="18"/>
      <c r="K16" s="18"/>
      <c r="L16" s="18"/>
    </row>
    <row r="17" spans="1:12" x14ac:dyDescent="0.25">
      <c r="A17" s="8"/>
      <c r="B17" s="8"/>
      <c r="C17" s="8"/>
      <c r="D17" s="8"/>
      <c r="E17" s="8"/>
      <c r="F17" s="8"/>
      <c r="G17" s="8"/>
      <c r="H17" s="8"/>
      <c r="I17" s="8"/>
      <c r="J17" s="8"/>
      <c r="K17" s="8"/>
      <c r="L17" s="8"/>
    </row>
    <row r="18" spans="1:12" x14ac:dyDescent="0.25">
      <c r="A18" s="9"/>
      <c r="B18" s="9"/>
      <c r="C18" s="9"/>
      <c r="D18" s="9"/>
      <c r="E18" s="9"/>
      <c r="F18" s="9"/>
      <c r="G18" s="9"/>
      <c r="H18" s="9"/>
      <c r="I18" s="9"/>
      <c r="J18" s="9"/>
      <c r="K18" s="9"/>
      <c r="L18" s="9"/>
    </row>
    <row r="19" spans="1:12" x14ac:dyDescent="0.25">
      <c r="A19" s="8"/>
      <c r="B19" s="8"/>
      <c r="C19" s="8"/>
      <c r="D19" s="8"/>
      <c r="E19" s="8"/>
      <c r="F19" s="8"/>
      <c r="G19" s="8"/>
      <c r="H19" s="8"/>
      <c r="I19" s="8"/>
      <c r="J19" s="8"/>
      <c r="K19" s="8"/>
      <c r="L19" s="8"/>
    </row>
    <row r="20" spans="1:12" x14ac:dyDescent="0.25">
      <c r="A20" s="9"/>
      <c r="B20" s="9"/>
      <c r="C20" s="9"/>
      <c r="D20" s="9"/>
      <c r="E20" s="9"/>
      <c r="F20" s="9"/>
      <c r="G20" s="9"/>
      <c r="H20" s="9"/>
      <c r="I20" s="9"/>
      <c r="J20" s="9"/>
      <c r="K20" s="9"/>
      <c r="L20" s="9"/>
    </row>
    <row r="21" spans="1:12" x14ac:dyDescent="0.25">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5" x14ac:dyDescent="0.25"/>
  <cols>
    <col min="1" max="1" width="10.42578125" customWidth="1"/>
    <col min="3" max="3" width="15.140625" customWidth="1"/>
    <col min="4" max="4" width="12.7109375" customWidth="1"/>
    <col min="5" max="5" width="11.140625" customWidth="1"/>
    <col min="6" max="6" width="13.42578125" customWidth="1"/>
    <col min="10" max="10" width="15" bestFit="1" customWidth="1"/>
    <col min="12" max="12" width="17.7109375" customWidth="1"/>
    <col min="13" max="13" width="19.140625" customWidth="1"/>
    <col min="14" max="14" width="21.140625" customWidth="1"/>
    <col min="15" max="15" width="19.140625" customWidth="1"/>
  </cols>
  <sheetData>
    <row r="1" spans="1:16" ht="44.25" customHeight="1" x14ac:dyDescent="0.25">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25">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25">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25">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25">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25">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25">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25">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25">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25">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25">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25">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25">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25">
      <c r="A14" s="8"/>
      <c r="B14" s="8"/>
      <c r="C14" s="8"/>
      <c r="D14" s="8"/>
      <c r="E14" s="8"/>
      <c r="F14" s="8"/>
      <c r="G14" s="8"/>
      <c r="H14" s="8"/>
      <c r="I14" s="8"/>
      <c r="J14" s="8"/>
      <c r="K14" s="8"/>
      <c r="L14" s="8"/>
      <c r="M14" s="8"/>
      <c r="N14" s="8"/>
      <c r="O14" s="8"/>
      <c r="P14" s="8"/>
    </row>
    <row r="15" spans="1:16" x14ac:dyDescent="0.25">
      <c r="A15" s="9" t="s">
        <v>484</v>
      </c>
      <c r="B15" s="9">
        <v>40</v>
      </c>
      <c r="C15" s="9">
        <v>245</v>
      </c>
      <c r="D15" s="9">
        <v>80</v>
      </c>
      <c r="E15" s="9"/>
      <c r="F15" s="9" t="s">
        <v>345</v>
      </c>
      <c r="G15" s="9">
        <v>40</v>
      </c>
      <c r="H15" s="9">
        <v>30</v>
      </c>
      <c r="I15" s="9">
        <v>3</v>
      </c>
      <c r="J15" s="9" t="s">
        <v>355</v>
      </c>
      <c r="K15" s="9"/>
      <c r="L15" s="9"/>
      <c r="M15" s="9"/>
      <c r="N15" s="9"/>
      <c r="O15" s="9"/>
      <c r="P15" s="9">
        <v>1</v>
      </c>
    </row>
    <row r="16" spans="1:16" x14ac:dyDescent="0.25">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5" x14ac:dyDescent="0.25">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25">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25">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25">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25">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25">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25">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25">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25">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25">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25">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25">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25">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25">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25">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25">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25">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98" activePane="bottomLeft" state="frozen"/>
      <selection activeCell="B30" sqref="B30"/>
      <selection pane="bottomLeft" activeCell="C129" sqref="C129"/>
    </sheetView>
  </sheetViews>
  <sheetFormatPr defaultRowHeight="15" x14ac:dyDescent="0.25"/>
  <cols>
    <col min="1" max="1" width="19.140625" bestFit="1" customWidth="1"/>
    <col min="2" max="2" width="39.7109375" customWidth="1"/>
    <col min="3" max="3" width="16.28515625" style="46"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c r="E52" s="8"/>
      <c r="F52" s="8"/>
      <c r="G52" s="8"/>
      <c r="H52" s="8"/>
      <c r="I52" s="8"/>
      <c r="J52" s="8"/>
      <c r="K52" s="8"/>
      <c r="L52" s="8"/>
      <c r="M52" s="8"/>
      <c r="N52" s="8"/>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25">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25">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25">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25">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25">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25">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25">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25">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25">
      <c r="A90" s="9"/>
      <c r="B90" s="9" t="s">
        <v>64</v>
      </c>
      <c r="C90" s="35"/>
      <c r="D90" s="9" t="str">
        <f ca="1">IFERROR(Matchfill(INDEX(filament!$A$1:$M$97,MATCH("filament_" &amp; $B$90,filament!$B$1:$B$97,0),MATCH($C$67,filament!$A$1:$M$1,0)),filament!$C$100),"")</f>
        <v/>
      </c>
      <c r="E90" s="9" t="str">
        <f ca="1">IFERROR(Matchfill(INDEX(filament!$A$1:$M$97,MATCH("filament_" &amp; $B$90,filament!$B$1:$B$97,0),MATCH($C$67,filament!$A$1:$M$1,0)),filament!$C$100),"")</f>
        <v/>
      </c>
      <c r="F90" s="9"/>
      <c r="G90" s="9"/>
      <c r="H90" s="9" t="str">
        <f ca="1">IFERROR(Matchfill(INDEX(filament!$A$1:$M$97,MATCH("filament_" &amp; $B$90,filament!$B$1:$B$97,0),MATCH($C$67,filament!$A$1:$M$1,0)),filament!$C$100),"")</f>
        <v/>
      </c>
      <c r="I90" s="9" t="str">
        <f ca="1">IFERROR(Matchfill(INDEX(filament!$A$1:$M$97,MATCH("filament_" &amp; $B$90,filament!$B$1:$B$97,0),MATCH($C$67,filament!$A$1:$M$1,0)),filament!$C$100),"")</f>
        <v/>
      </c>
      <c r="J90" s="9" t="str">
        <f ca="1">IFERROR(Matchfill(INDEX(filament!$A$1:$M$97,MATCH("filament_" &amp; $B$90,filament!$B$1:$B$97,0),MATCH($C$67,filament!$A$1:$M$1,0)),filament!$C$100),"")</f>
        <v/>
      </c>
      <c r="K90" s="9" t="str">
        <f ca="1">IFERROR(Matchfill(INDEX(filament!$A$1:$M$97,MATCH("filament_" &amp; $B$90,filament!$B$1:$B$97,0),MATCH($C$67,filament!$A$1:$M$1,0)),filament!$C$100),"")</f>
        <v/>
      </c>
      <c r="L90" s="9" t="str">
        <f ca="1">IFERROR(Matchfill(INDEX(filament!$A$1:$M$97,MATCH("filament_" &amp; $B$90,filament!$B$1:$B$97,0),MATCH($C$67,filament!$A$1:$M$1,0)),filament!$C$100),"")</f>
        <v/>
      </c>
      <c r="M90" s="9" t="str">
        <f ca="1">IFERROR(Matchfill(INDEX(filament!$A$1:$M$97,MATCH("filament_" &amp; $B$90,filament!$B$1:$B$97,0),MATCH($C$67,filament!$A$1:$M$1,0)),filament!$C$100),"")</f>
        <v/>
      </c>
      <c r="N90" s="9" t="str">
        <f ca="1">IFERROR(Matchfill(INDEX(filament!$A$1:$M$97,MATCH("filament_" &amp; $B$90,filament!$B$1:$B$97,0),MATCH($C$67,filament!$A$1:$M$1,0)),filament!$C$100),"")</f>
        <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30" t="str">
        <f>"10%"</f>
        <v>10%</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Printer_Name</f>
        <v>AnyCubic E3D V6 0.6 mm</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44" activePane="bottomLeft" state="frozen"/>
      <selection activeCell="B30" sqref="B30"/>
      <selection pane="bottomLeft" activeCell="C121" sqref="C121"/>
    </sheetView>
  </sheetViews>
  <sheetFormatPr defaultRowHeight="15" x14ac:dyDescent="0.25"/>
  <cols>
    <col min="1" max="1" width="19.140625" bestFit="1" customWidth="1"/>
    <col min="2" max="2" width="39.7109375" customWidth="1"/>
    <col min="3" max="3" width="16.42578125" style="46"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25">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25">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25">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25">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25">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25">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25">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25">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c r="D89" s="8">
        <v>80</v>
      </c>
      <c r="E89" s="8">
        <v>80</v>
      </c>
      <c r="F89" s="8">
        <v>80</v>
      </c>
      <c r="G89" s="8">
        <v>80</v>
      </c>
      <c r="H89" s="8">
        <v>80</v>
      </c>
      <c r="I89" s="8">
        <v>80</v>
      </c>
      <c r="J89" s="8">
        <v>80</v>
      </c>
      <c r="K89" s="8">
        <v>80</v>
      </c>
      <c r="L89" s="8">
        <v>80</v>
      </c>
      <c r="M89" s="8">
        <v>80</v>
      </c>
      <c r="N89" s="8">
        <v>80</v>
      </c>
      <c r="O89" s="8"/>
    </row>
    <row r="90" spans="1:15" x14ac:dyDescent="0.25">
      <c r="A90" s="9"/>
      <c r="B90" s="9" t="s">
        <v>64</v>
      </c>
      <c r="C90" s="35"/>
      <c r="D90" s="9" t="str">
        <f ca="1">Matchfill(INDEX(filament!$A$1:$M$97,MATCH("filament_" &amp; $B$90,filament!$B$1:$B$97,0),MATCH($C$67,filament!$A$1:$M$1,0)),filament!$C$101)</f>
        <v>11.5</v>
      </c>
      <c r="E90" s="9" t="str">
        <f ca="1">Matchfill(INDEX(filament!$A$1:$M$97,MATCH("filament_" &amp; $B$90,filament!$B$1:$B$97,0),MATCH($C$67,filament!$A$1:$M$1,0)),filament!$C$101)</f>
        <v>11.5</v>
      </c>
      <c r="F90" s="9" t="str">
        <f ca="1">Matchfill(INDEX(filament!$A$1:$M$97,MATCH("filament_" &amp; $B$90,filament!$B$1:$B$97,0),MATCH($C$67,filament!$A$1:$M$1,0)),filament!$C$101)</f>
        <v>11.5</v>
      </c>
      <c r="G90" s="9" t="str">
        <f ca="1">Matchfill(INDEX(filament!$A$1:$M$97,MATCH("filament_" &amp; $B$90,filament!$B$1:$B$97,0),MATCH($C$67,filament!$A$1:$M$1,0)),filament!$C$101)</f>
        <v>11.5</v>
      </c>
      <c r="H90" s="9" t="str">
        <f ca="1">Matchfill(INDEX(filament!$A$1:$M$97,MATCH("filament_" &amp; $B$90,filament!$B$1:$B$97,0),MATCH($C$67,filament!$A$1:$M$1,0)),filament!$C$101)</f>
        <v>11.5</v>
      </c>
      <c r="I90" s="9" t="str">
        <f ca="1">Matchfill(INDEX(filament!$A$1:$M$97,MATCH("filament_" &amp; $B$90,filament!$B$1:$B$97,0),MATCH($C$67,filament!$A$1:$M$1,0)),filament!$C$101)</f>
        <v>11.5</v>
      </c>
      <c r="J90" s="9" t="str">
        <f ca="1">Matchfill(INDEX(filament!$A$1:$M$97,MATCH("filament_" &amp; $B$90,filament!$B$1:$B$97,0),MATCH($C$67,filament!$A$1:$M$1,0)),filament!$C$101)</f>
        <v>11.5</v>
      </c>
      <c r="K90" s="9" t="str">
        <f ca="1">Matchfill(INDEX(filament!$A$1:$M$97,MATCH("filament_" &amp; $B$90,filament!$B$1:$B$97,0),MATCH($C$67,filament!$A$1:$M$1,0)),filament!$C$101)</f>
        <v>11.5</v>
      </c>
      <c r="L90" s="9" t="str">
        <f ca="1">Matchfill(INDEX(filament!$A$1:$M$97,MATCH("filament_" &amp; $B$90,filament!$B$1:$B$97,0),MATCH($C$67,filament!$A$1:$M$1,0)),filament!$C$101)</f>
        <v>11.5</v>
      </c>
      <c r="M90" s="9" t="str">
        <f ca="1">Matchfill(INDEX(filament!$A$1:$M$97,MATCH("filament_" &amp; $B$90,filament!$B$1:$B$97,0),MATCH($C$67,filament!$A$1:$M$1,0)),filament!$C$101)</f>
        <v>11.5</v>
      </c>
      <c r="N90" s="9" t="str">
        <f ca="1">Matchfill(INDEX(filament!$A$1:$M$97,MATCH("filament_" &amp; $B$90,filament!$B$1:$B$97,0),MATCH($C$67,filament!$A$1:$M$1,0)),filament!$C$101)</f>
        <v>11.5</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45">
        <v>1</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98" activePane="bottomLeft" state="frozen"/>
      <selection activeCell="B30" sqref="B30"/>
      <selection pane="bottomLeft" activeCell="C129" sqref="C129"/>
    </sheetView>
  </sheetViews>
  <sheetFormatPr defaultRowHeight="15" x14ac:dyDescent="0.25"/>
  <cols>
    <col min="1" max="1" width="19.140625" bestFit="1" customWidth="1"/>
    <col min="2" max="2" width="39.7109375" customWidth="1"/>
    <col min="3" max="3" width="15" style="46"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f>Nozzle_Diameter*5</f>
        <v>3</v>
      </c>
      <c r="D55" s="9"/>
      <c r="E55" s="9"/>
      <c r="F55" s="9"/>
      <c r="G55" s="9"/>
      <c r="H55" s="9"/>
      <c r="I55" s="9"/>
      <c r="J55" s="9"/>
      <c r="K55" s="9"/>
      <c r="L55" s="9"/>
      <c r="M55" s="9"/>
      <c r="N55" s="9"/>
      <c r="O55" s="9" t="s">
        <v>337</v>
      </c>
    </row>
    <row r="56" spans="1:15" x14ac:dyDescent="0.25">
      <c r="A56" s="8"/>
      <c r="B56" s="8" t="s">
        <v>39</v>
      </c>
      <c r="C56" s="30">
        <v>45</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f>Nozzle_Diameter</f>
        <v>0.6</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f>Nozzle_Diameter * 2</f>
        <v>1.2</v>
      </c>
      <c r="D63" s="8"/>
      <c r="E63" s="8"/>
      <c r="F63" s="8"/>
      <c r="G63" s="8"/>
      <c r="H63" s="8"/>
      <c r="I63" s="8"/>
      <c r="J63" s="8"/>
      <c r="K63" s="8"/>
      <c r="L63" s="8"/>
      <c r="M63" s="8"/>
      <c r="N63" s="8"/>
      <c r="O63" s="8" t="s">
        <v>338</v>
      </c>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25">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25">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25">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25">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25">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25">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25">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25">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25">
      <c r="A90" s="9"/>
      <c r="B90" s="9" t="s">
        <v>64</v>
      </c>
      <c r="C90" s="35"/>
      <c r="D90" s="9" t="str">
        <f ca="1">IF(SpeedType = "Manual","",Matchfill(INDEX(filament!$A$1:$M$97,MATCH("filament_" &amp; $B$90,filament!$B$1:$B$97,0),MATCH($C$67,filament!$A$1:$M$1,0)),filament!$C$101))</f>
        <v>8</v>
      </c>
      <c r="E90" s="9" t="str">
        <f ca="1">IF(SpeedType = "Manual","",Matchfill(INDEX(filament!$A$1:$M$97,MATCH("filament_" &amp; $B$90,filament!$B$1:$B$97,0),MATCH($C$67,filament!$A$1:$M$1,0)),filament!$C$101))</f>
        <v>8</v>
      </c>
      <c r="F90" s="9" t="str">
        <f ca="1">IF(SpeedType = "Manual","",Matchfill(INDEX(filament!$A$1:$M$97,MATCH("filament_" &amp; $B$90,filament!$B$1:$B$97,0),MATCH($C$67,filament!$A$1:$M$1,0)),filament!$C$101))</f>
        <v>8</v>
      </c>
      <c r="G90" s="9" t="str">
        <f ca="1">IF(SpeedType = "Manual","",Matchfill(INDEX(filament!$A$1:$M$97,MATCH("filament_" &amp; $B$90,filament!$B$1:$B$97,0),MATCH($C$67,filament!$A$1:$M$1,0)),filament!$C$101))</f>
        <v>8</v>
      </c>
      <c r="H90" s="9" t="str">
        <f ca="1">IF(SpeedType = "Manual","",Matchfill(INDEX(filament!$A$1:$M$97,MATCH("filament_" &amp; $B$90,filament!$B$1:$B$97,0),MATCH($C$67,filament!$A$1:$M$1,0)),filament!$C$101))</f>
        <v>8</v>
      </c>
      <c r="I90" s="9" t="str">
        <f ca="1">IF(SpeedType = "Manual","",Matchfill(INDEX(filament!$A$1:$M$97,MATCH("filament_" &amp; $B$90,filament!$B$1:$B$97,0),MATCH($C$67,filament!$A$1:$M$1,0)),filament!$C$101))</f>
        <v>8</v>
      </c>
      <c r="J90" s="9" t="str">
        <f ca="1">IF(SpeedType = "Manual","",Matchfill(INDEX(filament!$A$1:$M$97,MATCH("filament_" &amp; $B$90,filament!$B$1:$B$97,0),MATCH($C$67,filament!$A$1:$M$1,0)),filament!$C$101))</f>
        <v>8</v>
      </c>
      <c r="K90" s="9" t="str">
        <f ca="1">IF(SpeedType = "Manual","",Matchfill(INDEX(filament!$A$1:$M$97,MATCH("filament_" &amp; $B$90,filament!$B$1:$B$97,0),MATCH($C$67,filament!$A$1:$M$1,0)),filament!$C$101))</f>
        <v>8</v>
      </c>
      <c r="L90" s="9" t="str">
        <f ca="1">IF(SpeedType = "Manual","",Matchfill(INDEX(filament!$A$1:$M$97,MATCH("filament_" &amp; $B$90,filament!$B$1:$B$97,0),MATCH($C$67,filament!$A$1:$M$1,0)),filament!$C$101))</f>
        <v>8</v>
      </c>
      <c r="M90" s="9" t="str">
        <f ca="1">IF(SpeedType = "Manual","",Matchfill(INDEX(filament!$A$1:$M$97,MATCH("filament_" &amp; $B$90,filament!$B$1:$B$97,0),MATCH($C$67,filament!$A$1:$M$1,0)),filament!$C$101))</f>
        <v>8</v>
      </c>
      <c r="N90" s="9" t="str">
        <f ca="1">IF(SpeedType = "Manual","",Matchfill(INDEX(filament!$A$1:$M$97,MATCH("filament_" &amp; $B$90,filament!$B$1:$B$97,0),MATCH($C$67,filament!$A$1:$M$1,0)),filament!$C$101))</f>
        <v>8</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ht="14.25" customHeight="1"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tabSelected="1" workbookViewId="0">
      <pane ySplit="1" topLeftCell="A2" activePane="bottomLeft" state="frozen"/>
      <selection activeCell="B30" sqref="B30"/>
      <selection pane="bottomLeft" activeCell="L13" sqref="L13"/>
    </sheetView>
  </sheetViews>
  <sheetFormatPr defaultRowHeight="15" x14ac:dyDescent="0.25"/>
  <cols>
    <col min="1" max="1" width="16.7109375" customWidth="1"/>
    <col min="2" max="2" width="35.28515625" bestFit="1" customWidth="1"/>
    <col min="3" max="3" width="13.85546875" customWidth="1"/>
    <col min="4" max="4" width="13.28515625" customWidth="1"/>
    <col min="10" max="12" width="6" customWidth="1"/>
    <col min="13" max="13" width="76.85546875" customWidth="1"/>
  </cols>
  <sheetData>
    <row r="1" spans="1:13" x14ac:dyDescent="0.25">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25">
      <c r="A2" s="10" t="s">
        <v>269</v>
      </c>
      <c r="B2" s="10" t="s">
        <v>415</v>
      </c>
      <c r="C2" s="10"/>
      <c r="D2" s="10"/>
      <c r="E2" s="10"/>
      <c r="F2" s="10"/>
      <c r="G2" s="10"/>
      <c r="H2" s="10"/>
      <c r="I2" s="10"/>
      <c r="J2" s="10"/>
      <c r="K2" s="10"/>
      <c r="L2" s="10"/>
      <c r="M2" s="10"/>
    </row>
    <row r="3" spans="1:13" x14ac:dyDescent="0.25">
      <c r="A3" s="8"/>
      <c r="B3" s="8" t="s">
        <v>103</v>
      </c>
      <c r="C3" s="8" t="s">
        <v>104</v>
      </c>
      <c r="D3" s="8" t="s">
        <v>293</v>
      </c>
      <c r="E3" s="8" t="s">
        <v>294</v>
      </c>
      <c r="F3" s="8" t="s">
        <v>295</v>
      </c>
      <c r="G3" s="8" t="s">
        <v>324</v>
      </c>
      <c r="H3" s="8" t="s">
        <v>291</v>
      </c>
      <c r="I3" s="8" t="s">
        <v>296</v>
      </c>
      <c r="J3" s="8" t="s">
        <v>297</v>
      </c>
      <c r="K3" s="8" t="s">
        <v>486</v>
      </c>
      <c r="L3" s="8" t="s">
        <v>487</v>
      </c>
      <c r="M3" s="8"/>
    </row>
    <row r="4" spans="1:13" x14ac:dyDescent="0.25">
      <c r="A4" s="9"/>
      <c r="B4" s="9" t="s">
        <v>105</v>
      </c>
      <c r="C4" s="9">
        <v>1.75</v>
      </c>
      <c r="D4" s="9"/>
      <c r="E4" s="9"/>
      <c r="F4" s="9"/>
      <c r="G4" s="9"/>
      <c r="H4" s="9"/>
      <c r="I4" s="9"/>
      <c r="J4" s="9"/>
      <c r="K4" s="9"/>
      <c r="L4" s="9"/>
      <c r="M4" s="9"/>
    </row>
    <row r="5" spans="1:13" x14ac:dyDescent="0.25">
      <c r="A5" s="8"/>
      <c r="B5" s="8" t="s">
        <v>106</v>
      </c>
      <c r="C5" s="8">
        <v>1</v>
      </c>
      <c r="D5" s="8">
        <v>0.93</v>
      </c>
      <c r="E5" s="8">
        <v>0.9</v>
      </c>
      <c r="F5" s="8"/>
      <c r="G5" s="8"/>
      <c r="H5" s="8"/>
      <c r="I5" s="8"/>
      <c r="J5" s="8"/>
      <c r="K5" s="8"/>
      <c r="L5" s="8"/>
      <c r="M5" s="8"/>
    </row>
    <row r="6" spans="1:13" x14ac:dyDescent="0.25">
      <c r="A6" s="9"/>
      <c r="B6" s="9" t="s">
        <v>107</v>
      </c>
      <c r="C6" s="9"/>
      <c r="D6" s="9">
        <v>1.24</v>
      </c>
      <c r="E6" s="9">
        <v>1.23</v>
      </c>
      <c r="F6" s="9">
        <v>1.04</v>
      </c>
      <c r="G6" s="9">
        <v>1.07</v>
      </c>
      <c r="H6" s="9">
        <v>1.1399999999999999</v>
      </c>
      <c r="I6" s="9">
        <v>0.89</v>
      </c>
      <c r="J6" s="9">
        <v>1.19</v>
      </c>
      <c r="K6" s="9">
        <v>1.03</v>
      </c>
      <c r="L6" s="9">
        <v>1.2</v>
      </c>
      <c r="M6" s="9"/>
    </row>
    <row r="7" spans="1:13" x14ac:dyDescent="0.25">
      <c r="A7" s="8"/>
      <c r="B7" s="8" t="s">
        <v>108</v>
      </c>
      <c r="C7" s="8"/>
      <c r="D7" s="8">
        <v>17</v>
      </c>
      <c r="E7" s="8">
        <v>18</v>
      </c>
      <c r="F7" s="8">
        <v>15</v>
      </c>
      <c r="G7" s="8">
        <v>15</v>
      </c>
      <c r="H7" s="8">
        <v>25</v>
      </c>
      <c r="I7" s="8">
        <v>25</v>
      </c>
      <c r="J7" s="8">
        <v>25</v>
      </c>
      <c r="K7" s="8">
        <v>25</v>
      </c>
      <c r="L7" s="8">
        <v>25</v>
      </c>
      <c r="M7" s="8" t="s">
        <v>298</v>
      </c>
    </row>
    <row r="8" spans="1:13" x14ac:dyDescent="0.25">
      <c r="A8" s="10"/>
      <c r="B8" s="10" t="s">
        <v>416</v>
      </c>
      <c r="C8" s="10"/>
      <c r="D8" s="10"/>
      <c r="E8" s="10"/>
      <c r="F8" s="10"/>
      <c r="G8" s="10"/>
      <c r="H8" s="10"/>
      <c r="I8" s="10"/>
      <c r="J8" s="10"/>
      <c r="K8" s="10"/>
      <c r="L8" s="10"/>
      <c r="M8" s="10"/>
    </row>
    <row r="9" spans="1:13" x14ac:dyDescent="0.25">
      <c r="A9" s="8"/>
      <c r="B9" s="8" t="s">
        <v>109</v>
      </c>
      <c r="C9" s="8">
        <v>225</v>
      </c>
      <c r="D9" s="8"/>
      <c r="E9" s="8">
        <v>240</v>
      </c>
      <c r="F9" s="8">
        <v>240</v>
      </c>
      <c r="G9" s="8">
        <v>230</v>
      </c>
      <c r="H9" s="8">
        <v>245</v>
      </c>
      <c r="I9" s="8">
        <v>220</v>
      </c>
      <c r="J9" s="8">
        <v>230</v>
      </c>
      <c r="K9" s="8">
        <v>240</v>
      </c>
      <c r="L9" s="8">
        <v>310</v>
      </c>
      <c r="M9" s="8"/>
    </row>
    <row r="10" spans="1:13" x14ac:dyDescent="0.25">
      <c r="A10" s="9"/>
      <c r="B10" s="9" t="s">
        <v>110</v>
      </c>
      <c r="C10" s="9">
        <v>220</v>
      </c>
      <c r="D10" s="9"/>
      <c r="E10" s="9">
        <v>245</v>
      </c>
      <c r="F10" s="9">
        <v>240</v>
      </c>
      <c r="G10" s="9">
        <v>230</v>
      </c>
      <c r="H10" s="9">
        <v>245</v>
      </c>
      <c r="I10" s="9">
        <v>220</v>
      </c>
      <c r="J10" s="9">
        <v>230</v>
      </c>
      <c r="K10" s="9">
        <v>240</v>
      </c>
      <c r="L10" s="9">
        <v>310</v>
      </c>
      <c r="M10" s="9"/>
    </row>
    <row r="11" spans="1:13" x14ac:dyDescent="0.25">
      <c r="A11" s="8"/>
      <c r="B11" s="8" t="s">
        <v>111</v>
      </c>
      <c r="C11" s="8">
        <v>80</v>
      </c>
      <c r="D11" s="8"/>
      <c r="E11" s="8">
        <v>100</v>
      </c>
      <c r="F11" s="8">
        <v>120</v>
      </c>
      <c r="G11" s="8">
        <v>120</v>
      </c>
      <c r="H11" s="8">
        <v>80</v>
      </c>
      <c r="I11" s="8">
        <v>120</v>
      </c>
      <c r="J11" s="8"/>
      <c r="K11" s="8">
        <v>100</v>
      </c>
      <c r="L11" s="8">
        <v>140</v>
      </c>
      <c r="M11" s="8"/>
    </row>
    <row r="12" spans="1:13" x14ac:dyDescent="0.25">
      <c r="A12" s="9"/>
      <c r="B12" s="9" t="s">
        <v>112</v>
      </c>
      <c r="C12" s="9">
        <v>80</v>
      </c>
      <c r="D12" s="9"/>
      <c r="E12" s="9">
        <v>90</v>
      </c>
      <c r="F12" s="9">
        <v>120</v>
      </c>
      <c r="G12" s="9">
        <v>120</v>
      </c>
      <c r="H12" s="9">
        <v>80</v>
      </c>
      <c r="I12" s="9">
        <v>120</v>
      </c>
      <c r="J12" s="9"/>
      <c r="K12" s="9">
        <v>100</v>
      </c>
      <c r="L12" s="9">
        <v>140</v>
      </c>
      <c r="M12" s="9"/>
    </row>
    <row r="13" spans="1:13" x14ac:dyDescent="0.25">
      <c r="A13" s="10" t="s">
        <v>272</v>
      </c>
      <c r="B13" s="10" t="s">
        <v>417</v>
      </c>
      <c r="C13" s="10"/>
      <c r="D13" s="10"/>
      <c r="E13" s="10"/>
      <c r="F13" s="10"/>
      <c r="G13" s="10"/>
      <c r="H13" s="10"/>
      <c r="I13" s="10"/>
      <c r="J13" s="10"/>
      <c r="K13" s="10"/>
      <c r="L13" s="10"/>
      <c r="M13" s="10"/>
    </row>
    <row r="14" spans="1:13" x14ac:dyDescent="0.25">
      <c r="A14" s="8"/>
      <c r="B14" s="8" t="s">
        <v>113</v>
      </c>
      <c r="C14" s="8"/>
      <c r="D14" s="8">
        <v>1</v>
      </c>
      <c r="E14" s="8">
        <v>1</v>
      </c>
      <c r="F14" s="8">
        <v>0</v>
      </c>
      <c r="G14" s="8"/>
      <c r="H14" s="8"/>
      <c r="I14" s="8"/>
      <c r="J14" s="8"/>
      <c r="K14" s="8"/>
      <c r="L14" s="8"/>
      <c r="M14" s="8"/>
    </row>
    <row r="15" spans="1:13" x14ac:dyDescent="0.25">
      <c r="A15" s="9"/>
      <c r="B15" s="9" t="s">
        <v>114</v>
      </c>
      <c r="C15" s="9"/>
      <c r="D15" s="9">
        <v>1</v>
      </c>
      <c r="E15" s="9">
        <v>1</v>
      </c>
      <c r="F15" s="9">
        <v>0</v>
      </c>
      <c r="G15" s="9"/>
      <c r="H15" s="9"/>
      <c r="I15" s="9"/>
      <c r="J15" s="9"/>
      <c r="K15" s="9"/>
      <c r="L15" s="9"/>
      <c r="M15" s="9"/>
    </row>
    <row r="16" spans="1:13" x14ac:dyDescent="0.25">
      <c r="A16" s="10"/>
      <c r="B16" s="10" t="s">
        <v>418</v>
      </c>
      <c r="C16" s="10"/>
      <c r="D16" s="10"/>
      <c r="E16" s="10"/>
      <c r="F16" s="10"/>
      <c r="G16" s="10"/>
      <c r="H16" s="10"/>
      <c r="I16" s="10"/>
      <c r="J16" s="10"/>
      <c r="K16" s="10"/>
      <c r="L16" s="10"/>
      <c r="M16" s="10"/>
    </row>
    <row r="17" spans="1:13" x14ac:dyDescent="0.25">
      <c r="A17" s="8"/>
      <c r="B17" s="8" t="s">
        <v>115</v>
      </c>
      <c r="C17" s="8"/>
      <c r="D17" s="8">
        <v>35</v>
      </c>
      <c r="E17" s="8">
        <v>10</v>
      </c>
      <c r="F17" s="8"/>
      <c r="G17" s="8"/>
      <c r="H17" s="8"/>
      <c r="I17" s="8"/>
      <c r="J17" s="8"/>
      <c r="K17" s="8"/>
      <c r="L17" s="8"/>
      <c r="M17" s="8"/>
    </row>
    <row r="18" spans="1:13" x14ac:dyDescent="0.25">
      <c r="A18" s="9"/>
      <c r="B18" s="9" t="s">
        <v>116</v>
      </c>
      <c r="C18" s="9"/>
      <c r="D18" s="9">
        <v>75</v>
      </c>
      <c r="E18" s="9">
        <v>30</v>
      </c>
      <c r="F18" s="9"/>
      <c r="G18" s="9"/>
      <c r="H18" s="9"/>
      <c r="I18" s="9"/>
      <c r="J18" s="9"/>
      <c r="K18" s="9"/>
      <c r="L18" s="9"/>
      <c r="M18" s="9"/>
    </row>
    <row r="19" spans="1:13" x14ac:dyDescent="0.25">
      <c r="A19" s="8"/>
      <c r="B19" s="8" t="s">
        <v>117</v>
      </c>
      <c r="C19" s="8"/>
      <c r="D19" s="8">
        <v>1</v>
      </c>
      <c r="E19" s="8">
        <v>1</v>
      </c>
      <c r="F19" s="8"/>
      <c r="G19" s="8"/>
      <c r="H19" s="8"/>
      <c r="I19" s="8"/>
      <c r="J19" s="8"/>
      <c r="K19" s="8"/>
      <c r="L19" s="8"/>
      <c r="M19" s="8"/>
    </row>
    <row r="20" spans="1:13" x14ac:dyDescent="0.25">
      <c r="A20" s="9"/>
      <c r="B20" s="9" t="s">
        <v>118</v>
      </c>
      <c r="C20" s="9"/>
      <c r="D20" s="9">
        <v>1</v>
      </c>
      <c r="E20" s="9">
        <v>2</v>
      </c>
      <c r="F20" s="9"/>
      <c r="G20" s="9"/>
      <c r="H20" s="9"/>
      <c r="I20" s="9"/>
      <c r="J20" s="9"/>
      <c r="K20" s="9"/>
      <c r="L20" s="9"/>
      <c r="M20" s="9"/>
    </row>
    <row r="21" spans="1:13" x14ac:dyDescent="0.25">
      <c r="A21" s="10"/>
      <c r="B21" s="10" t="s">
        <v>419</v>
      </c>
      <c r="C21" s="10"/>
      <c r="D21" s="10"/>
      <c r="E21" s="10"/>
      <c r="F21" s="10"/>
      <c r="G21" s="10"/>
      <c r="H21" s="10"/>
      <c r="I21" s="10"/>
      <c r="J21" s="10"/>
      <c r="K21" s="10"/>
      <c r="L21" s="10"/>
      <c r="M21" s="10"/>
    </row>
    <row r="22" spans="1:13" x14ac:dyDescent="0.25">
      <c r="A22" s="8"/>
      <c r="B22" s="8" t="s">
        <v>119</v>
      </c>
      <c r="C22" s="8">
        <v>20</v>
      </c>
      <c r="D22" s="8"/>
      <c r="E22" s="8"/>
      <c r="F22" s="8"/>
      <c r="G22" s="8"/>
      <c r="H22" s="8"/>
      <c r="I22" s="8"/>
      <c r="J22" s="8"/>
      <c r="K22" s="8"/>
      <c r="L22" s="8"/>
      <c r="M22" s="8" t="s">
        <v>270</v>
      </c>
    </row>
    <row r="23" spans="1:13" x14ac:dyDescent="0.25">
      <c r="A23" s="9"/>
      <c r="B23" s="9" t="s">
        <v>120</v>
      </c>
      <c r="C23" s="9">
        <v>5</v>
      </c>
      <c r="D23" s="9"/>
      <c r="E23" s="9"/>
      <c r="F23" s="9"/>
      <c r="G23" s="9"/>
      <c r="H23" s="9"/>
      <c r="I23" s="9"/>
      <c r="J23" s="9"/>
      <c r="K23" s="9"/>
      <c r="L23" s="9"/>
      <c r="M23" s="9" t="s">
        <v>273</v>
      </c>
    </row>
    <row r="24" spans="1:13" x14ac:dyDescent="0.25">
      <c r="A24" s="8"/>
      <c r="B24" s="8" t="s">
        <v>121</v>
      </c>
      <c r="C24" s="8">
        <v>10</v>
      </c>
      <c r="D24" s="8"/>
      <c r="E24" s="8"/>
      <c r="F24" s="8"/>
      <c r="G24" s="8"/>
      <c r="H24" s="8"/>
      <c r="I24" s="8"/>
      <c r="J24" s="8"/>
      <c r="K24" s="8"/>
      <c r="L24" s="8"/>
      <c r="M24" s="8"/>
    </row>
    <row r="25" spans="1:13" x14ac:dyDescent="0.25">
      <c r="A25" s="10" t="s">
        <v>233</v>
      </c>
      <c r="B25" s="10" t="s">
        <v>420</v>
      </c>
      <c r="C25" s="10"/>
      <c r="D25" s="10"/>
      <c r="E25" s="10"/>
      <c r="F25" s="10"/>
      <c r="G25" s="10"/>
      <c r="H25" s="10"/>
      <c r="I25" s="10"/>
      <c r="J25" s="10"/>
      <c r="K25" s="10"/>
      <c r="L25" s="10"/>
      <c r="M25" s="10"/>
    </row>
    <row r="26" spans="1:13" x14ac:dyDescent="0.25">
      <c r="A26" s="8"/>
      <c r="B26" s="8" t="s">
        <v>122</v>
      </c>
      <c r="C26" s="8"/>
      <c r="D26" s="8" t="s">
        <v>143</v>
      </c>
      <c r="E26" s="8" t="s">
        <v>142</v>
      </c>
      <c r="F26" s="8" t="s">
        <v>144</v>
      </c>
      <c r="G26" s="8" t="s">
        <v>323</v>
      </c>
      <c r="H26" s="8" t="s">
        <v>212</v>
      </c>
      <c r="I26" s="8" t="s">
        <v>212</v>
      </c>
      <c r="J26" s="8" t="s">
        <v>212</v>
      </c>
      <c r="K26" s="8"/>
      <c r="L26" s="8"/>
      <c r="M26" s="8"/>
    </row>
    <row r="27" spans="1:13" x14ac:dyDescent="0.25">
      <c r="A27" s="9"/>
      <c r="B27" s="9" t="s">
        <v>123</v>
      </c>
      <c r="C27" s="9"/>
      <c r="D27" s="9">
        <v>0</v>
      </c>
      <c r="E27" s="9">
        <v>0</v>
      </c>
      <c r="F27" s="9">
        <v>0</v>
      </c>
      <c r="G27" s="9">
        <v>0</v>
      </c>
      <c r="H27" s="9">
        <v>0</v>
      </c>
      <c r="I27" s="9">
        <v>0</v>
      </c>
      <c r="J27" s="9">
        <v>0</v>
      </c>
      <c r="K27" s="9"/>
      <c r="L27" s="9"/>
      <c r="M27" s="9"/>
    </row>
    <row r="28" spans="1:13" x14ac:dyDescent="0.25">
      <c r="A28" s="10"/>
      <c r="B28" s="10" t="s">
        <v>421</v>
      </c>
      <c r="C28" s="10"/>
      <c r="D28" s="10"/>
      <c r="E28" s="10"/>
      <c r="F28" s="10"/>
      <c r="G28" s="10"/>
      <c r="H28" s="10"/>
      <c r="I28" s="10"/>
      <c r="J28" s="10"/>
      <c r="K28" s="10"/>
      <c r="L28" s="10"/>
      <c r="M28" s="10"/>
    </row>
    <row r="29" spans="1:13" x14ac:dyDescent="0.25">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25">
      <c r="A30" s="10"/>
      <c r="B30" s="10" t="s">
        <v>422</v>
      </c>
      <c r="C30" s="10"/>
      <c r="D30" s="10"/>
      <c r="E30" s="10"/>
      <c r="F30" s="10"/>
      <c r="G30" s="10"/>
      <c r="H30" s="10"/>
      <c r="I30" s="10"/>
      <c r="J30" s="10"/>
      <c r="K30" s="10"/>
      <c r="L30" s="10"/>
      <c r="M30" s="10"/>
    </row>
    <row r="31" spans="1:13" x14ac:dyDescent="0.25">
      <c r="A31" s="8"/>
      <c r="B31" s="8" t="s">
        <v>125</v>
      </c>
      <c r="C31" s="8"/>
      <c r="D31" s="8"/>
      <c r="E31" s="8"/>
      <c r="F31" s="8"/>
      <c r="G31" s="8"/>
      <c r="H31" s="8"/>
      <c r="I31" s="8"/>
      <c r="J31" s="8"/>
      <c r="K31" s="8"/>
      <c r="L31" s="8"/>
      <c r="M31" s="8"/>
    </row>
    <row r="32" spans="1:13" x14ac:dyDescent="0.25">
      <c r="A32" s="9"/>
      <c r="B32" s="9" t="s">
        <v>126</v>
      </c>
      <c r="C32" s="9"/>
      <c r="D32" s="9"/>
      <c r="E32" s="9"/>
      <c r="F32" s="9"/>
      <c r="G32" s="9"/>
      <c r="H32" s="9"/>
      <c r="I32" s="9"/>
      <c r="J32" s="9"/>
      <c r="K32" s="9"/>
      <c r="L32" s="9"/>
      <c r="M32" s="9"/>
    </row>
    <row r="33" spans="1:13" x14ac:dyDescent="0.25">
      <c r="A33" s="8"/>
      <c r="B33" s="8" t="s">
        <v>127</v>
      </c>
      <c r="C33" s="8"/>
      <c r="D33" s="8"/>
      <c r="E33" s="8"/>
      <c r="F33" s="8"/>
      <c r="G33" s="8"/>
      <c r="H33" s="8"/>
      <c r="I33" s="8"/>
      <c r="J33" s="8"/>
      <c r="K33" s="8"/>
      <c r="L33" s="8"/>
      <c r="M33" s="8"/>
    </row>
    <row r="34" spans="1:13" x14ac:dyDescent="0.25">
      <c r="A34" s="9"/>
      <c r="B34" s="9" t="s">
        <v>128</v>
      </c>
      <c r="C34" s="9"/>
      <c r="D34" s="9"/>
      <c r="E34" s="9"/>
      <c r="F34" s="9"/>
      <c r="G34" s="9"/>
      <c r="H34" s="9"/>
      <c r="I34" s="9"/>
      <c r="J34" s="9"/>
      <c r="K34" s="9"/>
      <c r="L34" s="9"/>
      <c r="M34" s="9"/>
    </row>
    <row r="35" spans="1:13" x14ac:dyDescent="0.25">
      <c r="A35" s="8"/>
      <c r="B35" s="8" t="s">
        <v>129</v>
      </c>
      <c r="C35" s="8"/>
      <c r="D35" s="8"/>
      <c r="E35" s="8"/>
      <c r="F35" s="8"/>
      <c r="G35" s="8"/>
      <c r="H35" s="8"/>
      <c r="I35" s="8"/>
      <c r="J35" s="8"/>
      <c r="K35" s="8"/>
      <c r="L35" s="8"/>
      <c r="M35" s="8"/>
    </row>
    <row r="36" spans="1:13" x14ac:dyDescent="0.25">
      <c r="A36" s="9"/>
      <c r="B36" s="9" t="s">
        <v>130</v>
      </c>
      <c r="C36" s="9"/>
      <c r="D36" s="9"/>
      <c r="E36" s="9"/>
      <c r="F36" s="9"/>
      <c r="G36" s="9"/>
      <c r="H36" s="9"/>
      <c r="I36" s="9"/>
      <c r="J36" s="9"/>
      <c r="K36" s="9"/>
      <c r="L36" s="9"/>
      <c r="M36" s="9"/>
    </row>
    <row r="37" spans="1:13" x14ac:dyDescent="0.25">
      <c r="A37" s="8"/>
      <c r="B37" s="8" t="s">
        <v>131</v>
      </c>
      <c r="C37" s="8"/>
      <c r="D37" s="8"/>
      <c r="E37" s="8"/>
      <c r="F37" s="8"/>
      <c r="G37" s="8"/>
      <c r="H37" s="8"/>
      <c r="I37" s="8"/>
      <c r="J37" s="8"/>
      <c r="K37" s="8"/>
      <c r="L37" s="8"/>
      <c r="M37" s="8" t="s">
        <v>271</v>
      </c>
    </row>
    <row r="38" spans="1:13" x14ac:dyDescent="0.25">
      <c r="A38" s="9"/>
      <c r="B38" s="9" t="s">
        <v>132</v>
      </c>
      <c r="C38" s="9"/>
      <c r="D38" s="9"/>
      <c r="E38" s="9"/>
      <c r="F38" s="9"/>
      <c r="G38" s="9"/>
      <c r="H38" s="9"/>
      <c r="I38" s="9"/>
      <c r="J38" s="9"/>
      <c r="K38" s="9"/>
      <c r="L38" s="9"/>
      <c r="M38" s="9" t="s">
        <v>275</v>
      </c>
    </row>
    <row r="39" spans="1:13" x14ac:dyDescent="0.25">
      <c r="A39" s="8"/>
      <c r="B39" s="8" t="s">
        <v>133</v>
      </c>
      <c r="C39" s="8"/>
      <c r="D39" s="8"/>
      <c r="E39" s="8"/>
      <c r="F39" s="8"/>
      <c r="G39" s="8"/>
      <c r="H39" s="8"/>
      <c r="I39" s="8"/>
      <c r="J39" s="8"/>
      <c r="K39" s="8"/>
      <c r="L39" s="8"/>
      <c r="M39" s="8" t="s">
        <v>276</v>
      </c>
    </row>
    <row r="40" spans="1:13" x14ac:dyDescent="0.25">
      <c r="A40" s="9"/>
      <c r="B40" s="9" t="s">
        <v>134</v>
      </c>
      <c r="C40" s="9"/>
      <c r="D40" s="9"/>
      <c r="E40" s="9"/>
      <c r="F40" s="9"/>
      <c r="G40" s="9"/>
      <c r="H40" s="9"/>
      <c r="I40" s="9"/>
      <c r="J40" s="9"/>
      <c r="K40" s="9"/>
      <c r="L40" s="9"/>
      <c r="M40" s="9" t="s">
        <v>277</v>
      </c>
    </row>
    <row r="41" spans="1:13" x14ac:dyDescent="0.25">
      <c r="A41" s="8"/>
      <c r="B41" s="8" t="s">
        <v>135</v>
      </c>
      <c r="C41" s="8"/>
      <c r="D41" s="8"/>
      <c r="E41" s="8"/>
      <c r="F41" s="8"/>
      <c r="G41" s="8"/>
      <c r="H41" s="8"/>
      <c r="I41" s="8"/>
      <c r="J41" s="8"/>
      <c r="K41" s="8"/>
      <c r="L41" s="8"/>
      <c r="M41" s="8" t="s">
        <v>278</v>
      </c>
    </row>
    <row r="42" spans="1:13" x14ac:dyDescent="0.25">
      <c r="A42" s="9"/>
      <c r="B42" s="9" t="s">
        <v>136</v>
      </c>
      <c r="C42" s="9"/>
      <c r="D42" s="9"/>
      <c r="E42" s="9"/>
      <c r="F42" s="9"/>
      <c r="G42" s="9"/>
      <c r="H42" s="9"/>
      <c r="I42" s="9"/>
      <c r="J42" s="9"/>
      <c r="K42" s="9"/>
      <c r="L42" s="9"/>
      <c r="M42" s="9" t="s">
        <v>279</v>
      </c>
    </row>
    <row r="43" spans="1:13" x14ac:dyDescent="0.25">
      <c r="A43" s="10" t="s">
        <v>235</v>
      </c>
      <c r="B43" s="10" t="s">
        <v>412</v>
      </c>
      <c r="C43" s="10"/>
      <c r="D43" s="10"/>
      <c r="E43" s="10"/>
      <c r="F43" s="10"/>
      <c r="G43" s="10"/>
      <c r="H43" s="10"/>
      <c r="I43" s="10"/>
      <c r="J43" s="10"/>
      <c r="K43" s="10"/>
      <c r="L43" s="10"/>
      <c r="M43" s="10"/>
    </row>
    <row r="44" spans="1:13" x14ac:dyDescent="0.25">
      <c r="A44" s="8"/>
      <c r="B44" s="8" t="s">
        <v>139</v>
      </c>
      <c r="C44" s="8"/>
      <c r="D44" s="8"/>
      <c r="E44" s="8"/>
      <c r="F44" s="8"/>
      <c r="G44" s="8"/>
      <c r="H44" s="8"/>
      <c r="I44" s="8"/>
      <c r="J44" s="8"/>
      <c r="K44" s="8"/>
      <c r="L44" s="8"/>
      <c r="M44" s="8"/>
    </row>
    <row r="45" spans="1:13" x14ac:dyDescent="0.25">
      <c r="A45" s="10" t="s">
        <v>236</v>
      </c>
      <c r="B45" s="10" t="s">
        <v>423</v>
      </c>
      <c r="C45" s="10"/>
      <c r="D45" s="10"/>
      <c r="E45" s="10"/>
      <c r="F45" s="10"/>
      <c r="G45" s="10"/>
      <c r="H45" s="10"/>
      <c r="I45" s="10"/>
      <c r="J45" s="10"/>
      <c r="K45" s="10"/>
      <c r="L45" s="10"/>
      <c r="M45" s="10"/>
    </row>
    <row r="46" spans="1:13" x14ac:dyDescent="0.25">
      <c r="A46" s="8"/>
      <c r="B46" s="8" t="s">
        <v>303</v>
      </c>
      <c r="C46" s="8"/>
      <c r="D46" s="8"/>
      <c r="E46" s="8"/>
      <c r="F46" s="8"/>
      <c r="G46" s="8"/>
      <c r="H46" s="8"/>
      <c r="I46" s="8"/>
      <c r="J46" s="8"/>
      <c r="K46" s="8"/>
      <c r="L46" s="8"/>
      <c r="M46" s="8"/>
    </row>
    <row r="47" spans="1:13" x14ac:dyDescent="0.25">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25">
      <c r="A48" s="8"/>
      <c r="B48" s="8" t="s">
        <v>141</v>
      </c>
      <c r="C48" s="8"/>
      <c r="D48" s="8"/>
      <c r="E48" s="8"/>
      <c r="F48" s="8"/>
      <c r="G48" s="8"/>
      <c r="H48" s="8"/>
      <c r="I48" s="8"/>
      <c r="J48" s="8"/>
      <c r="K48" s="8"/>
      <c r="L48" s="8"/>
      <c r="M48" s="8"/>
    </row>
    <row r="49" spans="1:13" x14ac:dyDescent="0.25">
      <c r="A49" s="9"/>
      <c r="B49" s="9" t="s">
        <v>311</v>
      </c>
      <c r="C49" s="9"/>
      <c r="D49" s="9"/>
      <c r="E49" s="9"/>
      <c r="F49" s="9"/>
      <c r="G49" s="9"/>
      <c r="H49" s="9"/>
      <c r="I49" s="9"/>
      <c r="J49" s="9"/>
      <c r="K49" s="9"/>
      <c r="L49" s="9"/>
      <c r="M49" s="9"/>
    </row>
    <row r="50" spans="1:13" x14ac:dyDescent="0.25">
      <c r="A50" s="8"/>
      <c r="B50" s="8" t="s">
        <v>312</v>
      </c>
      <c r="C50" s="8"/>
      <c r="D50" s="8"/>
      <c r="E50" s="8"/>
      <c r="F50" s="8"/>
      <c r="G50" s="8"/>
      <c r="H50" s="8"/>
      <c r="I50" s="8"/>
      <c r="J50" s="8"/>
      <c r="K50" s="8"/>
      <c r="L50" s="8"/>
      <c r="M50" s="8"/>
    </row>
    <row r="51" spans="1:13" x14ac:dyDescent="0.25">
      <c r="A51" s="10" t="s">
        <v>304</v>
      </c>
      <c r="B51" s="10" t="s">
        <v>424</v>
      </c>
      <c r="C51" s="10"/>
      <c r="D51" s="10"/>
      <c r="E51" s="10"/>
      <c r="F51" s="10"/>
      <c r="G51" s="10"/>
      <c r="H51" s="10"/>
      <c r="I51" s="10"/>
      <c r="J51" s="10"/>
      <c r="K51" s="10"/>
      <c r="L51" s="10"/>
      <c r="M51" s="10"/>
    </row>
    <row r="52" spans="1:13" x14ac:dyDescent="0.25">
      <c r="A52" s="11"/>
      <c r="B52" s="11" t="s">
        <v>382</v>
      </c>
      <c r="C52" s="11">
        <v>0</v>
      </c>
      <c r="D52" s="11">
        <v>0.15</v>
      </c>
      <c r="E52" s="11">
        <v>0.15</v>
      </c>
      <c r="F52" s="11"/>
      <c r="G52" s="11"/>
      <c r="H52" s="11"/>
      <c r="I52" s="11"/>
      <c r="J52" s="11"/>
      <c r="K52" s="11"/>
      <c r="L52" s="11"/>
      <c r="M52" s="11"/>
    </row>
    <row r="53" spans="1:13" x14ac:dyDescent="0.25">
      <c r="A53" s="11"/>
      <c r="B53" s="11" t="s">
        <v>381</v>
      </c>
      <c r="C53" s="11">
        <v>0</v>
      </c>
      <c r="D53" s="11">
        <v>0</v>
      </c>
      <c r="E53" s="11">
        <v>0</v>
      </c>
      <c r="F53" s="11"/>
      <c r="G53" s="11"/>
      <c r="H53" s="11"/>
      <c r="I53" s="11"/>
      <c r="J53" s="11"/>
      <c r="K53" s="11"/>
      <c r="L53" s="11"/>
      <c r="M53" s="11"/>
    </row>
    <row r="54" spans="1:13" x14ac:dyDescent="0.25">
      <c r="A54" s="11"/>
      <c r="B54" s="11" t="s">
        <v>489</v>
      </c>
      <c r="C54" s="11"/>
      <c r="D54" s="11"/>
      <c r="E54" s="11">
        <v>410</v>
      </c>
      <c r="F54" s="11"/>
      <c r="G54" s="11"/>
      <c r="H54" s="11"/>
      <c r="I54" s="11"/>
      <c r="J54" s="11"/>
      <c r="K54" s="11"/>
      <c r="L54" s="11"/>
      <c r="M54" s="11"/>
    </row>
    <row r="55" spans="1:13" x14ac:dyDescent="0.25">
      <c r="A55" s="8"/>
      <c r="B55" s="8" t="s">
        <v>326</v>
      </c>
      <c r="C55" s="8">
        <v>0.8</v>
      </c>
      <c r="D55" s="8"/>
      <c r="E55" s="8"/>
      <c r="F55" s="8"/>
      <c r="G55" s="8"/>
      <c r="H55" s="8"/>
      <c r="I55" s="8"/>
      <c r="J55" s="8"/>
      <c r="K55" s="8"/>
      <c r="L55" s="8"/>
      <c r="M55" s="8"/>
    </row>
    <row r="56" spans="1:13" x14ac:dyDescent="0.25">
      <c r="A56" s="9"/>
      <c r="B56" s="9" t="s">
        <v>327</v>
      </c>
      <c r="C56" s="9">
        <v>0.4</v>
      </c>
      <c r="D56" s="9"/>
      <c r="E56" s="9"/>
      <c r="F56" s="9"/>
      <c r="G56" s="9"/>
      <c r="H56" s="9"/>
      <c r="I56" s="9"/>
      <c r="J56" s="9"/>
      <c r="K56" s="9"/>
      <c r="L56" s="9"/>
      <c r="M56" s="9"/>
    </row>
    <row r="57" spans="1:13" x14ac:dyDescent="0.25">
      <c r="A57" s="8"/>
      <c r="B57" s="8" t="s">
        <v>328</v>
      </c>
      <c r="C57" s="8">
        <v>35</v>
      </c>
      <c r="D57" s="8">
        <v>35</v>
      </c>
      <c r="E57" s="8">
        <v>25</v>
      </c>
      <c r="F57" s="8"/>
      <c r="G57" s="8"/>
      <c r="H57" s="8"/>
      <c r="I57" s="8"/>
      <c r="J57" s="8"/>
      <c r="K57" s="8"/>
      <c r="L57" s="8"/>
      <c r="M57" s="8"/>
    </row>
    <row r="58" spans="1:13" x14ac:dyDescent="0.25">
      <c r="A58" s="9"/>
      <c r="B58" s="9" t="s">
        <v>329</v>
      </c>
      <c r="C58" s="9">
        <v>35</v>
      </c>
      <c r="D58" s="9">
        <v>35</v>
      </c>
      <c r="E58" s="9">
        <v>25</v>
      </c>
      <c r="F58" s="9"/>
      <c r="G58" s="9"/>
      <c r="H58" s="9"/>
      <c r="I58" s="9"/>
      <c r="J58" s="9"/>
      <c r="K58" s="9"/>
      <c r="L58" s="9"/>
      <c r="M58" s="9"/>
    </row>
    <row r="59" spans="1:13" x14ac:dyDescent="0.25">
      <c r="A59" s="8"/>
      <c r="B59" s="8" t="s">
        <v>330</v>
      </c>
      <c r="C59" s="8">
        <v>0</v>
      </c>
      <c r="D59" s="8"/>
      <c r="E59" s="8"/>
      <c r="F59" s="8"/>
      <c r="G59" s="8"/>
      <c r="H59" s="8"/>
      <c r="I59" s="8"/>
      <c r="J59" s="8"/>
      <c r="K59" s="8"/>
      <c r="L59" s="8"/>
      <c r="M59" s="8"/>
    </row>
    <row r="60" spans="1:13" x14ac:dyDescent="0.25">
      <c r="A60" s="9"/>
      <c r="B60" s="9" t="s">
        <v>332</v>
      </c>
      <c r="C60" s="9">
        <v>1</v>
      </c>
      <c r="D60" s="9"/>
      <c r="E60" s="9"/>
      <c r="F60" s="9"/>
      <c r="G60" s="9"/>
      <c r="H60" s="9"/>
      <c r="I60" s="9"/>
      <c r="J60" s="9"/>
      <c r="K60" s="9"/>
      <c r="L60" s="9"/>
      <c r="M60" s="9"/>
    </row>
    <row r="61" spans="1:13" x14ac:dyDescent="0.25">
      <c r="A61" s="8"/>
      <c r="B61" s="8" t="s">
        <v>331</v>
      </c>
      <c r="C61" s="8">
        <v>1</v>
      </c>
      <c r="D61" s="8"/>
      <c r="E61" s="8"/>
      <c r="F61" s="8"/>
      <c r="G61" s="8"/>
      <c r="H61" s="8"/>
      <c r="I61" s="8"/>
      <c r="J61" s="8"/>
      <c r="K61" s="8"/>
      <c r="L61" s="8"/>
      <c r="M61" s="8"/>
    </row>
    <row r="62" spans="1:13" x14ac:dyDescent="0.25">
      <c r="A62" s="9"/>
      <c r="B62" s="9" t="s">
        <v>333</v>
      </c>
      <c r="C62" s="9">
        <v>1</v>
      </c>
      <c r="D62" s="9"/>
      <c r="E62" s="9"/>
      <c r="F62" s="9"/>
      <c r="G62" s="9"/>
      <c r="H62" s="9"/>
      <c r="I62" s="9"/>
      <c r="J62" s="9"/>
      <c r="K62" s="9"/>
      <c r="L62" s="9"/>
      <c r="M62" s="9"/>
    </row>
    <row r="63" spans="1:13" x14ac:dyDescent="0.25">
      <c r="A63" s="8"/>
      <c r="B63" s="8" t="s">
        <v>334</v>
      </c>
      <c r="C63" s="8">
        <v>80</v>
      </c>
      <c r="D63" s="8"/>
      <c r="E63" s="8"/>
      <c r="F63" s="8"/>
      <c r="G63" s="8"/>
      <c r="H63" s="8"/>
      <c r="I63" s="8"/>
      <c r="J63" s="8"/>
      <c r="K63" s="8"/>
      <c r="L63" s="8"/>
      <c r="M63" s="8"/>
    </row>
    <row r="64" spans="1:13" x14ac:dyDescent="0.25">
      <c r="A64" s="10" t="s">
        <v>280</v>
      </c>
      <c r="B64" s="10" t="s">
        <v>414</v>
      </c>
      <c r="C64" s="10"/>
      <c r="D64" s="10"/>
      <c r="E64" s="10"/>
      <c r="F64" s="10"/>
      <c r="G64" s="10"/>
      <c r="H64" s="10"/>
      <c r="I64" s="10"/>
      <c r="J64" s="10"/>
      <c r="K64" s="10"/>
      <c r="L64" s="10"/>
      <c r="M64" s="10"/>
    </row>
    <row r="65" spans="1:13" x14ac:dyDescent="0.25">
      <c r="A65" s="8"/>
      <c r="B65" s="8" t="s">
        <v>137</v>
      </c>
      <c r="C65" s="8"/>
      <c r="D65" s="8" t="s">
        <v>137</v>
      </c>
      <c r="E65" s="8" t="s">
        <v>137</v>
      </c>
      <c r="F65" s="8" t="s">
        <v>137</v>
      </c>
      <c r="G65" s="8" t="s">
        <v>137</v>
      </c>
      <c r="H65" s="8" t="s">
        <v>137</v>
      </c>
      <c r="I65" s="8" t="s">
        <v>137</v>
      </c>
      <c r="J65" s="8" t="s">
        <v>137</v>
      </c>
      <c r="K65" s="8"/>
      <c r="L65" s="8"/>
      <c r="M65" s="8" t="s">
        <v>453</v>
      </c>
    </row>
    <row r="66" spans="1:13" x14ac:dyDescent="0.25">
      <c r="A66" s="9"/>
      <c r="B66" s="9" t="s">
        <v>138</v>
      </c>
      <c r="C66" s="9"/>
      <c r="D66" s="9" t="s">
        <v>138</v>
      </c>
      <c r="E66" s="9" t="s">
        <v>138</v>
      </c>
      <c r="F66" s="9" t="s">
        <v>138</v>
      </c>
      <c r="G66" s="9" t="s">
        <v>138</v>
      </c>
      <c r="H66" s="9" t="s">
        <v>138</v>
      </c>
      <c r="I66" s="9" t="s">
        <v>138</v>
      </c>
      <c r="J66" s="9" t="s">
        <v>138</v>
      </c>
      <c r="K66" s="9"/>
      <c r="L66" s="9"/>
      <c r="M66" s="9" t="s">
        <v>453</v>
      </c>
    </row>
    <row r="67" spans="1:13" x14ac:dyDescent="0.25">
      <c r="A67" s="8"/>
      <c r="B67" s="8"/>
      <c r="C67" s="8"/>
      <c r="D67" s="8"/>
      <c r="E67" s="8"/>
      <c r="F67" s="8"/>
      <c r="G67" s="8"/>
      <c r="H67" s="8"/>
      <c r="I67" s="8"/>
      <c r="J67" s="8"/>
      <c r="K67" s="8"/>
      <c r="L67" s="8"/>
      <c r="M67" s="8"/>
    </row>
    <row r="68" spans="1:13" x14ac:dyDescent="0.25">
      <c r="A68" s="9"/>
      <c r="B68" s="9"/>
      <c r="C68" s="9"/>
      <c r="D68" s="9"/>
      <c r="E68" s="9"/>
      <c r="F68" s="9"/>
      <c r="G68" s="9"/>
      <c r="H68" s="9"/>
      <c r="I68" s="9"/>
      <c r="J68" s="9"/>
      <c r="K68" s="9"/>
      <c r="L68" s="9"/>
      <c r="M68" s="9"/>
    </row>
    <row r="69" spans="1:13" x14ac:dyDescent="0.25">
      <c r="A69" s="8"/>
      <c r="B69" s="8"/>
      <c r="C69" s="8"/>
      <c r="D69" s="8"/>
      <c r="E69" s="8"/>
      <c r="F69" s="8"/>
      <c r="G69" s="8"/>
      <c r="H69" s="8"/>
      <c r="I69" s="8"/>
      <c r="J69" s="8"/>
      <c r="K69" s="8"/>
      <c r="L69" s="8"/>
      <c r="M69" s="8"/>
    </row>
    <row r="70" spans="1:13" x14ac:dyDescent="0.25">
      <c r="A70" s="9"/>
      <c r="B70" s="9"/>
      <c r="C70" s="9"/>
      <c r="D70" s="9"/>
      <c r="E70" s="9"/>
      <c r="F70" s="9"/>
      <c r="G70" s="9"/>
      <c r="H70" s="9"/>
      <c r="I70" s="9"/>
      <c r="J70" s="9"/>
      <c r="K70" s="9"/>
      <c r="L70" s="9"/>
      <c r="M70" s="9"/>
    </row>
    <row r="71" spans="1:13" x14ac:dyDescent="0.25">
      <c r="A71" s="8"/>
      <c r="B71" s="8"/>
      <c r="C71" s="8"/>
      <c r="D71" s="8"/>
      <c r="E71" s="8"/>
      <c r="F71" s="8"/>
      <c r="G71" s="8"/>
      <c r="H71" s="8"/>
      <c r="I71" s="8"/>
      <c r="J71" s="8"/>
      <c r="K71" s="8"/>
      <c r="L71" s="8"/>
      <c r="M71" s="8"/>
    </row>
    <row r="72" spans="1:13" x14ac:dyDescent="0.25">
      <c r="A72" s="9"/>
      <c r="B72" s="9"/>
      <c r="C72" s="9"/>
      <c r="D72" s="9"/>
      <c r="E72" s="9"/>
      <c r="F72" s="9"/>
      <c r="G72" s="9"/>
      <c r="H72" s="9"/>
      <c r="I72" s="9"/>
      <c r="J72" s="9"/>
      <c r="K72" s="9"/>
      <c r="L72" s="9"/>
      <c r="M72" s="9"/>
    </row>
    <row r="73" spans="1:13" x14ac:dyDescent="0.25">
      <c r="A73" s="8"/>
      <c r="B73" s="8"/>
      <c r="C73" s="8"/>
      <c r="D73" s="8"/>
      <c r="E73" s="8"/>
      <c r="F73" s="8"/>
      <c r="G73" s="8"/>
      <c r="H73" s="8"/>
      <c r="I73" s="8"/>
      <c r="J73" s="8"/>
      <c r="K73" s="8"/>
      <c r="L73" s="8"/>
      <c r="M73" s="8"/>
    </row>
    <row r="74" spans="1:13" x14ac:dyDescent="0.25">
      <c r="A74" s="9"/>
      <c r="B74" s="9"/>
      <c r="C74" s="9"/>
      <c r="D74" s="9"/>
      <c r="E74" s="9"/>
      <c r="F74" s="9"/>
      <c r="G74" s="9"/>
      <c r="H74" s="9"/>
      <c r="I74" s="9"/>
      <c r="J74" s="9"/>
      <c r="K74" s="9"/>
      <c r="L74" s="9"/>
      <c r="M74" s="9"/>
    </row>
    <row r="75" spans="1:13" x14ac:dyDescent="0.25">
      <c r="A75" s="8"/>
      <c r="B75" s="8"/>
      <c r="C75" s="8"/>
      <c r="D75" s="8"/>
      <c r="E75" s="8"/>
      <c r="F75" s="8"/>
      <c r="G75" s="8"/>
      <c r="H75" s="8"/>
      <c r="I75" s="8"/>
      <c r="J75" s="8"/>
      <c r="K75" s="8"/>
      <c r="L75" s="8"/>
      <c r="M75" s="8"/>
    </row>
    <row r="76" spans="1:13" x14ac:dyDescent="0.25">
      <c r="A76" s="9"/>
      <c r="B76" s="9"/>
      <c r="C76" s="9"/>
      <c r="D76" s="9"/>
      <c r="E76" s="9"/>
      <c r="F76" s="9"/>
      <c r="G76" s="9"/>
      <c r="H76" s="9"/>
      <c r="I76" s="9"/>
      <c r="J76" s="9"/>
      <c r="K76" s="9"/>
      <c r="L76" s="9"/>
      <c r="M76" s="9"/>
    </row>
    <row r="77" spans="1:13" x14ac:dyDescent="0.25">
      <c r="A77" s="8"/>
      <c r="B77" s="8"/>
      <c r="C77" s="8"/>
      <c r="D77" s="8"/>
      <c r="E77" s="8"/>
      <c r="F77" s="8"/>
      <c r="G77" s="8"/>
      <c r="H77" s="8"/>
      <c r="I77" s="8"/>
      <c r="J77" s="8"/>
      <c r="K77" s="8"/>
      <c r="L77" s="8"/>
      <c r="M77"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5" x14ac:dyDescent="0.25"/>
  <cols>
    <col min="1" max="1" width="13.7109375" bestFit="1" customWidth="1"/>
    <col min="2" max="2" width="36.28515625" customWidth="1"/>
    <col min="3" max="3" width="34.42578125" style="46" bestFit="1" customWidth="1"/>
    <col min="4" max="4" width="118.7109375" bestFit="1" customWidth="1"/>
  </cols>
  <sheetData>
    <row r="1" spans="1:4" x14ac:dyDescent="0.25">
      <c r="A1" s="7" t="s">
        <v>225</v>
      </c>
      <c r="B1" s="7" t="s">
        <v>203</v>
      </c>
      <c r="C1" s="42" t="s">
        <v>373</v>
      </c>
      <c r="D1" s="7" t="s">
        <v>214</v>
      </c>
    </row>
    <row r="2" spans="1:4" x14ac:dyDescent="0.25">
      <c r="A2" s="10" t="s">
        <v>281</v>
      </c>
      <c r="B2" s="10" t="s">
        <v>397</v>
      </c>
      <c r="C2" s="43"/>
      <c r="D2" s="10"/>
    </row>
    <row r="3" spans="1:4" x14ac:dyDescent="0.25">
      <c r="A3" s="8"/>
      <c r="B3" s="8" t="s">
        <v>391</v>
      </c>
      <c r="C3" s="30"/>
      <c r="D3" s="8"/>
    </row>
    <row r="4" spans="1:4" x14ac:dyDescent="0.25">
      <c r="A4" s="9"/>
      <c r="B4" s="9" t="s">
        <v>392</v>
      </c>
      <c r="C4" s="35" t="s">
        <v>393</v>
      </c>
      <c r="D4" s="9"/>
    </row>
    <row r="5" spans="1:4" x14ac:dyDescent="0.25">
      <c r="A5" s="8"/>
      <c r="B5" s="8" t="s">
        <v>146</v>
      </c>
      <c r="C5" s="30" t="str">
        <f>spec!B28 &amp; "x" &amp; spec!B30 &amp; "," &amp; spec!B29 &amp; "x" &amp; spec!B28 &amp; "," &amp; spec!B29 &amp; "x" &amp; spec!B31 &amp; "," &amp; spec!B28 &amp; "x" &amp; spec!B31</f>
        <v>10x0,280x10,280x200,10x200</v>
      </c>
      <c r="D5" s="8"/>
    </row>
    <row r="6" spans="1:4" x14ac:dyDescent="0.25">
      <c r="A6" s="9"/>
      <c r="B6" s="9" t="s">
        <v>383</v>
      </c>
      <c r="C6" s="35"/>
      <c r="D6" s="9"/>
    </row>
    <row r="7" spans="1:4" x14ac:dyDescent="0.25">
      <c r="A7" s="8"/>
      <c r="B7" s="8" t="s">
        <v>384</v>
      </c>
      <c r="C7" s="30"/>
      <c r="D7" s="8"/>
    </row>
    <row r="8" spans="1:4" x14ac:dyDescent="0.25">
      <c r="A8" s="9"/>
      <c r="B8" s="9" t="s">
        <v>147</v>
      </c>
      <c r="C8" s="35">
        <f>spec!B33</f>
        <v>200</v>
      </c>
      <c r="D8" s="9"/>
    </row>
    <row r="9" spans="1:4" x14ac:dyDescent="0.25">
      <c r="A9" s="8"/>
      <c r="B9" s="8" t="s">
        <v>454</v>
      </c>
      <c r="C9" s="30"/>
      <c r="D9" s="8"/>
    </row>
    <row r="10" spans="1:4" x14ac:dyDescent="0.25">
      <c r="A10" s="10"/>
      <c r="B10" s="10" t="s">
        <v>398</v>
      </c>
      <c r="C10" s="43"/>
      <c r="D10" s="10"/>
    </row>
    <row r="11" spans="1:4" x14ac:dyDescent="0.25">
      <c r="A11" s="11"/>
      <c r="B11" s="11" t="s">
        <v>232</v>
      </c>
      <c r="C11" s="44">
        <v>1</v>
      </c>
      <c r="D11" s="11"/>
    </row>
    <row r="12" spans="1:4" x14ac:dyDescent="0.25">
      <c r="A12" s="8"/>
      <c r="B12" s="8" t="s">
        <v>149</v>
      </c>
      <c r="C12" s="30">
        <v>0</v>
      </c>
      <c r="D12" s="8"/>
    </row>
    <row r="13" spans="1:4" x14ac:dyDescent="0.25">
      <c r="A13" s="10"/>
      <c r="B13" s="10" t="s">
        <v>399</v>
      </c>
      <c r="C13" s="43"/>
      <c r="D13" s="10"/>
    </row>
    <row r="14" spans="1:4" x14ac:dyDescent="0.25">
      <c r="A14" s="8"/>
      <c r="B14" s="8" t="s">
        <v>150</v>
      </c>
      <c r="C14" s="30" t="s">
        <v>151</v>
      </c>
      <c r="D14" s="8"/>
    </row>
    <row r="15" spans="1:4" x14ac:dyDescent="0.25">
      <c r="A15" s="9"/>
      <c r="B15" s="9" t="s">
        <v>285</v>
      </c>
      <c r="C15" s="35" t="s">
        <v>370</v>
      </c>
      <c r="D15" s="9"/>
    </row>
    <row r="16" spans="1:4" x14ac:dyDescent="0.25">
      <c r="A16" s="8"/>
      <c r="B16" s="8" t="s">
        <v>284</v>
      </c>
      <c r="C16" s="30" t="s">
        <v>371</v>
      </c>
      <c r="D16" s="8"/>
    </row>
    <row r="17" spans="1:4" x14ac:dyDescent="0.25">
      <c r="A17" s="10"/>
      <c r="B17" s="10" t="s">
        <v>400</v>
      </c>
      <c r="C17" s="43"/>
      <c r="D17" s="10"/>
    </row>
    <row r="18" spans="1:4" x14ac:dyDescent="0.25">
      <c r="A18" s="8"/>
      <c r="B18" s="8" t="s">
        <v>152</v>
      </c>
      <c r="C18" s="30" t="s">
        <v>153</v>
      </c>
      <c r="D18" s="8"/>
    </row>
    <row r="19" spans="1:4" x14ac:dyDescent="0.25">
      <c r="A19" s="9"/>
      <c r="B19" s="9" t="s">
        <v>154</v>
      </c>
      <c r="C19" s="35">
        <v>0</v>
      </c>
      <c r="D19" s="9"/>
    </row>
    <row r="20" spans="1:4" x14ac:dyDescent="0.25">
      <c r="A20" s="8"/>
      <c r="B20" s="8" t="s">
        <v>155</v>
      </c>
      <c r="C20" s="30">
        <v>0</v>
      </c>
      <c r="D20" s="8"/>
    </row>
    <row r="21" spans="1:4" x14ac:dyDescent="0.25">
      <c r="A21" s="10"/>
      <c r="B21" s="10" t="s">
        <v>401</v>
      </c>
      <c r="C21" s="43"/>
      <c r="D21" s="10"/>
    </row>
    <row r="22" spans="1:4" x14ac:dyDescent="0.25">
      <c r="A22" s="8"/>
      <c r="B22" s="8" t="s">
        <v>156</v>
      </c>
      <c r="C22" s="30">
        <v>1</v>
      </c>
      <c r="D22" s="8"/>
    </row>
    <row r="23" spans="1:4" x14ac:dyDescent="0.25">
      <c r="A23" s="9"/>
      <c r="B23" s="9" t="s">
        <v>157</v>
      </c>
      <c r="C23" s="35">
        <v>0</v>
      </c>
      <c r="D23" s="9"/>
    </row>
    <row r="24" spans="1:4" x14ac:dyDescent="0.25">
      <c r="A24" s="8"/>
      <c r="B24" s="8" t="s">
        <v>158</v>
      </c>
      <c r="C24" s="30">
        <v>0</v>
      </c>
      <c r="D24" s="8"/>
    </row>
    <row r="25" spans="1:4" x14ac:dyDescent="0.25">
      <c r="A25" s="9"/>
      <c r="B25" s="9" t="s">
        <v>159</v>
      </c>
      <c r="C25" s="35">
        <v>1</v>
      </c>
      <c r="D25" s="9"/>
    </row>
    <row r="26" spans="1:4" x14ac:dyDescent="0.25">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25">
      <c r="A27" s="10" t="s">
        <v>282</v>
      </c>
      <c r="B27" s="10" t="s">
        <v>402</v>
      </c>
      <c r="C27" s="43"/>
      <c r="D27" s="10"/>
    </row>
    <row r="28" spans="1:4" x14ac:dyDescent="0.25">
      <c r="A28" s="8"/>
      <c r="B28" s="8" t="s">
        <v>165</v>
      </c>
      <c r="C28" s="30">
        <f>spec!B10</f>
        <v>150</v>
      </c>
      <c r="D28" s="8"/>
    </row>
    <row r="29" spans="1:4" x14ac:dyDescent="0.25">
      <c r="A29" s="9"/>
      <c r="B29" s="9" t="s">
        <v>166</v>
      </c>
      <c r="C29" s="30">
        <f>spec!B11</f>
        <v>150</v>
      </c>
      <c r="D29" s="9"/>
    </row>
    <row r="30" spans="1:4" x14ac:dyDescent="0.25">
      <c r="A30" s="8"/>
      <c r="B30" s="8" t="s">
        <v>167</v>
      </c>
      <c r="C30" s="30">
        <f>spec!B12</f>
        <v>5</v>
      </c>
      <c r="D30" s="8"/>
    </row>
    <row r="31" spans="1:4" x14ac:dyDescent="0.25">
      <c r="A31" s="9"/>
      <c r="B31" s="9" t="s">
        <v>168</v>
      </c>
      <c r="C31" s="30">
        <f>spec!B13</f>
        <v>50</v>
      </c>
      <c r="D31" s="9"/>
    </row>
    <row r="32" spans="1:4" x14ac:dyDescent="0.25">
      <c r="A32" s="10"/>
      <c r="B32" s="10" t="s">
        <v>403</v>
      </c>
      <c r="C32" s="43"/>
      <c r="D32" s="10"/>
    </row>
    <row r="33" spans="1:4" x14ac:dyDescent="0.25">
      <c r="A33" s="8"/>
      <c r="B33" s="8" t="s">
        <v>169</v>
      </c>
      <c r="C33" s="30">
        <f>spec!B15</f>
        <v>700</v>
      </c>
      <c r="D33" s="8"/>
    </row>
    <row r="34" spans="1:4" x14ac:dyDescent="0.25">
      <c r="A34" s="9"/>
      <c r="B34" s="9" t="s">
        <v>170</v>
      </c>
      <c r="C34" s="30">
        <f>spec!B16</f>
        <v>700</v>
      </c>
      <c r="D34" s="9"/>
    </row>
    <row r="35" spans="1:4" x14ac:dyDescent="0.25">
      <c r="A35" s="8"/>
      <c r="B35" s="8" t="s">
        <v>171</v>
      </c>
      <c r="C35" s="30">
        <f>spec!B17</f>
        <v>20</v>
      </c>
      <c r="D35" s="8"/>
    </row>
    <row r="36" spans="1:4" x14ac:dyDescent="0.25">
      <c r="A36" s="9"/>
      <c r="B36" s="9" t="s">
        <v>172</v>
      </c>
      <c r="C36" s="30">
        <f>spec!B18</f>
        <v>15000</v>
      </c>
      <c r="D36" s="9"/>
    </row>
    <row r="37" spans="1:4" x14ac:dyDescent="0.25">
      <c r="A37" s="8"/>
      <c r="B37" s="8" t="s">
        <v>173</v>
      </c>
      <c r="C37" s="30">
        <f>C36</f>
        <v>15000</v>
      </c>
      <c r="D37" s="8"/>
    </row>
    <row r="38" spans="1:4" x14ac:dyDescent="0.25">
      <c r="A38" s="9"/>
      <c r="B38" s="9" t="s">
        <v>174</v>
      </c>
      <c r="C38" s="35">
        <f>C36</f>
        <v>15000</v>
      </c>
      <c r="D38" s="9"/>
    </row>
    <row r="39" spans="1:4" x14ac:dyDescent="0.25">
      <c r="A39" s="10"/>
      <c r="B39" s="10" t="s">
        <v>404</v>
      </c>
      <c r="C39" s="43"/>
      <c r="D39" s="10"/>
    </row>
    <row r="40" spans="1:4" x14ac:dyDescent="0.25">
      <c r="A40" s="8"/>
      <c r="B40" s="8" t="s">
        <v>175</v>
      </c>
      <c r="C40" s="30">
        <f>spec!B19</f>
        <v>8.1999999999999993</v>
      </c>
      <c r="D40" s="8"/>
    </row>
    <row r="41" spans="1:4" x14ac:dyDescent="0.25">
      <c r="A41" s="9"/>
      <c r="B41" s="9" t="s">
        <v>176</v>
      </c>
      <c r="C41" s="35">
        <f>spec!B19</f>
        <v>8.1999999999999993</v>
      </c>
      <c r="D41" s="9"/>
    </row>
    <row r="42" spans="1:4" x14ac:dyDescent="0.25">
      <c r="A42" s="8"/>
      <c r="B42" s="8" t="s">
        <v>177</v>
      </c>
      <c r="C42" s="35">
        <f>spec!B20</f>
        <v>0.2</v>
      </c>
      <c r="D42" s="8"/>
    </row>
    <row r="43" spans="1:4" x14ac:dyDescent="0.25">
      <c r="A43" s="9"/>
      <c r="B43" s="9" t="s">
        <v>178</v>
      </c>
      <c r="C43" s="35">
        <f>spec!B21</f>
        <v>10</v>
      </c>
      <c r="D43" s="9"/>
    </row>
    <row r="44" spans="1:4" x14ac:dyDescent="0.25">
      <c r="A44" s="11"/>
      <c r="B44" s="11" t="s">
        <v>395</v>
      </c>
      <c r="C44" s="44">
        <f>spec!B22</f>
        <v>3.9E-2</v>
      </c>
      <c r="D44" s="11"/>
    </row>
    <row r="45" spans="1:4" x14ac:dyDescent="0.25">
      <c r="A45" s="10"/>
      <c r="B45" s="10" t="s">
        <v>405</v>
      </c>
      <c r="C45" s="43"/>
      <c r="D45" s="10"/>
    </row>
    <row r="46" spans="1:4" x14ac:dyDescent="0.25">
      <c r="A46" s="8"/>
      <c r="B46" s="8" t="s">
        <v>179</v>
      </c>
      <c r="C46" s="30"/>
      <c r="D46" s="8"/>
    </row>
    <row r="47" spans="1:4" x14ac:dyDescent="0.25">
      <c r="A47" s="9"/>
      <c r="B47" s="9" t="s">
        <v>180</v>
      </c>
      <c r="C47" s="35"/>
      <c r="D47" s="9"/>
    </row>
    <row r="48" spans="1:4" x14ac:dyDescent="0.25">
      <c r="A48" s="10" t="s">
        <v>283</v>
      </c>
      <c r="B48" s="10" t="s">
        <v>406</v>
      </c>
      <c r="C48" s="43"/>
      <c r="D48" s="10"/>
    </row>
    <row r="49" spans="1:4" x14ac:dyDescent="0.25">
      <c r="A49" s="8"/>
      <c r="B49" s="8" t="s">
        <v>148</v>
      </c>
      <c r="C49" s="30">
        <f>Nozzle_Diameter</f>
        <v>0.6</v>
      </c>
      <c r="D49" s="8"/>
    </row>
    <row r="50" spans="1:4" x14ac:dyDescent="0.25">
      <c r="A50" s="10"/>
      <c r="B50" s="10" t="s">
        <v>407</v>
      </c>
      <c r="C50" s="43"/>
      <c r="D50" s="10"/>
    </row>
    <row r="51" spans="1:4" x14ac:dyDescent="0.25">
      <c r="A51" s="8"/>
      <c r="B51" s="8" t="s">
        <v>181</v>
      </c>
      <c r="C51" s="30">
        <f>Min_Layer_Height</f>
        <v>0.12</v>
      </c>
      <c r="D51" s="8"/>
    </row>
    <row r="52" spans="1:4" x14ac:dyDescent="0.25">
      <c r="A52" s="9"/>
      <c r="B52" s="9" t="s">
        <v>182</v>
      </c>
      <c r="C52" s="35">
        <f>Max_Layer_Height</f>
        <v>0.48</v>
      </c>
      <c r="D52" s="9"/>
    </row>
    <row r="53" spans="1:4" x14ac:dyDescent="0.25">
      <c r="A53" s="10"/>
      <c r="B53" s="10" t="s">
        <v>408</v>
      </c>
      <c r="C53" s="43"/>
      <c r="D53" s="10"/>
    </row>
    <row r="54" spans="1:4" x14ac:dyDescent="0.25">
      <c r="A54" s="8"/>
      <c r="B54" s="8" t="s">
        <v>183</v>
      </c>
      <c r="C54" s="30"/>
      <c r="D54" s="8"/>
    </row>
    <row r="55" spans="1:4" x14ac:dyDescent="0.25">
      <c r="A55" s="10"/>
      <c r="B55" s="10" t="s">
        <v>409</v>
      </c>
      <c r="C55" s="43"/>
      <c r="D55" s="10"/>
    </row>
    <row r="56" spans="1:4" x14ac:dyDescent="0.25">
      <c r="A56" s="8"/>
      <c r="B56" s="8" t="s">
        <v>184</v>
      </c>
      <c r="C56" s="30"/>
      <c r="D56" s="8"/>
    </row>
    <row r="57" spans="1:4" x14ac:dyDescent="0.25">
      <c r="A57" s="9"/>
      <c r="B57" s="9" t="s">
        <v>185</v>
      </c>
      <c r="C57" s="35"/>
      <c r="D57" s="9"/>
    </row>
    <row r="58" spans="1:4" x14ac:dyDescent="0.25">
      <c r="A58" s="8"/>
      <c r="B58" s="8" t="s">
        <v>186</v>
      </c>
      <c r="C58" s="30"/>
      <c r="D58" s="8"/>
    </row>
    <row r="59" spans="1:4" x14ac:dyDescent="0.25">
      <c r="A59" s="9"/>
      <c r="B59" s="9" t="s">
        <v>187</v>
      </c>
      <c r="C59" s="35"/>
      <c r="D59" s="9"/>
    </row>
    <row r="60" spans="1:4" x14ac:dyDescent="0.25">
      <c r="A60" s="8"/>
      <c r="B60" s="8" t="s">
        <v>188</v>
      </c>
      <c r="C60" s="30"/>
      <c r="D60" s="8"/>
    </row>
    <row r="61" spans="1:4" x14ac:dyDescent="0.25">
      <c r="A61" s="9"/>
      <c r="B61" s="9" t="s">
        <v>189</v>
      </c>
      <c r="C61" s="35"/>
      <c r="D61" s="9"/>
    </row>
    <row r="62" spans="1:4" x14ac:dyDescent="0.25">
      <c r="A62" s="8"/>
      <c r="B62" s="8" t="s">
        <v>190</v>
      </c>
      <c r="C62" s="30"/>
      <c r="D62" s="8"/>
    </row>
    <row r="63" spans="1:4" x14ac:dyDescent="0.25">
      <c r="A63" s="9"/>
      <c r="B63" s="9" t="s">
        <v>191</v>
      </c>
      <c r="C63" s="35"/>
      <c r="D63" s="9" t="str">
        <f>IFERROR(Matchfill(INDEX(filament!$A$1:$M$97,MATCH("filament_" &amp; $B63,filament!$B$1:$B$97,0),MATCH(FILAMENT_NAME,filament!$A$1:$M$1,0)),filament!$C$1),"")</f>
        <v/>
      </c>
    </row>
    <row r="64" spans="1:4" x14ac:dyDescent="0.25">
      <c r="A64" s="8"/>
      <c r="B64" s="8" t="s">
        <v>192</v>
      </c>
      <c r="C64" s="30"/>
      <c r="D64" s="8"/>
    </row>
    <row r="65" spans="1:4" x14ac:dyDescent="0.25">
      <c r="A65" s="9"/>
      <c r="B65" s="9" t="s">
        <v>193</v>
      </c>
      <c r="C65" s="35"/>
      <c r="D65" s="9"/>
    </row>
    <row r="66" spans="1:4" x14ac:dyDescent="0.25">
      <c r="A66" s="8"/>
      <c r="B66" s="8" t="s">
        <v>307</v>
      </c>
      <c r="C66" s="30"/>
      <c r="D66" s="8"/>
    </row>
    <row r="67" spans="1:4" x14ac:dyDescent="0.25">
      <c r="A67" s="9"/>
      <c r="B67" s="9" t="s">
        <v>308</v>
      </c>
      <c r="C67" s="35"/>
      <c r="D67" s="9"/>
    </row>
    <row r="68" spans="1:4" x14ac:dyDescent="0.25">
      <c r="A68" s="8"/>
      <c r="B68" s="8" t="s">
        <v>194</v>
      </c>
      <c r="C68" s="30"/>
      <c r="D68" s="8"/>
    </row>
    <row r="69" spans="1:4" x14ac:dyDescent="0.25">
      <c r="A69" s="10"/>
      <c r="B69" s="10" t="s">
        <v>410</v>
      </c>
      <c r="C69" s="43"/>
      <c r="D69" s="10"/>
    </row>
    <row r="70" spans="1:4" x14ac:dyDescent="0.25">
      <c r="A70" s="8"/>
      <c r="B70" s="8" t="s">
        <v>195</v>
      </c>
      <c r="C70" s="30"/>
      <c r="D70" s="8"/>
    </row>
    <row r="71" spans="1:4" x14ac:dyDescent="0.25">
      <c r="A71" s="9"/>
      <c r="B71" s="9" t="s">
        <v>196</v>
      </c>
      <c r="C71" s="35"/>
      <c r="D71" s="9"/>
    </row>
    <row r="72" spans="1:4" x14ac:dyDescent="0.25">
      <c r="A72" s="10"/>
      <c r="B72" s="10" t="s">
        <v>411</v>
      </c>
      <c r="C72" s="43"/>
      <c r="D72" s="10"/>
    </row>
    <row r="73" spans="1:4" x14ac:dyDescent="0.25">
      <c r="A73" s="8"/>
      <c r="B73" s="8" t="s">
        <v>197</v>
      </c>
      <c r="C73" s="30" t="s">
        <v>198</v>
      </c>
      <c r="D73" s="8"/>
    </row>
    <row r="74" spans="1:4" x14ac:dyDescent="0.25">
      <c r="A74" s="10" t="s">
        <v>235</v>
      </c>
      <c r="B74" s="10" t="s">
        <v>412</v>
      </c>
      <c r="C74" s="43"/>
      <c r="D74" s="10"/>
    </row>
    <row r="75" spans="1:4" ht="45" x14ac:dyDescent="0.25">
      <c r="A75" s="8"/>
      <c r="B75" s="8" t="s">
        <v>213</v>
      </c>
      <c r="C75" s="30"/>
      <c r="D75" s="14" t="s">
        <v>374</v>
      </c>
    </row>
    <row r="76" spans="1:4" x14ac:dyDescent="0.25">
      <c r="A76" s="9"/>
      <c r="B76" s="9" t="s">
        <v>385</v>
      </c>
      <c r="C76" s="35"/>
      <c r="D76" s="9"/>
    </row>
    <row r="77" spans="1:4" x14ac:dyDescent="0.25">
      <c r="A77" s="8"/>
      <c r="B77" s="8" t="s">
        <v>386</v>
      </c>
      <c r="C77" s="30"/>
      <c r="D77" s="8"/>
    </row>
    <row r="78" spans="1:4" x14ac:dyDescent="0.25">
      <c r="A78" s="9"/>
      <c r="B78" s="9" t="s">
        <v>387</v>
      </c>
      <c r="C78" s="35"/>
      <c r="D78" s="9"/>
    </row>
    <row r="79" spans="1:4" x14ac:dyDescent="0.25">
      <c r="A79" s="8"/>
      <c r="B79" s="8" t="s">
        <v>388</v>
      </c>
      <c r="C79" s="30"/>
      <c r="D79" s="8"/>
    </row>
    <row r="80" spans="1:4" x14ac:dyDescent="0.25">
      <c r="A80" s="9"/>
      <c r="B80" s="9" t="s">
        <v>389</v>
      </c>
      <c r="C80" s="35"/>
      <c r="D80" s="9"/>
    </row>
    <row r="81" spans="1:4" x14ac:dyDescent="0.25">
      <c r="A81" s="8"/>
      <c r="B81" s="8" t="s">
        <v>390</v>
      </c>
      <c r="C81" s="30"/>
      <c r="D81" s="8"/>
    </row>
    <row r="82" spans="1:4" x14ac:dyDescent="0.25">
      <c r="A82" s="9"/>
      <c r="B82" s="9" t="s">
        <v>394</v>
      </c>
      <c r="C82" s="35"/>
      <c r="D82" s="9"/>
    </row>
    <row r="83" spans="1:4" x14ac:dyDescent="0.25">
      <c r="A83" s="10" t="s">
        <v>236</v>
      </c>
      <c r="B83" s="10" t="s">
        <v>413</v>
      </c>
      <c r="C83" s="43"/>
      <c r="D83" s="10"/>
    </row>
    <row r="84" spans="1:4" x14ac:dyDescent="0.25">
      <c r="A84" s="8"/>
      <c r="B84" s="8" t="s">
        <v>202</v>
      </c>
      <c r="C84" s="30"/>
      <c r="D84" s="8"/>
    </row>
    <row r="85" spans="1:4" x14ac:dyDescent="0.25">
      <c r="A85" s="9"/>
      <c r="B85" s="9" t="s">
        <v>201</v>
      </c>
      <c r="C85" s="35"/>
      <c r="D85" s="9"/>
    </row>
    <row r="86" spans="1:4" x14ac:dyDescent="0.25">
      <c r="A86" s="8"/>
      <c r="B86" s="8" t="s">
        <v>200</v>
      </c>
      <c r="C86" s="30">
        <f>C49</f>
        <v>0.6</v>
      </c>
      <c r="D86" s="8"/>
    </row>
    <row r="87" spans="1:4" x14ac:dyDescent="0.25">
      <c r="A87" s="9"/>
      <c r="B87" s="9" t="s">
        <v>286</v>
      </c>
      <c r="C87" s="35" t="s">
        <v>373</v>
      </c>
      <c r="D87" s="9"/>
    </row>
    <row r="88" spans="1:4" x14ac:dyDescent="0.25">
      <c r="A88" s="8"/>
      <c r="B88" s="8" t="s">
        <v>199</v>
      </c>
      <c r="C88" s="30"/>
      <c r="D88" s="8"/>
    </row>
    <row r="89" spans="1:4" x14ac:dyDescent="0.25">
      <c r="A89" s="9"/>
      <c r="B89" s="9" t="s">
        <v>287</v>
      </c>
      <c r="C89" s="35"/>
      <c r="D89" s="9"/>
    </row>
    <row r="90" spans="1:4" x14ac:dyDescent="0.25">
      <c r="A90" s="8"/>
      <c r="B90" s="8" t="s">
        <v>288</v>
      </c>
      <c r="C90" s="30"/>
      <c r="D90" s="8"/>
    </row>
    <row r="91" spans="1:4" x14ac:dyDescent="0.25">
      <c r="A91" s="9"/>
      <c r="B91" s="9" t="s">
        <v>289</v>
      </c>
      <c r="C91" s="35">
        <v>250000</v>
      </c>
      <c r="D91" s="9"/>
    </row>
    <row r="92" spans="1:4" x14ac:dyDescent="0.25">
      <c r="A92" s="10" t="s">
        <v>280</v>
      </c>
      <c r="B92" s="10" t="s">
        <v>414</v>
      </c>
      <c r="C92" s="43"/>
      <c r="D92" s="10"/>
    </row>
    <row r="93" spans="1:4" x14ac:dyDescent="0.25">
      <c r="A93" s="8"/>
      <c r="B93" s="8" t="s">
        <v>160</v>
      </c>
      <c r="C93" s="47" t="s">
        <v>160</v>
      </c>
      <c r="D93" s="8" t="s">
        <v>453</v>
      </c>
    </row>
    <row r="94" spans="1:4" x14ac:dyDescent="0.25">
      <c r="A94" s="9"/>
      <c r="B94" s="9" t="s">
        <v>161</v>
      </c>
      <c r="C94" s="48" t="s">
        <v>161</v>
      </c>
      <c r="D94" s="9" t="s">
        <v>453</v>
      </c>
    </row>
    <row r="95" spans="1:4" x14ac:dyDescent="0.25">
      <c r="A95" s="8"/>
      <c r="B95" s="8" t="s">
        <v>162</v>
      </c>
      <c r="C95" s="30" t="s">
        <v>162</v>
      </c>
      <c r="D95" s="8" t="s">
        <v>453</v>
      </c>
    </row>
    <row r="96" spans="1:4" x14ac:dyDescent="0.25">
      <c r="A96" s="9"/>
      <c r="B96" s="9" t="s">
        <v>163</v>
      </c>
      <c r="C96" s="35" t="s">
        <v>163</v>
      </c>
      <c r="D96" s="9" t="s">
        <v>453</v>
      </c>
    </row>
    <row r="97" spans="1:4" x14ac:dyDescent="0.25">
      <c r="A97" s="8"/>
      <c r="B97" s="8" t="s">
        <v>164</v>
      </c>
      <c r="C97" s="30"/>
      <c r="D97" s="8" t="s">
        <v>453</v>
      </c>
    </row>
    <row r="98" spans="1:4" x14ac:dyDescent="0.25">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2020-02-17T20:00:27Z</dcterms:modified>
</cp:coreProperties>
</file>