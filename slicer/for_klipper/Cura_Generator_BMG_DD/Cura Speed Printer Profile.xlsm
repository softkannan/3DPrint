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_BMG_DD\"/>
    </mc:Choice>
  </mc:AlternateContent>
  <xr:revisionPtr revIDLastSave="0" documentId="13_ncr:1_{2EE2677D-0FB7-4EDD-B270-44B1ED9C3266}" xr6:coauthVersionLast="43" xr6:coauthVersionMax="43" xr10:uidLastSave="{00000000-0000-0000-0000-000000000000}"/>
  <bookViews>
    <workbookView xWindow="-120" yWindow="-120" windowWidth="29040" windowHeight="15840" activeTab="1" xr2:uid="{E8DF9499-C68D-4AF3-B2AA-BB8266EB0F5B}"/>
  </bookViews>
  <sheets>
    <sheet name="spec" sheetId="6" r:id="rId1"/>
    <sheet name="printer" sheetId="19" r:id="rId2"/>
    <sheet name="quality" sheetId="2" r:id="rId3"/>
    <sheet name="#filament_TPU" sheetId="18" r:id="rId4"/>
    <sheet name="#filament_PP" sheetId="17" r:id="rId5"/>
    <sheet name="#filament_Nylon" sheetId="16" r:id="rId6"/>
    <sheet name="#filament_ABS" sheetId="15" r:id="rId7"/>
    <sheet name="filament_PETG" sheetId="14" r:id="rId8"/>
    <sheet name="filament_PLA" sheetId="13" r:id="rId9"/>
  </sheets>
  <functionGroups builtInGroupCount="19"/>
  <definedNames>
    <definedName name="APPDATA_FOLDER">spec!$B$11</definedName>
    <definedName name="FILAMENT_NAME">spec!$B$9</definedName>
    <definedName name="Generate_Filament_Specific" localSheetId="6">spec!#REF!</definedName>
    <definedName name="Generate_Filament_Specific" localSheetId="5">spec!#REF!</definedName>
    <definedName name="Generate_Filament_Specific" localSheetId="4">spec!#REF!</definedName>
    <definedName name="Generate_Filament_Specific" localSheetId="3">spec!#REF!</definedName>
    <definedName name="Generate_Filament_Specific" localSheetId="7">spec!#REF!</definedName>
    <definedName name="Generate_Filament_Specific" localSheetId="8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6">spec!#REF!</definedName>
    <definedName name="Printer_Prefix" localSheetId="5">spec!#REF!</definedName>
    <definedName name="Printer_Prefix" localSheetId="4">spec!#REF!</definedName>
    <definedName name="Printer_Prefix" localSheetId="3">spec!#REF!</definedName>
    <definedName name="Printer_Prefix" localSheetId="7">spec!#REF!</definedName>
    <definedName name="Printer_Prefix" localSheetId="8">spec!#REF!</definedName>
    <definedName name="Printer_Prefix">spec!#REF!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5" i="13" l="1"/>
  <c r="G65" i="13"/>
  <c r="H65" i="13"/>
  <c r="I65" i="13"/>
  <c r="J65" i="13"/>
  <c r="K65" i="13"/>
  <c r="L65" i="13"/>
  <c r="M65" i="13"/>
  <c r="E65" i="13"/>
  <c r="F65" i="14"/>
  <c r="G65" i="14"/>
  <c r="H65" i="14"/>
  <c r="I65" i="14"/>
  <c r="J65" i="14"/>
  <c r="K65" i="14"/>
  <c r="L65" i="14"/>
  <c r="M65" i="14"/>
  <c r="E65" i="14"/>
  <c r="D92" i="14" l="1"/>
  <c r="D92" i="13"/>
  <c r="D90" i="14"/>
  <c r="D89" i="14"/>
  <c r="D90" i="13"/>
  <c r="D89" i="13"/>
  <c r="E64" i="13"/>
  <c r="E68" i="13" s="1"/>
  <c r="M63" i="13"/>
  <c r="L63" i="13"/>
  <c r="K63" i="13"/>
  <c r="J63" i="13"/>
  <c r="I63" i="13"/>
  <c r="H63" i="13"/>
  <c r="G63" i="13"/>
  <c r="F63" i="13"/>
  <c r="E63" i="13"/>
  <c r="M63" i="14"/>
  <c r="L63" i="14"/>
  <c r="K63" i="14"/>
  <c r="J63" i="14"/>
  <c r="I63" i="14"/>
  <c r="H63" i="14"/>
  <c r="G63" i="14"/>
  <c r="F63" i="14"/>
  <c r="E63" i="14"/>
  <c r="E64" i="14" s="1"/>
  <c r="F64" i="13" l="1"/>
  <c r="E66" i="13"/>
  <c r="E68" i="14"/>
  <c r="E66" i="14"/>
  <c r="F64" i="14"/>
  <c r="B5" i="6"/>
  <c r="B6" i="6" s="1"/>
  <c r="D147" i="2"/>
  <c r="D148" i="2"/>
  <c r="D153" i="2"/>
  <c r="D154" i="2"/>
  <c r="D155" i="2"/>
  <c r="D156" i="2"/>
  <c r="D53" i="14"/>
  <c r="D52" i="14"/>
  <c r="C138" i="14"/>
  <c r="C49" i="14"/>
  <c r="E67" i="13" l="1"/>
  <c r="F68" i="13"/>
  <c r="F66" i="13"/>
  <c r="G64" i="13"/>
  <c r="F66" i="14"/>
  <c r="G64" i="14"/>
  <c r="F68" i="14"/>
  <c r="E67" i="14"/>
  <c r="D134" i="2"/>
  <c r="D129" i="2"/>
  <c r="D119" i="2"/>
  <c r="D111" i="2"/>
  <c r="D110" i="2"/>
  <c r="D102" i="2"/>
  <c r="D103" i="2"/>
  <c r="D83" i="2"/>
  <c r="D79" i="2"/>
  <c r="D75" i="2"/>
  <c r="D74" i="2"/>
  <c r="D45" i="2"/>
  <c r="D44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G66" i="13" l="1"/>
  <c r="H64" i="13"/>
  <c r="G68" i="13"/>
  <c r="F67" i="13"/>
  <c r="H64" i="14"/>
  <c r="G66" i="14"/>
  <c r="G68" i="14"/>
  <c r="F67" i="14"/>
  <c r="G67" i="13" l="1"/>
  <c r="I64" i="13"/>
  <c r="H66" i="13"/>
  <c r="H68" i="13"/>
  <c r="H68" i="14"/>
  <c r="H66" i="14"/>
  <c r="I64" i="14"/>
  <c r="G67" i="14"/>
  <c r="D4" i="17"/>
  <c r="D4" i="18"/>
  <c r="D4" i="15"/>
  <c r="D4" i="16"/>
  <c r="D4" i="13"/>
  <c r="D4" i="14"/>
  <c r="D4" i="2"/>
  <c r="B7" i="6"/>
  <c r="B8" i="6"/>
  <c r="C96" i="13"/>
  <c r="C93" i="13"/>
  <c r="C286" i="13"/>
  <c r="C235" i="13"/>
  <c r="B83" i="13"/>
  <c r="B80" i="13"/>
  <c r="B33" i="13"/>
  <c r="B21" i="13"/>
  <c r="C135" i="14"/>
  <c r="C265" i="14"/>
  <c r="C212" i="14"/>
  <c r="C110" i="14"/>
  <c r="B124" i="14"/>
  <c r="B121" i="14"/>
  <c r="C132" i="13"/>
  <c r="C129" i="13"/>
  <c r="C62" i="13"/>
  <c r="C241" i="13"/>
  <c r="B55" i="13"/>
  <c r="B52" i="13"/>
  <c r="B234" i="13"/>
  <c r="B226" i="13"/>
  <c r="C107" i="14"/>
  <c r="C50" i="14"/>
  <c r="C248" i="14"/>
  <c r="C214" i="14"/>
  <c r="C296" i="13"/>
  <c r="C203" i="13"/>
  <c r="C63" i="13"/>
  <c r="C253" i="13"/>
  <c r="B283" i="13"/>
  <c r="B118" i="13"/>
  <c r="B278" i="13"/>
  <c r="B197" i="13"/>
  <c r="C271" i="14"/>
  <c r="C60" i="14"/>
  <c r="C97" i="14"/>
  <c r="C190" i="14"/>
  <c r="B260" i="14"/>
  <c r="B67" i="14"/>
  <c r="C300" i="13"/>
  <c r="C211" i="13"/>
  <c r="C135" i="13"/>
  <c r="C231" i="13"/>
  <c r="B287" i="13"/>
  <c r="B126" i="13"/>
  <c r="B284" i="13"/>
  <c r="B244" i="13"/>
  <c r="C211" i="14"/>
  <c r="C32" i="14"/>
  <c r="C16" i="13"/>
  <c r="C13" i="13"/>
  <c r="C219" i="13"/>
  <c r="C207" i="13"/>
  <c r="B99" i="13"/>
  <c r="B96" i="13"/>
  <c r="B293" i="13"/>
  <c r="B186" i="13"/>
  <c r="C23" i="14"/>
  <c r="C33" i="14"/>
  <c r="C132" i="14"/>
  <c r="C237" i="14"/>
  <c r="B44" i="14"/>
  <c r="B73" i="14"/>
  <c r="C84" i="13"/>
  <c r="C81" i="13"/>
  <c r="C30" i="13"/>
  <c r="C18" i="13"/>
  <c r="B103" i="13"/>
  <c r="B100" i="13"/>
  <c r="B73" i="13"/>
  <c r="B248" i="13"/>
  <c r="C59" i="14"/>
  <c r="C109" i="14"/>
  <c r="C136" i="14"/>
  <c r="C245" i="14"/>
  <c r="C92" i="13"/>
  <c r="C121" i="13"/>
  <c r="C46" i="13"/>
  <c r="C273" i="13"/>
  <c r="B79" i="13"/>
  <c r="B76" i="13"/>
  <c r="B89" i="13"/>
  <c r="B125" i="13"/>
  <c r="C195" i="14"/>
  <c r="C34" i="14"/>
  <c r="C240" i="14"/>
  <c r="C102" i="14"/>
  <c r="B120" i="14"/>
  <c r="B117" i="14"/>
  <c r="C95" i="13"/>
  <c r="C30" i="14"/>
  <c r="B209" i="14"/>
  <c r="B234" i="14"/>
  <c r="B226" i="14"/>
  <c r="C40" i="15"/>
  <c r="C194" i="15"/>
  <c r="C188" i="15"/>
  <c r="C89" i="15"/>
  <c r="B120" i="15"/>
  <c r="B117" i="15"/>
  <c r="B261" i="15"/>
  <c r="C55" i="16"/>
  <c r="C74" i="16"/>
  <c r="C127" i="14"/>
  <c r="B192" i="14"/>
  <c r="B286" i="14"/>
  <c r="B175" i="14"/>
  <c r="C51" i="15"/>
  <c r="C208" i="15"/>
  <c r="C262" i="15"/>
  <c r="C129" i="15"/>
  <c r="B39" i="15"/>
  <c r="B220" i="15"/>
  <c r="B217" i="15"/>
  <c r="B262" i="15"/>
  <c r="C38" i="13"/>
  <c r="C129" i="14"/>
  <c r="B37" i="14"/>
  <c r="B126" i="14"/>
  <c r="B283" i="14"/>
  <c r="C87" i="15"/>
  <c r="C42" i="15"/>
  <c r="C44" i="15"/>
  <c r="C173" i="15"/>
  <c r="B32" i="15"/>
  <c r="B29" i="15"/>
  <c r="C128" i="13"/>
  <c r="C125" i="13"/>
  <c r="C278" i="13"/>
  <c r="B115" i="13"/>
  <c r="B112" i="13"/>
  <c r="B97" i="13"/>
  <c r="B181" i="13"/>
  <c r="C199" i="14"/>
  <c r="C42" i="14"/>
  <c r="C244" i="14"/>
  <c r="C198" i="14"/>
  <c r="B188" i="14"/>
  <c r="B185" i="14"/>
  <c r="C196" i="13"/>
  <c r="C193" i="13"/>
  <c r="C126" i="13"/>
  <c r="C283" i="13"/>
  <c r="B87" i="13"/>
  <c r="B84" i="13"/>
  <c r="B277" i="13"/>
  <c r="B269" i="13"/>
  <c r="C203" i="14"/>
  <c r="C114" i="14"/>
  <c r="C280" i="14"/>
  <c r="C40" i="13"/>
  <c r="C37" i="13"/>
  <c r="C254" i="13"/>
  <c r="C127" i="13"/>
  <c r="B27" i="13"/>
  <c r="B24" i="13"/>
  <c r="B182" i="13"/>
  <c r="B42" i="13"/>
  <c r="B173" i="13"/>
  <c r="C17" i="14"/>
  <c r="C92" i="14"/>
  <c r="C221" i="14"/>
  <c r="C290" i="14"/>
  <c r="B292" i="14"/>
  <c r="C12" i="13"/>
  <c r="C41" i="13"/>
  <c r="C259" i="13"/>
  <c r="C199" i="13"/>
  <c r="B31" i="13"/>
  <c r="B28" i="13"/>
  <c r="B190" i="13"/>
  <c r="B50" i="13"/>
  <c r="B228" i="13"/>
  <c r="C243" i="14"/>
  <c r="C64" i="14"/>
  <c r="C48" i="13"/>
  <c r="C45" i="13"/>
  <c r="C265" i="13"/>
  <c r="C257" i="13"/>
  <c r="B131" i="13"/>
  <c r="B128" i="13"/>
  <c r="B65" i="13"/>
  <c r="B242" i="13"/>
  <c r="C55" i="14"/>
  <c r="C101" i="14"/>
  <c r="C196" i="14"/>
  <c r="C18" i="14"/>
  <c r="B76" i="14"/>
  <c r="B105" i="14"/>
  <c r="C116" i="13"/>
  <c r="C113" i="13"/>
  <c r="C94" i="13"/>
  <c r="C178" i="13"/>
  <c r="B135" i="13"/>
  <c r="B132" i="13"/>
  <c r="B137" i="13"/>
  <c r="B290" i="13"/>
  <c r="C91" i="14"/>
  <c r="C177" i="14"/>
  <c r="C200" i="14"/>
  <c r="C22" i="14"/>
  <c r="C124" i="13"/>
  <c r="C185" i="13"/>
  <c r="C110" i="13"/>
  <c r="C34" i="13"/>
  <c r="B111" i="13"/>
  <c r="B108" i="13"/>
  <c r="B217" i="13"/>
  <c r="B101" i="13"/>
  <c r="C227" i="14"/>
  <c r="C98" i="14"/>
  <c r="C272" i="14"/>
  <c r="C182" i="14"/>
  <c r="B184" i="14"/>
  <c r="B181" i="14"/>
  <c r="B235" i="13"/>
  <c r="C178" i="14"/>
  <c r="B99" i="14"/>
  <c r="B277" i="14"/>
  <c r="B269" i="14"/>
  <c r="C120" i="15"/>
  <c r="C226" i="15"/>
  <c r="C248" i="15"/>
  <c r="C297" i="15"/>
  <c r="B184" i="15"/>
  <c r="B181" i="15"/>
  <c r="B26" i="15"/>
  <c r="C87" i="16"/>
  <c r="C117" i="13"/>
  <c r="C185" i="14"/>
  <c r="B256" i="14"/>
  <c r="B54" i="14"/>
  <c r="B235" i="14"/>
  <c r="C83" i="15"/>
  <c r="C284" i="15"/>
  <c r="C294" i="15"/>
  <c r="C257" i="15"/>
  <c r="B71" i="15"/>
  <c r="B252" i="15"/>
  <c r="B98" i="15"/>
  <c r="B186" i="15"/>
  <c r="C223" i="13"/>
  <c r="C94" i="14"/>
  <c r="B101" i="14"/>
  <c r="B190" i="14"/>
  <c r="B50" i="14"/>
  <c r="C119" i="15"/>
  <c r="C74" i="15"/>
  <c r="C100" i="15"/>
  <c r="C21" i="15"/>
  <c r="B64" i="15"/>
  <c r="C192" i="13"/>
  <c r="C189" i="13"/>
  <c r="C118" i="13"/>
  <c r="C42" i="13"/>
  <c r="B179" i="13"/>
  <c r="B176" i="13"/>
  <c r="B225" i="13"/>
  <c r="B133" i="13"/>
  <c r="C231" i="14"/>
  <c r="C106" i="14"/>
  <c r="C276" i="14"/>
  <c r="C206" i="14"/>
  <c r="B220" i="14"/>
  <c r="B217" i="14"/>
  <c r="C228" i="13"/>
  <c r="C225" i="13"/>
  <c r="C190" i="13"/>
  <c r="C50" i="13"/>
  <c r="B119" i="13"/>
  <c r="B116" i="13"/>
  <c r="B41" i="13"/>
  <c r="B29" i="13"/>
  <c r="C235" i="14"/>
  <c r="C24" i="14"/>
  <c r="C29" i="14"/>
  <c r="C72" i="13"/>
  <c r="C69" i="13"/>
  <c r="C297" i="13"/>
  <c r="C191" i="13"/>
  <c r="B59" i="13"/>
  <c r="B56" i="13"/>
  <c r="B240" i="13"/>
  <c r="B106" i="13"/>
  <c r="C15" i="14"/>
  <c r="C85" i="14"/>
  <c r="C124" i="14"/>
  <c r="C285" i="14"/>
  <c r="B36" i="14"/>
  <c r="B33" i="14"/>
  <c r="C44" i="13"/>
  <c r="C73" i="13"/>
  <c r="C14" i="13"/>
  <c r="C251" i="13"/>
  <c r="B63" i="13"/>
  <c r="B60" i="13"/>
  <c r="B245" i="13"/>
  <c r="B114" i="13"/>
  <c r="B205" i="13"/>
  <c r="C275" i="14"/>
  <c r="C96" i="14"/>
  <c r="C80" i="13"/>
  <c r="C77" i="13"/>
  <c r="C22" i="13"/>
  <c r="C299" i="13"/>
  <c r="B195" i="13"/>
  <c r="B192" i="13"/>
  <c r="B129" i="13"/>
  <c r="B285" i="13"/>
  <c r="C87" i="14"/>
  <c r="C233" i="14"/>
  <c r="C228" i="14"/>
  <c r="C78" i="14"/>
  <c r="B108" i="14"/>
  <c r="B137" i="14"/>
  <c r="C180" i="13"/>
  <c r="C177" i="13"/>
  <c r="C222" i="13"/>
  <c r="C186" i="13"/>
  <c r="B199" i="13"/>
  <c r="B196" i="13"/>
  <c r="B201" i="13"/>
  <c r="B85" i="13"/>
  <c r="C123" i="14"/>
  <c r="C241" i="14"/>
  <c r="C232" i="14"/>
  <c r="C86" i="14"/>
  <c r="C188" i="13"/>
  <c r="C217" i="13"/>
  <c r="C174" i="13"/>
  <c r="C237" i="13"/>
  <c r="B175" i="13"/>
  <c r="B204" i="13"/>
  <c r="B262" i="13"/>
  <c r="B77" i="13"/>
  <c r="C259" i="14"/>
  <c r="C16" i="14"/>
  <c r="C13" i="14"/>
  <c r="C174" i="14"/>
  <c r="B216" i="14"/>
  <c r="B213" i="14"/>
  <c r="B200" i="13"/>
  <c r="B52" i="14"/>
  <c r="B179" i="14"/>
  <c r="B39" i="14"/>
  <c r="C15" i="15"/>
  <c r="C200" i="15"/>
  <c r="C258" i="15"/>
  <c r="C300" i="15"/>
  <c r="B35" i="15"/>
  <c r="B216" i="15"/>
  <c r="B213" i="15"/>
  <c r="B235" i="15"/>
  <c r="C119" i="16"/>
  <c r="C275" i="13"/>
  <c r="C105" i="14"/>
  <c r="B29" i="14"/>
  <c r="B118" i="14"/>
  <c r="B278" i="14"/>
  <c r="C115" i="15"/>
  <c r="C38" i="15"/>
  <c r="C283" i="15"/>
  <c r="C277" i="15"/>
  <c r="B103" i="15"/>
  <c r="B284" i="15"/>
  <c r="B233" i="15"/>
  <c r="B199" i="15"/>
  <c r="B43" i="13"/>
  <c r="C186" i="14"/>
  <c r="B11" i="14"/>
  <c r="B245" i="14"/>
  <c r="B114" i="14"/>
  <c r="C183" i="15"/>
  <c r="C106" i="15"/>
  <c r="C204" i="15"/>
  <c r="C213" i="15"/>
  <c r="B96" i="15"/>
  <c r="B93" i="15"/>
  <c r="C224" i="13"/>
  <c r="C221" i="13"/>
  <c r="C182" i="13"/>
  <c r="C258" i="13"/>
  <c r="B211" i="13"/>
  <c r="B208" i="13"/>
  <c r="B268" i="13"/>
  <c r="B109" i="13"/>
  <c r="C263" i="14"/>
  <c r="C20" i="14"/>
  <c r="C21" i="14"/>
  <c r="C298" i="14"/>
  <c r="B252" i="14"/>
  <c r="B51" i="14"/>
  <c r="C260" i="13"/>
  <c r="C67" i="13"/>
  <c r="C245" i="13"/>
  <c r="C279" i="13"/>
  <c r="B183" i="13"/>
  <c r="B180" i="13"/>
  <c r="B105" i="13"/>
  <c r="B213" i="13"/>
  <c r="C267" i="14"/>
  <c r="C56" i="14"/>
  <c r="C89" i="14"/>
  <c r="C104" i="13"/>
  <c r="C101" i="13"/>
  <c r="C70" i="13"/>
  <c r="C246" i="13"/>
  <c r="B91" i="13"/>
  <c r="B88" i="13"/>
  <c r="B282" i="13"/>
  <c r="B232" i="13"/>
  <c r="C79" i="14"/>
  <c r="C217" i="14"/>
  <c r="C188" i="14"/>
  <c r="C62" i="14"/>
  <c r="B68" i="14"/>
  <c r="B65" i="14"/>
  <c r="C76" i="13"/>
  <c r="C105" i="13"/>
  <c r="C78" i="13"/>
  <c r="C294" i="13"/>
  <c r="B95" i="13"/>
  <c r="B92" i="13"/>
  <c r="B288" i="13"/>
  <c r="B178" i="13"/>
  <c r="C19" i="14"/>
  <c r="C93" i="14"/>
  <c r="C128" i="14"/>
  <c r="C112" i="13"/>
  <c r="C109" i="13"/>
  <c r="C86" i="13"/>
  <c r="C194" i="13"/>
  <c r="B227" i="13"/>
  <c r="B224" i="13"/>
  <c r="B193" i="13"/>
  <c r="B53" i="13"/>
  <c r="C119" i="14"/>
  <c r="C297" i="14"/>
  <c r="C260" i="14"/>
  <c r="C262" i="14"/>
  <c r="B204" i="14"/>
  <c r="B201" i="14"/>
  <c r="C212" i="13"/>
  <c r="C209" i="13"/>
  <c r="C266" i="13"/>
  <c r="C247" i="13"/>
  <c r="B231" i="13"/>
  <c r="B14" i="13"/>
  <c r="B252" i="13"/>
  <c r="B61" i="13"/>
  <c r="C187" i="14"/>
  <c r="C14" i="14"/>
  <c r="C264" i="14"/>
  <c r="C278" i="14"/>
  <c r="C220" i="13"/>
  <c r="C51" i="13"/>
  <c r="C234" i="13"/>
  <c r="C242" i="13"/>
  <c r="B207" i="13"/>
  <c r="B30" i="13"/>
  <c r="B18" i="13"/>
  <c r="B297" i="13"/>
  <c r="C291" i="14"/>
  <c r="C48" i="14"/>
  <c r="C73" i="14"/>
  <c r="C282" i="14"/>
  <c r="B248" i="14"/>
  <c r="B43" i="14"/>
  <c r="B296" i="13"/>
  <c r="B116" i="14"/>
  <c r="B238" i="14"/>
  <c r="B103" i="14"/>
  <c r="C79" i="15"/>
  <c r="C272" i="15"/>
  <c r="C290" i="15"/>
  <c r="C113" i="15"/>
  <c r="B67" i="15"/>
  <c r="B248" i="15"/>
  <c r="B82" i="15"/>
  <c r="B267" i="15"/>
  <c r="C211" i="16"/>
  <c r="B11" i="13"/>
  <c r="C70" i="14"/>
  <c r="B93" i="14"/>
  <c r="B182" i="14"/>
  <c r="B42" i="14"/>
  <c r="C179" i="15"/>
  <c r="C70" i="15"/>
  <c r="C36" i="15"/>
  <c r="C29" i="15"/>
  <c r="B28" i="15"/>
  <c r="B25" i="15"/>
  <c r="B275" i="15"/>
  <c r="B273" i="15"/>
  <c r="B299" i="13"/>
  <c r="C10" i="14"/>
  <c r="B131" i="14"/>
  <c r="B287" i="14"/>
  <c r="B178" i="14"/>
  <c r="C215" i="15"/>
  <c r="C202" i="15"/>
  <c r="C260" i="15"/>
  <c r="C137" i="15"/>
  <c r="B128" i="15"/>
  <c r="C256" i="13"/>
  <c r="C59" i="13"/>
  <c r="C239" i="13"/>
  <c r="C263" i="13"/>
  <c r="B243" i="13"/>
  <c r="B38" i="13"/>
  <c r="B26" i="13"/>
  <c r="B10" i="13"/>
  <c r="C295" i="14"/>
  <c r="C52" i="14"/>
  <c r="C81" i="14"/>
  <c r="C226" i="14"/>
  <c r="B284" i="14"/>
  <c r="B115" i="14"/>
  <c r="C292" i="13"/>
  <c r="C131" i="13"/>
  <c r="C287" i="13"/>
  <c r="C66" i="13"/>
  <c r="B215" i="13"/>
  <c r="B212" i="13"/>
  <c r="B230" i="13"/>
  <c r="B189" i="13"/>
  <c r="C299" i="14"/>
  <c r="C88" i="14"/>
  <c r="C213" i="14"/>
  <c r="C136" i="13"/>
  <c r="C133" i="13"/>
  <c r="C134" i="13"/>
  <c r="C289" i="13"/>
  <c r="B123" i="13"/>
  <c r="B120" i="13"/>
  <c r="B49" i="13"/>
  <c r="B274" i="13"/>
  <c r="C111" i="14"/>
  <c r="C281" i="14"/>
  <c r="C220" i="14"/>
  <c r="C126" i="14"/>
  <c r="B100" i="14"/>
  <c r="B97" i="14"/>
  <c r="C108" i="13"/>
  <c r="C137" i="13"/>
  <c r="C206" i="13"/>
  <c r="C114" i="13"/>
  <c r="B127" i="13"/>
  <c r="B124" i="13"/>
  <c r="B57" i="13"/>
  <c r="B237" i="13"/>
  <c r="C51" i="14"/>
  <c r="C225" i="14"/>
  <c r="C192" i="14"/>
  <c r="C176" i="13"/>
  <c r="C173" i="13"/>
  <c r="C214" i="13"/>
  <c r="C58" i="13"/>
  <c r="B259" i="13"/>
  <c r="B70" i="13"/>
  <c r="B246" i="13"/>
  <c r="B281" i="13"/>
  <c r="C183" i="14"/>
  <c r="C74" i="14"/>
  <c r="C292" i="14"/>
  <c r="C210" i="14"/>
  <c r="B236" i="14"/>
  <c r="B19" i="14"/>
  <c r="C244" i="13"/>
  <c r="C35" i="13"/>
  <c r="C23" i="13"/>
  <c r="C285" i="13"/>
  <c r="B263" i="13"/>
  <c r="B78" i="13"/>
  <c r="B294" i="13"/>
  <c r="B286" i="13"/>
  <c r="C219" i="14"/>
  <c r="C82" i="14"/>
  <c r="C296" i="14"/>
  <c r="C242" i="14"/>
  <c r="C252" i="13"/>
  <c r="C115" i="13"/>
  <c r="C277" i="13"/>
  <c r="C106" i="13"/>
  <c r="B239" i="13"/>
  <c r="B94" i="13"/>
  <c r="B82" i="13"/>
  <c r="C35" i="14"/>
  <c r="C57" i="14"/>
  <c r="C80" i="14"/>
  <c r="C137" i="14"/>
  <c r="C194" i="14"/>
  <c r="B280" i="14"/>
  <c r="B107" i="14"/>
  <c r="C95" i="14"/>
  <c r="B180" i="14"/>
  <c r="B281" i="14"/>
  <c r="B230" i="14"/>
  <c r="C111" i="15"/>
  <c r="C34" i="15"/>
  <c r="C275" i="15"/>
  <c r="C241" i="15"/>
  <c r="B99" i="15"/>
  <c r="B280" i="15"/>
  <c r="B227" i="15"/>
  <c r="B78" i="15"/>
  <c r="C40" i="16"/>
  <c r="B267" i="13"/>
  <c r="C274" i="14"/>
  <c r="B221" i="14"/>
  <c r="B239" i="14"/>
  <c r="B106" i="14"/>
  <c r="C211" i="15"/>
  <c r="C102" i="15"/>
  <c r="C92" i="15"/>
  <c r="C285" i="15"/>
  <c r="B60" i="15"/>
  <c r="B57" i="15"/>
  <c r="B70" i="15"/>
  <c r="B110" i="15"/>
  <c r="B86" i="13"/>
  <c r="B72" i="14"/>
  <c r="B195" i="14"/>
  <c r="B55" i="14"/>
  <c r="B237" i="14"/>
  <c r="C259" i="15"/>
  <c r="C234" i="15"/>
  <c r="C17" i="15"/>
  <c r="B11" i="15"/>
  <c r="B192" i="15"/>
  <c r="C64" i="13"/>
  <c r="C61" i="13"/>
  <c r="C243" i="13"/>
  <c r="C175" i="13"/>
  <c r="B51" i="13"/>
  <c r="B48" i="13"/>
  <c r="B272" i="13"/>
  <c r="B264" i="13"/>
  <c r="C103" i="14"/>
  <c r="C201" i="14"/>
  <c r="C180" i="14"/>
  <c r="C46" i="14"/>
  <c r="B92" i="14"/>
  <c r="B89" i="14"/>
  <c r="C100" i="13"/>
  <c r="C97" i="13"/>
  <c r="C291" i="13"/>
  <c r="C183" i="13"/>
  <c r="B23" i="13"/>
  <c r="B20" i="13"/>
  <c r="B174" i="13"/>
  <c r="B98" i="13"/>
  <c r="C75" i="14"/>
  <c r="C273" i="14"/>
  <c r="C216" i="14"/>
  <c r="C118" i="14"/>
  <c r="C264" i="13"/>
  <c r="C75" i="13"/>
  <c r="C293" i="13"/>
  <c r="C98" i="13"/>
  <c r="B251" i="13"/>
  <c r="B54" i="13"/>
  <c r="B236" i="13"/>
  <c r="B221" i="13"/>
  <c r="C239" i="14"/>
  <c r="C28" i="14"/>
  <c r="C37" i="14"/>
  <c r="C202" i="14"/>
  <c r="B228" i="14"/>
  <c r="B225" i="14"/>
  <c r="C268" i="13"/>
  <c r="C83" i="13"/>
  <c r="C71" i="13"/>
  <c r="C295" i="13"/>
  <c r="B255" i="13"/>
  <c r="B62" i="13"/>
  <c r="B241" i="13"/>
  <c r="B260" i="13"/>
  <c r="C179" i="14"/>
  <c r="C130" i="14"/>
  <c r="C288" i="14"/>
  <c r="C272" i="13"/>
  <c r="C91" i="13"/>
  <c r="C79" i="13"/>
  <c r="B67" i="13"/>
  <c r="B64" i="13"/>
  <c r="B250" i="13"/>
  <c r="B122" i="13"/>
  <c r="B233" i="13"/>
  <c r="C279" i="14"/>
  <c r="C100" i="14"/>
  <c r="C173" i="14"/>
  <c r="B12" i="14"/>
  <c r="B41" i="14"/>
  <c r="C52" i="13"/>
  <c r="C270" i="13"/>
  <c r="C262" i="13"/>
  <c r="B71" i="13"/>
  <c r="B68" i="13"/>
  <c r="B298" i="13"/>
  <c r="B194" i="13"/>
  <c r="C27" i="14"/>
  <c r="C41" i="14"/>
  <c r="C104" i="14"/>
  <c r="C181" i="14"/>
  <c r="C60" i="13"/>
  <c r="C89" i="13"/>
  <c r="C281" i="13"/>
  <c r="C230" i="13"/>
  <c r="B47" i="13"/>
  <c r="B44" i="13"/>
  <c r="B25" i="13"/>
  <c r="B13" i="13"/>
  <c r="C131" i="14"/>
  <c r="C261" i="14"/>
  <c r="C208" i="14"/>
  <c r="C38" i="14"/>
  <c r="B88" i="14"/>
  <c r="B85" i="14"/>
  <c r="C233" i="13"/>
  <c r="C69" i="14"/>
  <c r="B81" i="14"/>
  <c r="B174" i="14"/>
  <c r="B98" i="14"/>
  <c r="C243" i="15"/>
  <c r="C130" i="15"/>
  <c r="C136" i="15"/>
  <c r="C269" i="15"/>
  <c r="B88" i="15"/>
  <c r="B85" i="15"/>
  <c r="B214" i="15"/>
  <c r="C23" i="16"/>
  <c r="C42" i="16"/>
  <c r="B117" i="13"/>
  <c r="B128" i="14"/>
  <c r="B243" i="14"/>
  <c r="B111" i="14"/>
  <c r="C19" i="15"/>
  <c r="C128" i="15"/>
  <c r="C230" i="15"/>
  <c r="C13" i="15"/>
  <c r="C10" i="15"/>
  <c r="B188" i="15"/>
  <c r="B185" i="15"/>
  <c r="B42" i="15"/>
  <c r="C184" i="13"/>
  <c r="C249" i="14"/>
  <c r="B264" i="14"/>
  <c r="B62" i="14"/>
  <c r="B241" i="14"/>
  <c r="C55" i="15"/>
  <c r="C296" i="15"/>
  <c r="C291" i="15"/>
  <c r="C45" i="15"/>
  <c r="B107" i="15"/>
  <c r="B288" i="15"/>
  <c r="C290" i="13"/>
  <c r="C39" i="14"/>
  <c r="B28" i="14"/>
  <c r="C195" i="13"/>
  <c r="B46" i="13"/>
  <c r="C120" i="14"/>
  <c r="C198" i="13"/>
  <c r="B113" i="13"/>
  <c r="C252" i="14"/>
  <c r="C204" i="13"/>
  <c r="B191" i="13"/>
  <c r="C83" i="14"/>
  <c r="C205" i="13"/>
  <c r="B134" i="13"/>
  <c r="C36" i="14"/>
  <c r="B83" i="14"/>
  <c r="C10" i="13"/>
  <c r="B270" i="13"/>
  <c r="C250" i="14"/>
  <c r="C226" i="13"/>
  <c r="C67" i="14"/>
  <c r="B24" i="14"/>
  <c r="B244" i="14"/>
  <c r="C66" i="15"/>
  <c r="B21" i="15"/>
  <c r="B22" i="13"/>
  <c r="B231" i="14"/>
  <c r="C197" i="15"/>
  <c r="B218" i="15"/>
  <c r="B119" i="14"/>
  <c r="C273" i="15"/>
  <c r="B189" i="15"/>
  <c r="B271" i="15"/>
  <c r="B290" i="15"/>
  <c r="C50" i="16"/>
  <c r="B300" i="13"/>
  <c r="B208" i="14"/>
  <c r="B297" i="14"/>
  <c r="B191" i="14"/>
  <c r="C27" i="15"/>
  <c r="C224" i="15"/>
  <c r="C270" i="15"/>
  <c r="C289" i="15"/>
  <c r="B79" i="15"/>
  <c r="B260" i="15"/>
  <c r="B123" i="15"/>
  <c r="B74" i="15"/>
  <c r="C248" i="13"/>
  <c r="C90" i="14"/>
  <c r="B49" i="14"/>
  <c r="B206" i="14"/>
  <c r="B66" i="14"/>
  <c r="C127" i="15"/>
  <c r="C82" i="15"/>
  <c r="C56" i="15"/>
  <c r="C77" i="15"/>
  <c r="B115" i="15"/>
  <c r="B296" i="15"/>
  <c r="B195" i="15"/>
  <c r="B183" i="15"/>
  <c r="C71" i="16"/>
  <c r="C280" i="13"/>
  <c r="C12" i="14"/>
  <c r="B61" i="14"/>
  <c r="B214" i="14"/>
  <c r="B202" i="14"/>
  <c r="C227" i="15"/>
  <c r="C182" i="15"/>
  <c r="C228" i="15"/>
  <c r="C293" i="15"/>
  <c r="B108" i="15"/>
  <c r="B137" i="15"/>
  <c r="B245" i="15"/>
  <c r="B253" i="13"/>
  <c r="B48" i="14"/>
  <c r="B233" i="14"/>
  <c r="B223" i="14"/>
  <c r="C75" i="15"/>
  <c r="C30" i="15"/>
  <c r="C267" i="15"/>
  <c r="C225" i="15"/>
  <c r="B31" i="15"/>
  <c r="B212" i="15"/>
  <c r="B209" i="15"/>
  <c r="B135" i="15"/>
  <c r="C51" i="16"/>
  <c r="C70" i="16"/>
  <c r="C24" i="15"/>
  <c r="C187" i="16"/>
  <c r="C290" i="16"/>
  <c r="C224" i="16"/>
  <c r="C121" i="16"/>
  <c r="B227" i="16"/>
  <c r="B224" i="16"/>
  <c r="B190" i="16"/>
  <c r="B50" i="16"/>
  <c r="C120" i="17"/>
  <c r="C117" i="17"/>
  <c r="C102" i="17"/>
  <c r="C186" i="17"/>
  <c r="C107" i="13"/>
  <c r="C201" i="15"/>
  <c r="C123" i="16"/>
  <c r="C262" i="16"/>
  <c r="C125" i="16"/>
  <c r="C300" i="16"/>
  <c r="B199" i="16"/>
  <c r="B196" i="16"/>
  <c r="B270" i="14"/>
  <c r="B293" i="15"/>
  <c r="C202" i="16"/>
  <c r="C108" i="16"/>
  <c r="B11" i="16"/>
  <c r="B40" i="16"/>
  <c r="B260" i="16"/>
  <c r="B201" i="16"/>
  <c r="C32" i="17"/>
  <c r="C29" i="17"/>
  <c r="C187" i="17"/>
  <c r="C111" i="17"/>
  <c r="C202" i="17"/>
  <c r="C32" i="13"/>
  <c r="B19" i="13"/>
  <c r="C71" i="14"/>
  <c r="B60" i="14"/>
  <c r="C249" i="13"/>
  <c r="B110" i="13"/>
  <c r="C184" i="14"/>
  <c r="C250" i="13"/>
  <c r="B177" i="13"/>
  <c r="C284" i="14"/>
  <c r="C236" i="13"/>
  <c r="B223" i="13"/>
  <c r="C115" i="14"/>
  <c r="C27" i="13"/>
  <c r="B198" i="13"/>
  <c r="C68" i="14"/>
  <c r="C20" i="13"/>
  <c r="B39" i="13"/>
  <c r="B254" i="13"/>
  <c r="C28" i="13"/>
  <c r="B15" i="13"/>
  <c r="C99" i="14"/>
  <c r="B56" i="14"/>
  <c r="B17" i="14"/>
  <c r="C98" i="15"/>
  <c r="B53" i="15"/>
  <c r="B209" i="13"/>
  <c r="B274" i="14"/>
  <c r="C105" i="15"/>
  <c r="B285" i="15"/>
  <c r="B183" i="14"/>
  <c r="C41" i="15"/>
  <c r="B221" i="15"/>
  <c r="B58" i="15"/>
  <c r="C31" i="16"/>
  <c r="C82" i="16"/>
  <c r="B69" i="13"/>
  <c r="B272" i="14"/>
  <c r="B70" i="14"/>
  <c r="B246" i="14"/>
  <c r="C59" i="15"/>
  <c r="C14" i="15"/>
  <c r="C235" i="15"/>
  <c r="C73" i="15"/>
  <c r="B111" i="15"/>
  <c r="B292" i="15"/>
  <c r="B187" i="15"/>
  <c r="B175" i="15"/>
  <c r="C213" i="13"/>
  <c r="C236" i="14"/>
  <c r="B113" i="14"/>
  <c r="B255" i="14"/>
  <c r="B130" i="14"/>
  <c r="C191" i="15"/>
  <c r="C114" i="15"/>
  <c r="C112" i="15"/>
  <c r="C205" i="15"/>
  <c r="B40" i="15"/>
  <c r="B37" i="15"/>
  <c r="B249" i="15"/>
  <c r="B46" i="15"/>
  <c r="C103" i="16"/>
  <c r="C43" i="13"/>
  <c r="C268" i="14"/>
  <c r="B125" i="14"/>
  <c r="B261" i="14"/>
  <c r="B253" i="14"/>
  <c r="C287" i="15"/>
  <c r="C214" i="15"/>
  <c r="C280" i="15"/>
  <c r="C217" i="15"/>
  <c r="B204" i="15"/>
  <c r="B201" i="15"/>
  <c r="B287" i="15"/>
  <c r="C63" i="14"/>
  <c r="B112" i="14"/>
  <c r="B275" i="14"/>
  <c r="B267" i="14"/>
  <c r="C107" i="15"/>
  <c r="C62" i="15"/>
  <c r="C28" i="15"/>
  <c r="C181" i="15"/>
  <c r="B63" i="15"/>
  <c r="B244" i="15"/>
  <c r="B66" i="15"/>
  <c r="B223" i="15"/>
  <c r="C83" i="16"/>
  <c r="C21" i="13"/>
  <c r="B59" i="15"/>
  <c r="C104" i="16"/>
  <c r="C203" i="16"/>
  <c r="C288" i="16"/>
  <c r="C229" i="16"/>
  <c r="B259" i="16"/>
  <c r="B69" i="16"/>
  <c r="B245" i="16"/>
  <c r="B114" i="16"/>
  <c r="C184" i="17"/>
  <c r="C181" i="17"/>
  <c r="C229" i="17"/>
  <c r="B11" i="17"/>
  <c r="C287" i="14"/>
  <c r="B91" i="15"/>
  <c r="C223" i="16"/>
  <c r="C294" i="16"/>
  <c r="C232" i="16"/>
  <c r="C137" i="16"/>
  <c r="B231" i="16"/>
  <c r="B13" i="16"/>
  <c r="B10" i="14"/>
  <c r="B274" i="15"/>
  <c r="C234" i="16"/>
  <c r="C13" i="16"/>
  <c r="B43" i="16"/>
  <c r="B72" i="16"/>
  <c r="B14" i="16"/>
  <c r="B252" i="16"/>
  <c r="C64" i="17"/>
  <c r="C61" i="17"/>
  <c r="C243" i="17"/>
  <c r="C175" i="17"/>
  <c r="B19" i="17"/>
  <c r="C288" i="13"/>
  <c r="B275" i="13"/>
  <c r="C65" i="14"/>
  <c r="B25" i="14"/>
  <c r="C55" i="13"/>
  <c r="B273" i="13"/>
  <c r="C277" i="14"/>
  <c r="C82" i="13"/>
  <c r="B37" i="13"/>
  <c r="C230" i="14"/>
  <c r="C201" i="13"/>
  <c r="B188" i="13"/>
  <c r="C289" i="14"/>
  <c r="C261" i="13"/>
  <c r="B289" i="13"/>
  <c r="C53" i="14"/>
  <c r="C276" i="13"/>
  <c r="B295" i="13"/>
  <c r="C251" i="14"/>
  <c r="C284" i="13"/>
  <c r="B271" i="13"/>
  <c r="C125" i="14"/>
  <c r="B21" i="14"/>
  <c r="B46" i="14"/>
  <c r="C32" i="15"/>
  <c r="B270" i="15"/>
  <c r="C258" i="14"/>
  <c r="C247" i="15"/>
  <c r="B92" i="15"/>
  <c r="B257" i="13"/>
  <c r="B279" i="14"/>
  <c r="B43" i="15"/>
  <c r="B114" i="15"/>
  <c r="B289" i="15"/>
  <c r="C63" i="16"/>
  <c r="C216" i="13"/>
  <c r="C191" i="14"/>
  <c r="B45" i="14"/>
  <c r="B134" i="14"/>
  <c r="B289" i="14"/>
  <c r="C91" i="15"/>
  <c r="C46" i="15"/>
  <c r="C295" i="15"/>
  <c r="C61" i="15"/>
  <c r="B36" i="15"/>
  <c r="B33" i="15"/>
  <c r="B243" i="15"/>
  <c r="B14" i="15"/>
  <c r="B107" i="13"/>
  <c r="C189" i="14"/>
  <c r="B177" i="14"/>
  <c r="B298" i="14"/>
  <c r="B194" i="14"/>
  <c r="C223" i="15"/>
  <c r="C178" i="15"/>
  <c r="C220" i="15"/>
  <c r="C69" i="15"/>
  <c r="B72" i="15"/>
  <c r="B69" i="15"/>
  <c r="B291" i="15"/>
  <c r="B237" i="15"/>
  <c r="C135" i="16"/>
  <c r="C229" i="13"/>
  <c r="C229" i="14"/>
  <c r="B189" i="14"/>
  <c r="B15" i="14"/>
  <c r="B295" i="14"/>
  <c r="C88" i="15"/>
  <c r="C246" i="15"/>
  <c r="C65" i="15"/>
  <c r="B23" i="15"/>
  <c r="B236" i="15"/>
  <c r="B34" i="15"/>
  <c r="C88" i="13"/>
  <c r="B176" i="14"/>
  <c r="B38" i="14"/>
  <c r="B26" i="14"/>
  <c r="C203" i="15"/>
  <c r="C94" i="15"/>
  <c r="C80" i="15"/>
  <c r="C249" i="15"/>
  <c r="B95" i="15"/>
  <c r="B276" i="15"/>
  <c r="B219" i="15"/>
  <c r="B90" i="15"/>
  <c r="C115" i="16"/>
  <c r="C31" i="14"/>
  <c r="B208" i="15"/>
  <c r="C34" i="16"/>
  <c r="C251" i="16"/>
  <c r="C113" i="16"/>
  <c r="C293" i="16"/>
  <c r="B291" i="16"/>
  <c r="B133" i="16"/>
  <c r="B288" i="16"/>
  <c r="B178" i="16"/>
  <c r="C216" i="17"/>
  <c r="C213" i="17"/>
  <c r="C271" i="17"/>
  <c r="B43" i="17"/>
  <c r="B227" i="14"/>
  <c r="B240" i="15"/>
  <c r="C136" i="16"/>
  <c r="C207" i="16"/>
  <c r="C296" i="16"/>
  <c r="C237" i="16"/>
  <c r="B263" i="16"/>
  <c r="B77" i="16"/>
  <c r="C299" i="15"/>
  <c r="B263" i="15"/>
  <c r="C266" i="16"/>
  <c r="C240" i="16"/>
  <c r="B75" i="16"/>
  <c r="B104" i="16"/>
  <c r="B78" i="16"/>
  <c r="B294" i="16"/>
  <c r="C96" i="17"/>
  <c r="C93" i="17"/>
  <c r="C286" i="17"/>
  <c r="C235" i="17"/>
  <c r="B51" i="17"/>
  <c r="C39" i="15"/>
  <c r="B246" i="15"/>
  <c r="C206" i="16"/>
  <c r="C29" i="16"/>
  <c r="B15" i="16"/>
  <c r="C29" i="13"/>
  <c r="B16" i="13"/>
  <c r="C133" i="14"/>
  <c r="B57" i="14"/>
  <c r="C119" i="13"/>
  <c r="B34" i="13"/>
  <c r="C90" i="13"/>
  <c r="B238" i="13"/>
  <c r="C270" i="14"/>
  <c r="C19" i="13"/>
  <c r="B220" i="13"/>
  <c r="C66" i="14"/>
  <c r="C15" i="13"/>
  <c r="B58" i="13"/>
  <c r="C113" i="14"/>
  <c r="C17" i="13"/>
  <c r="B36" i="13"/>
  <c r="C283" i="14"/>
  <c r="C57" i="13"/>
  <c r="B12" i="13"/>
  <c r="C193" i="14"/>
  <c r="B53" i="14"/>
  <c r="B110" i="14"/>
  <c r="C84" i="15"/>
  <c r="B54" i="15"/>
  <c r="B64" i="14"/>
  <c r="C48" i="15"/>
  <c r="B124" i="15"/>
  <c r="B93" i="13"/>
  <c r="C23" i="15"/>
  <c r="B75" i="15"/>
  <c r="B179" i="15"/>
  <c r="B210" i="15"/>
  <c r="C95" i="16"/>
  <c r="C181" i="13"/>
  <c r="C204" i="14"/>
  <c r="B109" i="14"/>
  <c r="B198" i="14"/>
  <c r="B58" i="14"/>
  <c r="C123" i="15"/>
  <c r="C78" i="15"/>
  <c r="C52" i="15"/>
  <c r="C189" i="15"/>
  <c r="B68" i="15"/>
  <c r="B65" i="15"/>
  <c r="B286" i="15"/>
  <c r="B226" i="15"/>
  <c r="B72" i="13"/>
  <c r="C266" i="14"/>
  <c r="B35" i="14"/>
  <c r="B71" i="14"/>
  <c r="B247" i="14"/>
  <c r="C279" i="15"/>
  <c r="C210" i="15"/>
  <c r="C276" i="15"/>
  <c r="C261" i="15"/>
  <c r="B104" i="15"/>
  <c r="B101" i="15"/>
  <c r="B118" i="15"/>
  <c r="B241" i="15"/>
  <c r="C259" i="16"/>
  <c r="C210" i="13"/>
  <c r="C246" i="14"/>
  <c r="B59" i="14"/>
  <c r="B79" i="14"/>
  <c r="C35" i="15"/>
  <c r="C244" i="15"/>
  <c r="C278" i="15"/>
  <c r="C193" i="15"/>
  <c r="B55" i="15"/>
  <c r="B268" i="15"/>
  <c r="B203" i="15"/>
  <c r="C53" i="13"/>
  <c r="C76" i="14"/>
  <c r="B240" i="14"/>
  <c r="B102" i="14"/>
  <c r="B90" i="14"/>
  <c r="C239" i="15"/>
  <c r="C126" i="15"/>
  <c r="C132" i="15"/>
  <c r="C125" i="15"/>
  <c r="B20" i="15"/>
  <c r="B17" i="15"/>
  <c r="B265" i="15"/>
  <c r="B257" i="15"/>
  <c r="C199" i="16"/>
  <c r="B104" i="14"/>
  <c r="B173" i="15"/>
  <c r="C98" i="16"/>
  <c r="C295" i="16"/>
  <c r="C225" i="16"/>
  <c r="B35" i="16"/>
  <c r="B32" i="16"/>
  <c r="B197" i="16"/>
  <c r="B57" i="16"/>
  <c r="B237" i="16"/>
  <c r="C248" i="17"/>
  <c r="C43" i="17"/>
  <c r="C31" i="17"/>
  <c r="B75" i="17"/>
  <c r="B87" i="14"/>
  <c r="B205" i="15"/>
  <c r="C46" i="16"/>
  <c r="C255" i="16"/>
  <c r="C129" i="16"/>
  <c r="C10" i="16"/>
  <c r="C123" i="13"/>
  <c r="B102" i="13"/>
  <c r="C84" i="14"/>
  <c r="C36" i="13"/>
  <c r="C202" i="13"/>
  <c r="C11" i="14"/>
  <c r="C200" i="13"/>
  <c r="B187" i="13"/>
  <c r="C175" i="14"/>
  <c r="B132" i="14"/>
  <c r="C255" i="13"/>
  <c r="B121" i="13"/>
  <c r="C224" i="14"/>
  <c r="C274" i="13"/>
  <c r="B265" i="13"/>
  <c r="C234" i="14"/>
  <c r="C99" i="13"/>
  <c r="B206" i="13"/>
  <c r="C40" i="14"/>
  <c r="C179" i="13"/>
  <c r="B222" i="13"/>
  <c r="C112" i="14"/>
  <c r="C120" i="13"/>
  <c r="B273" i="14"/>
  <c r="C229" i="15"/>
  <c r="B202" i="15"/>
  <c r="B123" i="14"/>
  <c r="C134" i="15"/>
  <c r="B89" i="15"/>
  <c r="B136" i="14"/>
  <c r="C60" i="15"/>
  <c r="B224" i="15"/>
  <c r="B238" i="15"/>
  <c r="B215" i="15"/>
  <c r="C127" i="16"/>
  <c r="C102" i="13"/>
  <c r="C134" i="14"/>
  <c r="B173" i="14"/>
  <c r="B250" i="14"/>
  <c r="B122" i="14"/>
  <c r="C187" i="15"/>
  <c r="C110" i="15"/>
  <c r="C104" i="15"/>
  <c r="C53" i="15"/>
  <c r="B100" i="15"/>
  <c r="B97" i="15"/>
  <c r="B102" i="15"/>
  <c r="B230" i="15"/>
  <c r="B214" i="13"/>
  <c r="B20" i="14"/>
  <c r="B211" i="14"/>
  <c r="B135" i="14"/>
  <c r="B290" i="14"/>
  <c r="C76" i="15"/>
  <c r="C242" i="15"/>
  <c r="C185" i="15"/>
  <c r="B136" i="15"/>
  <c r="B133" i="15"/>
  <c r="B182" i="15"/>
  <c r="B294" i="15"/>
  <c r="C84" i="16"/>
  <c r="B104" i="13"/>
  <c r="B32" i="14"/>
  <c r="B219" i="14"/>
  <c r="B207" i="14"/>
  <c r="C67" i="15"/>
  <c r="C22" i="15"/>
  <c r="C255" i="15"/>
  <c r="C117" i="15"/>
  <c r="B87" i="15"/>
  <c r="B300" i="15"/>
  <c r="B254" i="15"/>
  <c r="C31" i="13"/>
  <c r="C45" i="14"/>
  <c r="B13" i="14"/>
  <c r="B229" i="14"/>
  <c r="B218" i="14"/>
  <c r="C16" i="15"/>
  <c r="C190" i="15"/>
  <c r="C180" i="15"/>
  <c r="C253" i="15"/>
  <c r="B52" i="15"/>
  <c r="B49" i="15"/>
  <c r="B38" i="15"/>
  <c r="B62" i="15"/>
  <c r="C16" i="16"/>
  <c r="B23" i="14"/>
  <c r="B198" i="15"/>
  <c r="C130" i="16"/>
  <c r="C44" i="16"/>
  <c r="C289" i="16"/>
  <c r="B67" i="16"/>
  <c r="B64" i="16"/>
  <c r="B249" i="16"/>
  <c r="B121" i="16"/>
  <c r="B280" i="16"/>
  <c r="C280" i="17"/>
  <c r="C107" i="17"/>
  <c r="C95" i="17"/>
  <c r="B107" i="17"/>
  <c r="B258" i="14"/>
  <c r="B250" i="15"/>
  <c r="C102" i="16"/>
  <c r="C299" i="16"/>
  <c r="C233" i="16"/>
  <c r="B39" i="16"/>
  <c r="B36" i="16"/>
  <c r="B254" i="16"/>
  <c r="C109" i="15"/>
  <c r="C131" i="16"/>
  <c r="C215" i="16"/>
  <c r="C241" i="16"/>
  <c r="B203" i="16"/>
  <c r="B200" i="16"/>
  <c r="B256" i="16"/>
  <c r="B130" i="16"/>
  <c r="C192" i="17"/>
  <c r="C189" i="17"/>
  <c r="C118" i="17"/>
  <c r="C42" i="17"/>
  <c r="C187" i="13"/>
  <c r="B229" i="13"/>
  <c r="C116" i="14"/>
  <c r="C68" i="13"/>
  <c r="C74" i="13"/>
  <c r="C43" i="14"/>
  <c r="C232" i="13"/>
  <c r="B219" i="13"/>
  <c r="C207" i="14"/>
  <c r="B196" i="14"/>
  <c r="C298" i="13"/>
  <c r="B185" i="13"/>
  <c r="C256" i="14"/>
  <c r="B35" i="13"/>
  <c r="B249" i="13"/>
  <c r="C254" i="14"/>
  <c r="C227" i="13"/>
  <c r="B256" i="13"/>
  <c r="C72" i="14"/>
  <c r="C238" i="13"/>
  <c r="B266" i="13"/>
  <c r="C176" i="14"/>
  <c r="C85" i="13"/>
  <c r="B34" i="14"/>
  <c r="C281" i="15"/>
  <c r="B279" i="15"/>
  <c r="B187" i="14"/>
  <c r="C198" i="15"/>
  <c r="B121" i="15"/>
  <c r="B200" i="14"/>
  <c r="C216" i="15"/>
  <c r="B256" i="15"/>
  <c r="B281" i="15"/>
  <c r="B278" i="15"/>
  <c r="C235" i="16"/>
  <c r="C267" i="13"/>
  <c r="C218" i="14"/>
  <c r="B27" i="14"/>
  <c r="B293" i="14"/>
  <c r="B186" i="14"/>
  <c r="C219" i="15"/>
  <c r="C174" i="15"/>
  <c r="C212" i="15"/>
  <c r="C245" i="15"/>
  <c r="B132" i="15"/>
  <c r="B129" i="15"/>
  <c r="B174" i="15"/>
  <c r="B283" i="15"/>
  <c r="B74" i="13"/>
  <c r="B84" i="14"/>
  <c r="B259" i="14"/>
  <c r="B199" i="14"/>
  <c r="C31" i="15"/>
  <c r="C232" i="15"/>
  <c r="C274" i="15"/>
  <c r="C177" i="15"/>
  <c r="B19" i="15"/>
  <c r="B200" i="15"/>
  <c r="B197" i="15"/>
  <c r="B239" i="15"/>
  <c r="B247" i="15"/>
  <c r="C58" i="16"/>
  <c r="B261" i="13"/>
  <c r="B96" i="14"/>
  <c r="B265" i="14"/>
  <c r="B257" i="14"/>
  <c r="C99" i="15"/>
  <c r="C20" i="15"/>
  <c r="C93" i="15"/>
  <c r="B12" i="15"/>
  <c r="B41" i="15"/>
  <c r="B297" i="15"/>
  <c r="C269" i="13"/>
  <c r="C293" i="14"/>
  <c r="B77" i="14"/>
  <c r="B271" i="14"/>
  <c r="B263" i="14"/>
  <c r="C108" i="15"/>
  <c r="C222" i="15"/>
  <c r="C240" i="15"/>
  <c r="C133" i="15"/>
  <c r="B84" i="15"/>
  <c r="B81" i="15"/>
  <c r="B206" i="15"/>
  <c r="B194" i="15"/>
  <c r="C112" i="16"/>
  <c r="B210" i="14"/>
  <c r="B122" i="15"/>
  <c r="C194" i="16"/>
  <c r="C96" i="16"/>
  <c r="C117" i="16"/>
  <c r="B99" i="16"/>
  <c r="B96" i="16"/>
  <c r="B292" i="16"/>
  <c r="B185" i="16"/>
  <c r="C24" i="17"/>
  <c r="C21" i="17"/>
  <c r="C233" i="17"/>
  <c r="C223" i="17"/>
  <c r="B203" i="17"/>
  <c r="C231" i="15"/>
  <c r="B253" i="15"/>
  <c r="C134" i="16"/>
  <c r="C48" i="16"/>
  <c r="C297" i="16"/>
  <c r="B71" i="16"/>
  <c r="B68" i="16"/>
  <c r="C271" i="13"/>
  <c r="B16" i="15"/>
  <c r="C247" i="16"/>
  <c r="C263" i="16"/>
  <c r="C21" i="16"/>
  <c r="B235" i="16"/>
  <c r="B21" i="16"/>
  <c r="B298" i="16"/>
  <c r="B194" i="16"/>
  <c r="C224" i="17"/>
  <c r="C221" i="17"/>
  <c r="C182" i="17"/>
  <c r="C258" i="17"/>
  <c r="C218" i="13"/>
  <c r="C176" i="15"/>
  <c r="C275" i="16"/>
  <c r="C219" i="16"/>
  <c r="C249" i="16"/>
  <c r="B111" i="16"/>
  <c r="C282" i="13"/>
  <c r="B247" i="13"/>
  <c r="C58" i="14"/>
  <c r="C208" i="13"/>
  <c r="C87" i="13"/>
  <c r="B210" i="13"/>
  <c r="B24" i="15"/>
  <c r="B222" i="15"/>
  <c r="B86" i="15"/>
  <c r="B16" i="14"/>
  <c r="C271" i="15"/>
  <c r="B196" i="15"/>
  <c r="B292" i="13"/>
  <c r="C63" i="15"/>
  <c r="B51" i="15"/>
  <c r="B10" i="15"/>
  <c r="B22" i="14"/>
  <c r="C64" i="15"/>
  <c r="B126" i="15"/>
  <c r="B31" i="14"/>
  <c r="C292" i="15"/>
  <c r="B255" i="15"/>
  <c r="B178" i="15"/>
  <c r="B131" i="16"/>
  <c r="C56" i="17"/>
  <c r="B235" i="17"/>
  <c r="C100" i="16"/>
  <c r="B132" i="16"/>
  <c r="B107" i="16"/>
  <c r="B137" i="16"/>
  <c r="C59" i="17"/>
  <c r="B83" i="17"/>
  <c r="C237" i="15"/>
  <c r="C110" i="16"/>
  <c r="C248" i="16"/>
  <c r="B175" i="16"/>
  <c r="B204" i="16"/>
  <c r="B261" i="16"/>
  <c r="B253" i="16"/>
  <c r="C260" i="17"/>
  <c r="C67" i="17"/>
  <c r="C245" i="17"/>
  <c r="C279" i="17"/>
  <c r="B183" i="17"/>
  <c r="C184" i="15"/>
  <c r="B251" i="15"/>
  <c r="C210" i="16"/>
  <c r="C120" i="16"/>
  <c r="C181" i="16"/>
  <c r="B115" i="16"/>
  <c r="B112" i="16"/>
  <c r="B94" i="16"/>
  <c r="B82" i="16"/>
  <c r="C200" i="17"/>
  <c r="C197" i="17"/>
  <c r="B136" i="13"/>
  <c r="B112" i="15"/>
  <c r="C14" i="16"/>
  <c r="C231" i="16"/>
  <c r="C264" i="16"/>
  <c r="C201" i="16"/>
  <c r="B247" i="16"/>
  <c r="B45" i="16"/>
  <c r="B272" i="16"/>
  <c r="C209" i="15"/>
  <c r="C92" i="16"/>
  <c r="C195" i="16"/>
  <c r="C280" i="16"/>
  <c r="C221" i="16"/>
  <c r="B255" i="16"/>
  <c r="B61" i="16"/>
  <c r="B240" i="16"/>
  <c r="B106" i="16"/>
  <c r="C212" i="17"/>
  <c r="C209" i="17"/>
  <c r="C266" i="17"/>
  <c r="C106" i="17"/>
  <c r="C273" i="16"/>
  <c r="B226" i="16"/>
  <c r="C238" i="17"/>
  <c r="B79" i="17"/>
  <c r="B104" i="17"/>
  <c r="B257" i="17"/>
  <c r="B293" i="17"/>
  <c r="B96" i="18"/>
  <c r="B93" i="18"/>
  <c r="B287" i="18"/>
  <c r="B178" i="18"/>
  <c r="C52" i="18"/>
  <c r="C270" i="18"/>
  <c r="C81" i="15"/>
  <c r="B174" i="16"/>
  <c r="C233" i="15"/>
  <c r="B97" i="16"/>
  <c r="C115" i="17"/>
  <c r="B31" i="17"/>
  <c r="B112" i="17"/>
  <c r="B177" i="17"/>
  <c r="B25" i="17"/>
  <c r="B136" i="18"/>
  <c r="B133" i="18"/>
  <c r="B135" i="18"/>
  <c r="B290" i="18"/>
  <c r="C92" i="18"/>
  <c r="C121" i="18"/>
  <c r="B197" i="14"/>
  <c r="B105" i="16"/>
  <c r="C205" i="17"/>
  <c r="B35" i="17"/>
  <c r="B116" i="17"/>
  <c r="B73" i="17"/>
  <c r="B266" i="17"/>
  <c r="B108" i="18"/>
  <c r="B297" i="16"/>
  <c r="C137" i="17"/>
  <c r="C218" i="17"/>
  <c r="B88" i="17"/>
  <c r="B281" i="17"/>
  <c r="B229" i="17"/>
  <c r="B80" i="18"/>
  <c r="B77" i="18"/>
  <c r="B23" i="18"/>
  <c r="B11" i="18"/>
  <c r="C132" i="18"/>
  <c r="C239" i="16"/>
  <c r="C111" i="13"/>
  <c r="B279" i="13"/>
  <c r="C122" i="14"/>
  <c r="C240" i="13"/>
  <c r="C215" i="13"/>
  <c r="B258" i="13"/>
  <c r="B56" i="15"/>
  <c r="B266" i="15"/>
  <c r="B229" i="15"/>
  <c r="B80" i="14"/>
  <c r="C68" i="15"/>
  <c r="B228" i="15"/>
  <c r="C223" i="14"/>
  <c r="C95" i="15"/>
  <c r="B83" i="15"/>
  <c r="C39" i="16"/>
  <c r="B86" i="14"/>
  <c r="C116" i="15"/>
  <c r="B190" i="15"/>
  <c r="B95" i="14"/>
  <c r="C97" i="15"/>
  <c r="B298" i="15"/>
  <c r="C111" i="16"/>
  <c r="B195" i="16"/>
  <c r="C88" i="17"/>
  <c r="B267" i="17"/>
  <c r="C204" i="16"/>
  <c r="B205" i="16"/>
  <c r="C106" i="16"/>
  <c r="B267" i="16"/>
  <c r="B66" i="16"/>
  <c r="C123" i="17"/>
  <c r="B115" i="17"/>
  <c r="B48" i="15"/>
  <c r="C174" i="16"/>
  <c r="C33" i="16"/>
  <c r="B207" i="16"/>
  <c r="B29" i="16"/>
  <c r="B17" i="16"/>
  <c r="B296" i="16"/>
  <c r="C292" i="17"/>
  <c r="C131" i="17"/>
  <c r="C287" i="17"/>
  <c r="C263" i="17"/>
  <c r="B215" i="17"/>
  <c r="C218" i="15"/>
  <c r="C15" i="16"/>
  <c r="C242" i="16"/>
  <c r="C45" i="16"/>
  <c r="C260" i="16"/>
  <c r="B179" i="16"/>
  <c r="B176" i="16"/>
  <c r="B222" i="16"/>
  <c r="B210" i="16"/>
  <c r="C232" i="17"/>
  <c r="C11" i="17"/>
  <c r="C294" i="14"/>
  <c r="B77" i="15"/>
  <c r="C78" i="16"/>
  <c r="C279" i="16"/>
  <c r="C65" i="16"/>
  <c r="C269" i="16"/>
  <c r="B279" i="16"/>
  <c r="B109" i="16"/>
  <c r="C56" i="13"/>
  <c r="B27" i="15"/>
  <c r="C30" i="16"/>
  <c r="C243" i="16"/>
  <c r="C97" i="16"/>
  <c r="C285" i="16"/>
  <c r="B287" i="16"/>
  <c r="B125" i="16"/>
  <c r="B282" i="16"/>
  <c r="B232" i="16"/>
  <c r="C244" i="17"/>
  <c r="C35" i="17"/>
  <c r="C23" i="17"/>
  <c r="C10" i="17"/>
  <c r="B59" i="16"/>
  <c r="C44" i="17"/>
  <c r="C86" i="17"/>
  <c r="B131" i="17"/>
  <c r="B136" i="17"/>
  <c r="B50" i="17"/>
  <c r="B121" i="17"/>
  <c r="B128" i="18"/>
  <c r="B125" i="18"/>
  <c r="B55" i="18"/>
  <c r="B237" i="18"/>
  <c r="C84" i="18"/>
  <c r="C81" i="18"/>
  <c r="C30" i="18"/>
  <c r="C99" i="16"/>
  <c r="B65" i="16"/>
  <c r="C250" i="16"/>
  <c r="B246" i="16"/>
  <c r="C265" i="17"/>
  <c r="B95" i="17"/>
  <c r="B176" i="17"/>
  <c r="B273" i="17"/>
  <c r="B262" i="17"/>
  <c r="B200" i="18"/>
  <c r="B197" i="18"/>
  <c r="B199" i="18"/>
  <c r="B59" i="18"/>
  <c r="C124" i="18"/>
  <c r="C185" i="18"/>
  <c r="C72" i="16"/>
  <c r="B268" i="16"/>
  <c r="C281" i="17"/>
  <c r="B99" i="17"/>
  <c r="B180" i="17"/>
  <c r="B193" i="17"/>
  <c r="B33" i="17"/>
  <c r="B222" i="14"/>
  <c r="B250" i="16"/>
  <c r="C217" i="17"/>
  <c r="B47" i="17"/>
  <c r="B120" i="17"/>
  <c r="B89" i="17"/>
  <c r="B272" i="17"/>
  <c r="B112" i="18"/>
  <c r="B109" i="18"/>
  <c r="B87" i="18"/>
  <c r="B75" i="18"/>
  <c r="B90" i="13"/>
  <c r="C77" i="14"/>
  <c r="B129" i="14"/>
  <c r="B291" i="13"/>
  <c r="B66" i="13"/>
  <c r="C197" i="14"/>
  <c r="C124" i="16"/>
  <c r="B249" i="14"/>
  <c r="B130" i="15"/>
  <c r="B203" i="14"/>
  <c r="C206" i="15"/>
  <c r="B193" i="15"/>
  <c r="B212" i="14"/>
  <c r="C18" i="15"/>
  <c r="B232" i="15"/>
  <c r="C90" i="16"/>
  <c r="B299" i="14"/>
  <c r="C221" i="15"/>
  <c r="B203" i="13"/>
  <c r="C11" i="15"/>
  <c r="C57" i="15"/>
  <c r="B269" i="15"/>
  <c r="C226" i="16"/>
  <c r="B128" i="16"/>
  <c r="C53" i="17"/>
  <c r="C122" i="15"/>
  <c r="C133" i="16"/>
  <c r="C44" i="14"/>
  <c r="C298" i="16"/>
  <c r="B299" i="16"/>
  <c r="B248" i="16"/>
  <c r="C300" i="14"/>
  <c r="B13" i="15"/>
  <c r="C238" i="16"/>
  <c r="C37" i="16"/>
  <c r="B239" i="16"/>
  <c r="B93" i="16"/>
  <c r="B81" i="16"/>
  <c r="C36" i="17"/>
  <c r="C33" i="17"/>
  <c r="C195" i="17"/>
  <c r="C55" i="17"/>
  <c r="C247" i="17"/>
  <c r="B247" i="17"/>
  <c r="C236" i="15"/>
  <c r="C79" i="16"/>
  <c r="C274" i="16"/>
  <c r="C173" i="16"/>
  <c r="C57" i="16"/>
  <c r="B211" i="16"/>
  <c r="B208" i="16"/>
  <c r="B266" i="16"/>
  <c r="B258" i="16"/>
  <c r="C264" i="17"/>
  <c r="C75" i="17"/>
  <c r="B133" i="14"/>
  <c r="B259" i="15"/>
  <c r="C118" i="16"/>
  <c r="C28" i="16"/>
  <c r="C193" i="16"/>
  <c r="B23" i="16"/>
  <c r="B20" i="16"/>
  <c r="B173" i="16"/>
  <c r="B202" i="13"/>
  <c r="B176" i="15"/>
  <c r="C94" i="16"/>
  <c r="C287" i="16"/>
  <c r="C217" i="16"/>
  <c r="B31" i="16"/>
  <c r="B28" i="16"/>
  <c r="B189" i="16"/>
  <c r="B49" i="16"/>
  <c r="B274" i="16"/>
  <c r="C276" i="17"/>
  <c r="C99" i="17"/>
  <c r="C87" i="17"/>
  <c r="B39" i="17"/>
  <c r="B24" i="16"/>
  <c r="C124" i="17"/>
  <c r="C234" i="17"/>
  <c r="B179" i="17"/>
  <c r="B200" i="17"/>
  <c r="B178" i="17"/>
  <c r="B241" i="17"/>
  <c r="B192" i="18"/>
  <c r="B189" i="18"/>
  <c r="B119" i="18"/>
  <c r="B279" i="18"/>
  <c r="C116" i="18"/>
  <c r="C113" i="18"/>
  <c r="C94" i="18"/>
  <c r="C218" i="16"/>
  <c r="B230" i="16"/>
  <c r="C184" i="16"/>
  <c r="B98" i="16"/>
  <c r="C255" i="17"/>
  <c r="B191" i="17"/>
  <c r="B208" i="17"/>
  <c r="B74" i="17"/>
  <c r="B114" i="17"/>
  <c r="B232" i="18"/>
  <c r="B14" i="18"/>
  <c r="B251" i="18"/>
  <c r="B123" i="18"/>
  <c r="C188" i="18"/>
  <c r="C217" i="18"/>
  <c r="C282" i="16"/>
  <c r="B122" i="16"/>
  <c r="C261" i="17"/>
  <c r="B195" i="17"/>
  <c r="B212" i="17"/>
  <c r="B284" i="17"/>
  <c r="B278" i="17"/>
  <c r="B109" i="15"/>
  <c r="B129" i="16"/>
  <c r="C14" i="17"/>
  <c r="B103" i="17"/>
  <c r="B184" i="17"/>
  <c r="B209" i="17"/>
  <c r="B49" i="17"/>
  <c r="B176" i="18"/>
  <c r="B173" i="18"/>
  <c r="B215" i="18"/>
  <c r="B203" i="18"/>
  <c r="C228" i="18"/>
  <c r="C213" i="16"/>
  <c r="B218" i="13"/>
  <c r="C209" i="14"/>
  <c r="B193" i="14"/>
  <c r="B32" i="13"/>
  <c r="B130" i="13"/>
  <c r="C257" i="14"/>
  <c r="C208" i="16"/>
  <c r="B291" i="14"/>
  <c r="B231" i="15"/>
  <c r="B254" i="14"/>
  <c r="C238" i="15"/>
  <c r="B225" i="15"/>
  <c r="B276" i="14"/>
  <c r="C50" i="15"/>
  <c r="B264" i="15"/>
  <c r="C24" i="13"/>
  <c r="B74" i="14"/>
  <c r="C85" i="15"/>
  <c r="B81" i="13"/>
  <c r="C43" i="15"/>
  <c r="C265" i="15"/>
  <c r="C19" i="16"/>
  <c r="C258" i="16"/>
  <c r="B192" i="16"/>
  <c r="C85" i="17"/>
  <c r="C72" i="15"/>
  <c r="C236" i="16"/>
  <c r="B232" i="14"/>
  <c r="C12" i="16"/>
  <c r="B136" i="16"/>
  <c r="B290" i="16"/>
  <c r="C239" i="17"/>
  <c r="B296" i="14"/>
  <c r="B119" i="15"/>
  <c r="C270" i="16"/>
  <c r="C252" i="16"/>
  <c r="B271" i="16"/>
  <c r="B221" i="16"/>
  <c r="B209" i="16"/>
  <c r="C68" i="17"/>
  <c r="C65" i="17"/>
  <c r="C249" i="17"/>
  <c r="C119" i="17"/>
  <c r="C231" i="17"/>
  <c r="C253" i="14"/>
  <c r="C101" i="15"/>
  <c r="C291" i="16"/>
  <c r="C175" i="16"/>
  <c r="C256" i="16"/>
  <c r="C185" i="16"/>
  <c r="B243" i="16"/>
  <c r="B37" i="16"/>
  <c r="B25" i="16"/>
  <c r="B10" i="16"/>
  <c r="C296" i="17"/>
  <c r="C203" i="17"/>
  <c r="B18" i="14"/>
  <c r="B191" i="15"/>
  <c r="C182" i="16"/>
  <c r="C76" i="16"/>
  <c r="C265" i="16"/>
  <c r="B55" i="16"/>
  <c r="B52" i="16"/>
  <c r="B233" i="16"/>
  <c r="B40" i="14"/>
  <c r="B134" i="15"/>
  <c r="C126" i="16"/>
  <c r="C36" i="16"/>
  <c r="C281" i="16"/>
  <c r="B63" i="16"/>
  <c r="B60" i="16"/>
  <c r="B244" i="16"/>
  <c r="B113" i="16"/>
  <c r="C20" i="17"/>
  <c r="C17" i="17"/>
  <c r="C227" i="17"/>
  <c r="C215" i="17"/>
  <c r="B71" i="17"/>
  <c r="B117" i="16"/>
  <c r="C208" i="17"/>
  <c r="C39" i="17"/>
  <c r="B223" i="17"/>
  <c r="B21" i="17"/>
  <c r="B285" i="17"/>
  <c r="B82" i="17"/>
  <c r="B224" i="18"/>
  <c r="B221" i="18"/>
  <c r="B183" i="18"/>
  <c r="B43" i="18"/>
  <c r="C180" i="18"/>
  <c r="C177" i="18"/>
  <c r="C222" i="18"/>
  <c r="C132" i="16"/>
  <c r="B90" i="16"/>
  <c r="C212" i="16"/>
  <c r="B264" i="16"/>
  <c r="C71" i="17"/>
  <c r="B231" i="17"/>
  <c r="B37" i="17"/>
  <c r="B218" i="17"/>
  <c r="B226" i="17"/>
  <c r="B264" i="18"/>
  <c r="B78" i="18"/>
  <c r="B294" i="18"/>
  <c r="B187" i="18"/>
  <c r="C220" i="18"/>
  <c r="C51" i="18"/>
  <c r="C77" i="16"/>
  <c r="B269" i="16"/>
  <c r="C79" i="17"/>
  <c r="B239" i="17"/>
  <c r="B45" i="17"/>
  <c r="B90" i="17"/>
  <c r="B130" i="17"/>
  <c r="C22" i="16"/>
  <c r="B273" i="16"/>
  <c r="C174" i="17"/>
  <c r="B199" i="17"/>
  <c r="B216" i="17"/>
  <c r="B294" i="17"/>
  <c r="B185" i="17"/>
  <c r="C205" i="14"/>
  <c r="C197" i="13"/>
  <c r="C122" i="13"/>
  <c r="C215" i="14"/>
  <c r="C61" i="14"/>
  <c r="C117" i="14"/>
  <c r="B282" i="14"/>
  <c r="C266" i="15"/>
  <c r="C64" i="16"/>
  <c r="B63" i="14"/>
  <c r="C268" i="15"/>
  <c r="B234" i="15"/>
  <c r="B14" i="14"/>
  <c r="C251" i="15"/>
  <c r="B18" i="15"/>
  <c r="B276" i="13"/>
  <c r="C131" i="15"/>
  <c r="B44" i="15"/>
  <c r="C238" i="14"/>
  <c r="C192" i="15"/>
  <c r="B116" i="15"/>
  <c r="C196" i="16"/>
  <c r="C200" i="16"/>
  <c r="B62" i="16"/>
  <c r="C275" i="17"/>
  <c r="B258" i="15"/>
  <c r="B103" i="16"/>
  <c r="C124" i="15"/>
  <c r="C56" i="16"/>
  <c r="B85" i="16"/>
  <c r="C128" i="17"/>
  <c r="C282" i="17"/>
  <c r="B30" i="14"/>
  <c r="C11" i="16"/>
  <c r="C267" i="16"/>
  <c r="C41" i="16"/>
  <c r="B12" i="16"/>
  <c r="B265" i="16"/>
  <c r="B257" i="16"/>
  <c r="C100" i="17"/>
  <c r="C97" i="17"/>
  <c r="C291" i="17"/>
  <c r="C183" i="17"/>
  <c r="B23" i="17"/>
  <c r="B69" i="14"/>
  <c r="B80" i="15"/>
  <c r="C188" i="16"/>
  <c r="C227" i="16"/>
  <c r="C261" i="16"/>
  <c r="B275" i="16"/>
  <c r="B101" i="16"/>
  <c r="B89" i="16"/>
  <c r="C40" i="17"/>
  <c r="C37" i="17"/>
  <c r="C254" i="17"/>
  <c r="C103" i="15"/>
  <c r="B299" i="15"/>
  <c r="C214" i="16"/>
  <c r="C128" i="16"/>
  <c r="C69" i="16"/>
  <c r="B87" i="16"/>
  <c r="B84" i="16"/>
  <c r="B276" i="16"/>
  <c r="B75" i="14"/>
  <c r="B94" i="15"/>
  <c r="C190" i="16"/>
  <c r="C88" i="16"/>
  <c r="C101" i="16"/>
  <c r="B95" i="16"/>
  <c r="B92" i="16"/>
  <c r="B286" i="16"/>
  <c r="B177" i="16"/>
  <c r="C52" i="17"/>
  <c r="C270" i="17"/>
  <c r="C262" i="17"/>
  <c r="C282" i="15"/>
  <c r="B134" i="16"/>
  <c r="C300" i="17"/>
  <c r="C273" i="17"/>
  <c r="B263" i="17"/>
  <c r="B85" i="17"/>
  <c r="B70" i="17"/>
  <c r="B202" i="17"/>
  <c r="B256" i="18"/>
  <c r="B62" i="18"/>
  <c r="B241" i="18"/>
  <c r="B107" i="18"/>
  <c r="C212" i="18"/>
  <c r="C209" i="18"/>
  <c r="C266" i="18"/>
  <c r="C85" i="16"/>
  <c r="B242" i="16"/>
  <c r="B123" i="16"/>
  <c r="C60" i="17"/>
  <c r="C199" i="17"/>
  <c r="B275" i="17"/>
  <c r="B101" i="17"/>
  <c r="B22" i="17"/>
  <c r="B10" i="17"/>
  <c r="B296" i="18"/>
  <c r="B206" i="18"/>
  <c r="B66" i="18"/>
  <c r="B243" i="18"/>
  <c r="C252" i="18"/>
  <c r="C115" i="18"/>
  <c r="C276" i="16"/>
  <c r="C76" i="17"/>
  <c r="C207" i="17"/>
  <c r="B279" i="17"/>
  <c r="B109" i="17"/>
  <c r="B232" i="17"/>
  <c r="B237" i="17"/>
  <c r="C191" i="16"/>
  <c r="B285" i="16"/>
  <c r="C277" i="17"/>
  <c r="B243" i="17"/>
  <c r="B53" i="17"/>
  <c r="B106" i="17"/>
  <c r="B289" i="17"/>
  <c r="B240" i="18"/>
  <c r="B30" i="18"/>
  <c r="B18" i="18"/>
  <c r="B297" i="18"/>
  <c r="C292" i="18"/>
  <c r="C65" i="13"/>
  <c r="B216" i="13"/>
  <c r="B45" i="13"/>
  <c r="B300" i="14"/>
  <c r="C103" i="13"/>
  <c r="C207" i="15"/>
  <c r="C256" i="15"/>
  <c r="B125" i="15"/>
  <c r="B40" i="13"/>
  <c r="B285" i="14"/>
  <c r="B47" i="15"/>
  <c r="B295" i="15"/>
  <c r="B294" i="14"/>
  <c r="C121" i="15"/>
  <c r="B106" i="15"/>
  <c r="B288" i="14"/>
  <c r="C118" i="15"/>
  <c r="B105" i="15"/>
  <c r="B91" i="14"/>
  <c r="C286" i="15"/>
  <c r="B177" i="15"/>
  <c r="C90" i="15"/>
  <c r="C292" i="16"/>
  <c r="B284" i="16"/>
  <c r="C210" i="17"/>
  <c r="C230" i="16"/>
  <c r="B100" i="16"/>
  <c r="C67" i="16"/>
  <c r="C245" i="16"/>
  <c r="B73" i="16"/>
  <c r="C125" i="17"/>
  <c r="C226" i="17"/>
  <c r="C186" i="15"/>
  <c r="C62" i="16"/>
  <c r="C116" i="16"/>
  <c r="B79" i="16"/>
  <c r="B108" i="16"/>
  <c r="B214" i="16"/>
  <c r="B202" i="16"/>
  <c r="C228" i="17"/>
  <c r="C225" i="17"/>
  <c r="C190" i="17"/>
  <c r="C50" i="17"/>
  <c r="B119" i="17"/>
  <c r="C71" i="15"/>
  <c r="B127" i="15"/>
  <c r="C178" i="16"/>
  <c r="C68" i="16"/>
  <c r="C53" i="16"/>
  <c r="B83" i="16"/>
  <c r="B80" i="16"/>
  <c r="B30" i="16"/>
  <c r="B18" i="16"/>
  <c r="C136" i="17"/>
  <c r="C133" i="17"/>
  <c r="C134" i="17"/>
  <c r="C288" i="15"/>
  <c r="C52" i="16"/>
  <c r="C183" i="16"/>
  <c r="C189" i="16"/>
  <c r="C73" i="16"/>
  <c r="B215" i="16"/>
  <c r="B212" i="16"/>
  <c r="B229" i="16"/>
  <c r="C263" i="15"/>
  <c r="C179" i="16"/>
  <c r="C286" i="16"/>
  <c r="C216" i="16"/>
  <c r="C105" i="16"/>
  <c r="B223" i="16"/>
  <c r="B220" i="16"/>
  <c r="B182" i="16"/>
  <c r="B42" i="16"/>
  <c r="C180" i="17"/>
  <c r="C177" i="17"/>
  <c r="C222" i="17"/>
  <c r="C130" i="17"/>
  <c r="C80" i="16"/>
  <c r="B58" i="16"/>
  <c r="C83" i="17"/>
  <c r="B15" i="17"/>
  <c r="B72" i="17"/>
  <c r="B17" i="17"/>
  <c r="B250" i="17"/>
  <c r="B64" i="18"/>
  <c r="B61" i="18"/>
  <c r="B245" i="18"/>
  <c r="B114" i="18"/>
  <c r="C20" i="18"/>
  <c r="C17" i="18"/>
  <c r="C227" i="18"/>
  <c r="B17" i="13"/>
  <c r="B181" i="16"/>
  <c r="C222" i="14"/>
  <c r="B198" i="16"/>
  <c r="C201" i="17"/>
  <c r="C290" i="17"/>
  <c r="B80" i="17"/>
  <c r="B57" i="17"/>
  <c r="B261" i="17"/>
  <c r="B104" i="18"/>
  <c r="B101" i="18"/>
  <c r="B71" i="18"/>
  <c r="B247" i="18"/>
  <c r="C60" i="18"/>
  <c r="C89" i="18"/>
  <c r="C281" i="18"/>
  <c r="B234" i="16"/>
  <c r="C121" i="17"/>
  <c r="C74" i="17"/>
  <c r="B84" i="17"/>
  <c r="B276" i="17"/>
  <c r="B222" i="17"/>
  <c r="B76" i="18"/>
  <c r="B187" i="16"/>
  <c r="C45" i="17"/>
  <c r="C34" i="17"/>
  <c r="B56" i="17"/>
  <c r="B238" i="17"/>
  <c r="B102" i="17"/>
  <c r="B48" i="18"/>
  <c r="B45" i="18"/>
  <c r="B266" i="18"/>
  <c r="B258" i="18"/>
  <c r="C100" i="18"/>
  <c r="C86" i="16"/>
  <c r="C269" i="14"/>
  <c r="C121" i="14"/>
  <c r="C18" i="16"/>
  <c r="B78" i="14"/>
  <c r="C195" i="15"/>
  <c r="B180" i="15"/>
  <c r="C38" i="17"/>
  <c r="C17" i="16"/>
  <c r="B215" i="14"/>
  <c r="B44" i="16"/>
  <c r="C129" i="17"/>
  <c r="B94" i="14"/>
  <c r="C177" i="16"/>
  <c r="B217" i="16"/>
  <c r="C252" i="15"/>
  <c r="C197" i="16"/>
  <c r="B266" i="14"/>
  <c r="C220" i="16"/>
  <c r="B236" i="16"/>
  <c r="C18" i="17"/>
  <c r="C237" i="17"/>
  <c r="B290" i="17"/>
  <c r="B233" i="18"/>
  <c r="B91" i="16"/>
  <c r="C294" i="17"/>
  <c r="B40" i="18"/>
  <c r="B286" i="18"/>
  <c r="C240" i="17"/>
  <c r="B30" i="17"/>
  <c r="C103" i="17"/>
  <c r="B248" i="17"/>
  <c r="B262" i="18"/>
  <c r="B82" i="14"/>
  <c r="C12" i="17"/>
  <c r="C198" i="17"/>
  <c r="B111" i="17"/>
  <c r="B188" i="17"/>
  <c r="B225" i="17"/>
  <c r="B277" i="17"/>
  <c r="B116" i="18"/>
  <c r="B113" i="18"/>
  <c r="B95" i="18"/>
  <c r="B83" i="18"/>
  <c r="C200" i="18"/>
  <c r="C197" i="18"/>
  <c r="C198" i="18"/>
  <c r="C283" i="16"/>
  <c r="B186" i="16"/>
  <c r="C46" i="17"/>
  <c r="B63" i="17"/>
  <c r="B128" i="17"/>
  <c r="C209" i="16"/>
  <c r="B218" i="16"/>
  <c r="C78" i="17"/>
  <c r="B175" i="17"/>
  <c r="B196" i="17"/>
  <c r="B42" i="17"/>
  <c r="B230" i="17"/>
  <c r="B188" i="18"/>
  <c r="B185" i="18"/>
  <c r="B111" i="18"/>
  <c r="B35" i="18"/>
  <c r="C176" i="18"/>
  <c r="B41" i="17"/>
  <c r="B201" i="18"/>
  <c r="C184" i="18"/>
  <c r="C110" i="18"/>
  <c r="C105" i="17"/>
  <c r="B56" i="18"/>
  <c r="B27" i="18"/>
  <c r="C201" i="18"/>
  <c r="C207" i="18"/>
  <c r="B196" i="18"/>
  <c r="B103" i="18"/>
  <c r="C185" i="17"/>
  <c r="B260" i="18"/>
  <c r="B202" i="18"/>
  <c r="C105" i="18"/>
  <c r="C55" i="18"/>
  <c r="C210" i="18"/>
  <c r="C91" i="18"/>
  <c r="C245" i="18"/>
  <c r="B54" i="17"/>
  <c r="B39" i="18"/>
  <c r="C216" i="18"/>
  <c r="C259" i="17"/>
  <c r="B100" i="18"/>
  <c r="C287" i="18"/>
  <c r="C285" i="18"/>
  <c r="B81" i="17"/>
  <c r="B79" i="18"/>
  <c r="C21" i="18"/>
  <c r="C78" i="18"/>
  <c r="C258" i="18"/>
  <c r="B137" i="17"/>
  <c r="B257" i="18"/>
  <c r="C274" i="18"/>
  <c r="B187" i="17"/>
  <c r="B193" i="18"/>
  <c r="C256" i="18"/>
  <c r="C14" i="18"/>
  <c r="C289" i="18"/>
  <c r="B138" i="17"/>
  <c r="C139" i="13"/>
  <c r="B158" i="13"/>
  <c r="B153" i="15"/>
  <c r="B168" i="13"/>
  <c r="B151" i="14"/>
  <c r="C158" i="16"/>
  <c r="B141" i="17"/>
  <c r="B145" i="17"/>
  <c r="B140" i="18"/>
  <c r="C168" i="17"/>
  <c r="C141" i="14"/>
  <c r="B162" i="14"/>
  <c r="B143" i="14"/>
  <c r="C33" i="13"/>
  <c r="C39" i="13"/>
  <c r="B75" i="13"/>
  <c r="B251" i="14"/>
  <c r="C86" i="15"/>
  <c r="B113" i="15"/>
  <c r="C267" i="17"/>
  <c r="C244" i="16"/>
  <c r="C96" i="15"/>
  <c r="B76" i="16"/>
  <c r="C193" i="17"/>
  <c r="B262" i="14"/>
  <c r="C257" i="16"/>
  <c r="B262" i="16"/>
  <c r="C250" i="15"/>
  <c r="C268" i="16"/>
  <c r="C58" i="15"/>
  <c r="C284" i="16"/>
  <c r="B278" i="16"/>
  <c r="C178" i="17"/>
  <c r="C194" i="17"/>
  <c r="B32" i="18"/>
  <c r="B275" i="18"/>
  <c r="B56" i="16"/>
  <c r="C90" i="17"/>
  <c r="B72" i="18"/>
  <c r="C28" i="18"/>
  <c r="C41" i="17"/>
  <c r="B94" i="17"/>
  <c r="C230" i="17"/>
  <c r="B16" i="18"/>
  <c r="B82" i="18"/>
  <c r="B22" i="15"/>
  <c r="C92" i="17"/>
  <c r="C293" i="17"/>
  <c r="B207" i="17"/>
  <c r="B220" i="17"/>
  <c r="B26" i="17"/>
  <c r="B65" i="17"/>
  <c r="B180" i="18"/>
  <c r="B177" i="18"/>
  <c r="B223" i="18"/>
  <c r="B211" i="18"/>
  <c r="C232" i="18"/>
  <c r="C11" i="18"/>
  <c r="C250" i="18"/>
  <c r="C81" i="16"/>
  <c r="C16" i="17"/>
  <c r="C206" i="17"/>
  <c r="B123" i="17"/>
  <c r="B192" i="17"/>
  <c r="B27" i="16"/>
  <c r="C28" i="17"/>
  <c r="C214" i="17"/>
  <c r="B219" i="17"/>
  <c r="B13" i="17"/>
  <c r="B274" i="17"/>
  <c r="B58" i="17"/>
  <c r="B220" i="18"/>
  <c r="B217" i="18"/>
  <c r="B175" i="18"/>
  <c r="B99" i="18"/>
  <c r="C208" i="18"/>
  <c r="B194" i="17"/>
  <c r="B134" i="18"/>
  <c r="C268" i="18"/>
  <c r="C190" i="18"/>
  <c r="C289" i="17"/>
  <c r="B248" i="18"/>
  <c r="B195" i="18"/>
  <c r="C59" i="18"/>
  <c r="C257" i="18"/>
  <c r="B230" i="18"/>
  <c r="C248" i="18"/>
  <c r="C58" i="17"/>
  <c r="B53" i="18"/>
  <c r="B51" i="18"/>
  <c r="C205" i="18"/>
  <c r="C215" i="18"/>
  <c r="B280" i="18"/>
  <c r="C62" i="18"/>
  <c r="C50" i="18"/>
  <c r="B282" i="17"/>
  <c r="B207" i="18"/>
  <c r="C300" i="18"/>
  <c r="C229" i="18"/>
  <c r="B27" i="17"/>
  <c r="B73" i="18"/>
  <c r="C34" i="18"/>
  <c r="C290" i="18"/>
  <c r="B269" i="17"/>
  <c r="B246" i="18"/>
  <c r="C73" i="18"/>
  <c r="C239" i="18"/>
  <c r="C242" i="18"/>
  <c r="B296" i="17"/>
  <c r="B131" i="18"/>
  <c r="B300" i="18"/>
  <c r="B292" i="17"/>
  <c r="B110" i="18"/>
  <c r="C33" i="18"/>
  <c r="C102" i="18"/>
  <c r="C114" i="18"/>
  <c r="B138" i="14"/>
  <c r="B152" i="13"/>
  <c r="B145" i="13"/>
  <c r="B158" i="15"/>
  <c r="C11" i="13"/>
  <c r="C108" i="14"/>
  <c r="B127" i="14"/>
  <c r="C12" i="15"/>
  <c r="B76" i="15"/>
  <c r="C38" i="16"/>
  <c r="C59" i="16"/>
  <c r="B213" i="16"/>
  <c r="C75" i="16"/>
  <c r="B22" i="16"/>
  <c r="C62" i="17"/>
  <c r="B45" i="15"/>
  <c r="B19" i="16"/>
  <c r="C72" i="17"/>
  <c r="C27" i="16"/>
  <c r="B119" i="16"/>
  <c r="C43" i="16"/>
  <c r="B127" i="16"/>
  <c r="C84" i="17"/>
  <c r="C35" i="16"/>
  <c r="B299" i="17"/>
  <c r="B288" i="18"/>
  <c r="C244" i="18"/>
  <c r="C48" i="17"/>
  <c r="B16" i="17"/>
  <c r="B37" i="18"/>
  <c r="C284" i="18"/>
  <c r="C299" i="17"/>
  <c r="B12" i="18"/>
  <c r="B283" i="17"/>
  <c r="B208" i="18"/>
  <c r="B210" i="18"/>
  <c r="C272" i="16"/>
  <c r="C176" i="17"/>
  <c r="C127" i="17"/>
  <c r="B251" i="17"/>
  <c r="B61" i="17"/>
  <c r="B122" i="17"/>
  <c r="B201" i="17"/>
  <c r="B212" i="18"/>
  <c r="B209" i="18"/>
  <c r="B267" i="18"/>
  <c r="B259" i="18"/>
  <c r="C264" i="18"/>
  <c r="C75" i="18"/>
  <c r="C293" i="18"/>
  <c r="C277" i="16"/>
  <c r="C108" i="17"/>
  <c r="C298" i="17"/>
  <c r="B211" i="17"/>
  <c r="B224" i="17"/>
  <c r="B283" i="16"/>
  <c r="C112" i="17"/>
  <c r="C15" i="17"/>
  <c r="B259" i="17"/>
  <c r="B77" i="17"/>
  <c r="B62" i="17"/>
  <c r="B186" i="17"/>
  <c r="B252" i="18"/>
  <c r="B54" i="18"/>
  <c r="B235" i="18"/>
  <c r="B227" i="18"/>
  <c r="C240" i="18"/>
  <c r="B206" i="17"/>
  <c r="B277" i="18"/>
  <c r="C41" i="18"/>
  <c r="C261" i="18"/>
  <c r="B271" i="17"/>
  <c r="B41" i="18"/>
  <c r="C24" i="18"/>
  <c r="C249" i="18"/>
  <c r="C299" i="18"/>
  <c r="B249" i="18"/>
  <c r="C129" i="18"/>
  <c r="B12" i="17"/>
  <c r="B137" i="18"/>
  <c r="B219" i="18"/>
  <c r="C67" i="18"/>
  <c r="C262" i="18"/>
  <c r="B214" i="18"/>
  <c r="C234" i="18"/>
  <c r="C82" i="18"/>
  <c r="B88" i="18"/>
  <c r="B58" i="18"/>
  <c r="C61" i="18"/>
  <c r="C282" i="18"/>
  <c r="B76" i="17"/>
  <c r="B46" i="18"/>
  <c r="C194" i="18"/>
  <c r="C110" i="17"/>
  <c r="B120" i="18"/>
  <c r="B98" i="18"/>
  <c r="C125" i="18"/>
  <c r="C298" i="18"/>
  <c r="C226" i="18"/>
  <c r="B132" i="18"/>
  <c r="C29" i="18"/>
  <c r="C76" i="18"/>
  <c r="B182" i="17"/>
  <c r="B261" i="18"/>
  <c r="C85" i="18"/>
  <c r="C182" i="18"/>
  <c r="C47" i="18"/>
  <c r="B138" i="16"/>
  <c r="B164" i="14"/>
  <c r="C162" i="14"/>
  <c r="C140" i="15"/>
  <c r="B166" i="14"/>
  <c r="B168" i="16"/>
  <c r="C151" i="17"/>
  <c r="B143" i="18"/>
  <c r="B143" i="17"/>
  <c r="C139" i="18"/>
  <c r="B170" i="17"/>
  <c r="B161" i="14"/>
  <c r="B150" i="15"/>
  <c r="C139" i="15"/>
  <c r="B147" i="16"/>
  <c r="B150" i="17"/>
  <c r="C165" i="18"/>
  <c r="C156" i="17"/>
  <c r="B169" i="17"/>
  <c r="B146" i="16"/>
  <c r="C149" i="14"/>
  <c r="B143" i="13"/>
  <c r="C168" i="15"/>
  <c r="C148" i="16"/>
  <c r="B168" i="17"/>
  <c r="B184" i="13"/>
  <c r="C175" i="15"/>
  <c r="B242" i="14"/>
  <c r="C37" i="15"/>
  <c r="B73" i="15"/>
  <c r="C199" i="15"/>
  <c r="C198" i="16"/>
  <c r="B206" i="16"/>
  <c r="C176" i="16"/>
  <c r="B86" i="16"/>
  <c r="C126" i="17"/>
  <c r="B211" i="15"/>
  <c r="B51" i="16"/>
  <c r="C104" i="17"/>
  <c r="C91" i="16"/>
  <c r="B183" i="16"/>
  <c r="C107" i="16"/>
  <c r="B191" i="16"/>
  <c r="C116" i="17"/>
  <c r="C186" i="16"/>
  <c r="B40" i="17"/>
  <c r="B29" i="18"/>
  <c r="C276" i="18"/>
  <c r="C220" i="17"/>
  <c r="B48" i="17"/>
  <c r="B69" i="18"/>
  <c r="C57" i="18"/>
  <c r="C122" i="17"/>
  <c r="B44" i="18"/>
  <c r="B24" i="17"/>
  <c r="B272" i="18"/>
  <c r="B254" i="18"/>
  <c r="B219" i="16"/>
  <c r="C268" i="17"/>
  <c r="C246" i="17"/>
  <c r="B287" i="17"/>
  <c r="B125" i="17"/>
  <c r="B253" i="17"/>
  <c r="B300" i="17"/>
  <c r="B244" i="18"/>
  <c r="B38" i="18"/>
  <c r="B26" i="18"/>
  <c r="B10" i="18"/>
  <c r="C296" i="18"/>
  <c r="C203" i="18"/>
  <c r="C63" i="18"/>
  <c r="B251" i="16"/>
  <c r="C188" i="17"/>
  <c r="C135" i="17"/>
  <c r="B255" i="17"/>
  <c r="B69" i="17"/>
  <c r="B53" i="16"/>
  <c r="C204" i="17"/>
  <c r="C257" i="17"/>
  <c r="B295" i="17"/>
  <c r="B205" i="17"/>
  <c r="B126" i="17"/>
  <c r="B280" i="17"/>
  <c r="B284" i="18"/>
  <c r="B118" i="18"/>
  <c r="B278" i="18"/>
  <c r="B270" i="18"/>
  <c r="C272" i="18"/>
  <c r="B252" i="17"/>
  <c r="B289" i="18"/>
  <c r="C93" i="18"/>
  <c r="C39" i="18"/>
  <c r="B29" i="17"/>
  <c r="B129" i="18"/>
  <c r="C108" i="18"/>
  <c r="C38" i="18"/>
  <c r="C122" i="18"/>
  <c r="C65" i="18"/>
  <c r="C291" i="18"/>
  <c r="B93" i="17"/>
  <c r="B225" i="18"/>
  <c r="C32" i="18"/>
  <c r="C259" i="18"/>
  <c r="C18" i="18"/>
  <c r="B74" i="18"/>
  <c r="C230" i="18"/>
  <c r="C66" i="18"/>
  <c r="B184" i="18"/>
  <c r="B226" i="18"/>
  <c r="C109" i="18"/>
  <c r="C71" i="18"/>
  <c r="B221" i="17"/>
  <c r="B63" i="18"/>
  <c r="B269" i="18"/>
  <c r="B91" i="17"/>
  <c r="B204" i="18"/>
  <c r="B253" i="18"/>
  <c r="C173" i="18"/>
  <c r="C95" i="18"/>
  <c r="C202" i="18"/>
  <c r="B216" i="18"/>
  <c r="C19" i="18"/>
  <c r="C219" i="18"/>
  <c r="B217" i="17"/>
  <c r="B127" i="18"/>
  <c r="C137" i="18"/>
  <c r="C255" i="18"/>
  <c r="C47" i="16"/>
  <c r="B138" i="15"/>
  <c r="C130" i="13"/>
  <c r="B47" i="14"/>
  <c r="C33" i="15"/>
  <c r="B131" i="15"/>
  <c r="C286" i="14"/>
  <c r="C109" i="16"/>
  <c r="B135" i="16"/>
  <c r="C256" i="17"/>
  <c r="C20" i="16"/>
  <c r="B300" i="16"/>
  <c r="C241" i="17"/>
  <c r="C66" i="16"/>
  <c r="B16" i="16"/>
  <c r="C69" i="17"/>
  <c r="C246" i="16"/>
  <c r="B116" i="16"/>
  <c r="C222" i="16"/>
  <c r="B124" i="16"/>
  <c r="C81" i="17"/>
  <c r="B41" i="16"/>
  <c r="B213" i="17"/>
  <c r="B126" i="18"/>
  <c r="C35" i="18"/>
  <c r="B88" i="16"/>
  <c r="B228" i="17"/>
  <c r="B255" i="18"/>
  <c r="C179" i="18"/>
  <c r="B20" i="17"/>
  <c r="C205" i="16"/>
  <c r="B117" i="17"/>
  <c r="B13" i="18"/>
  <c r="C36" i="18"/>
  <c r="B184" i="16"/>
  <c r="C57" i="17"/>
  <c r="C82" i="17"/>
  <c r="B28" i="17"/>
  <c r="B189" i="17"/>
  <c r="B46" i="17"/>
  <c r="B258" i="17"/>
  <c r="B276" i="18"/>
  <c r="B102" i="18"/>
  <c r="B90" i="18"/>
  <c r="C40" i="18"/>
  <c r="C37" i="18"/>
  <c r="C254" i="18"/>
  <c r="C127" i="18"/>
  <c r="B216" i="16"/>
  <c r="C272" i="17"/>
  <c r="C251" i="17"/>
  <c r="B291" i="17"/>
  <c r="B133" i="17"/>
  <c r="B110" i="16"/>
  <c r="C284" i="17"/>
  <c r="C98" i="17"/>
  <c r="B36" i="17"/>
  <c r="B254" i="17"/>
  <c r="B190" i="17"/>
  <c r="B28" i="18"/>
  <c r="B25" i="18"/>
  <c r="B182" i="18"/>
  <c r="B42" i="18"/>
  <c r="C16" i="18"/>
  <c r="C13" i="17"/>
  <c r="B36" i="18"/>
  <c r="B295" i="18"/>
  <c r="C193" i="18"/>
  <c r="C119" i="18"/>
  <c r="B113" i="17"/>
  <c r="B213" i="18"/>
  <c r="C192" i="18"/>
  <c r="C118" i="18"/>
  <c r="C98" i="18"/>
  <c r="C195" i="18"/>
  <c r="C103" i="18"/>
  <c r="B14" i="17"/>
  <c r="B174" i="18"/>
  <c r="C120" i="18"/>
  <c r="C46" i="18"/>
  <c r="C178" i="18"/>
  <c r="B91" i="18"/>
  <c r="C237" i="18"/>
  <c r="C91" i="17"/>
  <c r="B268" i="18"/>
  <c r="B67" i="18"/>
  <c r="C213" i="18"/>
  <c r="C223" i="18"/>
  <c r="B268" i="17"/>
  <c r="B242" i="18"/>
  <c r="C181" i="18"/>
  <c r="B108" i="17"/>
  <c r="B292" i="18"/>
  <c r="B115" i="18"/>
  <c r="C225" i="18"/>
  <c r="C175" i="18"/>
  <c r="C250" i="17"/>
  <c r="B97" i="18"/>
  <c r="C174" i="18"/>
  <c r="C15" i="18"/>
  <c r="B24" i="18"/>
  <c r="B273" i="18"/>
  <c r="C189" i="18"/>
  <c r="C31" i="18"/>
  <c r="C47" i="14"/>
  <c r="B138" i="18"/>
  <c r="B163" i="13"/>
  <c r="B152" i="15"/>
  <c r="B148" i="14"/>
  <c r="C162" i="16"/>
  <c r="C161" i="17"/>
  <c r="B163" i="17"/>
  <c r="C142" i="18"/>
  <c r="B169" i="16"/>
  <c r="B151" i="13"/>
  <c r="C170" i="13"/>
  <c r="C157" i="14"/>
  <c r="B150" i="13"/>
  <c r="B280" i="13"/>
  <c r="C196" i="15"/>
  <c r="B15" i="15"/>
  <c r="B282" i="15"/>
  <c r="B205" i="14"/>
  <c r="C228" i="16"/>
  <c r="B295" i="16"/>
  <c r="C288" i="17"/>
  <c r="C60" i="16"/>
  <c r="B74" i="16"/>
  <c r="C283" i="17"/>
  <c r="C114" i="16"/>
  <c r="B48" i="16"/>
  <c r="C101" i="17"/>
  <c r="C278" i="16"/>
  <c r="B180" i="16"/>
  <c r="C254" i="16"/>
  <c r="B188" i="16"/>
  <c r="C113" i="17"/>
  <c r="B225" i="16"/>
  <c r="B260" i="17"/>
  <c r="B190" i="18"/>
  <c r="C99" i="18"/>
  <c r="B238" i="16"/>
  <c r="B270" i="17"/>
  <c r="B298" i="18"/>
  <c r="C238" i="18"/>
  <c r="B52" i="17"/>
  <c r="C89" i="16"/>
  <c r="B181" i="17"/>
  <c r="B205" i="18"/>
  <c r="C68" i="18"/>
  <c r="B46" i="16"/>
  <c r="C19" i="17"/>
  <c r="C285" i="17"/>
  <c r="B60" i="17"/>
  <c r="B244" i="17"/>
  <c r="B110" i="17"/>
  <c r="B20" i="18"/>
  <c r="B17" i="18"/>
  <c r="B229" i="18"/>
  <c r="B218" i="18"/>
  <c r="C72" i="18"/>
  <c r="C69" i="18"/>
  <c r="C297" i="18"/>
  <c r="C135" i="15"/>
  <c r="B70" i="16"/>
  <c r="C73" i="17"/>
  <c r="C114" i="17"/>
  <c r="B32" i="17"/>
  <c r="B197" i="17"/>
  <c r="B33" i="16"/>
  <c r="C77" i="17"/>
  <c r="C295" i="17"/>
  <c r="B68" i="17"/>
  <c r="B297" i="17"/>
  <c r="B245" i="17"/>
  <c r="B60" i="18"/>
  <c r="B57" i="18"/>
  <c r="B239" i="18"/>
  <c r="B106" i="18"/>
  <c r="C48" i="18"/>
  <c r="C191" i="17"/>
  <c r="B236" i="18"/>
  <c r="B179" i="18"/>
  <c r="C43" i="18"/>
  <c r="C199" i="18"/>
  <c r="B264" i="17"/>
  <c r="B293" i="18"/>
  <c r="C280" i="18"/>
  <c r="C206" i="18"/>
  <c r="C74" i="18"/>
  <c r="C79" i="18"/>
  <c r="C279" i="18"/>
  <c r="B256" i="17"/>
  <c r="B15" i="18"/>
  <c r="C204" i="18"/>
  <c r="C126" i="18"/>
  <c r="C130" i="18"/>
  <c r="C56" i="18"/>
  <c r="B122" i="18"/>
  <c r="C269" i="17"/>
  <c r="B65" i="18"/>
  <c r="B238" i="18"/>
  <c r="C83" i="18"/>
  <c r="C267" i="18"/>
  <c r="B78" i="17"/>
  <c r="C224" i="18"/>
  <c r="C86" i="18"/>
  <c r="B249" i="17"/>
  <c r="B85" i="18"/>
  <c r="B265" i="18"/>
  <c r="C107" i="18"/>
  <c r="C235" i="18"/>
  <c r="B135" i="17"/>
  <c r="B181" i="18"/>
  <c r="C283" i="18"/>
  <c r="C263" i="18"/>
  <c r="B228" i="18"/>
  <c r="B285" i="18"/>
  <c r="C27" i="18"/>
  <c r="C111" i="18"/>
  <c r="C47" i="13"/>
  <c r="B138" i="13"/>
  <c r="B140" i="14"/>
  <c r="B167" i="15"/>
  <c r="B154" i="15"/>
  <c r="C152" i="17"/>
  <c r="C143" i="16"/>
  <c r="B156" i="17"/>
  <c r="C162" i="18"/>
  <c r="B162" i="18"/>
  <c r="C156" i="13"/>
  <c r="C170" i="14"/>
  <c r="C155" i="13"/>
  <c r="C169" i="15"/>
  <c r="B141" i="16"/>
  <c r="C145" i="17"/>
  <c r="B158" i="17"/>
  <c r="C171" i="18"/>
  <c r="B164" i="18"/>
  <c r="B159" i="13"/>
  <c r="B161" i="13"/>
  <c r="C147" i="14"/>
  <c r="C155" i="15"/>
  <c r="C171" i="15"/>
  <c r="B143" i="16"/>
  <c r="B268" i="14"/>
  <c r="C247" i="14"/>
  <c r="C254" i="15"/>
  <c r="B47" i="16"/>
  <c r="B270" i="16"/>
  <c r="C93" i="16"/>
  <c r="B198" i="17"/>
  <c r="B214" i="17"/>
  <c r="C252" i="17"/>
  <c r="B289" i="16"/>
  <c r="B105" i="17"/>
  <c r="B31" i="18"/>
  <c r="C134" i="18"/>
  <c r="C274" i="17"/>
  <c r="C219" i="17"/>
  <c r="B97" i="17"/>
  <c r="B274" i="18"/>
  <c r="C96" i="18"/>
  <c r="B186" i="18"/>
  <c r="C218" i="18"/>
  <c r="C53" i="18"/>
  <c r="C123" i="18"/>
  <c r="C265" i="18"/>
  <c r="C247" i="18"/>
  <c r="C286" i="18"/>
  <c r="C253" i="18"/>
  <c r="C233" i="18"/>
  <c r="C163" i="13"/>
  <c r="B141" i="14"/>
  <c r="C148" i="17"/>
  <c r="C145" i="18"/>
  <c r="C163" i="17"/>
  <c r="B149" i="15"/>
  <c r="C139" i="16"/>
  <c r="C142" i="17"/>
  <c r="B167" i="18"/>
  <c r="C167" i="18"/>
  <c r="B139" i="16"/>
  <c r="C172" i="13"/>
  <c r="B164" i="15"/>
  <c r="C149" i="15"/>
  <c r="C148" i="14"/>
  <c r="C143" i="13"/>
  <c r="C140" i="14"/>
  <c r="B161" i="15"/>
  <c r="C170" i="16"/>
  <c r="C158" i="17"/>
  <c r="B154" i="18"/>
  <c r="C162" i="13"/>
  <c r="C149" i="16"/>
  <c r="B168" i="18"/>
  <c r="C151" i="14"/>
  <c r="C141" i="15"/>
  <c r="B142" i="14"/>
  <c r="C157" i="17"/>
  <c r="C158" i="18"/>
  <c r="B166" i="13"/>
  <c r="B150" i="16"/>
  <c r="B148" i="13"/>
  <c r="B169" i="15"/>
  <c r="B146" i="18"/>
  <c r="B149" i="17"/>
  <c r="C25" i="18"/>
  <c r="B130" i="18"/>
  <c r="B174" i="17"/>
  <c r="B207" i="15"/>
  <c r="B67" i="17"/>
  <c r="C80" i="18"/>
  <c r="C45" i="18"/>
  <c r="C214" i="18"/>
  <c r="B281" i="18"/>
  <c r="C278" i="18"/>
  <c r="C191" i="18"/>
  <c r="B146" i="15"/>
  <c r="B155" i="17"/>
  <c r="C151" i="16"/>
  <c r="B155" i="16"/>
  <c r="B156" i="16"/>
  <c r="C160" i="14"/>
  <c r="C152" i="16"/>
  <c r="C169" i="14"/>
  <c r="C160" i="15"/>
  <c r="C167" i="17"/>
  <c r="B163" i="15"/>
  <c r="C157" i="13"/>
  <c r="B171" i="15"/>
  <c r="B147" i="15"/>
  <c r="B164" i="17"/>
  <c r="C146" i="16"/>
  <c r="B155" i="13"/>
  <c r="C144" i="16"/>
  <c r="C150" i="16"/>
  <c r="B150" i="18"/>
  <c r="B159" i="18"/>
  <c r="C26" i="18"/>
  <c r="C172" i="16"/>
  <c r="C152" i="14"/>
  <c r="B160" i="15"/>
  <c r="B171" i="17"/>
  <c r="B144" i="14"/>
  <c r="B160" i="16"/>
  <c r="C171" i="16"/>
  <c r="C161" i="16"/>
  <c r="C298" i="15"/>
  <c r="B126" i="16"/>
  <c r="C132" i="17"/>
  <c r="C297" i="17"/>
  <c r="B54" i="16"/>
  <c r="B61" i="15"/>
  <c r="B241" i="16"/>
  <c r="C196" i="17"/>
  <c r="C70" i="17"/>
  <c r="B118" i="16"/>
  <c r="B50" i="18"/>
  <c r="B194" i="18"/>
  <c r="B38" i="17"/>
  <c r="C22" i="17"/>
  <c r="B234" i="17"/>
  <c r="B19" i="18"/>
  <c r="C122" i="16"/>
  <c r="B96" i="17"/>
  <c r="B127" i="17"/>
  <c r="B124" i="18"/>
  <c r="C112" i="18"/>
  <c r="C22" i="18"/>
  <c r="C97" i="18"/>
  <c r="C90" i="18"/>
  <c r="C277" i="18"/>
  <c r="B236" i="17"/>
  <c r="C241" i="18"/>
  <c r="B118" i="17"/>
  <c r="C42" i="18"/>
  <c r="C63" i="17"/>
  <c r="C246" i="18"/>
  <c r="C143" i="15"/>
  <c r="C159" i="17"/>
  <c r="B147" i="18"/>
  <c r="C146" i="18"/>
  <c r="B153" i="14"/>
  <c r="C166" i="13"/>
  <c r="C165" i="16"/>
  <c r="C150" i="17"/>
  <c r="B142" i="17"/>
  <c r="B153" i="17"/>
  <c r="B140" i="17"/>
  <c r="B169" i="14"/>
  <c r="C164" i="16"/>
  <c r="C145" i="16"/>
  <c r="C171" i="14"/>
  <c r="C145" i="13"/>
  <c r="C144" i="15"/>
  <c r="B139" i="13"/>
  <c r="C155" i="16"/>
  <c r="B142" i="18"/>
  <c r="C141" i="18"/>
  <c r="C149" i="13"/>
  <c r="B160" i="18"/>
  <c r="B157" i="13"/>
  <c r="B142" i="13"/>
  <c r="B151" i="15"/>
  <c r="C171" i="13"/>
  <c r="C169" i="16"/>
  <c r="B152" i="16"/>
  <c r="B163" i="18"/>
  <c r="B143" i="15"/>
  <c r="C154" i="17"/>
  <c r="C162" i="17"/>
  <c r="B170" i="13"/>
  <c r="B145" i="14"/>
  <c r="C165" i="14"/>
  <c r="C141" i="16"/>
  <c r="C167" i="15"/>
  <c r="B160" i="17"/>
  <c r="C155" i="18"/>
  <c r="B162" i="13"/>
  <c r="C138" i="15"/>
  <c r="C26" i="17"/>
  <c r="C25" i="13"/>
  <c r="C221" i="18"/>
  <c r="B144" i="13"/>
  <c r="B159" i="15"/>
  <c r="C152" i="18"/>
  <c r="B148" i="15"/>
  <c r="B151" i="18"/>
  <c r="B145" i="15"/>
  <c r="B140" i="13"/>
  <c r="B151" i="17"/>
  <c r="C158" i="15"/>
  <c r="C165" i="13"/>
  <c r="B158" i="14"/>
  <c r="C150" i="13"/>
  <c r="C146" i="13"/>
  <c r="C164" i="17"/>
  <c r="C170" i="18"/>
  <c r="B224" i="14"/>
  <c r="C109" i="17"/>
  <c r="C260" i="18"/>
  <c r="B81" i="18"/>
  <c r="B34" i="16"/>
  <c r="B117" i="18"/>
  <c r="B34" i="18"/>
  <c r="C275" i="18"/>
  <c r="C88" i="18"/>
  <c r="C159" i="15"/>
  <c r="C151" i="18"/>
  <c r="C163" i="15"/>
  <c r="B152" i="14"/>
  <c r="C141" i="17"/>
  <c r="B167" i="14"/>
  <c r="B148" i="16"/>
  <c r="B147" i="13"/>
  <c r="C147" i="17"/>
  <c r="C138" i="13"/>
  <c r="B277" i="15"/>
  <c r="B272" i="15"/>
  <c r="B55" i="17"/>
  <c r="C180" i="16"/>
  <c r="C30" i="17"/>
  <c r="C23" i="18"/>
  <c r="B120" i="16"/>
  <c r="B94" i="18"/>
  <c r="C253" i="17"/>
  <c r="B52" i="18"/>
  <c r="C104" i="18"/>
  <c r="B293" i="16"/>
  <c r="B30" i="15"/>
  <c r="B100" i="17"/>
  <c r="B89" i="18"/>
  <c r="B227" i="17"/>
  <c r="C251" i="18"/>
  <c r="C271" i="18"/>
  <c r="B98" i="17"/>
  <c r="C106" i="18"/>
  <c r="B22" i="18"/>
  <c r="B298" i="17"/>
  <c r="B70" i="18"/>
  <c r="B265" i="17"/>
  <c r="B21" i="18"/>
  <c r="C47" i="15"/>
  <c r="C152" i="13"/>
  <c r="C166" i="16"/>
  <c r="C168" i="18"/>
  <c r="C161" i="18"/>
  <c r="B169" i="13"/>
  <c r="C146" i="15"/>
  <c r="B153" i="16"/>
  <c r="B154" i="16"/>
  <c r="B171" i="18"/>
  <c r="C143" i="17"/>
  <c r="C145" i="14"/>
  <c r="C148" i="13"/>
  <c r="B139" i="15"/>
  <c r="B145" i="16"/>
  <c r="C168" i="13"/>
  <c r="C155" i="14"/>
  <c r="C157" i="15"/>
  <c r="C172" i="15"/>
  <c r="C157" i="16"/>
  <c r="C153" i="18"/>
  <c r="C140" i="18"/>
  <c r="C158" i="14"/>
  <c r="B158" i="18"/>
  <c r="C167" i="14"/>
  <c r="B172" i="13"/>
  <c r="B157" i="15"/>
  <c r="B163" i="14"/>
  <c r="B172" i="16"/>
  <c r="C172" i="17"/>
  <c r="C149" i="18"/>
  <c r="C159" i="14"/>
  <c r="B162" i="16"/>
  <c r="C142" i="16"/>
  <c r="C147" i="13"/>
  <c r="B162" i="15"/>
  <c r="C148" i="15"/>
  <c r="B171" i="16"/>
  <c r="C163" i="18"/>
  <c r="C154" i="16"/>
  <c r="C150" i="18"/>
  <c r="C146" i="14"/>
  <c r="C138" i="17"/>
  <c r="C26" i="14"/>
  <c r="B163" i="16"/>
  <c r="B159" i="17"/>
  <c r="C142" i="15"/>
  <c r="B146" i="14"/>
  <c r="C147" i="15"/>
  <c r="B147" i="17"/>
  <c r="B165" i="17"/>
  <c r="B161" i="17"/>
  <c r="C138" i="16"/>
  <c r="C64" i="18"/>
  <c r="C143" i="18"/>
  <c r="C140" i="13"/>
  <c r="C170" i="17"/>
  <c r="B146" i="13"/>
  <c r="C156" i="14"/>
  <c r="C166" i="17"/>
  <c r="C144" i="14"/>
  <c r="C163" i="16"/>
  <c r="B152" i="17"/>
  <c r="C157" i="18"/>
  <c r="B165" i="15"/>
  <c r="C146" i="17"/>
  <c r="C138" i="18"/>
  <c r="C24" i="16"/>
  <c r="C173" i="17"/>
  <c r="B233" i="17"/>
  <c r="B124" i="17"/>
  <c r="C133" i="18"/>
  <c r="B246" i="17"/>
  <c r="B18" i="17"/>
  <c r="C117" i="18"/>
  <c r="C236" i="18"/>
  <c r="B160" i="14"/>
  <c r="C149" i="17"/>
  <c r="C153" i="17"/>
  <c r="C140" i="16"/>
  <c r="C139" i="17"/>
  <c r="C142" i="13"/>
  <c r="C160" i="18"/>
  <c r="C142" i="14"/>
  <c r="C144" i="17"/>
  <c r="B242" i="15"/>
  <c r="B50" i="15"/>
  <c r="B87" i="17"/>
  <c r="C61" i="16"/>
  <c r="C94" i="17"/>
  <c r="C87" i="18"/>
  <c r="B281" i="16"/>
  <c r="B222" i="18"/>
  <c r="B59" i="17"/>
  <c r="B84" i="18"/>
  <c r="C136" i="18"/>
  <c r="B26" i="16"/>
  <c r="C32" i="16"/>
  <c r="B132" i="17"/>
  <c r="B121" i="18"/>
  <c r="B204" i="17"/>
  <c r="C294" i="18"/>
  <c r="C135" i="18"/>
  <c r="B68" i="18"/>
  <c r="C10" i="18"/>
  <c r="B198" i="18"/>
  <c r="B210" i="17"/>
  <c r="B234" i="18"/>
  <c r="B66" i="17"/>
  <c r="B105" i="18"/>
  <c r="C47" i="17"/>
  <c r="B170" i="14"/>
  <c r="C153" i="16"/>
  <c r="B153" i="18"/>
  <c r="C167" i="16"/>
  <c r="C153" i="14"/>
  <c r="C150" i="15"/>
  <c r="B170" i="16"/>
  <c r="C155" i="17"/>
  <c r="B144" i="17"/>
  <c r="C154" i="18"/>
  <c r="C164" i="13"/>
  <c r="C151" i="13"/>
  <c r="B154" i="14"/>
  <c r="B144" i="16"/>
  <c r="C143" i="14"/>
  <c r="C168" i="14"/>
  <c r="C151" i="15"/>
  <c r="B171" i="14"/>
  <c r="B140" i="16"/>
  <c r="B166" i="17"/>
  <c r="B149" i="18"/>
  <c r="B159" i="14"/>
  <c r="C169" i="18"/>
  <c r="B165" i="13"/>
  <c r="C154" i="14"/>
  <c r="B166" i="15"/>
  <c r="B158" i="16"/>
  <c r="B172" i="18"/>
  <c r="B154" i="17"/>
  <c r="B156" i="13"/>
  <c r="B147" i="14"/>
  <c r="C169" i="17"/>
  <c r="C165" i="15"/>
  <c r="C26" i="13"/>
  <c r="B291" i="18"/>
  <c r="C148" i="18"/>
  <c r="C139" i="14"/>
  <c r="C159" i="16"/>
  <c r="C145" i="15"/>
  <c r="B169" i="18"/>
  <c r="B149" i="14"/>
  <c r="B139" i="17"/>
  <c r="C159" i="18"/>
  <c r="B156" i="15"/>
  <c r="B165" i="18"/>
  <c r="B168" i="15"/>
  <c r="C242" i="17"/>
  <c r="C211" i="17"/>
  <c r="B47" i="18"/>
  <c r="C186" i="18"/>
  <c r="C128" i="18"/>
  <c r="B156" i="14"/>
  <c r="B160" i="13"/>
  <c r="B166" i="18"/>
  <c r="C169" i="13"/>
  <c r="B141" i="13"/>
  <c r="B139" i="18"/>
  <c r="B171" i="13"/>
  <c r="C25" i="16"/>
  <c r="C255" i="14"/>
  <c r="C278" i="17"/>
  <c r="C271" i="16"/>
  <c r="B38" i="16"/>
  <c r="C89" i="17"/>
  <c r="C236" i="17"/>
  <c r="B173" i="17"/>
  <c r="C196" i="18"/>
  <c r="B92" i="17"/>
  <c r="B49" i="18"/>
  <c r="C101" i="18"/>
  <c r="C27" i="17"/>
  <c r="B193" i="16"/>
  <c r="B129" i="17"/>
  <c r="B282" i="18"/>
  <c r="B33" i="18"/>
  <c r="B240" i="17"/>
  <c r="C295" i="18"/>
  <c r="B191" i="18"/>
  <c r="C13" i="18"/>
  <c r="C44" i="18"/>
  <c r="B86" i="18"/>
  <c r="B157" i="16"/>
  <c r="C150" i="14"/>
  <c r="B161" i="16"/>
  <c r="B140" i="15"/>
  <c r="C25" i="17"/>
  <c r="B102" i="16"/>
  <c r="B250" i="18"/>
  <c r="B142" i="15"/>
  <c r="C264" i="15"/>
  <c r="C253" i="16"/>
  <c r="B228" i="16"/>
  <c r="C192" i="16"/>
  <c r="B134" i="17"/>
  <c r="B86" i="17"/>
  <c r="C80" i="17"/>
  <c r="B277" i="16"/>
  <c r="B286" i="17"/>
  <c r="B271" i="18"/>
  <c r="C70" i="18"/>
  <c r="C66" i="17"/>
  <c r="C51" i="17"/>
  <c r="B288" i="17"/>
  <c r="B231" i="18"/>
  <c r="C12" i="18"/>
  <c r="B299" i="18"/>
  <c r="C273" i="18"/>
  <c r="C288" i="18"/>
  <c r="C77" i="18"/>
  <c r="C187" i="18"/>
  <c r="C183" i="18"/>
  <c r="C211" i="18"/>
  <c r="C231" i="18"/>
  <c r="C131" i="18"/>
  <c r="C154" i="13"/>
  <c r="C153" i="15"/>
  <c r="B170" i="15"/>
  <c r="C172" i="18"/>
  <c r="B172" i="15"/>
  <c r="B172" i="14"/>
  <c r="B142" i="16"/>
  <c r="C140" i="17"/>
  <c r="B152" i="18"/>
  <c r="B157" i="17"/>
  <c r="C171" i="17"/>
  <c r="C161" i="14"/>
  <c r="C161" i="15"/>
  <c r="C147" i="16"/>
  <c r="C160" i="13"/>
  <c r="C144" i="13"/>
  <c r="C159" i="13"/>
  <c r="B139" i="14"/>
  <c r="C154" i="15"/>
  <c r="B151" i="16"/>
  <c r="B148" i="18"/>
  <c r="C158" i="13"/>
  <c r="B164" i="16"/>
  <c r="B157" i="18"/>
  <c r="C141" i="13"/>
  <c r="C162" i="15"/>
  <c r="C166" i="14"/>
  <c r="B149" i="16"/>
  <c r="B159" i="16"/>
  <c r="C164" i="18"/>
  <c r="B172" i="17"/>
  <c r="C160" i="16"/>
  <c r="B149" i="13"/>
  <c r="B154" i="13"/>
  <c r="B167" i="13"/>
  <c r="C170" i="15"/>
  <c r="B155" i="14"/>
  <c r="B165" i="16"/>
  <c r="B144" i="18"/>
  <c r="B156" i="18"/>
  <c r="C156" i="18"/>
  <c r="B166" i="16"/>
  <c r="C26" i="16"/>
  <c r="C25" i="15"/>
  <c r="B145" i="18"/>
  <c r="B157" i="14"/>
  <c r="C153" i="13"/>
  <c r="C152" i="15"/>
  <c r="C165" i="17"/>
  <c r="B170" i="18"/>
  <c r="B148" i="17"/>
  <c r="C26" i="15"/>
  <c r="B283" i="18"/>
  <c r="B242" i="17"/>
  <c r="C179" i="17"/>
  <c r="B263" i="18"/>
  <c r="B64" i="17"/>
  <c r="B92" i="18"/>
  <c r="C243" i="18"/>
  <c r="C58" i="18"/>
  <c r="B44" i="17"/>
  <c r="B34" i="17"/>
  <c r="C269" i="18"/>
  <c r="B164" i="13"/>
  <c r="B141" i="18"/>
  <c r="B146" i="17"/>
  <c r="C168" i="16"/>
  <c r="B161" i="18"/>
  <c r="C147" i="18"/>
  <c r="C164" i="15"/>
  <c r="C161" i="13"/>
  <c r="C166" i="15"/>
  <c r="C160" i="17"/>
  <c r="C144" i="18"/>
  <c r="B141" i="15"/>
  <c r="C164" i="14"/>
  <c r="B150" i="14"/>
  <c r="B144" i="15"/>
  <c r="B153" i="13"/>
  <c r="B155" i="15"/>
  <c r="C163" i="14"/>
  <c r="C156" i="16"/>
  <c r="B167" i="17"/>
  <c r="B155" i="18"/>
  <c r="C25" i="14"/>
  <c r="C166" i="18"/>
  <c r="B165" i="14"/>
  <c r="B168" i="14"/>
  <c r="C156" i="15"/>
  <c r="B167" i="16"/>
  <c r="C167" i="13"/>
  <c r="C172" i="14"/>
  <c r="B162" i="17"/>
  <c r="C49" i="16"/>
  <c r="C49" i="15"/>
  <c r="C49" i="17"/>
  <c r="C49" i="13"/>
  <c r="C49" i="18"/>
  <c r="C54" i="14"/>
  <c r="C54" i="17"/>
  <c r="C54" i="15"/>
  <c r="C54" i="16"/>
  <c r="C54" i="13"/>
  <c r="C54" i="18"/>
  <c r="J64" i="13" l="1"/>
  <c r="I68" i="13"/>
  <c r="I66" i="13"/>
  <c r="H67" i="13"/>
  <c r="H67" i="14"/>
  <c r="I68" i="14"/>
  <c r="I66" i="14"/>
  <c r="J64" i="14"/>
  <c r="D5" i="17"/>
  <c r="D5" i="18"/>
  <c r="D5" i="15"/>
  <c r="D5" i="16"/>
  <c r="D5" i="13"/>
  <c r="D5" i="14"/>
  <c r="D5" i="2"/>
  <c r="D10" i="2" s="1"/>
  <c r="I67" i="13" l="1"/>
  <c r="K64" i="13"/>
  <c r="J68" i="13"/>
  <c r="J66" i="13"/>
  <c r="I67" i="14"/>
  <c r="J68" i="14"/>
  <c r="J66" i="14"/>
  <c r="K64" i="14"/>
  <c r="K68" i="13" l="1"/>
  <c r="K66" i="13"/>
  <c r="L64" i="13"/>
  <c r="J67" i="13"/>
  <c r="K68" i="14"/>
  <c r="K66" i="14"/>
  <c r="L64" i="14"/>
  <c r="J67" i="14"/>
  <c r="L68" i="13" l="1"/>
  <c r="M64" i="13"/>
  <c r="L66" i="13"/>
  <c r="K67" i="13"/>
  <c r="K67" i="14"/>
  <c r="L68" i="14"/>
  <c r="L66" i="14"/>
  <c r="M64" i="14"/>
  <c r="L67" i="13" l="1"/>
  <c r="M67" i="13"/>
  <c r="M68" i="13"/>
  <c r="M66" i="13"/>
  <c r="M68" i="14"/>
  <c r="M66" i="14"/>
  <c r="L67" i="14"/>
  <c r="M67" i="14"/>
</calcChain>
</file>

<file path=xl/sharedStrings.xml><?xml version="1.0" encoding="utf-8"?>
<sst xmlns="http://schemas.openxmlformats.org/spreadsheetml/2006/main" count="533" uniqueCount="251">
  <si>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</si>
  <si>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</si>
  <si>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</si>
  <si>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</si>
  <si>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</si>
  <si>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</si>
  <si>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</si>
  <si>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</si>
  <si>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</si>
  <si>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</si>
  <si>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</si>
  <si>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</si>
  <si>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</si>
  <si>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</si>
  <si>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</si>
  <si>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</si>
  <si>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</si>
  <si>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</si>
  <si>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</si>
  <si>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</si>
  <si>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</si>
  <si>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</si>
  <si>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</si>
  <si>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</si>
  <si>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</si>
  <si>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</si>
  <si>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</si>
  <si>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</si>
  <si>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</si>
  <si>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</si>
  <si>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</si>
  <si>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</si>
  <si>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</si>
  <si>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</si>
  <si>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</si>
  <si>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</si>
  <si>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</si>
  <si>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</si>
  <si>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</si>
  <si>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</si>
  <si>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</si>
  <si>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</si>
  <si>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</si>
  <si>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</si>
  <si>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</si>
  <si>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</si>
  <si>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</si>
  <si>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</si>
  <si>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</si>
  <si>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</si>
  <si>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</si>
  <si>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</si>
  <si>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</si>
  <si>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</si>
  <si>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</si>
  <si>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</si>
  <si>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</si>
  <si>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</si>
  <si>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</si>
  <si>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</si>
  <si>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</si>
  <si>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</si>
  <si>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</si>
  <si>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</si>
  <si>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</si>
  <si>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</si>
  <si>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</si>
  <si>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</si>
  <si>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</si>
  <si>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</si>
  <si>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</si>
  <si>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</si>
  <si>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</si>
  <si>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</si>
  <si>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</si>
  <si>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</si>
  <si>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</si>
  <si>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</si>
  <si>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</si>
  <si>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</si>
  <si>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</si>
  <si>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</si>
  <si>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</si>
  <si>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</si>
  <si>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</si>
  <si>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</si>
  <si>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</si>
  <si>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</si>
  <si>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</si>
  <si>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</si>
  <si>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</si>
  <si>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</si>
  <si>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</si>
  <si>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</si>
  <si>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</si>
  <si>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</si>
  <si>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</si>
  <si>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</si>
  <si>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</si>
  <si>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</si>
  <si>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</si>
  <si>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</si>
  <si>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</si>
  <si>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</si>
  <si>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</si>
  <si>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</si>
  <si>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</si>
  <si>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</si>
  <si>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</si>
  <si>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</si>
  <si>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</si>
  <si>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</si>
  <si>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</si>
  <si>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</si>
  <si>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</si>
  <si>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</si>
  <si>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</si>
  <si>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</si>
  <si>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</si>
  <si>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</si>
  <si>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</si>
  <si>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</si>
  <si>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</si>
  <si>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</si>
  <si>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</si>
  <si>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</si>
  <si>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</si>
  <si>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</si>
  <si>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</si>
  <si>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</si>
  <si>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</si>
  <si>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</si>
  <si>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</si>
  <si>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</si>
  <si>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</si>
  <si>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</si>
  <si>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</si>
  <si>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</si>
  <si>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</si>
  <si>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</si>
  <si>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</si>
  <si>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</si>
  <si>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</si>
  <si>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</si>
  <si>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</si>
  <si>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</si>
  <si>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</si>
  <si>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</si>
  <si>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</si>
  <si>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</si>
  <si>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</si>
  <si>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</si>
  <si>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</si>
  <si>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</si>
  <si>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</si>
  <si>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</si>
  <si>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</si>
  <si>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</si>
  <si>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</si>
  <si>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</si>
  <si>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</si>
  <si>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</si>
  <si>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</si>
  <si>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</si>
  <si>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</si>
  <si>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</si>
  <si>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</si>
  <si>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</si>
  <si>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</si>
  <si>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</si>
  <si>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</si>
  <si>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</si>
  <si>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generic_abs</t>
  </si>
  <si>
    <t>generic_nylon</t>
  </si>
  <si>
    <t>generic_pp</t>
  </si>
  <si>
    <t>generic_tpu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</si>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</sst>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C23"/>
  <sheetViews>
    <sheetView workbookViewId="0">
      <selection activeCell="B29" sqref="B29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8" max="8" width="17.28515625" bestFit="1" customWidth="1"/>
  </cols>
  <sheetData>
    <row r="1" spans="1:3" ht="15.75" thickBot="1" x14ac:dyDescent="0.3">
      <c r="A1" s="21" t="s">
        <v>8</v>
      </c>
      <c r="B1" s="22" t="s">
        <v>9</v>
      </c>
      <c r="C1" s="22" t="s">
        <v>14</v>
      </c>
    </row>
    <row r="2" spans="1:3" ht="15.75" thickTop="1" x14ac:dyDescent="0.25">
      <c r="A2" s="23" t="s">
        <v>7</v>
      </c>
      <c r="B2" s="24">
        <v>0.6</v>
      </c>
      <c r="C2" s="3"/>
    </row>
    <row r="3" spans="1:3" x14ac:dyDescent="0.25">
      <c r="A3" s="4" t="s">
        <v>10</v>
      </c>
      <c r="B3" s="5" t="s">
        <v>40</v>
      </c>
      <c r="C3" s="5"/>
    </row>
    <row r="4" spans="1:3" x14ac:dyDescent="0.25">
      <c r="A4" s="4" t="s">
        <v>39</v>
      </c>
      <c r="B4" s="5" t="s">
        <v>25</v>
      </c>
      <c r="C4" s="5"/>
    </row>
    <row r="5" spans="1:3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</row>
    <row r="6" spans="1:3" x14ac:dyDescent="0.25">
      <c r="A6" s="7" t="s">
        <v>38</v>
      </c>
      <c r="B6" s="25" t="str">
        <f>LOWER(SUBSTITUTE(SUBSTITUTE(Printer_Name," ","_"),".","_"))</f>
        <v>ender3_speed_0_6mm_nozzle</v>
      </c>
      <c r="C6" s="2"/>
    </row>
    <row r="7" spans="1:3" x14ac:dyDescent="0.25">
      <c r="A7" s="4" t="s">
        <v>11</v>
      </c>
      <c r="B7" s="5">
        <f>Nozzle_Diameter*0.2</f>
        <v>0.12</v>
      </c>
      <c r="C7" s="5"/>
    </row>
    <row r="8" spans="1:3" x14ac:dyDescent="0.25">
      <c r="A8" s="7" t="s">
        <v>12</v>
      </c>
      <c r="B8" s="2">
        <f>Nozzle_Diameter*0.8</f>
        <v>0.48</v>
      </c>
      <c r="C8" s="2"/>
    </row>
    <row r="9" spans="1:3" x14ac:dyDescent="0.25">
      <c r="A9" s="7" t="s">
        <v>35</v>
      </c>
      <c r="B9" s="2" t="s">
        <v>5</v>
      </c>
      <c r="C9" s="2"/>
    </row>
    <row r="10" spans="1:3" x14ac:dyDescent="0.25">
      <c r="A10" s="7" t="s">
        <v>37</v>
      </c>
      <c r="B10" s="2">
        <v>500</v>
      </c>
      <c r="C10" s="2"/>
    </row>
    <row r="11" spans="1:3" x14ac:dyDescent="0.25">
      <c r="A11" s="4" t="s">
        <v>243</v>
      </c>
      <c r="B11" s="5" t="s">
        <v>247</v>
      </c>
      <c r="C11" s="5"/>
    </row>
    <row r="12" spans="1:3" x14ac:dyDescent="0.25">
      <c r="A12" s="7"/>
      <c r="B12" s="2" t="s">
        <v>248</v>
      </c>
      <c r="C12" s="2"/>
    </row>
    <row r="13" spans="1:3" x14ac:dyDescent="0.25">
      <c r="A13" s="4"/>
      <c r="B13" s="5"/>
      <c r="C13" s="5"/>
    </row>
    <row r="14" spans="1:3" x14ac:dyDescent="0.25">
      <c r="A14" s="7"/>
      <c r="B14" s="2"/>
      <c r="C14" s="2"/>
    </row>
    <row r="15" spans="1:3" x14ac:dyDescent="0.25">
      <c r="A15" s="4"/>
      <c r="B15" s="5"/>
      <c r="C15" s="5"/>
    </row>
    <row r="16" spans="1:3" x14ac:dyDescent="0.25">
      <c r="A16" s="7"/>
      <c r="B16" s="2"/>
      <c r="C16" s="2"/>
    </row>
    <row r="17" spans="1:3" x14ac:dyDescent="0.25">
      <c r="A17" s="4"/>
      <c r="B17" s="5"/>
      <c r="C17" s="5"/>
    </row>
    <row r="18" spans="1:3" x14ac:dyDescent="0.25">
      <c r="A18" s="7"/>
      <c r="B18" s="2"/>
      <c r="C18" s="2"/>
    </row>
    <row r="19" spans="1:3" x14ac:dyDescent="0.25">
      <c r="A19" s="4"/>
      <c r="B19" s="5"/>
      <c r="C19" s="5"/>
    </row>
    <row r="22" spans="1:3" x14ac:dyDescent="0.25">
      <c r="B22" s="5" t="s">
        <v>247</v>
      </c>
    </row>
    <row r="23" spans="1:3" x14ac:dyDescent="0.25">
      <c r="B23" s="2" t="s">
        <v>248</v>
      </c>
    </row>
  </sheetData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tabSelected="1" workbookViewId="0">
      <selection activeCell="B3" sqref="B3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241</v>
      </c>
      <c r="B2" s="47" t="s">
        <v>249</v>
      </c>
      <c r="C2" s="47"/>
    </row>
    <row r="3" spans="1:3" ht="195" x14ac:dyDescent="0.25">
      <c r="A3" t="s">
        <v>242</v>
      </c>
      <c r="B3" s="47" t="s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6"/>
  <sheetViews>
    <sheetView workbookViewId="0">
      <pane ySplit="1" topLeftCell="A62" activePane="bottomLeft" state="frozen"/>
      <selection pane="bottomLeft" activeCell="C91" sqref="C91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38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5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.75" thickTop="1" x14ac:dyDescent="0.25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25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25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25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25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25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25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25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25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25">
      <c r="A11" s="38"/>
      <c r="B11" s="15"/>
      <c r="C11" s="15" t="s">
        <v>183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25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25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25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25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25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25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25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25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25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25">
      <c r="A21" s="38"/>
      <c r="B21" s="15"/>
      <c r="C21" s="15" t="s">
        <v>184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25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25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25">
      <c r="A24" s="39"/>
      <c r="B24" s="12"/>
      <c r="C24" s="12" t="s">
        <v>185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25">
      <c r="A25" s="38"/>
      <c r="B25" s="15"/>
      <c r="C25" s="15" t="s">
        <v>245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25">
      <c r="A26" s="39"/>
      <c r="B26" s="12"/>
      <c r="C26" s="12" t="s">
        <v>186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25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25">
      <c r="A28" s="39"/>
      <c r="B28" s="12"/>
      <c r="C28" s="12" t="s">
        <v>187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25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25">
      <c r="A30" s="39"/>
      <c r="B30" s="12"/>
      <c r="C30" s="12" t="s">
        <v>188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25">
      <c r="A31" s="38"/>
      <c r="B31" s="15"/>
      <c r="C31" s="15" t="s">
        <v>189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25">
      <c r="A32" s="39"/>
      <c r="B32" s="12"/>
      <c r="C32" s="12" t="s">
        <v>177</v>
      </c>
      <c r="D32" s="13" t="s">
        <v>178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25">
      <c r="A33" s="38"/>
      <c r="B33" s="15"/>
      <c r="C33" s="15" t="s">
        <v>190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25">
      <c r="A34" s="39"/>
      <c r="B34" s="12"/>
      <c r="C34" s="12" t="s">
        <v>191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25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25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25">
      <c r="A37" s="38"/>
      <c r="B37" s="16"/>
      <c r="C37" s="15" t="s">
        <v>192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25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25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25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25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25">
      <c r="A42" s="39"/>
      <c r="B42" s="12"/>
      <c r="C42" s="28" t="s">
        <v>193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25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25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25">
      <c r="A45" s="38"/>
      <c r="B45" s="15"/>
      <c r="C45" s="15" t="s">
        <v>194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25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25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25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25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25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25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25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25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25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25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25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25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25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25">
      <c r="A59" s="38"/>
      <c r="B59" s="15"/>
      <c r="C59" s="15" t="s">
        <v>195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25">
      <c r="A60" s="39"/>
      <c r="B60" s="12"/>
      <c r="C60" s="12" t="s">
        <v>196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25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25">
      <c r="A62" s="39"/>
      <c r="B62" s="12" t="s">
        <v>25</v>
      </c>
      <c r="C62" s="12" t="s">
        <v>74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</row>
    <row r="63" spans="1:15" x14ac:dyDescent="0.25">
      <c r="A63" s="38"/>
      <c r="B63" s="15"/>
      <c r="C63" s="15" t="s">
        <v>75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</row>
    <row r="64" spans="1:15" x14ac:dyDescent="0.25">
      <c r="A64" s="39"/>
      <c r="B64" s="12"/>
      <c r="C64" s="12" t="s">
        <v>76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25">
      <c r="A65" s="38"/>
      <c r="B65" s="15"/>
      <c r="C65" s="15" t="s">
        <v>77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</row>
    <row r="66" spans="1:15" x14ac:dyDescent="0.25">
      <c r="A66" s="39"/>
      <c r="B66" s="28"/>
      <c r="C66" s="28" t="s">
        <v>78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25">
      <c r="A67" s="38"/>
      <c r="B67" s="15"/>
      <c r="C67" s="15" t="s">
        <v>79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7"/>
      <c r="O67" s="26"/>
    </row>
    <row r="68" spans="1:15" x14ac:dyDescent="0.25">
      <c r="A68" s="39"/>
      <c r="B68" s="12"/>
      <c r="C68" s="12" t="s">
        <v>80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40"/>
      <c r="O68" s="26"/>
    </row>
    <row r="69" spans="1:15" x14ac:dyDescent="0.25">
      <c r="A69" s="38"/>
      <c r="B69" s="15"/>
      <c r="C69" s="15" t="s">
        <v>81</v>
      </c>
      <c r="D69" s="16">
        <v>120</v>
      </c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</row>
    <row r="70" spans="1:15" x14ac:dyDescent="0.25">
      <c r="A70" s="39"/>
      <c r="B70" s="12"/>
      <c r="C70" s="12" t="s">
        <v>82</v>
      </c>
      <c r="D70" s="13">
        <v>30</v>
      </c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</row>
    <row r="71" spans="1:15" x14ac:dyDescent="0.25">
      <c r="A71" s="38"/>
      <c r="B71" s="15"/>
      <c r="C71" s="15" t="s">
        <v>197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25">
      <c r="A72" s="39"/>
      <c r="B72" s="12"/>
      <c r="C72" s="28" t="s">
        <v>198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25">
      <c r="A73" s="38"/>
      <c r="B73" s="15"/>
      <c r="C73" s="15" t="s">
        <v>83</v>
      </c>
      <c r="D73" s="16">
        <v>2</v>
      </c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25">
      <c r="A74" s="39"/>
      <c r="B74" s="12"/>
      <c r="C74" s="28" t="s">
        <v>125</v>
      </c>
      <c r="D74" s="13" t="str">
        <f>"False"</f>
        <v>False</v>
      </c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25">
      <c r="A75" s="38"/>
      <c r="B75" s="15"/>
      <c r="C75" s="15" t="s">
        <v>84</v>
      </c>
      <c r="D75" s="16" t="str">
        <f>"True"</f>
        <v>True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25">
      <c r="A76" s="39"/>
      <c r="B76" s="12"/>
      <c r="C76" s="12" t="s">
        <v>85</v>
      </c>
      <c r="D76" s="13">
        <v>500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25">
      <c r="A77" s="38"/>
      <c r="B77" s="15"/>
      <c r="C77" s="15" t="s">
        <v>86</v>
      </c>
      <c r="D77" s="16">
        <v>500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25">
      <c r="A78" s="39"/>
      <c r="B78" s="12"/>
      <c r="C78" s="12" t="s">
        <v>87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25">
      <c r="A79" s="38"/>
      <c r="B79" s="15"/>
      <c r="C79" s="15" t="s">
        <v>88</v>
      </c>
      <c r="D79" s="16" t="str">
        <f>"False"</f>
        <v>False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25">
      <c r="A80" s="39"/>
      <c r="B80" s="12"/>
      <c r="C80" s="12" t="s">
        <v>89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25">
      <c r="A81" s="38"/>
      <c r="B81" s="15"/>
      <c r="C81" s="15" t="s">
        <v>199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25">
      <c r="A82" s="39"/>
      <c r="B82" s="12"/>
      <c r="C82" s="12" t="s">
        <v>200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25">
      <c r="A83" s="38"/>
      <c r="B83" s="15" t="s">
        <v>90</v>
      </c>
      <c r="C83" s="15" t="s">
        <v>91</v>
      </c>
      <c r="D83" s="16" t="str">
        <f>"Off"</f>
        <v>Off</v>
      </c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25">
      <c r="A84" s="39"/>
      <c r="B84" s="12"/>
      <c r="C84" s="12" t="s">
        <v>92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25">
      <c r="A85" s="38"/>
      <c r="B85" s="15"/>
      <c r="C85" s="15" t="s">
        <v>93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25">
      <c r="A86" s="39"/>
      <c r="B86" s="12"/>
      <c r="C86" s="12" t="s">
        <v>201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25">
      <c r="A87" s="38"/>
      <c r="B87" s="15"/>
      <c r="C87" s="15" t="s">
        <v>202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25">
      <c r="A88" s="39"/>
      <c r="B88" s="12"/>
      <c r="C88" s="12" t="s">
        <v>203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25">
      <c r="A89" s="38"/>
      <c r="B89" s="15"/>
      <c r="C89" s="15" t="s">
        <v>94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25">
      <c r="A90" s="39"/>
      <c r="B90" s="12"/>
      <c r="C90" s="12" t="s">
        <v>204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25">
      <c r="A91" s="38"/>
      <c r="B91" s="15"/>
      <c r="C91" s="15" t="s">
        <v>95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25">
      <c r="A92" s="39"/>
      <c r="B92" s="12" t="s">
        <v>36</v>
      </c>
      <c r="C92" s="12" t="s">
        <v>96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25">
      <c r="A93" s="38"/>
      <c r="B93" s="15"/>
      <c r="C93" s="15" t="s">
        <v>97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25">
      <c r="A94" s="39"/>
      <c r="B94" s="12"/>
      <c r="C94" s="12" t="s">
        <v>98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25">
      <c r="A95" s="38"/>
      <c r="B95" s="15"/>
      <c r="C95" s="15" t="s">
        <v>99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25">
      <c r="A96" s="39"/>
      <c r="B96" s="12"/>
      <c r="C96" s="12" t="s">
        <v>100</v>
      </c>
      <c r="D96" s="13">
        <v>15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25">
      <c r="A97" s="38"/>
      <c r="B97" s="15"/>
      <c r="C97" s="15" t="s">
        <v>205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25">
      <c r="A98" s="39"/>
      <c r="B98" s="12"/>
      <c r="C98" s="12" t="s">
        <v>101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25">
      <c r="A99" s="38"/>
      <c r="B99" s="15"/>
      <c r="C99" s="15" t="s">
        <v>126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25">
      <c r="A100" s="39"/>
      <c r="B100" s="12"/>
      <c r="C100" s="12" t="s">
        <v>102</v>
      </c>
      <c r="D100" s="13">
        <v>5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25">
      <c r="A101" s="38"/>
      <c r="B101" s="15"/>
      <c r="C101" s="15" t="s">
        <v>103</v>
      </c>
      <c r="D101" s="16">
        <v>15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25">
      <c r="A102" s="39"/>
      <c r="B102" s="12"/>
      <c r="C102" s="12" t="s">
        <v>104</v>
      </c>
      <c r="D102" s="13" t="str">
        <f>"False"</f>
        <v>False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25">
      <c r="A103" s="38"/>
      <c r="B103" s="15" t="s">
        <v>105</v>
      </c>
      <c r="C103" s="15" t="s">
        <v>106</v>
      </c>
      <c r="D103" s="16" t="str">
        <f>"False"</f>
        <v>False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25">
      <c r="A104" s="39"/>
      <c r="B104" s="12"/>
      <c r="C104" s="12" t="s">
        <v>107</v>
      </c>
      <c r="D104" s="13" t="s">
        <v>108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25">
      <c r="A105" s="38"/>
      <c r="B105" s="15"/>
      <c r="C105" s="15" t="s">
        <v>109</v>
      </c>
      <c r="D105" s="16">
        <v>60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25">
      <c r="A106" s="39"/>
      <c r="B106" s="12"/>
      <c r="C106" s="12" t="s">
        <v>206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25">
      <c r="A107" s="38"/>
      <c r="B107" s="15"/>
      <c r="C107" s="15" t="s">
        <v>207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25">
      <c r="A108" s="39"/>
      <c r="B108" s="12"/>
      <c r="C108" s="12" t="s">
        <v>208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25">
      <c r="A109" s="38"/>
      <c r="B109" s="5"/>
      <c r="C109" s="5" t="s">
        <v>110</v>
      </c>
      <c r="D109" s="6">
        <v>12</v>
      </c>
      <c r="E109" s="5"/>
      <c r="F109" s="5"/>
      <c r="G109" s="5"/>
      <c r="H109" s="5"/>
      <c r="I109" s="5"/>
      <c r="J109" s="5"/>
      <c r="K109" s="5"/>
      <c r="L109" s="5"/>
      <c r="M109" s="5"/>
      <c r="N109" s="41"/>
      <c r="O109" s="26"/>
    </row>
    <row r="110" spans="1:15" x14ac:dyDescent="0.25">
      <c r="A110" s="39"/>
      <c r="B110" s="2"/>
      <c r="C110" s="2" t="s">
        <v>111</v>
      </c>
      <c r="D110" s="8" t="str">
        <f>"True"</f>
        <v>True</v>
      </c>
      <c r="E110" s="2"/>
      <c r="F110" s="2"/>
      <c r="G110" s="2"/>
      <c r="H110" s="2"/>
      <c r="I110" s="2"/>
      <c r="J110" s="2"/>
      <c r="K110" s="2"/>
      <c r="L110" s="2"/>
      <c r="M110" s="2"/>
      <c r="N110" s="42"/>
      <c r="O110" s="26"/>
    </row>
    <row r="111" spans="1:15" x14ac:dyDescent="0.25">
      <c r="A111" s="38"/>
      <c r="B111" s="5"/>
      <c r="C111" s="5" t="s">
        <v>112</v>
      </c>
      <c r="D111" s="6" t="str">
        <f>"=support_line_width * 6.0"</f>
        <v>=support_line_width * 6.0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25">
      <c r="A112" s="39"/>
      <c r="B112" s="2"/>
      <c r="C112" s="2" t="s">
        <v>116</v>
      </c>
      <c r="D112" s="8">
        <v>0.2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25">
      <c r="A113" s="38"/>
      <c r="B113" s="5"/>
      <c r="C113" s="5" t="s">
        <v>117</v>
      </c>
      <c r="D113" s="6">
        <v>0.8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25">
      <c r="A114" s="39"/>
      <c r="B114" s="2"/>
      <c r="C114" s="2" t="s">
        <v>118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25">
      <c r="A115" s="38"/>
      <c r="B115" s="5"/>
      <c r="C115" s="5" t="s">
        <v>209</v>
      </c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25">
      <c r="A116" s="39"/>
      <c r="B116" s="2"/>
      <c r="C116" s="2" t="s">
        <v>210</v>
      </c>
      <c r="D116" s="8"/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25">
      <c r="A117" s="38"/>
      <c r="B117" s="5"/>
      <c r="C117" s="5" t="s">
        <v>211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25">
      <c r="A118" s="39"/>
      <c r="B118" s="2"/>
      <c r="C118" s="2" t="s">
        <v>212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25">
      <c r="A119" s="38"/>
      <c r="B119" s="5"/>
      <c r="C119" s="5" t="s">
        <v>119</v>
      </c>
      <c r="D119" s="6" t="str">
        <f>"True"</f>
        <v>True</v>
      </c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25">
      <c r="A120" s="39"/>
      <c r="B120" s="2"/>
      <c r="C120" s="2" t="s">
        <v>213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25">
      <c r="A121" s="38"/>
      <c r="B121" s="5"/>
      <c r="C121" s="5" t="s">
        <v>120</v>
      </c>
      <c r="D121" s="6">
        <v>80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25">
      <c r="A122" s="39"/>
      <c r="B122" s="2"/>
      <c r="C122" s="2" t="s">
        <v>121</v>
      </c>
      <c r="D122" s="8">
        <v>0.5</v>
      </c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25">
      <c r="A123" s="38"/>
      <c r="B123" s="5"/>
      <c r="C123" s="5" t="s">
        <v>122</v>
      </c>
      <c r="D123" s="6">
        <v>0.5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25">
      <c r="A124" s="39"/>
      <c r="B124" s="2"/>
      <c r="C124" s="2" t="s">
        <v>214</v>
      </c>
      <c r="D124" s="8"/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25">
      <c r="A125" s="38"/>
      <c r="B125" s="5"/>
      <c r="C125" s="5" t="s">
        <v>215</v>
      </c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25">
      <c r="A126" s="39"/>
      <c r="B126" s="2"/>
      <c r="C126" s="2" t="s">
        <v>216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25">
      <c r="A127" s="38"/>
      <c r="B127" s="5"/>
      <c r="C127" s="5" t="s">
        <v>217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25">
      <c r="A128" s="39"/>
      <c r="B128" s="2"/>
      <c r="C128" s="2" t="s">
        <v>218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25">
      <c r="A129" s="38"/>
      <c r="B129" s="5"/>
      <c r="C129" s="5" t="s">
        <v>114</v>
      </c>
      <c r="D129" s="6" t="str">
        <f>"False"</f>
        <v>False</v>
      </c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25">
      <c r="A130" s="39"/>
      <c r="B130" s="2" t="s">
        <v>127</v>
      </c>
      <c r="C130" s="2" t="s">
        <v>128</v>
      </c>
      <c r="D130" s="8" t="s">
        <v>135</v>
      </c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25">
      <c r="A131" s="38"/>
      <c r="B131" s="5"/>
      <c r="C131" s="5" t="s">
        <v>129</v>
      </c>
      <c r="D131" s="6">
        <v>3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25">
      <c r="A132" s="39"/>
      <c r="B132" s="2"/>
      <c r="C132" s="2" t="s">
        <v>130</v>
      </c>
      <c r="D132" s="8">
        <v>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25">
      <c r="A133" s="38"/>
      <c r="B133" s="5"/>
      <c r="C133" s="5" t="s">
        <v>219</v>
      </c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25">
      <c r="A134" s="39"/>
      <c r="B134" s="2"/>
      <c r="C134" s="2" t="s">
        <v>1</v>
      </c>
      <c r="D134" s="8" t="str">
        <f>"=wall_line_width * 5.0"</f>
        <v>=wall_line_width * 5.0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25">
      <c r="A135" s="38"/>
      <c r="B135" s="5"/>
      <c r="C135" s="5" t="s">
        <v>176</v>
      </c>
      <c r="D135" s="6">
        <v>3</v>
      </c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25">
      <c r="A136" s="39"/>
      <c r="B136" s="2"/>
      <c r="C136" s="2" t="s">
        <v>220</v>
      </c>
      <c r="D136" s="8"/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25">
      <c r="A137" s="38"/>
      <c r="B137" s="5"/>
      <c r="C137" s="5" t="s">
        <v>131</v>
      </c>
      <c r="D137" s="6" t="s">
        <v>179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25">
      <c r="A138" s="39"/>
      <c r="B138" s="2"/>
      <c r="C138" s="2" t="s">
        <v>244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25">
      <c r="A139" s="38"/>
      <c r="B139" s="5" t="s">
        <v>132</v>
      </c>
      <c r="C139" s="5" t="s">
        <v>123</v>
      </c>
      <c r="D139" s="6" t="s">
        <v>179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25">
      <c r="A140" s="39"/>
      <c r="B140" s="2" t="s">
        <v>133</v>
      </c>
      <c r="C140" s="2" t="s">
        <v>115</v>
      </c>
      <c r="D140" s="8" t="s">
        <v>180</v>
      </c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25">
      <c r="A141" s="38"/>
      <c r="B141" s="5"/>
      <c r="C141" s="5" t="s">
        <v>113</v>
      </c>
      <c r="D141" s="6">
        <v>0.2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25">
      <c r="A142" s="39"/>
      <c r="B142" s="2"/>
      <c r="C142" s="2" t="s">
        <v>221</v>
      </c>
      <c r="D142" s="8"/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25">
      <c r="A143" s="38"/>
      <c r="B143" s="5"/>
      <c r="C143" s="5" t="s">
        <v>222</v>
      </c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25">
      <c r="A144" s="39"/>
      <c r="B144" s="2"/>
      <c r="C144" s="2" t="s">
        <v>223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25">
      <c r="A145" s="38"/>
      <c r="B145" s="5"/>
      <c r="C145" s="5" t="s">
        <v>134</v>
      </c>
      <c r="D145" s="6" t="s">
        <v>179</v>
      </c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25">
      <c r="A146" s="39"/>
      <c r="B146" s="2"/>
      <c r="C146" s="2" t="s">
        <v>124</v>
      </c>
      <c r="D146" s="8" t="s">
        <v>179</v>
      </c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25">
      <c r="A147" s="38"/>
      <c r="B147" s="5"/>
      <c r="C147" s="5" t="s">
        <v>224</v>
      </c>
      <c r="D147" s="6" t="str">
        <f>"False"</f>
        <v>False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25">
      <c r="A148" s="39"/>
      <c r="B148" s="2"/>
      <c r="C148" s="2" t="s">
        <v>225</v>
      </c>
      <c r="D148" s="8" t="str">
        <f>"False"</f>
        <v>False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25">
      <c r="A149" s="38"/>
      <c r="B149" s="5"/>
      <c r="C149" s="5" t="s">
        <v>136</v>
      </c>
      <c r="D149" s="6" t="s">
        <v>180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25">
      <c r="A150" s="39"/>
      <c r="B150" s="2"/>
      <c r="C150" s="2" t="s">
        <v>137</v>
      </c>
      <c r="D150" s="8" t="s">
        <v>182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25">
      <c r="A151" s="38"/>
      <c r="B151" s="5"/>
      <c r="C151" s="5" t="s">
        <v>138</v>
      </c>
      <c r="D151" s="6" t="s">
        <v>181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25">
      <c r="A152" s="39"/>
      <c r="B152" s="2"/>
      <c r="C152" s="2" t="s">
        <v>139</v>
      </c>
      <c r="D152" s="8" t="s">
        <v>179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25">
      <c r="A153" s="38"/>
      <c r="B153" s="5"/>
      <c r="C153" s="5" t="s">
        <v>226</v>
      </c>
      <c r="D153" s="6" t="str">
        <f>"False"</f>
        <v>False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25">
      <c r="A154" s="39"/>
      <c r="B154" s="2"/>
      <c r="C154" s="2" t="s">
        <v>227</v>
      </c>
      <c r="D154" s="8" t="str">
        <f>"False"</f>
        <v>False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25">
      <c r="A155" s="38"/>
      <c r="B155" s="5"/>
      <c r="C155" s="5" t="s">
        <v>228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25">
      <c r="A156" s="39"/>
      <c r="B156" s="2"/>
      <c r="C156" s="2" t="s">
        <v>229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25">
      <c r="A157" s="38"/>
      <c r="B157" s="5"/>
      <c r="C157" s="5" t="s">
        <v>140</v>
      </c>
      <c r="D157" s="6" t="s">
        <v>180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25">
      <c r="A158" s="39"/>
      <c r="B158" s="2"/>
      <c r="C158" s="2" t="s">
        <v>141</v>
      </c>
      <c r="D158" s="8">
        <v>0.08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25">
      <c r="A159" s="38"/>
      <c r="B159" s="5"/>
      <c r="C159" s="5" t="s">
        <v>142</v>
      </c>
      <c r="D159" s="6">
        <v>0.04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25">
      <c r="A160" s="39"/>
      <c r="B160" s="2"/>
      <c r="C160" s="2" t="s">
        <v>230</v>
      </c>
      <c r="D160" s="8"/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25">
      <c r="A161" s="38"/>
      <c r="B161" s="5"/>
      <c r="C161" s="5" t="s">
        <v>231</v>
      </c>
      <c r="D161" s="6"/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25">
      <c r="A162" s="39"/>
      <c r="B162" s="2"/>
      <c r="C162" s="2" t="s">
        <v>143</v>
      </c>
      <c r="D162" s="8" t="s">
        <v>179</v>
      </c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25">
      <c r="A163" s="38"/>
      <c r="B163" s="5"/>
      <c r="C163" s="5" t="s">
        <v>232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25">
      <c r="A164" s="39"/>
      <c r="B164" s="2"/>
      <c r="C164" s="2" t="s">
        <v>233</v>
      </c>
      <c r="D164" s="8"/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25">
      <c r="A165" s="38"/>
      <c r="B165" s="5"/>
      <c r="C165" s="5" t="s">
        <v>234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25">
      <c r="A166" s="39"/>
      <c r="B166" s="2"/>
      <c r="C166" s="2" t="s">
        <v>235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25">
      <c r="A167" s="38"/>
      <c r="B167" s="5"/>
      <c r="C167" s="5" t="s">
        <v>236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25">
      <c r="A168" s="39"/>
      <c r="B168" s="2"/>
      <c r="C168" s="2" t="s">
        <v>237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25">
      <c r="A169" s="38"/>
      <c r="B169" s="5"/>
      <c r="C169" s="5" t="s">
        <v>238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25">
      <c r="A170" s="39"/>
      <c r="B170" s="2"/>
      <c r="C170" s="2" t="s">
        <v>239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25">
      <c r="A171" s="38"/>
      <c r="B171" s="5"/>
      <c r="C171" s="5" t="s">
        <v>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25">
      <c r="A172" s="39"/>
      <c r="B172" s="2"/>
      <c r="C172" s="2" t="s">
        <v>240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25">
      <c r="A173" s="38"/>
      <c r="B173" s="5"/>
      <c r="C173" s="5" t="s">
        <v>246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25">
      <c r="A174" s="39"/>
      <c r="B174" s="2"/>
      <c r="C174" s="2"/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25">
      <c r="A175" s="38"/>
      <c r="B175" s="5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25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25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25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25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25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25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25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25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25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25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25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25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25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25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25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25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25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25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25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25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25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25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25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25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25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25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25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25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25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25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25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25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25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25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25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25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25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25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25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25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25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25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25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25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25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25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25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25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25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25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25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25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25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25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25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25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25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25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25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25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25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25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25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25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25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25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25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25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25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25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25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25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25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25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25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25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25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25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25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25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25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25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25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25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25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25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25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25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25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25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25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25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25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25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25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25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25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25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25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25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25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25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25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25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25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25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25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25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25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25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25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25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25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25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25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25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25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25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25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25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25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25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25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25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25">
      <c r="A300" s="43"/>
      <c r="B300" s="44"/>
      <c r="C300" s="44"/>
      <c r="D300" s="45"/>
      <c r="E300" s="44"/>
      <c r="F300" s="44"/>
      <c r="G300" s="44"/>
      <c r="H300" s="44"/>
      <c r="I300" s="44"/>
      <c r="J300" s="44"/>
      <c r="K300" s="44"/>
      <c r="L300" s="44"/>
      <c r="M300" s="44"/>
      <c r="N300" s="46"/>
      <c r="O300" s="26"/>
    </row>
    <row r="301" spans="1:15" x14ac:dyDescent="0.25">
      <c r="A301" s="26"/>
      <c r="B301" s="26"/>
      <c r="C301" s="26"/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</row>
    <row r="302" spans="1:15" x14ac:dyDescent="0.25">
      <c r="A302" s="26"/>
      <c r="B302" s="26"/>
      <c r="C302" s="26"/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x14ac:dyDescent="0.25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25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25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25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25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25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25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25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25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25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25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25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25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25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25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25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25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25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25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25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25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25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25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49DE-5639-4A31-8A9D-F02D0BF0E1DC}">
  <sheetPr codeName="Sheet10"/>
  <dimension ref="A1:N300"/>
  <sheetViews>
    <sheetView workbookViewId="0">
      <pane ySplit="1" topLeftCell="A140" activePane="bottomLeft" state="frozen"/>
      <selection pane="bottomLeft" activeCell="D167" sqref="D16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175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4792-70C8-4E02-9271-456C6F925755}">
  <sheetPr codeName="Sheet9"/>
  <dimension ref="A1:N303"/>
  <sheetViews>
    <sheetView workbookViewId="0">
      <pane ySplit="1" topLeftCell="A23" activePane="bottomLeft" state="frozen"/>
      <selection pane="bottomLeft" activeCell="D50" sqref="D5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174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  <row r="301" spans="1:14" x14ac:dyDescent="0.25"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</row>
    <row r="302" spans="1:14" x14ac:dyDescent="0.25"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</row>
    <row r="303" spans="1:14" x14ac:dyDescent="0.25"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DCC-A35C-4A63-9AE0-FF32FD756C77}">
  <sheetPr codeName="Sheet8"/>
  <dimension ref="A1:N300"/>
  <sheetViews>
    <sheetView workbookViewId="0">
      <pane ySplit="1" topLeftCell="A26" activePane="bottomLeft" state="frozen"/>
      <selection pane="bottomLeft" activeCell="D61" sqref="D61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173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EF7E-7324-4771-BD0B-D7B3FA8EF628}">
  <sheetPr codeName="Sheet7"/>
  <dimension ref="A1:AG300"/>
  <sheetViews>
    <sheetView workbookViewId="0">
      <pane ySplit="1" topLeftCell="A26" activePane="bottomLeft" state="frozen"/>
      <selection pane="bottomLeft" activeCell="D58" sqref="D58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33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33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25">
      <c r="A9" s="31"/>
      <c r="B9" s="29"/>
      <c r="C9" s="29" t="s">
        <v>169</v>
      </c>
      <c r="D9" s="16" t="s">
        <v>172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90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33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90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</row>
    <row r="50" spans="1:33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</row>
    <row r="51" spans="1:33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</row>
    <row r="52" spans="1:33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</row>
    <row r="53" spans="1:33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</row>
    <row r="54" spans="1:33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3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</row>
    <row r="56" spans="1:33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</row>
    <row r="57" spans="1:33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</row>
    <row r="58" spans="1:33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</row>
    <row r="59" spans="1:33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</row>
    <row r="60" spans="1:33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</row>
    <row r="61" spans="1:33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</row>
    <row r="62" spans="1:33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</row>
    <row r="63" spans="1:33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3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</row>
    <row r="65" spans="1:33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</row>
    <row r="66" spans="1:33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</row>
    <row r="67" spans="1:33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</row>
    <row r="68" spans="1:33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</row>
    <row r="69" spans="1:33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</row>
    <row r="70" spans="1:33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</row>
    <row r="71" spans="1:33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</row>
    <row r="72" spans="1:33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3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</row>
    <row r="74" spans="1:33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</row>
    <row r="75" spans="1:33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</row>
    <row r="76" spans="1:33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</row>
    <row r="77" spans="1:33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</row>
    <row r="78" spans="1:33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</row>
    <row r="79" spans="1:33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</row>
    <row r="80" spans="1:33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3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</row>
    <row r="82" spans="1:33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</row>
    <row r="83" spans="1:33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</row>
    <row r="84" spans="1:33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</row>
    <row r="85" spans="1:33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</row>
    <row r="86" spans="1:33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</row>
    <row r="87" spans="1:33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</row>
    <row r="88" spans="1:33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</row>
    <row r="89" spans="1:33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3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</row>
    <row r="91" spans="1:33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</row>
    <row r="92" spans="1:33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</row>
    <row r="93" spans="1:33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</row>
    <row r="94" spans="1:33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</row>
    <row r="95" spans="1:33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</row>
    <row r="96" spans="1:33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</row>
    <row r="97" spans="1:33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</row>
    <row r="98" spans="1:33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3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</row>
    <row r="100" spans="1:33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</row>
    <row r="101" spans="1:33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</row>
    <row r="102" spans="1:33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</row>
    <row r="103" spans="1:33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</row>
    <row r="104" spans="1:33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</row>
    <row r="105" spans="1:33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</row>
    <row r="106" spans="1:33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</row>
    <row r="107" spans="1:33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</row>
    <row r="108" spans="1:33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3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</row>
    <row r="110" spans="1:33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3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</row>
    <row r="112" spans="1:33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</row>
    <row r="113" spans="1:33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</row>
    <row r="114" spans="1:33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3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</row>
    <row r="116" spans="1:33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</row>
    <row r="117" spans="1:33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</row>
    <row r="118" spans="1:33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</row>
    <row r="119" spans="1:33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</row>
    <row r="120" spans="1:33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</row>
    <row r="121" spans="1:33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</row>
    <row r="122" spans="1:33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</row>
    <row r="123" spans="1:33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3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</row>
    <row r="125" spans="1:33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</row>
    <row r="126" spans="1:33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</row>
    <row r="127" spans="1:33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</row>
    <row r="128" spans="1:33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</row>
    <row r="129" spans="1:33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</row>
    <row r="130" spans="1:33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</row>
    <row r="131" spans="1:33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</row>
    <row r="132" spans="1:33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3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</row>
    <row r="134" spans="1:33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</row>
    <row r="135" spans="1:33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</row>
    <row r="136" spans="1:33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</row>
    <row r="137" spans="1:33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</row>
    <row r="138" spans="1:33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</row>
    <row r="139" spans="1:33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</row>
    <row r="140" spans="1:33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3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</row>
    <row r="142" spans="1:33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</row>
    <row r="143" spans="1:33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</row>
    <row r="144" spans="1:33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</row>
    <row r="145" spans="1:33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</row>
    <row r="146" spans="1:33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</row>
    <row r="147" spans="1:33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</row>
    <row r="148" spans="1:33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3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</row>
    <row r="150" spans="1:33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</row>
    <row r="151" spans="1:33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</row>
    <row r="152" spans="1:33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</row>
    <row r="153" spans="1:33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</row>
    <row r="154" spans="1:33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</row>
    <row r="155" spans="1:33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</row>
    <row r="156" spans="1:33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</row>
    <row r="157" spans="1:33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</row>
    <row r="158" spans="1:33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3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</row>
    <row r="160" spans="1:33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</row>
    <row r="161" spans="1:33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</row>
    <row r="162" spans="1:33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</row>
    <row r="163" spans="1:33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</row>
    <row r="164" spans="1:33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</row>
    <row r="165" spans="1:33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</row>
    <row r="166" spans="1:33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</row>
    <row r="167" spans="1:33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3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</row>
    <row r="169" spans="1:33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</row>
    <row r="170" spans="1:33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</row>
    <row r="171" spans="1:33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</row>
    <row r="172" spans="1:33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</row>
    <row r="173" spans="1:33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</row>
    <row r="174" spans="1:33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</row>
    <row r="175" spans="1:33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</row>
    <row r="176" spans="1:33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3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</row>
    <row r="178" spans="1:33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</row>
    <row r="179" spans="1:33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</row>
    <row r="180" spans="1:33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</row>
    <row r="181" spans="1:33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</row>
    <row r="182" spans="1:33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</row>
    <row r="183" spans="1:33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</row>
    <row r="184" spans="1:33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</row>
    <row r="185" spans="1:33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3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</row>
    <row r="187" spans="1:33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</row>
    <row r="188" spans="1:33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</row>
    <row r="189" spans="1:33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</row>
    <row r="190" spans="1:33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</row>
    <row r="191" spans="1:33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</row>
    <row r="192" spans="1:33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</row>
    <row r="193" spans="1:33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</row>
    <row r="194" spans="1:33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3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</row>
    <row r="196" spans="1:33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</row>
    <row r="197" spans="1:33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</row>
    <row r="198" spans="1:33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</row>
    <row r="199" spans="1:33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</row>
    <row r="200" spans="1:33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</row>
    <row r="201" spans="1:33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</row>
    <row r="202" spans="1:33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3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</row>
    <row r="204" spans="1:33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</row>
    <row r="205" spans="1:33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</row>
    <row r="206" spans="1:33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</row>
    <row r="207" spans="1:33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</row>
    <row r="208" spans="1:33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</row>
    <row r="209" spans="1:33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</row>
    <row r="210" spans="1:33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</row>
    <row r="211" spans="1:33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</row>
    <row r="212" spans="1:33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3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</row>
    <row r="214" spans="1:33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</row>
    <row r="215" spans="1:33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</row>
    <row r="216" spans="1:33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</row>
    <row r="217" spans="1:33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</row>
    <row r="218" spans="1:33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</row>
    <row r="219" spans="1:33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</row>
    <row r="220" spans="1:33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</row>
    <row r="221" spans="1:33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3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</row>
    <row r="223" spans="1:33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</row>
    <row r="224" spans="1:33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</row>
    <row r="225" spans="1:33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</row>
    <row r="226" spans="1:33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</row>
    <row r="227" spans="1:33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</row>
    <row r="228" spans="1:33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</row>
    <row r="229" spans="1:33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</row>
    <row r="230" spans="1:33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3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</row>
    <row r="232" spans="1:33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</row>
    <row r="233" spans="1:33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</row>
    <row r="234" spans="1:33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</row>
    <row r="235" spans="1:33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</row>
    <row r="236" spans="1:33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</row>
    <row r="237" spans="1:33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</row>
    <row r="238" spans="1:33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</row>
    <row r="239" spans="1:33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3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</row>
    <row r="241" spans="1:33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</row>
    <row r="242" spans="1:33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</row>
    <row r="243" spans="1:33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</row>
    <row r="244" spans="1:33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</row>
    <row r="245" spans="1:33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</row>
    <row r="246" spans="1:33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</row>
    <row r="247" spans="1:33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</row>
    <row r="248" spans="1:33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3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</row>
    <row r="250" spans="1:33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</row>
    <row r="251" spans="1:33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</row>
    <row r="252" spans="1:33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</row>
    <row r="253" spans="1:33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</row>
    <row r="254" spans="1:33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</row>
    <row r="255" spans="1:33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</row>
    <row r="256" spans="1:33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</row>
    <row r="257" spans="1:33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</row>
    <row r="258" spans="1:33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3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</row>
    <row r="260" spans="1:33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3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</row>
    <row r="262" spans="1:33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</row>
    <row r="263" spans="1:33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</row>
    <row r="264" spans="1:33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</row>
    <row r="265" spans="1:33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3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</row>
    <row r="267" spans="1:33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</row>
    <row r="268" spans="1:33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</row>
    <row r="269" spans="1:33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</row>
    <row r="270" spans="1:33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</row>
    <row r="271" spans="1:33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</row>
    <row r="272" spans="1:33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</row>
    <row r="273" spans="1:33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</row>
    <row r="274" spans="1:33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3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</row>
    <row r="276" spans="1:33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</row>
    <row r="277" spans="1:33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</row>
    <row r="278" spans="1:33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</row>
    <row r="279" spans="1:33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</row>
    <row r="280" spans="1:33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</row>
    <row r="281" spans="1:33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</row>
    <row r="282" spans="1:33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</row>
    <row r="283" spans="1:33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3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</row>
    <row r="285" spans="1:33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</row>
    <row r="286" spans="1:33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</row>
    <row r="287" spans="1:33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</row>
    <row r="288" spans="1:33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</row>
    <row r="289" spans="1:33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</row>
    <row r="290" spans="1:33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</row>
    <row r="291" spans="1:33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3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</row>
    <row r="293" spans="1:33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</row>
    <row r="294" spans="1:33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</row>
    <row r="295" spans="1:33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</row>
    <row r="296" spans="1:33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</row>
    <row r="297" spans="1:33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</row>
    <row r="298" spans="1:33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3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</row>
    <row r="300" spans="1:33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0"/>
  <sheetViews>
    <sheetView workbookViewId="0">
      <pane ySplit="1" topLeftCell="A59" activePane="bottomLeft" state="frozen"/>
      <selection pane="bottomLeft" activeCell="D92" sqref="D92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4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E64-5</f>
        <v>55</v>
      </c>
      <c r="F65" s="15">
        <f t="shared" ref="F65:M65" si="2">F64-5</f>
        <v>50</v>
      </c>
      <c r="G65" s="15">
        <f t="shared" si="2"/>
        <v>45</v>
      </c>
      <c r="H65" s="15">
        <f t="shared" si="2"/>
        <v>40</v>
      </c>
      <c r="I65" s="15">
        <f t="shared" si="2"/>
        <v>35</v>
      </c>
      <c r="J65" s="15">
        <f t="shared" si="2"/>
        <v>30</v>
      </c>
      <c r="K65" s="15">
        <f t="shared" si="2"/>
        <v>25</v>
      </c>
      <c r="L65" s="15">
        <f t="shared" si="2"/>
        <v>25</v>
      </c>
      <c r="M65" s="15">
        <f t="shared" si="2"/>
        <v>20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3">E64</f>
        <v>60</v>
      </c>
      <c r="F66" s="12">
        <f t="shared" si="3"/>
        <v>55</v>
      </c>
      <c r="G66" s="12">
        <f t="shared" si="3"/>
        <v>50</v>
      </c>
      <c r="H66" s="12">
        <f t="shared" si="3"/>
        <v>45</v>
      </c>
      <c r="I66" s="12">
        <f t="shared" si="3"/>
        <v>40</v>
      </c>
      <c r="J66" s="12">
        <f t="shared" si="3"/>
        <v>35</v>
      </c>
      <c r="K66" s="12">
        <f t="shared" si="3"/>
        <v>30</v>
      </c>
      <c r="L66" s="12">
        <f t="shared" si="3"/>
        <v>30</v>
      </c>
      <c r="M66" s="12">
        <f t="shared" si="3"/>
        <v>25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3"/>
        <v>55</v>
      </c>
      <c r="F67" s="15">
        <f t="shared" si="3"/>
        <v>50</v>
      </c>
      <c r="G67" s="15">
        <f t="shared" si="3"/>
        <v>45</v>
      </c>
      <c r="H67" s="15">
        <f t="shared" si="3"/>
        <v>40</v>
      </c>
      <c r="I67" s="15">
        <f t="shared" si="3"/>
        <v>35</v>
      </c>
      <c r="J67" s="15">
        <f t="shared" si="3"/>
        <v>30</v>
      </c>
      <c r="K67" s="15">
        <f t="shared" si="3"/>
        <v>25</v>
      </c>
      <c r="L67" s="15">
        <f t="shared" si="3"/>
        <v>25</v>
      </c>
      <c r="M67" s="15">
        <f t="shared" si="3"/>
        <v>20</v>
      </c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4">E64</f>
        <v>60</v>
      </c>
      <c r="F68" s="12">
        <f t="shared" si="4"/>
        <v>55</v>
      </c>
      <c r="G68" s="12">
        <f t="shared" si="4"/>
        <v>50</v>
      </c>
      <c r="H68" s="12">
        <f t="shared" si="4"/>
        <v>45</v>
      </c>
      <c r="I68" s="12">
        <f t="shared" si="4"/>
        <v>40</v>
      </c>
      <c r="J68" s="12">
        <f t="shared" si="4"/>
        <v>35</v>
      </c>
      <c r="K68" s="12">
        <f t="shared" si="4"/>
        <v>30</v>
      </c>
      <c r="L68" s="12">
        <f t="shared" si="4"/>
        <v>30</v>
      </c>
      <c r="M68" s="12">
        <f t="shared" si="4"/>
        <v>25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>
        <v>0.4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50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30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>
        <v>3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0.08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0.08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0"/>
  <sheetViews>
    <sheetView workbookViewId="0">
      <pane ySplit="1" topLeftCell="A56" activePane="bottomLeft" state="frozen"/>
      <selection pane="bottomLeft" activeCell="D92" sqref="D92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179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179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4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E64-5</f>
        <v>55</v>
      </c>
      <c r="F65" s="15">
        <f t="shared" ref="F65:M65" si="2">F64-5</f>
        <v>50</v>
      </c>
      <c r="G65" s="15">
        <f t="shared" si="2"/>
        <v>45</v>
      </c>
      <c r="H65" s="15">
        <f t="shared" si="2"/>
        <v>40</v>
      </c>
      <c r="I65" s="15">
        <f t="shared" si="2"/>
        <v>35</v>
      </c>
      <c r="J65" s="15">
        <f t="shared" si="2"/>
        <v>30</v>
      </c>
      <c r="K65" s="15">
        <f t="shared" si="2"/>
        <v>25</v>
      </c>
      <c r="L65" s="15">
        <f t="shared" si="2"/>
        <v>25</v>
      </c>
      <c r="M65" s="15">
        <f t="shared" si="2"/>
        <v>20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3">E64</f>
        <v>60</v>
      </c>
      <c r="F66" s="12">
        <f t="shared" si="3"/>
        <v>55</v>
      </c>
      <c r="G66" s="12">
        <f t="shared" si="3"/>
        <v>50</v>
      </c>
      <c r="H66" s="12">
        <f t="shared" si="3"/>
        <v>45</v>
      </c>
      <c r="I66" s="12">
        <f t="shared" si="3"/>
        <v>40</v>
      </c>
      <c r="J66" s="12">
        <f t="shared" si="3"/>
        <v>35</v>
      </c>
      <c r="K66" s="12">
        <f t="shared" si="3"/>
        <v>30</v>
      </c>
      <c r="L66" s="12">
        <f t="shared" si="3"/>
        <v>30</v>
      </c>
      <c r="M66" s="12">
        <f t="shared" si="3"/>
        <v>25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3"/>
        <v>55</v>
      </c>
      <c r="F67" s="15">
        <f t="shared" si="3"/>
        <v>50</v>
      </c>
      <c r="G67" s="15">
        <f t="shared" si="3"/>
        <v>45</v>
      </c>
      <c r="H67" s="15">
        <f t="shared" si="3"/>
        <v>40</v>
      </c>
      <c r="I67" s="15">
        <f t="shared" si="3"/>
        <v>35</v>
      </c>
      <c r="J67" s="15">
        <f t="shared" si="3"/>
        <v>30</v>
      </c>
      <c r="K67" s="15">
        <f t="shared" si="3"/>
        <v>25</v>
      </c>
      <c r="L67" s="15">
        <f t="shared" si="3"/>
        <v>25</v>
      </c>
      <c r="M67" s="15">
        <f t="shared" si="3"/>
        <v>20</v>
      </c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4">E64</f>
        <v>60</v>
      </c>
      <c r="F68" s="12">
        <f t="shared" si="4"/>
        <v>55</v>
      </c>
      <c r="G68" s="12">
        <f t="shared" si="4"/>
        <v>50</v>
      </c>
      <c r="H68" s="12">
        <f t="shared" si="4"/>
        <v>45</v>
      </c>
      <c r="I68" s="12">
        <f t="shared" si="4"/>
        <v>40</v>
      </c>
      <c r="J68" s="12">
        <f t="shared" si="4"/>
        <v>35</v>
      </c>
      <c r="K68" s="12">
        <f t="shared" si="4"/>
        <v>30</v>
      </c>
      <c r="L68" s="12">
        <f t="shared" si="4"/>
        <v>30</v>
      </c>
      <c r="M68" s="12">
        <f t="shared" si="4"/>
        <v>25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>
        <v>0.4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100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100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>
        <v>2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0.03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spec</vt:lpstr>
      <vt:lpstr>printer</vt:lpstr>
      <vt:lpstr>quality</vt:lpstr>
      <vt:lpstr>#filament_TPU</vt:lpstr>
      <vt:lpstr>#filament_PP</vt:lpstr>
      <vt:lpstr>#filament_Nylon</vt:lpstr>
      <vt:lpstr>#filament_ABS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2019-04-26T23:02:04Z</dcterms:modified>
</cp:coreProperties>
</file>