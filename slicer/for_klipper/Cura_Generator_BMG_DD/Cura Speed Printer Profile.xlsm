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3DPrint\slicer\for_klipper\Cura_Generator_BMG_DD\"/>
    </mc:Choice>
  </mc:AlternateContent>
  <xr:revisionPtr revIDLastSave="0" documentId="13_ncr:1_{390AEFB6-640D-4651-94A3-3D6E7ACF5CED}" xr6:coauthVersionLast="44" xr6:coauthVersionMax="44" xr10:uidLastSave="{00000000-0000-0000-0000-000000000000}"/>
  <bookViews>
    <workbookView xWindow="-108" yWindow="-108" windowWidth="30936" windowHeight="16920" activeTab="3" xr2:uid="{E8DF9499-C68D-4AF3-B2AA-BB8266EB0F5B}"/>
  </bookViews>
  <sheets>
    <sheet name="spec" sheetId="6" r:id="rId1"/>
    <sheet name="printer" sheetId="19" r:id="rId2"/>
    <sheet name="quality" sheetId="2" r:id="rId3"/>
    <sheet name="filament_PETG" sheetId="14" r:id="rId4"/>
    <sheet name="filament_PLA" sheetId="13" r:id="rId5"/>
  </sheets>
  <functionGroups builtInGroupCount="19"/>
  <definedNames>
    <definedName name="APPDATA_FOLDER">spec!$B$14</definedName>
    <definedName name="FILAMENT_NAME">spec!$B$9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eterial_Thickness">spec!$B$12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SpeedType">spec!$B$11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2" i="14" l="1"/>
  <c r="D76" i="2"/>
  <c r="D44" i="2"/>
  <c r="D125" i="2"/>
  <c r="D124" i="2"/>
  <c r="D116" i="2"/>
  <c r="D115" i="2"/>
  <c r="G62" i="14"/>
  <c r="G114" i="2"/>
  <c r="H114" i="2"/>
  <c r="I114" i="2"/>
  <c r="J114" i="2"/>
  <c r="K114" i="2"/>
  <c r="L114" i="2"/>
  <c r="M114" i="2"/>
  <c r="E114" i="2"/>
  <c r="F114" i="2"/>
  <c r="E64" i="14"/>
  <c r="F70" i="13"/>
  <c r="J70" i="13"/>
  <c r="G70" i="13"/>
  <c r="K70" i="13"/>
  <c r="H70" i="13"/>
  <c r="L70" i="13"/>
  <c r="I70" i="13"/>
  <c r="M70" i="13"/>
  <c r="F69" i="13"/>
  <c r="J69" i="13"/>
  <c r="G69" i="13"/>
  <c r="K69" i="13"/>
  <c r="H69" i="13"/>
  <c r="L69" i="13"/>
  <c r="I69" i="13"/>
  <c r="M69" i="13"/>
  <c r="F68" i="13"/>
  <c r="J68" i="13"/>
  <c r="H68" i="13"/>
  <c r="L68" i="13"/>
  <c r="I68" i="13"/>
  <c r="M68" i="13"/>
  <c r="G68" i="13"/>
  <c r="K68" i="13"/>
  <c r="F67" i="13"/>
  <c r="J67" i="13"/>
  <c r="G67" i="13"/>
  <c r="K67" i="13"/>
  <c r="H67" i="13"/>
  <c r="L67" i="13"/>
  <c r="I67" i="13"/>
  <c r="M67" i="13"/>
  <c r="F66" i="13"/>
  <c r="J66" i="13"/>
  <c r="G66" i="13"/>
  <c r="K66" i="13"/>
  <c r="H66" i="13"/>
  <c r="L66" i="13"/>
  <c r="I66" i="13"/>
  <c r="M66" i="13"/>
  <c r="F65" i="13"/>
  <c r="J65" i="13"/>
  <c r="G65" i="13"/>
  <c r="K65" i="13"/>
  <c r="H65" i="13"/>
  <c r="L65" i="13"/>
  <c r="I65" i="13"/>
  <c r="M65" i="13"/>
  <c r="H64" i="13"/>
  <c r="L64" i="13"/>
  <c r="F64" i="13"/>
  <c r="J64" i="13"/>
  <c r="K64" i="13"/>
  <c r="I64" i="13"/>
  <c r="M64" i="13"/>
  <c r="G64" i="13"/>
  <c r="E65" i="13"/>
  <c r="E69" i="13"/>
  <c r="E66" i="13"/>
  <c r="E70" i="13"/>
  <c r="E67" i="13"/>
  <c r="E68" i="13"/>
  <c r="E64" i="13"/>
  <c r="F70" i="14"/>
  <c r="J70" i="14"/>
  <c r="G70" i="14"/>
  <c r="H70" i="14"/>
  <c r="L70" i="14"/>
  <c r="I70" i="14"/>
  <c r="M70" i="14"/>
  <c r="K70" i="14"/>
  <c r="F69" i="14"/>
  <c r="J69" i="14"/>
  <c r="G69" i="14"/>
  <c r="K69" i="14"/>
  <c r="H69" i="14"/>
  <c r="L69" i="14"/>
  <c r="I69" i="14"/>
  <c r="M69" i="14"/>
  <c r="F68" i="14"/>
  <c r="J68" i="14"/>
  <c r="G68" i="14"/>
  <c r="K68" i="14"/>
  <c r="H68" i="14"/>
  <c r="L68" i="14"/>
  <c r="I68" i="14"/>
  <c r="M68" i="14"/>
  <c r="F67" i="14"/>
  <c r="J67" i="14"/>
  <c r="G67" i="14"/>
  <c r="K67" i="14"/>
  <c r="H67" i="14"/>
  <c r="L67" i="14"/>
  <c r="I67" i="14"/>
  <c r="M67" i="14"/>
  <c r="F66" i="14"/>
  <c r="J66" i="14"/>
  <c r="G66" i="14"/>
  <c r="K66" i="14"/>
  <c r="H66" i="14"/>
  <c r="L66" i="14"/>
  <c r="I66" i="14"/>
  <c r="M66" i="14"/>
  <c r="F65" i="14"/>
  <c r="J65" i="14"/>
  <c r="G65" i="14"/>
  <c r="K65" i="14"/>
  <c r="H65" i="14"/>
  <c r="L65" i="14"/>
  <c r="I65" i="14"/>
  <c r="M65" i="14"/>
  <c r="E65" i="14"/>
  <c r="E69" i="14"/>
  <c r="E66" i="14"/>
  <c r="E70" i="14"/>
  <c r="E67" i="14"/>
  <c r="E68" i="14"/>
  <c r="F64" i="14"/>
  <c r="J64" i="14"/>
  <c r="G64" i="14"/>
  <c r="H64" i="14"/>
  <c r="I64" i="14"/>
  <c r="M64" i="14"/>
  <c r="K64" i="14"/>
  <c r="L64" i="14"/>
  <c r="F19" i="2"/>
  <c r="J19" i="2"/>
  <c r="G19" i="2"/>
  <c r="K19" i="2"/>
  <c r="H19" i="2"/>
  <c r="L19" i="2"/>
  <c r="I19" i="2"/>
  <c r="M19" i="2"/>
  <c r="E19" i="2"/>
  <c r="F18" i="2"/>
  <c r="J18" i="2"/>
  <c r="G18" i="2"/>
  <c r="K18" i="2"/>
  <c r="H18" i="2"/>
  <c r="L18" i="2"/>
  <c r="I18" i="2"/>
  <c r="M18" i="2"/>
  <c r="E18" i="2"/>
  <c r="M62" i="14" l="1"/>
  <c r="L62" i="14"/>
  <c r="K62" i="14"/>
  <c r="J62" i="14"/>
  <c r="I62" i="14"/>
  <c r="H62" i="14"/>
  <c r="F62" i="14"/>
  <c r="M62" i="13"/>
  <c r="L62" i="13"/>
  <c r="K62" i="13"/>
  <c r="J62" i="13"/>
  <c r="I62" i="13"/>
  <c r="H62" i="13"/>
  <c r="G62" i="13"/>
  <c r="F62" i="13"/>
  <c r="E62" i="13"/>
  <c r="N27" i="6" l="1"/>
  <c r="O17" i="6"/>
  <c r="O28" i="6" s="1"/>
  <c r="N17" i="6"/>
  <c r="N28" i="6" s="1"/>
  <c r="M17" i="6"/>
  <c r="M28" i="6" s="1"/>
  <c r="L17" i="6"/>
  <c r="L28" i="6" s="1"/>
  <c r="K17" i="6"/>
  <c r="K28" i="6" s="1"/>
  <c r="J17" i="6"/>
  <c r="J28" i="6" s="1"/>
  <c r="I17" i="6"/>
  <c r="I28" i="6" s="1"/>
  <c r="H17" i="6"/>
  <c r="H28" i="6" s="1"/>
  <c r="G17" i="6"/>
  <c r="G28" i="6" s="1"/>
  <c r="O16" i="6"/>
  <c r="O27" i="6" s="1"/>
  <c r="N16" i="6"/>
  <c r="M16" i="6"/>
  <c r="M27" i="6" s="1"/>
  <c r="L16" i="6"/>
  <c r="L27" i="6" s="1"/>
  <c r="K16" i="6"/>
  <c r="K27" i="6" s="1"/>
  <c r="J16" i="6"/>
  <c r="J27" i="6" s="1"/>
  <c r="I16" i="6"/>
  <c r="I27" i="6" s="1"/>
  <c r="H16" i="6"/>
  <c r="H27" i="6" s="1"/>
  <c r="G16" i="6"/>
  <c r="G27" i="6" s="1"/>
  <c r="O15" i="6"/>
  <c r="O26" i="6" s="1"/>
  <c r="N15" i="6"/>
  <c r="N26" i="6" s="1"/>
  <c r="M15" i="6"/>
  <c r="M26" i="6" s="1"/>
  <c r="L15" i="6"/>
  <c r="L26" i="6" s="1"/>
  <c r="K15" i="6"/>
  <c r="K26" i="6" s="1"/>
  <c r="J15" i="6"/>
  <c r="J26" i="6" s="1"/>
  <c r="I15" i="6"/>
  <c r="I26" i="6" s="1"/>
  <c r="H15" i="6"/>
  <c r="H26" i="6" s="1"/>
  <c r="G15" i="6"/>
  <c r="G26" i="6" s="1"/>
  <c r="O8" i="6"/>
  <c r="N8" i="6"/>
  <c r="M8" i="6"/>
  <c r="L8" i="6"/>
  <c r="K8" i="6"/>
  <c r="J8" i="6"/>
  <c r="I8" i="6"/>
  <c r="H8" i="6"/>
  <c r="G8" i="6"/>
  <c r="O7" i="6"/>
  <c r="N7" i="6"/>
  <c r="M7" i="6"/>
  <c r="L7" i="6"/>
  <c r="K7" i="6"/>
  <c r="J7" i="6"/>
  <c r="I7" i="6"/>
  <c r="H7" i="6"/>
  <c r="G7" i="6"/>
  <c r="O6" i="6"/>
  <c r="N6" i="6"/>
  <c r="M6" i="6"/>
  <c r="L6" i="6"/>
  <c r="K6" i="6"/>
  <c r="J6" i="6"/>
  <c r="I6" i="6"/>
  <c r="H6" i="6"/>
  <c r="G6" i="6"/>
  <c r="O5" i="6"/>
  <c r="N5" i="6"/>
  <c r="M5" i="6"/>
  <c r="L5" i="6"/>
  <c r="K5" i="6"/>
  <c r="J5" i="6"/>
  <c r="I5" i="6"/>
  <c r="H5" i="6"/>
  <c r="G5" i="6"/>
  <c r="O4" i="6"/>
  <c r="N4" i="6"/>
  <c r="M4" i="6"/>
  <c r="L4" i="6"/>
  <c r="K4" i="6"/>
  <c r="J4" i="6"/>
  <c r="I4" i="6"/>
  <c r="H4" i="6"/>
  <c r="G4" i="6"/>
  <c r="O3" i="6"/>
  <c r="N3" i="6"/>
  <c r="M3" i="6"/>
  <c r="L3" i="6"/>
  <c r="K3" i="6"/>
  <c r="J3" i="6"/>
  <c r="I3" i="6"/>
  <c r="H3" i="6"/>
  <c r="G3" i="6"/>
  <c r="B62" i="14"/>
  <c r="B63" i="14"/>
  <c r="B62" i="13"/>
  <c r="C64" i="14"/>
  <c r="B63" i="13"/>
  <c r="C62" i="14"/>
  <c r="C62" i="13"/>
  <c r="C63" i="13"/>
  <c r="C63" i="14"/>
  <c r="D94" i="14" l="1"/>
  <c r="D94" i="13"/>
  <c r="D92" i="14"/>
  <c r="D91" i="14"/>
  <c r="D92" i="13"/>
  <c r="D91" i="13"/>
  <c r="B5" i="6" l="1"/>
  <c r="B6" i="6" s="1"/>
  <c r="D149" i="2"/>
  <c r="D150" i="2"/>
  <c r="D155" i="2"/>
  <c r="D156" i="2"/>
  <c r="D157" i="2"/>
  <c r="D158" i="2"/>
  <c r="D53" i="14"/>
  <c r="D52" i="14"/>
  <c r="C140" i="14"/>
  <c r="C49" i="14"/>
  <c r="D136" i="2" l="1"/>
  <c r="D131" i="2"/>
  <c r="D121" i="2"/>
  <c r="D113" i="2"/>
  <c r="D112" i="2"/>
  <c r="D104" i="2"/>
  <c r="D105" i="2"/>
  <c r="D85" i="2"/>
  <c r="D81" i="2"/>
  <c r="D77" i="2"/>
  <c r="D45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21" i="2"/>
  <c r="D9" i="2"/>
  <c r="E10" i="2"/>
  <c r="F10" i="2"/>
  <c r="G10" i="2"/>
  <c r="H10" i="2"/>
  <c r="I10" i="2"/>
  <c r="J10" i="2"/>
  <c r="K10" i="2"/>
  <c r="L10" i="2"/>
  <c r="M10" i="2"/>
  <c r="D4" i="13" l="1"/>
  <c r="D4" i="14"/>
  <c r="D4" i="2"/>
  <c r="B7" i="6"/>
  <c r="B8" i="6"/>
  <c r="D5" i="13" l="1"/>
  <c r="D5" i="14"/>
  <c r="D5" i="2"/>
  <c r="D10" i="2" s="1"/>
  <c r="B240" i="14"/>
  <c r="C108" i="14"/>
  <c r="C46" i="14"/>
  <c r="B78" i="14"/>
  <c r="C228" i="14"/>
  <c r="C251" i="13"/>
  <c r="B210" i="13"/>
  <c r="B186" i="14"/>
  <c r="B121" i="14"/>
  <c r="C213" i="13"/>
  <c r="C109" i="14"/>
  <c r="C286" i="13"/>
  <c r="C195" i="13"/>
  <c r="C215" i="14"/>
  <c r="C233" i="13"/>
  <c r="B11" i="13"/>
  <c r="C221" i="13"/>
  <c r="B107" i="14"/>
  <c r="B133" i="14"/>
  <c r="B224" i="13"/>
  <c r="C104" i="13"/>
  <c r="C27" i="14"/>
  <c r="C97" i="14"/>
  <c r="B284" i="14"/>
  <c r="B267" i="14"/>
  <c r="B106" i="14"/>
  <c r="C111" i="13"/>
  <c r="C24" i="13"/>
  <c r="C101" i="13"/>
  <c r="B254" i="13"/>
  <c r="C54" i="14"/>
  <c r="C157" i="14"/>
  <c r="C230" i="14"/>
  <c r="C93" i="14"/>
  <c r="C99" i="13"/>
  <c r="B199" i="13"/>
  <c r="B299" i="13"/>
  <c r="B112" i="13"/>
  <c r="B241" i="14"/>
  <c r="C17" i="13"/>
  <c r="B85" i="13"/>
  <c r="C134" i="13"/>
  <c r="B266" i="14"/>
  <c r="C59" i="14"/>
  <c r="C14" i="13"/>
  <c r="B255" i="13"/>
  <c r="C112" i="13"/>
  <c r="C13" i="13"/>
  <c r="C256" i="13"/>
  <c r="B265" i="13"/>
  <c r="C285" i="14"/>
  <c r="B15" i="13"/>
  <c r="C196" i="13"/>
  <c r="B258" i="13"/>
  <c r="C70" i="13"/>
  <c r="C238" i="13"/>
  <c r="B228" i="13"/>
  <c r="C124" i="14"/>
  <c r="B85" i="14"/>
  <c r="C149" i="13"/>
  <c r="C78" i="14"/>
  <c r="C264" i="13"/>
  <c r="C146" i="13"/>
  <c r="B181" i="14"/>
  <c r="C278" i="14"/>
  <c r="C281" i="14"/>
  <c r="B61" i="13"/>
  <c r="B245" i="14"/>
  <c r="C42" i="13"/>
  <c r="B94" i="14"/>
  <c r="B74" i="13"/>
  <c r="C99" i="14"/>
  <c r="C128" i="13"/>
  <c r="C117" i="14"/>
  <c r="C129" i="14"/>
  <c r="B29" i="14"/>
  <c r="C20" i="13"/>
  <c r="C192" i="13"/>
  <c r="B127" i="13"/>
  <c r="C23" i="14"/>
  <c r="B122" i="14"/>
  <c r="C266" i="14"/>
  <c r="C32" i="13"/>
  <c r="B108" i="13"/>
  <c r="B108" i="14"/>
  <c r="B178" i="14"/>
  <c r="B82" i="13"/>
  <c r="C72" i="13"/>
  <c r="C237" i="13"/>
  <c r="C200" i="14"/>
  <c r="C106" i="14"/>
  <c r="B250" i="13"/>
  <c r="B101" i="14"/>
  <c r="B239" i="14"/>
  <c r="B187" i="14"/>
  <c r="C139" i="14"/>
  <c r="C205" i="14"/>
  <c r="C184" i="13"/>
  <c r="B25" i="14"/>
  <c r="C264" i="14"/>
  <c r="C300" i="14"/>
  <c r="B19" i="13"/>
  <c r="B99" i="14"/>
  <c r="B60" i="14"/>
  <c r="C188" i="13"/>
  <c r="C91" i="13"/>
  <c r="B175" i="14"/>
  <c r="B99" i="13"/>
  <c r="C219" i="14"/>
  <c r="C253" i="14"/>
  <c r="C201" i="13"/>
  <c r="B184" i="14"/>
  <c r="B21" i="14"/>
  <c r="B177" i="13"/>
  <c r="C259" i="13"/>
  <c r="C225" i="13"/>
  <c r="C274" i="13"/>
  <c r="C302" i="14"/>
  <c r="C197" i="13"/>
  <c r="B44" i="14"/>
  <c r="B234" i="14"/>
  <c r="B66" i="13"/>
  <c r="C40" i="14"/>
  <c r="B287" i="13"/>
  <c r="C113" i="14"/>
  <c r="B111" i="14"/>
  <c r="C164" i="14"/>
  <c r="B236" i="14"/>
  <c r="C270" i="14"/>
  <c r="C95" i="13"/>
  <c r="B20" i="13"/>
  <c r="B280" i="13"/>
  <c r="B23" i="13"/>
  <c r="C72" i="14"/>
  <c r="B55" i="13"/>
  <c r="C208" i="14"/>
  <c r="C119" i="13"/>
  <c r="C117" i="13"/>
  <c r="B233" i="14"/>
  <c r="B119" i="14"/>
  <c r="B15" i="14"/>
  <c r="B89" i="13"/>
  <c r="C48" i="13"/>
  <c r="B65" i="14"/>
  <c r="B276" i="13"/>
  <c r="B41" i="13"/>
  <c r="B79" i="13"/>
  <c r="B261" i="14"/>
  <c r="C181" i="13"/>
  <c r="B40" i="14"/>
  <c r="B154" i="13"/>
  <c r="B51" i="13"/>
  <c r="B235" i="13"/>
  <c r="B111" i="13"/>
  <c r="B104" i="13"/>
  <c r="C126" i="13"/>
  <c r="B204" i="14"/>
  <c r="C111" i="14"/>
  <c r="C191" i="14"/>
  <c r="C190" i="13"/>
  <c r="B248" i="13"/>
  <c r="C247" i="13"/>
  <c r="C176" i="14"/>
  <c r="C191" i="13"/>
  <c r="C92" i="14"/>
  <c r="C86" i="14"/>
  <c r="B95" i="13"/>
  <c r="B132" i="14"/>
  <c r="C225" i="14"/>
  <c r="B275" i="14"/>
  <c r="B191" i="14"/>
  <c r="B135" i="14"/>
  <c r="B32" i="14"/>
  <c r="C186" i="14"/>
  <c r="C138" i="14"/>
  <c r="B45" i="14"/>
  <c r="C83" i="13"/>
  <c r="B247" i="13"/>
  <c r="B14" i="13"/>
  <c r="B102" i="14"/>
  <c r="C107" i="14"/>
  <c r="B253" i="13"/>
  <c r="C88" i="14"/>
  <c r="C223" i="14"/>
  <c r="B177" i="14"/>
  <c r="B230" i="13"/>
  <c r="B238" i="14"/>
  <c r="C198" i="14"/>
  <c r="B240" i="13"/>
  <c r="C280" i="13"/>
  <c r="B24" i="14"/>
  <c r="C17" i="14"/>
  <c r="C120" i="14"/>
  <c r="B105" i="13"/>
  <c r="C190" i="14"/>
  <c r="B280" i="14"/>
  <c r="C296" i="13"/>
  <c r="B48" i="14"/>
  <c r="C98" i="14"/>
  <c r="C267" i="13"/>
  <c r="B237" i="14"/>
  <c r="B110" i="14"/>
  <c r="B138" i="14"/>
  <c r="C94" i="14"/>
  <c r="B100" i="13"/>
  <c r="C192" i="14"/>
  <c r="B73" i="13"/>
  <c r="C80" i="13"/>
  <c r="C186" i="13"/>
  <c r="B254" i="14"/>
  <c r="C253" i="13"/>
  <c r="B192" i="13"/>
  <c r="C114" i="13"/>
  <c r="B238" i="13"/>
  <c r="C218" i="13"/>
  <c r="B49" i="13"/>
  <c r="B281" i="14"/>
  <c r="C282" i="14"/>
  <c r="B223" i="14"/>
  <c r="C297" i="13"/>
  <c r="C240" i="13"/>
  <c r="C26" i="14"/>
  <c r="C257" i="14"/>
  <c r="C154" i="14"/>
  <c r="B294" i="13"/>
  <c r="C37" i="13"/>
  <c r="C110" i="13"/>
  <c r="C279" i="14"/>
  <c r="C223" i="13"/>
  <c r="B113" i="13"/>
  <c r="B125" i="13"/>
  <c r="B102" i="13"/>
  <c r="C289" i="13"/>
  <c r="C265" i="14"/>
  <c r="C293" i="13"/>
  <c r="B262" i="14"/>
  <c r="B94" i="13"/>
  <c r="B246" i="14"/>
  <c r="C262" i="13"/>
  <c r="B289" i="13"/>
  <c r="C136" i="13"/>
  <c r="B43" i="14"/>
  <c r="C260" i="13"/>
  <c r="B103" i="13"/>
  <c r="C85" i="13"/>
  <c r="C61" i="14"/>
  <c r="B96" i="13"/>
  <c r="B100" i="14"/>
  <c r="B49" i="14"/>
  <c r="C131" i="13"/>
  <c r="B34" i="13"/>
  <c r="B260" i="14"/>
  <c r="B47" i="14"/>
  <c r="C142" i="13"/>
  <c r="C173" i="13"/>
  <c r="C172" i="13"/>
  <c r="B242" i="13"/>
  <c r="C184" i="14"/>
  <c r="B54" i="14"/>
  <c r="B11" i="14"/>
  <c r="C285" i="13"/>
  <c r="C217" i="13"/>
  <c r="C61" i="13"/>
  <c r="C55" i="13"/>
  <c r="C231" i="14"/>
  <c r="C143" i="14"/>
  <c r="C148" i="13"/>
  <c r="C169" i="13"/>
  <c r="B140" i="13"/>
  <c r="B146" i="14"/>
  <c r="B157" i="14"/>
  <c r="B161" i="13"/>
  <c r="C169" i="14"/>
  <c r="C300" i="13"/>
  <c r="B180" i="13"/>
  <c r="C291" i="14"/>
  <c r="C149" i="14"/>
  <c r="B128" i="14"/>
  <c r="C270" i="13"/>
  <c r="C266" i="13"/>
  <c r="B222" i="14"/>
  <c r="C24" i="14"/>
  <c r="B210" i="14"/>
  <c r="C245" i="13"/>
  <c r="B281" i="13"/>
  <c r="B67" i="14"/>
  <c r="B265" i="14"/>
  <c r="B26" i="14"/>
  <c r="B143" i="14"/>
  <c r="B200" i="14"/>
  <c r="B146" i="13"/>
  <c r="C132" i="13"/>
  <c r="B165" i="14"/>
  <c r="B75" i="13"/>
  <c r="C73" i="14"/>
  <c r="B152" i="13"/>
  <c r="C156" i="13"/>
  <c r="C25" i="13"/>
  <c r="B157" i="13"/>
  <c r="B231" i="13"/>
  <c r="B87" i="14"/>
  <c r="B16" i="13"/>
  <c r="B253" i="14"/>
  <c r="B298" i="14"/>
  <c r="B219" i="14"/>
  <c r="C287" i="14"/>
  <c r="C57" i="14"/>
  <c r="B46" i="14"/>
  <c r="B276" i="14"/>
  <c r="C113" i="13"/>
  <c r="B84" i="14"/>
  <c r="B263" i="13"/>
  <c r="C143" i="13"/>
  <c r="B163" i="14"/>
  <c r="C13" i="14"/>
  <c r="C262" i="14"/>
  <c r="B18" i="13"/>
  <c r="B196" i="13"/>
  <c r="C123" i="13"/>
  <c r="B236" i="13"/>
  <c r="C31" i="13"/>
  <c r="B115" i="13"/>
  <c r="C114" i="14"/>
  <c r="B82" i="14"/>
  <c r="C87" i="13"/>
  <c r="C209" i="13"/>
  <c r="B172" i="14"/>
  <c r="B208" i="14"/>
  <c r="C55" i="14"/>
  <c r="B121" i="13"/>
  <c r="B114" i="13"/>
  <c r="B217" i="13"/>
  <c r="B103" i="14"/>
  <c r="B90" i="13"/>
  <c r="C254" i="14"/>
  <c r="C178" i="14"/>
  <c r="B211" i="13"/>
  <c r="C43" i="14"/>
  <c r="B167" i="14"/>
  <c r="B144" i="13"/>
  <c r="C155" i="14"/>
  <c r="B200" i="13"/>
  <c r="C217" i="14"/>
  <c r="C150" i="13"/>
  <c r="B237" i="13"/>
  <c r="B264" i="13"/>
  <c r="C178" i="13"/>
  <c r="C100" i="13"/>
  <c r="C64" i="13"/>
  <c r="C152" i="13"/>
  <c r="C74" i="14"/>
  <c r="C84" i="13"/>
  <c r="C83" i="14"/>
  <c r="B283" i="13"/>
  <c r="C94" i="13"/>
  <c r="B297" i="14"/>
  <c r="B268" i="13"/>
  <c r="C82" i="13"/>
  <c r="B260" i="13"/>
  <c r="C82" i="14"/>
  <c r="C259" i="14"/>
  <c r="B131" i="14"/>
  <c r="B153" i="14"/>
  <c r="C167" i="14"/>
  <c r="B209" i="14"/>
  <c r="C159" i="14"/>
  <c r="B218" i="13"/>
  <c r="B291" i="14"/>
  <c r="B248" i="14"/>
  <c r="C137" i="14"/>
  <c r="B182" i="14"/>
  <c r="B34" i="14"/>
  <c r="C185" i="14"/>
  <c r="B212" i="13"/>
  <c r="C295" i="13"/>
  <c r="C193" i="14"/>
  <c r="B205" i="14"/>
  <c r="C89" i="13"/>
  <c r="B17" i="14"/>
  <c r="B151" i="13"/>
  <c r="B109" i="13"/>
  <c r="B166" i="14"/>
  <c r="C203" i="14"/>
  <c r="C226" i="13"/>
  <c r="B104" i="14"/>
  <c r="C298" i="14"/>
  <c r="B134" i="13"/>
  <c r="B297" i="13"/>
  <c r="B60" i="13"/>
  <c r="B47" i="13"/>
  <c r="B52" i="13"/>
  <c r="B48" i="13"/>
  <c r="B196" i="14"/>
  <c r="B243" i="13"/>
  <c r="C226" i="14"/>
  <c r="B32" i="13"/>
  <c r="B68" i="14"/>
  <c r="B262" i="13"/>
  <c r="B292" i="14"/>
  <c r="B244" i="13"/>
  <c r="C276" i="14"/>
  <c r="B271" i="14"/>
  <c r="B71" i="13"/>
  <c r="C71" i="13"/>
  <c r="C125" i="14"/>
  <c r="B223" i="13"/>
  <c r="B176" i="13"/>
  <c r="C247" i="14"/>
  <c r="C197" i="14"/>
  <c r="B57" i="14"/>
  <c r="B215" i="13"/>
  <c r="C57" i="13"/>
  <c r="B278" i="13"/>
  <c r="C28" i="13"/>
  <c r="B119" i="13"/>
  <c r="B143" i="13"/>
  <c r="B81" i="14"/>
  <c r="C37" i="14"/>
  <c r="C214" i="13"/>
  <c r="B286" i="14"/>
  <c r="C230" i="13"/>
  <c r="C53" i="14"/>
  <c r="C87" i="14"/>
  <c r="B51" i="14"/>
  <c r="C70" i="14"/>
  <c r="B261" i="13"/>
  <c r="C179" i="13"/>
  <c r="C234" i="14"/>
  <c r="C241" i="13"/>
  <c r="C138" i="13"/>
  <c r="B257" i="13"/>
  <c r="B87" i="13"/>
  <c r="B249" i="14"/>
  <c r="B290" i="13"/>
  <c r="C215" i="13"/>
  <c r="B271" i="13"/>
  <c r="C120" i="13"/>
  <c r="B285" i="14"/>
  <c r="B127" i="14"/>
  <c r="B91" i="14"/>
  <c r="C96" i="13"/>
  <c r="C16" i="14"/>
  <c r="C279" i="13"/>
  <c r="C42" i="14"/>
  <c r="C242" i="14"/>
  <c r="C298" i="13"/>
  <c r="B53" i="13"/>
  <c r="C71" i="14"/>
  <c r="C69" i="14"/>
  <c r="C293" i="14"/>
  <c r="C53" i="13"/>
  <c r="B214" i="14"/>
  <c r="B220" i="13"/>
  <c r="B30" i="14"/>
  <c r="B71" i="14"/>
  <c r="B52" i="14"/>
  <c r="C280" i="14"/>
  <c r="B279" i="14"/>
  <c r="B206" i="13"/>
  <c r="B120" i="13"/>
  <c r="C36" i="14"/>
  <c r="B57" i="13"/>
  <c r="B214" i="13"/>
  <c r="C27" i="13"/>
  <c r="B284" i="13"/>
  <c r="C31" i="14"/>
  <c r="C129" i="13"/>
  <c r="C274" i="14"/>
  <c r="C85" i="14"/>
  <c r="B76" i="13"/>
  <c r="C121" i="13"/>
  <c r="C124" i="13"/>
  <c r="C136" i="14"/>
  <c r="C195" i="14"/>
  <c r="B176" i="14"/>
  <c r="C122" i="13"/>
  <c r="B222" i="13"/>
  <c r="C110" i="14"/>
  <c r="C59" i="13"/>
  <c r="B233" i="13"/>
  <c r="B72" i="13"/>
  <c r="C131" i="14"/>
  <c r="B50" i="14"/>
  <c r="B188" i="14"/>
  <c r="C45" i="13"/>
  <c r="B13" i="14"/>
  <c r="C54" i="13"/>
  <c r="C29" i="13"/>
  <c r="C160" i="14"/>
  <c r="B79" i="14"/>
  <c r="C199" i="13"/>
  <c r="B264" i="14"/>
  <c r="B138" i="13"/>
  <c r="B206" i="14"/>
  <c r="B142" i="13"/>
  <c r="C68" i="14"/>
  <c r="C35" i="14"/>
  <c r="B30" i="13"/>
  <c r="B107" i="13"/>
  <c r="B195" i="14"/>
  <c r="C79" i="14"/>
  <c r="B259" i="14"/>
  <c r="B212" i="14"/>
  <c r="C125" i="13"/>
  <c r="C141" i="14"/>
  <c r="C92" i="13"/>
  <c r="C255" i="14"/>
  <c r="B301" i="14"/>
  <c r="B159" i="13"/>
  <c r="B273" i="13"/>
  <c r="B160" i="14"/>
  <c r="B164" i="13"/>
  <c r="B92" i="14"/>
  <c r="B242" i="14"/>
  <c r="C248" i="13"/>
  <c r="B113" i="14"/>
  <c r="B269" i="14"/>
  <c r="B180" i="14"/>
  <c r="C116" i="14"/>
  <c r="B232" i="14"/>
  <c r="B302" i="14"/>
  <c r="C147" i="13"/>
  <c r="C189" i="13"/>
  <c r="C52" i="14"/>
  <c r="B117" i="13"/>
  <c r="B42" i="14"/>
  <c r="B277" i="13"/>
  <c r="B22" i="14"/>
  <c r="C283" i="13"/>
  <c r="B231" i="14"/>
  <c r="B168" i="13"/>
  <c r="C170" i="13"/>
  <c r="C146" i="14"/>
  <c r="C81" i="14"/>
  <c r="C237" i="14"/>
  <c r="C227" i="13"/>
  <c r="B83" i="14"/>
  <c r="B115" i="14"/>
  <c r="B137" i="14"/>
  <c r="C296" i="14"/>
  <c r="B243" i="14"/>
  <c r="B155" i="13"/>
  <c r="B155" i="14"/>
  <c r="B168" i="14"/>
  <c r="B268" i="14"/>
  <c r="C211" i="13"/>
  <c r="C28" i="14"/>
  <c r="B33" i="13"/>
  <c r="C22" i="13"/>
  <c r="C168" i="13"/>
  <c r="B36" i="14"/>
  <c r="C181" i="14"/>
  <c r="C76" i="14"/>
  <c r="B198" i="14"/>
  <c r="B86" i="14"/>
  <c r="B116" i="13"/>
  <c r="C268" i="14"/>
  <c r="C33" i="13"/>
  <c r="C166" i="13"/>
  <c r="C207" i="14"/>
  <c r="B165" i="13"/>
  <c r="B217" i="14"/>
  <c r="B191" i="13"/>
  <c r="B54" i="13"/>
  <c r="B188" i="13"/>
  <c r="B229" i="13"/>
  <c r="C291" i="13"/>
  <c r="B273" i="14"/>
  <c r="B156" i="13"/>
  <c r="B35" i="14"/>
  <c r="B207" i="14"/>
  <c r="C161" i="14"/>
  <c r="C165" i="14"/>
  <c r="C40" i="13"/>
  <c r="C221" i="14"/>
  <c r="B203" i="13"/>
  <c r="C12" i="14"/>
  <c r="B215" i="14"/>
  <c r="C75" i="13"/>
  <c r="C183" i="14"/>
  <c r="B84" i="13"/>
  <c r="C239" i="13"/>
  <c r="B194" i="13"/>
  <c r="C128" i="14"/>
  <c r="C39" i="14"/>
  <c r="C241" i="14"/>
  <c r="B68" i="13"/>
  <c r="C292" i="13"/>
  <c r="C258" i="13"/>
  <c r="B167" i="13"/>
  <c r="C123" i="14"/>
  <c r="C250" i="14"/>
  <c r="B275" i="13"/>
  <c r="B130" i="14"/>
  <c r="C86" i="13"/>
  <c r="B198" i="13"/>
  <c r="C284" i="14"/>
  <c r="B21" i="13"/>
  <c r="C273" i="14"/>
  <c r="C32" i="14"/>
  <c r="B218" i="14"/>
  <c r="B69" i="13"/>
  <c r="B220" i="14"/>
  <c r="C271" i="14"/>
  <c r="C180" i="13"/>
  <c r="C76" i="13"/>
  <c r="B22" i="13"/>
  <c r="C105" i="13"/>
  <c r="B153" i="13"/>
  <c r="C21" i="14"/>
  <c r="C194" i="13"/>
  <c r="C203" i="13"/>
  <c r="B298" i="13"/>
  <c r="C44" i="13"/>
  <c r="B12" i="13"/>
  <c r="B190" i="14"/>
  <c r="B25" i="13"/>
  <c r="B247" i="14"/>
  <c r="C299" i="13"/>
  <c r="B178" i="13"/>
  <c r="B26" i="13"/>
  <c r="C289" i="14"/>
  <c r="C133" i="13"/>
  <c r="C20" i="14"/>
  <c r="B277" i="14"/>
  <c r="C263" i="14"/>
  <c r="B209" i="13"/>
  <c r="C91" i="14"/>
  <c r="B74" i="14"/>
  <c r="C200" i="13"/>
  <c r="C65" i="13"/>
  <c r="C254" i="13"/>
  <c r="C69" i="13"/>
  <c r="C60" i="14"/>
  <c r="B232" i="13"/>
  <c r="C51" i="13"/>
  <c r="C276" i="13"/>
  <c r="B197" i="14"/>
  <c r="C268" i="13"/>
  <c r="C229" i="13"/>
  <c r="B97" i="14"/>
  <c r="C180" i="14"/>
  <c r="B235" i="14"/>
  <c r="C41" i="13"/>
  <c r="C67" i="13"/>
  <c r="C122" i="14"/>
  <c r="B164" i="14"/>
  <c r="B105" i="14"/>
  <c r="B266" i="13"/>
  <c r="C134" i="14"/>
  <c r="C102" i="13"/>
  <c r="B213" i="13"/>
  <c r="C108" i="13"/>
  <c r="B294" i="14"/>
  <c r="C216" i="13"/>
  <c r="C261" i="13"/>
  <c r="C90" i="14"/>
  <c r="C238" i="14"/>
  <c r="C218" i="14"/>
  <c r="B197" i="13"/>
  <c r="C207" i="13"/>
  <c r="C242" i="13"/>
  <c r="B19" i="14"/>
  <c r="B219" i="13"/>
  <c r="B192" i="14"/>
  <c r="C16" i="13"/>
  <c r="C210" i="14"/>
  <c r="B169" i="13"/>
  <c r="B290" i="14"/>
  <c r="C170" i="14"/>
  <c r="B124" i="13"/>
  <c r="C208" i="13"/>
  <c r="B37" i="14"/>
  <c r="C35" i="13"/>
  <c r="C202" i="13"/>
  <c r="C248" i="14"/>
  <c r="C258" i="14"/>
  <c r="B36" i="13"/>
  <c r="C163" i="14"/>
  <c r="C153" i="14"/>
  <c r="C47" i="14"/>
  <c r="B173" i="13"/>
  <c r="C171" i="13"/>
  <c r="C292" i="14"/>
  <c r="C204" i="13"/>
  <c r="C161" i="13"/>
  <c r="C283" i="14"/>
  <c r="C98" i="13"/>
  <c r="C188" i="14"/>
  <c r="B226" i="13"/>
  <c r="C290" i="14"/>
  <c r="B208" i="13"/>
  <c r="C183" i="13"/>
  <c r="C79" i="13"/>
  <c r="B132" i="13"/>
  <c r="B56" i="14"/>
  <c r="B171" i="14"/>
  <c r="C157" i="13"/>
  <c r="B20" i="14"/>
  <c r="B174" i="14"/>
  <c r="B282" i="13"/>
  <c r="C166" i="14"/>
  <c r="C158" i="14"/>
  <c r="C12" i="13"/>
  <c r="B27" i="14"/>
  <c r="B150" i="13"/>
  <c r="B228" i="14"/>
  <c r="C288" i="13"/>
  <c r="B128" i="13"/>
  <c r="B28" i="14"/>
  <c r="B251" i="13"/>
  <c r="B255" i="14"/>
  <c r="B170" i="13"/>
  <c r="C102" i="14"/>
  <c r="C168" i="14"/>
  <c r="B24" i="13"/>
  <c r="C267" i="14"/>
  <c r="C112" i="14"/>
  <c r="C22" i="14"/>
  <c r="C220" i="13"/>
  <c r="B18" i="14"/>
  <c r="B37" i="13"/>
  <c r="B270" i="14"/>
  <c r="B205" i="13"/>
  <c r="B186" i="13"/>
  <c r="C77" i="14"/>
  <c r="B225" i="13"/>
  <c r="B252" i="13"/>
  <c r="B225" i="14"/>
  <c r="C48" i="14"/>
  <c r="B118" i="13"/>
  <c r="C164" i="13"/>
  <c r="B141" i="14"/>
  <c r="C11" i="13"/>
  <c r="C119" i="14"/>
  <c r="C162" i="14"/>
  <c r="B141" i="13"/>
  <c r="C272" i="13"/>
  <c r="B207" i="13"/>
  <c r="B28" i="13"/>
  <c r="C47" i="13"/>
  <c r="C255" i="13"/>
  <c r="B75" i="14"/>
  <c r="C222" i="13"/>
  <c r="C216" i="14"/>
  <c r="C260" i="14"/>
  <c r="C269" i="13"/>
  <c r="B187" i="13"/>
  <c r="B158" i="14"/>
  <c r="B278" i="14"/>
  <c r="B147" i="13"/>
  <c r="B159" i="14"/>
  <c r="B162" i="13"/>
  <c r="C239" i="14"/>
  <c r="C116" i="13"/>
  <c r="B42" i="13"/>
  <c r="C249" i="13"/>
  <c r="C68" i="13"/>
  <c r="B301" i="13"/>
  <c r="B293" i="14"/>
  <c r="B14" i="14"/>
  <c r="B53" i="14"/>
  <c r="B150" i="14"/>
  <c r="C172" i="14"/>
  <c r="C167" i="13"/>
  <c r="C193" i="13"/>
  <c r="B117" i="14"/>
  <c r="C41" i="14"/>
  <c r="B175" i="13"/>
  <c r="C263" i="13"/>
  <c r="C56" i="14"/>
  <c r="C212" i="14"/>
  <c r="B55" i="14"/>
  <c r="B50" i="13"/>
  <c r="B131" i="13"/>
  <c r="C299" i="14"/>
  <c r="B112" i="14"/>
  <c r="C45" i="14"/>
  <c r="B39" i="14"/>
  <c r="B267" i="13"/>
  <c r="B59" i="13"/>
  <c r="B252" i="14"/>
  <c r="C163" i="13"/>
  <c r="B184" i="13"/>
  <c r="C33" i="14"/>
  <c r="B129" i="13"/>
  <c r="B70" i="14"/>
  <c r="C286" i="14"/>
  <c r="B279" i="13"/>
  <c r="B65" i="13"/>
  <c r="B299" i="14"/>
  <c r="C301" i="14"/>
  <c r="B122" i="13"/>
  <c r="C272" i="14"/>
  <c r="B72" i="14"/>
  <c r="B130" i="13"/>
  <c r="C58" i="14"/>
  <c r="B81" i="13"/>
  <c r="B256" i="14"/>
  <c r="B40" i="13"/>
  <c r="B183" i="14"/>
  <c r="C182" i="14"/>
  <c r="B193" i="13"/>
  <c r="B274" i="14"/>
  <c r="B202" i="13"/>
  <c r="B194" i="14"/>
  <c r="C60" i="13"/>
  <c r="C93" i="13"/>
  <c r="C95" i="14"/>
  <c r="C38" i="13"/>
  <c r="B93" i="13"/>
  <c r="C228" i="13"/>
  <c r="C34" i="13"/>
  <c r="C126" i="14"/>
  <c r="C11" i="14"/>
  <c r="B239" i="13"/>
  <c r="B64" i="14"/>
  <c r="C187" i="14"/>
  <c r="C277" i="14"/>
  <c r="C106" i="13"/>
  <c r="C50" i="14"/>
  <c r="B10" i="13"/>
  <c r="C182" i="13"/>
  <c r="C301" i="13"/>
  <c r="C51" i="14"/>
  <c r="C277" i="13"/>
  <c r="B134" i="14"/>
  <c r="B56" i="13"/>
  <c r="B39" i="13"/>
  <c r="B195" i="13"/>
  <c r="C224" i="13"/>
  <c r="C284" i="13"/>
  <c r="B98" i="14"/>
  <c r="B89" i="14"/>
  <c r="B77" i="14"/>
  <c r="C135" i="14"/>
  <c r="C156" i="14"/>
  <c r="C39" i="13"/>
  <c r="C144" i="13"/>
  <c r="B203" i="14"/>
  <c r="B106" i="13"/>
  <c r="C97" i="13"/>
  <c r="C232" i="14"/>
  <c r="B181" i="13"/>
  <c r="B216" i="14"/>
  <c r="C14" i="14"/>
  <c r="C109" i="13"/>
  <c r="C202" i="14"/>
  <c r="B120" i="14"/>
  <c r="C187" i="13"/>
  <c r="C100" i="14"/>
  <c r="C52" i="13"/>
  <c r="B43" i="13"/>
  <c r="C101" i="14"/>
  <c r="C75" i="14"/>
  <c r="C133" i="14"/>
  <c r="B221" i="13"/>
  <c r="C206" i="13"/>
  <c r="B201" i="14"/>
  <c r="C159" i="13"/>
  <c r="C256" i="14"/>
  <c r="B129" i="14"/>
  <c r="C105" i="14"/>
  <c r="B139" i="13"/>
  <c r="C96" i="14"/>
  <c r="B38" i="14"/>
  <c r="B272" i="14"/>
  <c r="C294" i="14"/>
  <c r="B170" i="14"/>
  <c r="B123" i="13"/>
  <c r="B13" i="13"/>
  <c r="C158" i="13"/>
  <c r="C151" i="14"/>
  <c r="B140" i="14"/>
  <c r="C132" i="14"/>
  <c r="C29" i="14"/>
  <c r="C44" i="14"/>
  <c r="B147" i="14"/>
  <c r="C10" i="13"/>
  <c r="C74" i="13"/>
  <c r="C196" i="14"/>
  <c r="B274" i="13"/>
  <c r="B35" i="13"/>
  <c r="C89" i="14"/>
  <c r="C275" i="13"/>
  <c r="C140" i="13"/>
  <c r="C142" i="14"/>
  <c r="B23" i="14"/>
  <c r="B161" i="14"/>
  <c r="C211" i="14"/>
  <c r="C261" i="14"/>
  <c r="C288" i="14"/>
  <c r="C160" i="13"/>
  <c r="C23" i="13"/>
  <c r="B300" i="13"/>
  <c r="C243" i="13"/>
  <c r="B109" i="14"/>
  <c r="B76" i="14"/>
  <c r="B12" i="14"/>
  <c r="C214" i="14"/>
  <c r="B221" i="14"/>
  <c r="B283" i="14"/>
  <c r="B272" i="13"/>
  <c r="C294" i="13"/>
  <c r="B116" i="14"/>
  <c r="C176" i="13"/>
  <c r="C127" i="14"/>
  <c r="B38" i="13"/>
  <c r="B31" i="13"/>
  <c r="B133" i="13"/>
  <c r="C10" i="14"/>
  <c r="C271" i="13"/>
  <c r="B296" i="13"/>
  <c r="C229" i="14"/>
  <c r="C281" i="13"/>
  <c r="C177" i="13"/>
  <c r="B88" i="14"/>
  <c r="C104" i="14"/>
  <c r="B125" i="14"/>
  <c r="B145" i="13"/>
  <c r="C152" i="14"/>
  <c r="B166" i="13"/>
  <c r="B67" i="13"/>
  <c r="C80" i="14"/>
  <c r="B173" i="14"/>
  <c r="C151" i="13"/>
  <c r="B256" i="13"/>
  <c r="C209" i="14"/>
  <c r="C77" i="13"/>
  <c r="B59" i="14"/>
  <c r="C235" i="13"/>
  <c r="B172" i="13"/>
  <c r="C282" i="13"/>
  <c r="C78" i="13"/>
  <c r="B110" i="13"/>
  <c r="B160" i="13"/>
  <c r="B114" i="14"/>
  <c r="B183" i="13"/>
  <c r="C222" i="14"/>
  <c r="C290" i="13"/>
  <c r="C103" i="14"/>
  <c r="B189" i="14"/>
  <c r="C118" i="14"/>
  <c r="B241" i="13"/>
  <c r="C245" i="14"/>
  <c r="C297" i="14"/>
  <c r="B285" i="13"/>
  <c r="C137" i="13"/>
  <c r="C199" i="14"/>
  <c r="C26" i="13"/>
  <c r="C145" i="14"/>
  <c r="C139" i="13"/>
  <c r="C204" i="14"/>
  <c r="B213" i="14"/>
  <c r="B257" i="14"/>
  <c r="B244" i="14"/>
  <c r="B64" i="13"/>
  <c r="C205" i="13"/>
  <c r="C252" i="14"/>
  <c r="B289" i="14"/>
  <c r="B199" i="14"/>
  <c r="C153" i="13"/>
  <c r="C103" i="13"/>
  <c r="B230" i="14"/>
  <c r="C21" i="13"/>
  <c r="B295" i="14"/>
  <c r="C244" i="14"/>
  <c r="B69" i="14"/>
  <c r="B70" i="13"/>
  <c r="B291" i="13"/>
  <c r="B86" i="13"/>
  <c r="C50" i="13"/>
  <c r="B302" i="13"/>
  <c r="C81" i="13"/>
  <c r="C273" i="13"/>
  <c r="B98" i="13"/>
  <c r="B41" i="14"/>
  <c r="B179" i="14"/>
  <c r="B250" i="14"/>
  <c r="B249" i="13"/>
  <c r="C236" i="14"/>
  <c r="C90" i="13"/>
  <c r="C36" i="13"/>
  <c r="B259" i="13"/>
  <c r="C155" i="13"/>
  <c r="B139" i="14"/>
  <c r="B251" i="14"/>
  <c r="C141" i="13"/>
  <c r="C15" i="13"/>
  <c r="B149" i="14"/>
  <c r="C88" i="13"/>
  <c r="C165" i="13"/>
  <c r="B95" i="14"/>
  <c r="B73" i="14"/>
  <c r="C220" i="14"/>
  <c r="B171" i="13"/>
  <c r="B201" i="13"/>
  <c r="C46" i="13"/>
  <c r="B300" i="14"/>
  <c r="B148" i="14"/>
  <c r="C201" i="14"/>
  <c r="C227" i="14"/>
  <c r="C206" i="14"/>
  <c r="C231" i="13"/>
  <c r="C246" i="13"/>
  <c r="B142" i="14"/>
  <c r="B152" i="14"/>
  <c r="B258" i="14"/>
  <c r="C171" i="14"/>
  <c r="B137" i="13"/>
  <c r="C84" i="14"/>
  <c r="B189" i="13"/>
  <c r="B185" i="14"/>
  <c r="B77" i="13"/>
  <c r="B162" i="14"/>
  <c r="B227" i="13"/>
  <c r="C198" i="13"/>
  <c r="B31" i="14"/>
  <c r="B93" i="14"/>
  <c r="B226" i="14"/>
  <c r="B158" i="13"/>
  <c r="B182" i="13"/>
  <c r="C302" i="13"/>
  <c r="C65" i="14"/>
  <c r="B202" i="14"/>
  <c r="C243" i="14"/>
  <c r="B135" i="13"/>
  <c r="B286" i="13"/>
  <c r="C185" i="13"/>
  <c r="B296" i="14"/>
  <c r="C127" i="13"/>
  <c r="B282" i="14"/>
  <c r="B27" i="13"/>
  <c r="C15" i="14"/>
  <c r="C66" i="13"/>
  <c r="B190" i="13"/>
  <c r="C251" i="14"/>
  <c r="B293" i="13"/>
  <c r="B246" i="13"/>
  <c r="B193" i="14"/>
  <c r="C244" i="13"/>
  <c r="B123" i="14"/>
  <c r="C265" i="13"/>
  <c r="B229" i="14"/>
  <c r="C213" i="14"/>
  <c r="B101" i="13"/>
  <c r="B83" i="13"/>
  <c r="B149" i="13"/>
  <c r="C67" i="14"/>
  <c r="C233" i="14"/>
  <c r="B16" i="14"/>
  <c r="B287" i="14"/>
  <c r="C234" i="13"/>
  <c r="C145" i="13"/>
  <c r="C194" i="14"/>
  <c r="B211" i="14"/>
  <c r="B97" i="13"/>
  <c r="C236" i="13"/>
  <c r="B80" i="14"/>
  <c r="B163" i="13"/>
  <c r="B88" i="13"/>
  <c r="C135" i="13"/>
  <c r="C73" i="13"/>
  <c r="C249" i="14"/>
  <c r="B288" i="13"/>
  <c r="C179" i="14"/>
  <c r="C43" i="13"/>
  <c r="B66" i="14"/>
  <c r="B156" i="14"/>
  <c r="C162" i="13"/>
  <c r="B269" i="13"/>
  <c r="C287" i="13"/>
  <c r="C150" i="14"/>
  <c r="C252" i="13"/>
  <c r="C118" i="13"/>
  <c r="B45" i="13"/>
  <c r="C210" i="13"/>
  <c r="C25" i="14"/>
  <c r="C49" i="13"/>
  <c r="C189" i="14"/>
  <c r="B136" i="13"/>
  <c r="B58" i="14"/>
  <c r="B90" i="14"/>
  <c r="C144" i="14"/>
  <c r="B288" i="14"/>
  <c r="C232" i="13"/>
  <c r="B224" i="14"/>
  <c r="B169" i="14"/>
  <c r="B234" i="13"/>
  <c r="C58" i="13"/>
  <c r="B91" i="13"/>
  <c r="B216" i="13"/>
  <c r="B295" i="13"/>
  <c r="B179" i="13"/>
  <c r="B78" i="13"/>
  <c r="B126" i="13"/>
  <c r="C246" i="14"/>
  <c r="C235" i="14"/>
  <c r="B118" i="14"/>
  <c r="B126" i="14"/>
  <c r="B92" i="13"/>
  <c r="C240" i="14"/>
  <c r="B263" i="14"/>
  <c r="C219" i="13"/>
  <c r="B270" i="13"/>
  <c r="B204" i="13"/>
  <c r="C177" i="14"/>
  <c r="C275" i="14"/>
  <c r="B245" i="13"/>
  <c r="C173" i="14"/>
  <c r="B144" i="14"/>
  <c r="B151" i="14"/>
  <c r="C269" i="14"/>
  <c r="C38" i="14"/>
  <c r="C148" i="14"/>
  <c r="B96" i="14"/>
  <c r="B154" i="14"/>
  <c r="B61" i="14"/>
  <c r="B185" i="13"/>
  <c r="B33" i="14"/>
  <c r="C212" i="13"/>
  <c r="B174" i="13"/>
  <c r="B292" i="13"/>
  <c r="B10" i="14"/>
  <c r="C56" i="13"/>
  <c r="C34" i="14"/>
  <c r="C147" i="14"/>
  <c r="B136" i="14"/>
  <c r="B80" i="13"/>
  <c r="C66" i="14"/>
  <c r="C121" i="14"/>
  <c r="B17" i="13"/>
  <c r="B148" i="13"/>
  <c r="B29" i="13"/>
  <c r="B58" i="13"/>
  <c r="C224" i="14"/>
  <c r="C107" i="13"/>
  <c r="B124" i="14"/>
  <c r="C278" i="13"/>
  <c r="C257" i="13"/>
  <c r="C154" i="13"/>
  <c r="B46" i="13"/>
  <c r="B44" i="13"/>
  <c r="C295" i="14"/>
  <c r="B227" i="14"/>
  <c r="C250" i="13"/>
  <c r="B145" i="14"/>
  <c r="C19" i="14"/>
  <c r="C19" i="13"/>
  <c r="C18" i="14"/>
  <c r="C18" i="13"/>
  <c r="C30" i="14"/>
  <c r="C30" i="13"/>
  <c r="C174" i="14"/>
  <c r="C174" i="13"/>
  <c r="C175" i="14"/>
  <c r="C175" i="13"/>
  <c r="C130" i="14"/>
  <c r="C130" i="13"/>
  <c r="C115" i="13"/>
  <c r="C115" i="14"/>
</calcChain>
</file>

<file path=xl/sharedStrings.xml><?xml version="1.0" encoding="utf-8"?>
<sst xmlns="http://schemas.openxmlformats.org/spreadsheetml/2006/main" count="387" uniqueCount="266">
  <si>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</si>
  <si>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</si>
  <si>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</si>
  <si>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</si>
  <si>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</si>
  <si>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</si>
  <si>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</si>
  <si>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</si>
  <si>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</si>
  <si>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</si>
  <si>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</si>
  <si>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</si>
  <si>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</si>
  <si>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</si>
  <si>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</si>
  <si>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</si>
  <si>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</si>
  <si>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</si>
  <si>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</si>
  <si>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</si>
  <si>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</si>
  <si>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</si>
  <si>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</si>
  <si>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</si>
  <si>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</si>
  <si>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</si>
  <si>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</si>
  <si>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</si>
  <si>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</si>
  <si>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</si>
  <si>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</si>
  <si>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</si>
  <si>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</si>
  <si>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</si>
  <si>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</si>
  <si>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</si>
  <si>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</si>
  <si>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</si>
  <si>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</si>
  <si>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</si>
  <si>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</si>
  <si>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</si>
  <si>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</si>
  <si>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</si>
  <si>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</si>
  <si>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</si>
  <si>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</si>
  <si>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</si>
  <si>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</si>
  <si>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</si>
  <si>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</si>
  <si>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</si>
  <si>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</si>
  <si>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</si>
  <si>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</si>
  <si>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</si>
  <si>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</si>
  <si>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</si>
  <si>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</si>
  <si>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</si>
  <si>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</si>
  <si>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</si>
  <si>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</si>
  <si>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</si>
  <si>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</si>
  <si>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</si>
  <si>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</si>
  <si>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</si>
  <si>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</si>
  <si>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</si>
  <si>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</si>
  <si>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</si>
  <si>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</si>
  <si>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</si>
  <si>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</si>
  <si>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</si>
  <si>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</si>
  <si>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</si>
  <si>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</si>
  <si>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</si>
  <si>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</si>
  <si>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</si>
  <si>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</si>
  <si>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</si>
  <si>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</si>
  <si>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</si>
  <si>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</si>
  <si>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</si>
  <si>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</si>
  <si>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</si>
  <si>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</si>
  <si>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</si>
  <si>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</si>
  <si>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</si>
  <si>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</si>
  <si>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</si>
  <si>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</si>
  <si>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</si>
  <si>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</si>
  <si>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</si>
  <si>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</si>
  <si>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</si>
  <si>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</si>
  <si>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</si>
  <si>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</si>
  <si>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</si>
  <si>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</si>
  <si>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</si>
  <si>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</si>
  <si>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</si>
  <si>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</si>
  <si>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</si>
  <si>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</si>
  <si>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</si>
  <si>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</si>
  <si>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</si>
  <si>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</si>
  <si>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</si>
  <si>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</si>
  <si>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</si>
  <si>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</si>
  <si>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</si>
  <si>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</si>
  <si>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</si>
  <si>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</si>
  <si>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</si>
  <si>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</si>
  <si>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</si>
  <si>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</si>
  <si>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</si>
  <si>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</si>
  <si>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</si>
  <si>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</si>
  <si>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</si>
  <si>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</si>
  <si>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</si>
  <si>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</si>
  <si>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</si>
  <si>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</si>
  <si>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</si>
  <si>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</si>
  <si>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</si>
  <si>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</si>
  <si>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</si>
  <si>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</si>
  <si>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</si>
  <si>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</si>
  <si>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</si>
  <si>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</si>
  <si>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</si>
  <si>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</si>
  <si>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</si>
  <si>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</si>
  <si>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</si>
  <si>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</si>
  <si>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</si>
  <si>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</si>
  <si>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</si>
  <si>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</si>
  <si>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</si>
  <si>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</si>
  <si>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</si>
  <si>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</si>
  <si>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</si>
  <si>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</si>
  <si>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</si>
  <si>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</si>
  <si>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</si>
  <si>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</si>
  <si>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</si>
  <si>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</si>
  <si>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</si>
  <si>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</si>
  <si>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</si>
  <si>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</si>
  <si>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</si>
  <si>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</si>
  <si>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</si>
  <si>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</si>
  <si>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</si>
  <si>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</si>
  <si>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</si>
  <si>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</si>
  <si>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</si>
  <si>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</si>
  <si>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</si>
  <si>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</si>
  <si>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</si>
  <si>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</si>
  <si>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</si>
  <si>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</si>
  <si>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</si>
  <si>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</si>
  <si>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</si>
  <si>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</si>
  <si>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</si>
  <si>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</si>
  <si>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</si>
  <si>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</si>
  <si>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</si>
  <si>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</si>
  <si>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</si>
  <si>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</si>
  <si>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</si>
  <si>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</si>
  <si>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</si>
  <si>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</si>
  <si>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</si>
  <si>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</si>
  <si>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</si>
  <si>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</si>
  <si>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</si>
  <si>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</si>
  <si>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</si>
  <si>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</si>
  <si>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</si>
  <si>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</si>
  <si>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</si>
  <si>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</si>
  <si>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</si>
  <si>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</si>
  <si>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</si>
  <si>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</si>
  <si>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</si>
  <si>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</si>
  <si>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</si>
  <si>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</si>
  <si>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</si>
  <si>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</si>
  <si>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</si>
  <si>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</si>
  <si>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</si>
  <si>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</si>
  <si>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</si>
  <si>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</si>
  <si>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</si>
  <si>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</si>
  <si>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</si>
  <si>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</si>
  <si>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</si>
  <si>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</si>
  <si>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</si>
  <si>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</si>
  <si>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</si>
  <si>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</si>
  <si>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</si>
  <si>
    <t>Max Speed Per Layer Height (mm/s)</t>
  </si>
  <si>
    <t>Material Thickness Recommendations</t>
  </si>
  <si>
    <t>Max Volumetric Speed</t>
  </si>
  <si>
    <t>Meterial</t>
  </si>
  <si>
    <t>Recommended (mm)</t>
  </si>
  <si>
    <t>Absolute Min (mm)</t>
  </si>
  <si>
    <t>PLA</t>
  </si>
  <si>
    <t>ABS</t>
  </si>
  <si>
    <t>Nylon</t>
  </si>
  <si>
    <t>PP</t>
  </si>
  <si>
    <t>TPU</t>
  </si>
  <si>
    <t>Thickness Per Layer Height (mm)</t>
  </si>
  <si>
    <t>Layer Type</t>
  </si>
  <si>
    <t>bottom_solid_layers</t>
  </si>
  <si>
    <t>Thickness Per Layer Height (line count)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</si>
  <si>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K{pressure_advance_adjust}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</si>
  <si>
    <t>C:\Users\krishnkr\AppData\Roaming\cura\4.2</t>
  </si>
  <si>
    <t>Volumetric</t>
  </si>
  <si>
    <t>#Manual Max</t>
  </si>
  <si>
    <t>#Volumetric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</si>
</sst>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theme="4" tint="0.59999389629810485"/>
      </patternFill>
    </fill>
  </fills>
  <borders count="2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  <xf numFmtId="0" fontId="1" fillId="2" borderId="19" xfId="0" applyFont="1" applyFill="1" applyBorder="1"/>
    <xf numFmtId="0" fontId="0" fillId="0" borderId="19" xfId="0" applyBorder="1"/>
    <xf numFmtId="1" fontId="0" fillId="0" borderId="19" xfId="0" applyNumberFormat="1" applyBorder="1"/>
    <xf numFmtId="2" fontId="0" fillId="0" borderId="19" xfId="0" applyNumberFormat="1" applyBorder="1"/>
    <xf numFmtId="1" fontId="0" fillId="6" borderId="7" xfId="0" applyNumberFormat="1" applyFont="1" applyFill="1" applyBorder="1"/>
    <xf numFmtId="0" fontId="0" fillId="5" borderId="19" xfId="0" applyFill="1" applyBorder="1"/>
    <xf numFmtId="0" fontId="0" fillId="9" borderId="19" xfId="0" applyFill="1" applyBorder="1" applyAlignment="1">
      <alignment horizontal="right"/>
    </xf>
    <xf numFmtId="1" fontId="0" fillId="5" borderId="7" xfId="0" applyNumberFormat="1" applyFont="1" applyFill="1" applyBorder="1"/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S34"/>
  <sheetViews>
    <sheetView workbookViewId="0">
      <selection activeCell="B45" sqref="B45"/>
    </sheetView>
  </sheetViews>
  <sheetFormatPr defaultRowHeight="14.4" x14ac:dyDescent="0.3"/>
  <cols>
    <col min="1" max="1" width="23" bestFit="1" customWidth="1"/>
    <col min="2" max="2" width="51" bestFit="1" customWidth="1"/>
    <col min="3" max="3" width="9.88671875" customWidth="1"/>
    <col min="5" max="5" width="19.44140625" bestFit="1" customWidth="1"/>
    <col min="7" max="7" width="17.33203125" bestFit="1" customWidth="1"/>
    <col min="19" max="19" width="18.5546875" bestFit="1" customWidth="1"/>
  </cols>
  <sheetData>
    <row r="1" spans="1:19" ht="15" thickBot="1" x14ac:dyDescent="0.35">
      <c r="A1" s="21" t="s">
        <v>8</v>
      </c>
      <c r="B1" s="22" t="s">
        <v>9</v>
      </c>
      <c r="C1" s="22" t="s">
        <v>14</v>
      </c>
      <c r="E1" s="56" t="s">
        <v>246</v>
      </c>
      <c r="F1" s="57"/>
      <c r="G1" s="57"/>
      <c r="H1" s="57"/>
      <c r="I1" s="57"/>
      <c r="J1" s="57"/>
      <c r="K1" s="57"/>
      <c r="L1" s="57"/>
      <c r="M1" s="57"/>
      <c r="N1" s="57"/>
      <c r="O1" s="58"/>
      <c r="Q1" s="59" t="s">
        <v>247</v>
      </c>
      <c r="R1" s="59"/>
      <c r="S1" s="59"/>
    </row>
    <row r="2" spans="1:19" ht="15" thickTop="1" x14ac:dyDescent="0.3">
      <c r="A2" s="23" t="s">
        <v>7</v>
      </c>
      <c r="B2" s="24">
        <v>0.6</v>
      </c>
      <c r="C2" s="3"/>
      <c r="E2" s="48" t="s">
        <v>35</v>
      </c>
      <c r="F2" s="48" t="s">
        <v>248</v>
      </c>
      <c r="G2" s="48">
        <v>0.12</v>
      </c>
      <c r="H2" s="48">
        <v>0.2</v>
      </c>
      <c r="I2" s="48">
        <v>0.32</v>
      </c>
      <c r="J2" s="48">
        <v>0.4</v>
      </c>
      <c r="K2" s="48">
        <v>0.48</v>
      </c>
      <c r="L2" s="48">
        <v>0.56000000000000005</v>
      </c>
      <c r="M2" s="48">
        <v>0.64</v>
      </c>
      <c r="N2" s="48">
        <v>0.72</v>
      </c>
      <c r="O2" s="48">
        <v>0.8</v>
      </c>
      <c r="Q2" s="48" t="s">
        <v>249</v>
      </c>
      <c r="R2" s="48" t="s">
        <v>250</v>
      </c>
      <c r="S2" s="48" t="s">
        <v>251</v>
      </c>
    </row>
    <row r="3" spans="1:19" x14ac:dyDescent="0.3">
      <c r="A3" s="4" t="s">
        <v>10</v>
      </c>
      <c r="B3" s="5" t="s">
        <v>40</v>
      </c>
      <c r="C3" s="5"/>
      <c r="E3" s="49" t="s">
        <v>252</v>
      </c>
      <c r="F3" s="49">
        <v>11.5</v>
      </c>
      <c r="G3" s="50">
        <f t="shared" ref="G3:O8" si="0">$F3/((Nozzle_Diameter*1.2)*G$2)</f>
        <v>133.10185185185188</v>
      </c>
      <c r="H3" s="50">
        <f t="shared" si="0"/>
        <v>79.861111111111114</v>
      </c>
      <c r="I3" s="50">
        <f t="shared" si="0"/>
        <v>49.913194444444443</v>
      </c>
      <c r="J3" s="50">
        <f t="shared" si="0"/>
        <v>39.930555555555557</v>
      </c>
      <c r="K3" s="50">
        <f t="shared" si="0"/>
        <v>33.275462962962969</v>
      </c>
      <c r="L3" s="50">
        <f t="shared" si="0"/>
        <v>28.521825396825395</v>
      </c>
      <c r="M3" s="50">
        <f t="shared" si="0"/>
        <v>24.956597222222221</v>
      </c>
      <c r="N3" s="50">
        <f t="shared" si="0"/>
        <v>22.183641975308642</v>
      </c>
      <c r="O3" s="50">
        <f t="shared" si="0"/>
        <v>19.965277777777779</v>
      </c>
      <c r="Q3" s="49" t="s">
        <v>252</v>
      </c>
      <c r="R3" s="51">
        <v>1.5</v>
      </c>
      <c r="S3" s="51">
        <v>0.8</v>
      </c>
    </row>
    <row r="4" spans="1:19" x14ac:dyDescent="0.3">
      <c r="A4" s="4" t="s">
        <v>39</v>
      </c>
      <c r="B4" s="5" t="s">
        <v>25</v>
      </c>
      <c r="C4" s="5"/>
      <c r="E4" s="49" t="s">
        <v>5</v>
      </c>
      <c r="F4" s="49">
        <v>8</v>
      </c>
      <c r="G4" s="50">
        <f t="shared" si="0"/>
        <v>92.592592592592609</v>
      </c>
      <c r="H4" s="50">
        <f t="shared" si="0"/>
        <v>55.555555555555557</v>
      </c>
      <c r="I4" s="50">
        <f t="shared" si="0"/>
        <v>34.722222222222221</v>
      </c>
      <c r="J4" s="50">
        <f t="shared" si="0"/>
        <v>27.777777777777779</v>
      </c>
      <c r="K4" s="50">
        <f t="shared" si="0"/>
        <v>23.148148148148152</v>
      </c>
      <c r="L4" s="50">
        <f t="shared" si="0"/>
        <v>19.841269841269842</v>
      </c>
      <c r="M4" s="50">
        <f t="shared" si="0"/>
        <v>17.361111111111111</v>
      </c>
      <c r="N4" s="50">
        <f t="shared" si="0"/>
        <v>15.4320987654321</v>
      </c>
      <c r="O4" s="50">
        <f>$F4/((Nozzle_Diameter*1.2)*O$2)</f>
        <v>13.888888888888889</v>
      </c>
      <c r="Q4" s="49" t="s">
        <v>5</v>
      </c>
      <c r="R4" s="51">
        <v>1.5</v>
      </c>
      <c r="S4" s="51">
        <v>0.8</v>
      </c>
    </row>
    <row r="5" spans="1:19" x14ac:dyDescent="0.3">
      <c r="A5" s="7" t="s">
        <v>13</v>
      </c>
      <c r="B5" s="25" t="str">
        <f>B3 &amp;" " &amp; B4 &amp; " " &amp; Nozzle_Diameter &amp; "mm Nozzle"</f>
        <v>Ender3 Speed 0.6mm Nozzle</v>
      </c>
      <c r="C5" s="2"/>
      <c r="E5" s="49" t="s">
        <v>253</v>
      </c>
      <c r="F5" s="49">
        <v>10</v>
      </c>
      <c r="G5" s="50">
        <f t="shared" si="0"/>
        <v>115.74074074074075</v>
      </c>
      <c r="H5" s="50">
        <f t="shared" si="0"/>
        <v>69.444444444444443</v>
      </c>
      <c r="I5" s="50">
        <f t="shared" si="0"/>
        <v>43.402777777777779</v>
      </c>
      <c r="J5" s="50">
        <f t="shared" si="0"/>
        <v>34.722222222222221</v>
      </c>
      <c r="K5" s="50">
        <f t="shared" si="0"/>
        <v>28.935185185185187</v>
      </c>
      <c r="L5" s="50">
        <f t="shared" si="0"/>
        <v>24.801587301587301</v>
      </c>
      <c r="M5" s="50">
        <f t="shared" si="0"/>
        <v>21.701388888888889</v>
      </c>
      <c r="N5" s="50">
        <f t="shared" si="0"/>
        <v>19.290123456790123</v>
      </c>
      <c r="O5" s="50">
        <f t="shared" si="0"/>
        <v>17.361111111111111</v>
      </c>
      <c r="Q5" s="49" t="s">
        <v>253</v>
      </c>
      <c r="R5" s="51">
        <v>1.5</v>
      </c>
      <c r="S5" s="51">
        <v>0.8</v>
      </c>
    </row>
    <row r="6" spans="1:19" x14ac:dyDescent="0.3">
      <c r="A6" s="7" t="s">
        <v>38</v>
      </c>
      <c r="B6" s="25" t="str">
        <f>LOWER(SUBSTITUTE(SUBSTITUTE(Printer_Name," ","_"),".","_"))</f>
        <v>ender3_speed_0_6mm_nozzle</v>
      </c>
      <c r="C6" s="2"/>
      <c r="E6" s="49" t="s">
        <v>254</v>
      </c>
      <c r="F6" s="49">
        <v>6</v>
      </c>
      <c r="G6" s="50">
        <f t="shared" si="0"/>
        <v>69.444444444444457</v>
      </c>
      <c r="H6" s="50">
        <f t="shared" si="0"/>
        <v>41.666666666666671</v>
      </c>
      <c r="I6" s="50">
        <f t="shared" si="0"/>
        <v>26.041666666666668</v>
      </c>
      <c r="J6" s="50">
        <f t="shared" si="0"/>
        <v>20.833333333333336</v>
      </c>
      <c r="K6" s="50">
        <f t="shared" si="0"/>
        <v>17.361111111111114</v>
      </c>
      <c r="L6" s="50">
        <f t="shared" si="0"/>
        <v>14.880952380952381</v>
      </c>
      <c r="M6" s="50">
        <f t="shared" si="0"/>
        <v>13.020833333333334</v>
      </c>
      <c r="N6" s="50">
        <f t="shared" si="0"/>
        <v>11.574074074074074</v>
      </c>
      <c r="O6" s="50">
        <f t="shared" si="0"/>
        <v>10.416666666666668</v>
      </c>
      <c r="Q6" s="49" t="s">
        <v>254</v>
      </c>
      <c r="R6" s="51">
        <v>1.5</v>
      </c>
      <c r="S6" s="51">
        <v>0.8</v>
      </c>
    </row>
    <row r="7" spans="1:19" x14ac:dyDescent="0.3">
      <c r="A7" s="4" t="s">
        <v>11</v>
      </c>
      <c r="B7" s="5">
        <f>Nozzle_Diameter*0.2</f>
        <v>0.12</v>
      </c>
      <c r="C7" s="5"/>
      <c r="E7" s="49" t="s">
        <v>255</v>
      </c>
      <c r="F7" s="49">
        <v>6</v>
      </c>
      <c r="G7" s="50">
        <f t="shared" si="0"/>
        <v>69.444444444444457</v>
      </c>
      <c r="H7" s="50">
        <f t="shared" si="0"/>
        <v>41.666666666666671</v>
      </c>
      <c r="I7" s="50">
        <f t="shared" si="0"/>
        <v>26.041666666666668</v>
      </c>
      <c r="J7" s="50">
        <f t="shared" si="0"/>
        <v>20.833333333333336</v>
      </c>
      <c r="K7" s="50">
        <f t="shared" si="0"/>
        <v>17.361111111111114</v>
      </c>
      <c r="L7" s="50">
        <f t="shared" si="0"/>
        <v>14.880952380952381</v>
      </c>
      <c r="M7" s="50">
        <f t="shared" si="0"/>
        <v>13.020833333333334</v>
      </c>
      <c r="N7" s="50">
        <f t="shared" si="0"/>
        <v>11.574074074074074</v>
      </c>
      <c r="O7" s="50">
        <f t="shared" si="0"/>
        <v>10.416666666666668</v>
      </c>
      <c r="Q7" s="49" t="s">
        <v>255</v>
      </c>
      <c r="R7" s="51">
        <v>1.5</v>
      </c>
      <c r="S7" s="51">
        <v>0.8</v>
      </c>
    </row>
    <row r="8" spans="1:19" x14ac:dyDescent="0.3">
      <c r="A8" s="7" t="s">
        <v>12</v>
      </c>
      <c r="B8" s="2">
        <f>Nozzle_Diameter*0.8</f>
        <v>0.48</v>
      </c>
      <c r="C8" s="2"/>
      <c r="E8" s="49" t="s">
        <v>256</v>
      </c>
      <c r="F8" s="49">
        <v>6</v>
      </c>
      <c r="G8" s="50">
        <f t="shared" si="0"/>
        <v>69.444444444444457</v>
      </c>
      <c r="H8" s="50">
        <f t="shared" si="0"/>
        <v>41.666666666666671</v>
      </c>
      <c r="I8" s="50">
        <f t="shared" si="0"/>
        <v>26.041666666666668</v>
      </c>
      <c r="J8" s="50">
        <f t="shared" si="0"/>
        <v>20.833333333333336</v>
      </c>
      <c r="K8" s="50">
        <f t="shared" si="0"/>
        <v>17.361111111111114</v>
      </c>
      <c r="L8" s="50">
        <f t="shared" si="0"/>
        <v>14.880952380952381</v>
      </c>
      <c r="M8" s="50">
        <f t="shared" si="0"/>
        <v>13.020833333333334</v>
      </c>
      <c r="N8" s="50">
        <f t="shared" si="0"/>
        <v>11.574074074074074</v>
      </c>
      <c r="O8" s="50">
        <f t="shared" si="0"/>
        <v>10.416666666666668</v>
      </c>
      <c r="Q8" s="49" t="s">
        <v>256</v>
      </c>
      <c r="R8" s="51">
        <v>1.5</v>
      </c>
      <c r="S8" s="51">
        <v>0.8</v>
      </c>
    </row>
    <row r="9" spans="1:19" x14ac:dyDescent="0.3">
      <c r="A9" s="7" t="s">
        <v>35</v>
      </c>
      <c r="B9" s="2" t="s">
        <v>5</v>
      </c>
      <c r="C9" s="2"/>
      <c r="E9" s="49"/>
      <c r="F9" s="49"/>
      <c r="G9" s="50"/>
      <c r="H9" s="50"/>
      <c r="I9" s="50"/>
      <c r="J9" s="50"/>
      <c r="K9" s="50"/>
      <c r="L9" s="50"/>
      <c r="M9" s="50"/>
      <c r="N9" s="50"/>
      <c r="O9" s="50"/>
      <c r="Q9" s="49"/>
      <c r="R9" s="49"/>
      <c r="S9" s="49"/>
    </row>
    <row r="10" spans="1:19" x14ac:dyDescent="0.3">
      <c r="A10" s="7" t="s">
        <v>37</v>
      </c>
      <c r="B10" s="2">
        <v>500</v>
      </c>
      <c r="C10" s="2"/>
      <c r="E10" s="49"/>
      <c r="F10" s="49"/>
      <c r="G10" s="50"/>
      <c r="H10" s="50"/>
      <c r="I10" s="50"/>
      <c r="J10" s="50"/>
      <c r="K10" s="50"/>
      <c r="L10" s="50"/>
      <c r="M10" s="50"/>
      <c r="N10" s="50"/>
      <c r="O10" s="50"/>
      <c r="Q10" s="49"/>
      <c r="R10" s="49"/>
      <c r="S10" s="49"/>
    </row>
    <row r="11" spans="1:19" x14ac:dyDescent="0.3">
      <c r="A11" s="53" t="s">
        <v>25</v>
      </c>
      <c r="B11" s="54" t="s">
        <v>263</v>
      </c>
      <c r="C11" s="5"/>
      <c r="E11" s="49"/>
      <c r="F11" s="49"/>
      <c r="G11" s="50"/>
      <c r="H11" s="50"/>
      <c r="I11" s="50"/>
      <c r="J11" s="50"/>
      <c r="K11" s="50"/>
      <c r="L11" s="50"/>
      <c r="M11" s="50"/>
      <c r="N11" s="50"/>
      <c r="O11" s="50"/>
      <c r="Q11" s="49"/>
      <c r="R11" s="49"/>
      <c r="S11" s="49"/>
    </row>
    <row r="12" spans="1:19" x14ac:dyDescent="0.3">
      <c r="A12" s="53"/>
      <c r="B12" s="2"/>
      <c r="C12" s="2"/>
      <c r="E12" s="49"/>
      <c r="F12" s="49"/>
      <c r="G12" s="50"/>
      <c r="H12" s="50"/>
      <c r="I12" s="50"/>
      <c r="J12" s="50"/>
      <c r="K12" s="50"/>
      <c r="L12" s="50"/>
      <c r="M12" s="50"/>
      <c r="N12" s="50"/>
      <c r="O12" s="50"/>
      <c r="Q12" s="49"/>
      <c r="R12" s="49"/>
      <c r="S12" s="49"/>
    </row>
    <row r="13" spans="1:19" x14ac:dyDescent="0.3">
      <c r="A13" s="4"/>
      <c r="B13" s="5"/>
      <c r="C13" s="5"/>
      <c r="E13" s="56" t="s">
        <v>257</v>
      </c>
      <c r="F13" s="57"/>
      <c r="G13" s="57"/>
      <c r="H13" s="57"/>
      <c r="I13" s="57"/>
      <c r="J13" s="57"/>
      <c r="K13" s="57"/>
      <c r="L13" s="57"/>
      <c r="M13" s="57"/>
      <c r="N13" s="57"/>
      <c r="O13" s="58"/>
      <c r="Q13" s="49"/>
      <c r="R13" s="49"/>
      <c r="S13" s="49"/>
    </row>
    <row r="14" spans="1:19" x14ac:dyDescent="0.3">
      <c r="A14" s="4" t="s">
        <v>239</v>
      </c>
      <c r="B14" s="5" t="s">
        <v>262</v>
      </c>
      <c r="C14" s="2"/>
      <c r="E14" s="48" t="s">
        <v>258</v>
      </c>
      <c r="F14" s="48"/>
      <c r="G14" s="48">
        <v>0.12</v>
      </c>
      <c r="H14" s="48">
        <v>0.2</v>
      </c>
      <c r="I14" s="48">
        <v>0.32</v>
      </c>
      <c r="J14" s="48">
        <v>0.4</v>
      </c>
      <c r="K14" s="48">
        <v>0.48</v>
      </c>
      <c r="L14" s="48">
        <v>0.56000000000000005</v>
      </c>
      <c r="M14" s="48">
        <v>0.64</v>
      </c>
      <c r="N14" s="48">
        <v>0.72</v>
      </c>
      <c r="O14" s="48">
        <v>0.8</v>
      </c>
      <c r="Q14" s="49"/>
      <c r="R14" s="49"/>
      <c r="S14" s="49"/>
    </row>
    <row r="15" spans="1:19" x14ac:dyDescent="0.3">
      <c r="A15" s="7"/>
      <c r="B15" s="2"/>
      <c r="C15" s="5"/>
      <c r="E15" s="49" t="s">
        <v>49</v>
      </c>
      <c r="F15" s="49">
        <v>1.8</v>
      </c>
      <c r="G15" s="51">
        <f t="shared" ref="G15:O15" si="1">Nozzle_Diameter*3</f>
        <v>1.7999999999999998</v>
      </c>
      <c r="H15" s="51">
        <f t="shared" si="1"/>
        <v>1.7999999999999998</v>
      </c>
      <c r="I15" s="51">
        <f t="shared" si="1"/>
        <v>1.7999999999999998</v>
      </c>
      <c r="J15" s="51">
        <f t="shared" si="1"/>
        <v>1.7999999999999998</v>
      </c>
      <c r="K15" s="51">
        <f t="shared" si="1"/>
        <v>1.7999999999999998</v>
      </c>
      <c r="L15" s="51">
        <f t="shared" si="1"/>
        <v>1.7999999999999998</v>
      </c>
      <c r="M15" s="51">
        <f t="shared" si="1"/>
        <v>1.7999999999999998</v>
      </c>
      <c r="N15" s="51">
        <f t="shared" si="1"/>
        <v>1.7999999999999998</v>
      </c>
      <c r="O15" s="51">
        <f t="shared" si="1"/>
        <v>1.7999999999999998</v>
      </c>
      <c r="Q15" s="49"/>
      <c r="R15" s="49"/>
      <c r="S15" s="49"/>
    </row>
    <row r="16" spans="1:19" x14ac:dyDescent="0.3">
      <c r="A16" s="7"/>
      <c r="B16" s="2"/>
      <c r="C16" s="2"/>
      <c r="E16" s="49" t="s">
        <v>50</v>
      </c>
      <c r="F16" s="49">
        <v>0.84</v>
      </c>
      <c r="G16" s="51">
        <f t="shared" ref="G16:G17" si="2">$G$14*7</f>
        <v>0.84</v>
      </c>
      <c r="H16" s="51">
        <f t="shared" ref="H16:H17" si="3">$H$14*4</f>
        <v>0.8</v>
      </c>
      <c r="I16" s="51">
        <f t="shared" ref="I16:I17" si="4">$I$14*3</f>
        <v>0.96</v>
      </c>
      <c r="J16" s="51">
        <f t="shared" ref="J16:J17" si="5">$J$14*3</f>
        <v>1.2000000000000002</v>
      </c>
      <c r="K16" s="51">
        <f t="shared" ref="K16:K17" si="6">$K$14*3</f>
        <v>1.44</v>
      </c>
      <c r="L16" s="51">
        <f t="shared" ref="L16:L17" si="7">$L$14*3</f>
        <v>1.6800000000000002</v>
      </c>
      <c r="M16" s="51">
        <f t="shared" ref="M16:M17" si="8">$M$14*3</f>
        <v>1.92</v>
      </c>
      <c r="N16" s="51">
        <f t="shared" ref="N16:N17" si="9">$N$14*3</f>
        <v>2.16</v>
      </c>
      <c r="O16" s="51">
        <f t="shared" ref="O16:O17" si="10">O$14*3</f>
        <v>2.4000000000000004</v>
      </c>
      <c r="Q16" s="49"/>
      <c r="R16" s="49"/>
      <c r="S16" s="49"/>
    </row>
    <row r="17" spans="1:19" x14ac:dyDescent="0.3">
      <c r="A17" s="4"/>
      <c r="B17" s="5"/>
      <c r="C17" s="5"/>
      <c r="E17" s="49" t="s">
        <v>259</v>
      </c>
      <c r="F17" s="49">
        <v>0.84</v>
      </c>
      <c r="G17" s="51">
        <f t="shared" si="2"/>
        <v>0.84</v>
      </c>
      <c r="H17" s="51">
        <f t="shared" si="3"/>
        <v>0.8</v>
      </c>
      <c r="I17" s="51">
        <f t="shared" si="4"/>
        <v>0.96</v>
      </c>
      <c r="J17" s="51">
        <f t="shared" si="5"/>
        <v>1.2000000000000002</v>
      </c>
      <c r="K17" s="51">
        <f t="shared" si="6"/>
        <v>1.44</v>
      </c>
      <c r="L17" s="51">
        <f t="shared" si="7"/>
        <v>1.6800000000000002</v>
      </c>
      <c r="M17" s="51">
        <f t="shared" si="8"/>
        <v>1.92</v>
      </c>
      <c r="N17" s="51">
        <f t="shared" si="9"/>
        <v>2.16</v>
      </c>
      <c r="O17" s="51">
        <f t="shared" si="10"/>
        <v>2.4000000000000004</v>
      </c>
      <c r="Q17" s="49"/>
      <c r="R17" s="49"/>
      <c r="S17" s="49"/>
    </row>
    <row r="18" spans="1:19" x14ac:dyDescent="0.3">
      <c r="A18" s="7"/>
      <c r="B18" s="2"/>
      <c r="C18" s="2"/>
      <c r="E18" s="49"/>
      <c r="F18" s="49"/>
      <c r="G18" s="50"/>
      <c r="H18" s="50"/>
      <c r="I18" s="50"/>
      <c r="J18" s="50"/>
      <c r="K18" s="50"/>
      <c r="L18" s="50"/>
      <c r="M18" s="50"/>
      <c r="N18" s="50"/>
      <c r="O18" s="50"/>
    </row>
    <row r="19" spans="1:19" x14ac:dyDescent="0.3">
      <c r="A19" s="4"/>
      <c r="B19" s="5"/>
      <c r="C19" s="5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</row>
    <row r="20" spans="1:19" x14ac:dyDescent="0.3"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</row>
    <row r="21" spans="1:19" x14ac:dyDescent="0.3"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</row>
    <row r="22" spans="1:19" x14ac:dyDescent="0.3">
      <c r="B22" s="5" t="s">
        <v>243</v>
      </c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</row>
    <row r="23" spans="1:19" x14ac:dyDescent="0.3">
      <c r="B23" s="2" t="s">
        <v>244</v>
      </c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</row>
    <row r="24" spans="1:19" x14ac:dyDescent="0.3">
      <c r="E24" s="56" t="s">
        <v>260</v>
      </c>
      <c r="F24" s="57"/>
      <c r="G24" s="57"/>
      <c r="H24" s="57"/>
      <c r="I24" s="57"/>
      <c r="J24" s="57"/>
      <c r="K24" s="57"/>
      <c r="L24" s="57"/>
      <c r="M24" s="57"/>
      <c r="N24" s="57"/>
      <c r="O24" s="58"/>
    </row>
    <row r="25" spans="1:19" x14ac:dyDescent="0.3">
      <c r="E25" s="48" t="s">
        <v>258</v>
      </c>
      <c r="F25" s="48"/>
      <c r="G25" s="48">
        <v>0.12</v>
      </c>
      <c r="H25" s="48">
        <v>0.2</v>
      </c>
      <c r="I25" s="48">
        <v>0.32</v>
      </c>
      <c r="J25" s="48">
        <v>0.4</v>
      </c>
      <c r="K25" s="48">
        <v>0.48</v>
      </c>
      <c r="L25" s="48">
        <v>0.56000000000000005</v>
      </c>
      <c r="M25" s="48">
        <v>0.64</v>
      </c>
      <c r="N25" s="48">
        <v>0.72</v>
      </c>
      <c r="O25" s="48">
        <v>0.8</v>
      </c>
    </row>
    <row r="26" spans="1:19" x14ac:dyDescent="0.3">
      <c r="E26" s="49" t="s">
        <v>49</v>
      </c>
      <c r="F26" s="49"/>
      <c r="G26" s="51">
        <f t="shared" ref="G26:O26" si="11">G15/Nozzle_Diameter</f>
        <v>3</v>
      </c>
      <c r="H26" s="51">
        <f t="shared" si="11"/>
        <v>3</v>
      </c>
      <c r="I26" s="51">
        <f t="shared" si="11"/>
        <v>3</v>
      </c>
      <c r="J26" s="51">
        <f t="shared" si="11"/>
        <v>3</v>
      </c>
      <c r="K26" s="51">
        <f t="shared" si="11"/>
        <v>3</v>
      </c>
      <c r="L26" s="51">
        <f t="shared" si="11"/>
        <v>3</v>
      </c>
      <c r="M26" s="51">
        <f t="shared" si="11"/>
        <v>3</v>
      </c>
      <c r="N26" s="51">
        <f t="shared" si="11"/>
        <v>3</v>
      </c>
      <c r="O26" s="51">
        <f t="shared" si="11"/>
        <v>3</v>
      </c>
    </row>
    <row r="27" spans="1:19" x14ac:dyDescent="0.3">
      <c r="E27" s="49" t="s">
        <v>50</v>
      </c>
      <c r="F27" s="49"/>
      <c r="G27" s="51">
        <f t="shared" ref="G27:O28" si="12">G16/G$25</f>
        <v>7</v>
      </c>
      <c r="H27" s="51">
        <f t="shared" si="12"/>
        <v>4</v>
      </c>
      <c r="I27" s="51">
        <f t="shared" si="12"/>
        <v>3</v>
      </c>
      <c r="J27" s="51">
        <f t="shared" si="12"/>
        <v>3.0000000000000004</v>
      </c>
      <c r="K27" s="51">
        <f t="shared" si="12"/>
        <v>3</v>
      </c>
      <c r="L27" s="51">
        <f t="shared" si="12"/>
        <v>3</v>
      </c>
      <c r="M27" s="51">
        <f t="shared" si="12"/>
        <v>3</v>
      </c>
      <c r="N27" s="51">
        <f t="shared" si="12"/>
        <v>3.0000000000000004</v>
      </c>
      <c r="O27" s="51">
        <f t="shared" si="12"/>
        <v>3.0000000000000004</v>
      </c>
    </row>
    <row r="28" spans="1:19" x14ac:dyDescent="0.3">
      <c r="E28" s="49" t="s">
        <v>259</v>
      </c>
      <c r="F28" s="49"/>
      <c r="G28" s="51">
        <f t="shared" si="12"/>
        <v>7</v>
      </c>
      <c r="H28" s="51">
        <f t="shared" si="12"/>
        <v>4</v>
      </c>
      <c r="I28" s="51">
        <f t="shared" si="12"/>
        <v>3</v>
      </c>
      <c r="J28" s="51">
        <f t="shared" si="12"/>
        <v>3.0000000000000004</v>
      </c>
      <c r="K28" s="51">
        <f t="shared" si="12"/>
        <v>3</v>
      </c>
      <c r="L28" s="51">
        <f t="shared" si="12"/>
        <v>3</v>
      </c>
      <c r="M28" s="51">
        <f t="shared" si="12"/>
        <v>3</v>
      </c>
      <c r="N28" s="51">
        <f t="shared" si="12"/>
        <v>3.0000000000000004</v>
      </c>
      <c r="O28" s="51">
        <f t="shared" si="12"/>
        <v>3.0000000000000004</v>
      </c>
    </row>
    <row r="29" spans="1:19" x14ac:dyDescent="0.3">
      <c r="E29" s="49"/>
      <c r="F29" s="49"/>
      <c r="G29" s="50"/>
      <c r="H29" s="50"/>
      <c r="I29" s="50"/>
      <c r="J29" s="50"/>
      <c r="K29" s="50"/>
      <c r="L29" s="50"/>
      <c r="M29" s="50"/>
      <c r="N29" s="50"/>
      <c r="O29" s="50"/>
    </row>
    <row r="30" spans="1:19" x14ac:dyDescent="0.3"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</row>
    <row r="31" spans="1:19" x14ac:dyDescent="0.3"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</row>
    <row r="32" spans="1:19" x14ac:dyDescent="0.3"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</row>
    <row r="33" spans="5:15" x14ac:dyDescent="0.3"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</row>
    <row r="34" spans="5:15" x14ac:dyDescent="0.3"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</row>
  </sheetData>
  <mergeCells count="4">
    <mergeCell ref="E1:O1"/>
    <mergeCell ref="Q1:S1"/>
    <mergeCell ref="E13:O13"/>
    <mergeCell ref="E24:O24"/>
  </mergeCells>
  <dataValidations count="3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$E$3:$E$12</formula1>
    </dataValidation>
    <dataValidation type="list" allowBlank="1" showInputMessage="1" showErrorMessage="1" sqref="B11" xr:uid="{61B47DEF-05E1-45E3-9E6B-7AA0A3842803}">
      <formula1>"Manual,Volumetric"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workbookViewId="0">
      <selection activeCell="B9" sqref="B9"/>
    </sheetView>
  </sheetViews>
  <sheetFormatPr defaultRowHeight="14.4" x14ac:dyDescent="0.3"/>
  <cols>
    <col min="1" max="1" width="20.109375" bestFit="1" customWidth="1"/>
    <col min="2" max="2" width="179.88671875" customWidth="1"/>
    <col min="3" max="3" width="46.5546875" bestFit="1" customWidth="1"/>
  </cols>
  <sheetData>
    <row r="1" spans="1:3" x14ac:dyDescent="0.3">
      <c r="A1" s="21" t="s">
        <v>6</v>
      </c>
      <c r="B1" s="22" t="s">
        <v>9</v>
      </c>
      <c r="C1" s="22" t="s">
        <v>14</v>
      </c>
    </row>
    <row r="2" spans="1:3" ht="345.6" x14ac:dyDescent="0.3">
      <c r="A2" t="s">
        <v>237</v>
      </c>
      <c r="B2" s="47" t="s">
        <v>261</v>
      </c>
      <c r="C2" s="47"/>
    </row>
    <row r="3" spans="1:3" ht="187.2" x14ac:dyDescent="0.3">
      <c r="A3" t="s">
        <v>238</v>
      </c>
      <c r="B3" s="47" t="s">
        <v>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8"/>
  <sheetViews>
    <sheetView workbookViewId="0">
      <pane ySplit="1" topLeftCell="A143" activePane="bottomLeft" state="frozen"/>
      <selection pane="bottomLeft" activeCell="J178" sqref="J178"/>
    </sheetView>
  </sheetViews>
  <sheetFormatPr defaultRowHeight="14.4" x14ac:dyDescent="0.3"/>
  <cols>
    <col min="1" max="1" width="10.109375" customWidth="1"/>
    <col min="2" max="2" width="17.6640625" bestFit="1" customWidth="1"/>
    <col min="3" max="3" width="44.5546875" bestFit="1" customWidth="1"/>
    <col min="4" max="4" width="21.33203125" style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5" ht="15" thickBot="1" x14ac:dyDescent="0.3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5" ht="15" thickTop="1" x14ac:dyDescent="0.3">
      <c r="A2" s="37" t="s">
        <v>151</v>
      </c>
      <c r="B2" s="12"/>
      <c r="C2" s="12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</row>
    <row r="3" spans="1:15" x14ac:dyDescent="0.3">
      <c r="A3" s="38"/>
      <c r="B3" s="15"/>
      <c r="C3" s="15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3">
      <c r="A4" s="39"/>
      <c r="B4" s="12"/>
      <c r="C4" s="12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3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3">
      <c r="A6" s="39" t="s">
        <v>155</v>
      </c>
      <c r="B6" s="12"/>
      <c r="C6" s="12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3">
      <c r="A7" s="38"/>
      <c r="B7" s="15"/>
      <c r="C7" s="15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3">
      <c r="A8" s="39"/>
      <c r="B8" s="12"/>
      <c r="C8" s="12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3">
      <c r="A9" s="38"/>
      <c r="B9" s="15"/>
      <c r="C9" s="15" t="s">
        <v>159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3">
      <c r="A10" s="39" t="s">
        <v>160</v>
      </c>
      <c r="B10" s="12" t="s">
        <v>41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3">
      <c r="A11" s="38"/>
      <c r="B11" s="15"/>
      <c r="C11" s="15" t="s">
        <v>179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3">
      <c r="A12" s="39"/>
      <c r="B12" s="12"/>
      <c r="C12" s="12" t="s">
        <v>42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3">
      <c r="A13" s="38"/>
      <c r="B13" s="15"/>
      <c r="C13" s="15" t="s">
        <v>43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3">
      <c r="A14" s="39"/>
      <c r="B14" s="12"/>
      <c r="C14" s="12" t="s">
        <v>44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3">
      <c r="A15" s="38"/>
      <c r="B15" s="15"/>
      <c r="C15" s="15" t="s">
        <v>45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3">
      <c r="A16" s="39"/>
      <c r="B16" s="12"/>
      <c r="C16" s="12" t="s">
        <v>46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3">
      <c r="A17" s="38"/>
      <c r="B17" s="15"/>
      <c r="C17" s="15" t="s">
        <v>47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3">
      <c r="A18" s="39"/>
      <c r="B18" s="12" t="s">
        <v>48</v>
      </c>
      <c r="C18" s="12" t="s">
        <v>49</v>
      </c>
      <c r="D18" s="13">
        <v>1.8</v>
      </c>
      <c r="E18" s="12" t="str">
        <f>Matchfill(INDEX(spec!$E$14:$O$23,MATCH($C18,spec!$E$14:$E$23,0),MATCH(E$10,spec!$E$14:$O$14,0)),spec!$F$1)</f>
        <v>1.8</v>
      </c>
      <c r="F18" s="12" t="str">
        <f>Matchfill(INDEX(spec!$E$14:$O$23,MATCH($C18,spec!$E$14:$E$23,0),MATCH(F$10,spec!$E$14:$O$14,0)),spec!$F$1)</f>
        <v>1.8</v>
      </c>
      <c r="G18" s="12" t="str">
        <f>Matchfill(INDEX(spec!$E$14:$O$23,MATCH($C18,spec!$E$14:$E$23,0),MATCH(G$10,spec!$E$14:$O$14,0)),spec!$F$1)</f>
        <v>1.8</v>
      </c>
      <c r="H18" s="12" t="str">
        <f>Matchfill(INDEX(spec!$E$14:$O$23,MATCH($C18,spec!$E$14:$E$23,0),MATCH(H$10,spec!$E$14:$O$14,0)),spec!$F$1)</f>
        <v>1.8</v>
      </c>
      <c r="I18" s="12" t="str">
        <f>Matchfill(INDEX(spec!$E$14:$O$23,MATCH($C18,spec!$E$14:$E$23,0),MATCH(I$10,spec!$E$14:$O$14,0)),spec!$F$1)</f>
        <v>1.8</v>
      </c>
      <c r="J18" s="12" t="str">
        <f>Matchfill(INDEX(spec!$E$14:$O$23,MATCH($C18,spec!$E$14:$E$23,0),MATCH(J$10,spec!$E$14:$O$14,0)),spec!$F$1)</f>
        <v>1.8</v>
      </c>
      <c r="K18" s="12" t="str">
        <f>Matchfill(INDEX(spec!$E$14:$O$23,MATCH($C18,spec!$E$14:$E$23,0),MATCH(K$10,spec!$E$14:$O$14,0)),spec!$F$1)</f>
        <v>1.8</v>
      </c>
      <c r="L18" s="12" t="str">
        <f>Matchfill(INDEX(spec!$E$14:$O$23,MATCH($C18,spec!$E$14:$E$23,0),MATCH(L$10,spec!$E$14:$O$14,0)),spec!$F$1)</f>
        <v>1.8</v>
      </c>
      <c r="M18" s="12" t="str">
        <f>Matchfill(INDEX(spec!$E$14:$O$23,MATCH($C18,spec!$E$14:$E$23,0),MATCH(M$10,spec!$E$14:$O$14,0)),spec!$F$1)</f>
        <v>1.8</v>
      </c>
      <c r="N18" s="14"/>
      <c r="O18" s="26"/>
    </row>
    <row r="19" spans="1:15" x14ac:dyDescent="0.3">
      <c r="A19" s="38"/>
      <c r="B19" s="15"/>
      <c r="C19" s="15" t="s">
        <v>50</v>
      </c>
      <c r="D19" s="16">
        <v>0.8</v>
      </c>
      <c r="E19" s="12" t="str">
        <f>Matchfill(INDEX(spec!$E$14:$O$23,MATCH($C19,spec!$E$14:$E$23,0),MATCH(E$10,spec!$E$14:$O$14,0)),spec!$F$1)</f>
        <v>0.84</v>
      </c>
      <c r="F19" s="12" t="str">
        <f>Matchfill(INDEX(spec!$E$14:$O$23,MATCH($C19,spec!$E$14:$E$23,0),MATCH(F$10,spec!$E$14:$O$14,0)),spec!$F$1)</f>
        <v>0.8</v>
      </c>
      <c r="G19" s="12" t="str">
        <f>Matchfill(INDEX(spec!$E$14:$O$23,MATCH($C19,spec!$E$14:$E$23,0),MATCH(G$10,spec!$E$14:$O$14,0)),spec!$F$1)</f>
        <v>0.96</v>
      </c>
      <c r="H19" s="12" t="str">
        <f>Matchfill(INDEX(spec!$E$14:$O$23,MATCH($C19,spec!$E$14:$E$23,0),MATCH(H$10,spec!$E$14:$O$14,0)),spec!$F$1)</f>
        <v>1.2</v>
      </c>
      <c r="I19" s="12" t="str">
        <f>Matchfill(INDEX(spec!$E$14:$O$23,MATCH($C19,spec!$E$14:$E$23,0),MATCH(I$10,spec!$E$14:$O$14,0)),spec!$F$1)</f>
        <v>1.44</v>
      </c>
      <c r="J19" s="12" t="str">
        <f>Matchfill(INDEX(spec!$E$14:$O$23,MATCH($C19,spec!$E$14:$E$23,0),MATCH(J$10,spec!$E$14:$O$14,0)),spec!$F$1)</f>
        <v>1.68</v>
      </c>
      <c r="K19" s="12" t="str">
        <f>Matchfill(INDEX(spec!$E$14:$O$23,MATCH($C19,spec!$E$14:$E$23,0),MATCH(K$10,spec!$E$14:$O$14,0)),spec!$F$1)</f>
        <v>1.92</v>
      </c>
      <c r="L19" s="12" t="str">
        <f>Matchfill(INDEX(spec!$E$14:$O$23,MATCH($C19,spec!$E$14:$E$23,0),MATCH(L$10,spec!$E$14:$O$14,0)),spec!$F$1)</f>
        <v>2.16</v>
      </c>
      <c r="M19" s="12" t="str">
        <f>Matchfill(INDEX(spec!$E$14:$O$23,MATCH($C19,spec!$E$14:$E$23,0),MATCH(M$10,spec!$E$14:$O$14,0)),spec!$F$1)</f>
        <v>2.4</v>
      </c>
      <c r="N19" s="17"/>
      <c r="O19" s="26"/>
    </row>
    <row r="20" spans="1:15" x14ac:dyDescent="0.3">
      <c r="A20" s="39"/>
      <c r="B20" s="12"/>
      <c r="C20" s="12" t="s">
        <v>51</v>
      </c>
      <c r="D20" s="13" t="s">
        <v>52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3">
      <c r="A21" s="38"/>
      <c r="B21" s="15"/>
      <c r="C21" s="15" t="s">
        <v>180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3">
      <c r="A22" s="39"/>
      <c r="B22" s="12"/>
      <c r="C22" s="12" t="s">
        <v>53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3">
      <c r="A23" s="38"/>
      <c r="B23" s="15"/>
      <c r="C23" s="15" t="s">
        <v>54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3">
      <c r="A24" s="39"/>
      <c r="B24" s="12"/>
      <c r="C24" s="12" t="s">
        <v>181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3">
      <c r="A25" s="38"/>
      <c r="B25" s="15"/>
      <c r="C25" s="15" t="s">
        <v>241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3">
      <c r="A26" s="39"/>
      <c r="B26" s="12"/>
      <c r="C26" s="12" t="s">
        <v>182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3">
      <c r="A27" s="38"/>
      <c r="B27" s="15"/>
      <c r="C27" s="15" t="s">
        <v>55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3">
      <c r="A28" s="39"/>
      <c r="B28" s="12"/>
      <c r="C28" s="12" t="s">
        <v>183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3">
      <c r="A29" s="38"/>
      <c r="B29" s="15"/>
      <c r="C29" s="15" t="s">
        <v>56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3">
      <c r="A30" s="39"/>
      <c r="B30" s="12"/>
      <c r="C30" s="12" t="s">
        <v>184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3">
      <c r="A31" s="38"/>
      <c r="B31" s="15"/>
      <c r="C31" s="15" t="s">
        <v>185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3">
      <c r="A32" s="39"/>
      <c r="B32" s="12"/>
      <c r="C32" s="12" t="s">
        <v>173</v>
      </c>
      <c r="D32" s="13" t="s">
        <v>174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3">
      <c r="A33" s="38"/>
      <c r="B33" s="15"/>
      <c r="C33" s="15" t="s">
        <v>186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3">
      <c r="A34" s="39"/>
      <c r="B34" s="12"/>
      <c r="C34" s="12" t="s">
        <v>187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3">
      <c r="A35" s="38"/>
      <c r="B35" s="15"/>
      <c r="C35" s="15" t="s">
        <v>57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3">
      <c r="A36" s="39"/>
      <c r="B36" s="12"/>
      <c r="C36" s="12" t="s">
        <v>58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3">
      <c r="A37" s="38"/>
      <c r="B37" s="16"/>
      <c r="C37" s="15" t="s">
        <v>188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3">
      <c r="A38" s="39"/>
      <c r="B38" s="12" t="s">
        <v>24</v>
      </c>
      <c r="C38" s="12" t="s">
        <v>59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3">
      <c r="A39" s="38"/>
      <c r="B39" s="15"/>
      <c r="C39" s="15" t="s">
        <v>144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3">
      <c r="A40" s="39"/>
      <c r="B40" s="12"/>
      <c r="C40" s="12" t="s">
        <v>60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3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3">
      <c r="A42" s="39"/>
      <c r="B42" s="12"/>
      <c r="C42" s="28" t="s">
        <v>189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3">
      <c r="A43" s="38"/>
      <c r="B43" s="15"/>
      <c r="C43" s="27" t="s">
        <v>61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3">
      <c r="A44" s="39"/>
      <c r="B44" s="12"/>
      <c r="C44" s="28" t="s">
        <v>62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3">
      <c r="A45" s="38"/>
      <c r="B45" s="15"/>
      <c r="C45" s="15" t="s">
        <v>190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3">
      <c r="A46" s="39"/>
      <c r="B46" s="12" t="s">
        <v>63</v>
      </c>
      <c r="C46" s="28" t="s">
        <v>145</v>
      </c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3">
      <c r="A47" s="38"/>
      <c r="B47" s="15"/>
      <c r="C47" s="15" t="s">
        <v>146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3">
      <c r="A48" s="39"/>
      <c r="B48" s="12"/>
      <c r="C48" s="12" t="s">
        <v>147</v>
      </c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3">
      <c r="A49" s="38"/>
      <c r="B49" s="15"/>
      <c r="C49" s="15" t="s">
        <v>148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3">
      <c r="A50" s="39"/>
      <c r="B50" s="12"/>
      <c r="C50" s="12" t="s">
        <v>65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3">
      <c r="A51" s="38"/>
      <c r="B51" s="15"/>
      <c r="C51" s="15" t="s">
        <v>64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3">
      <c r="A52" s="39"/>
      <c r="B52" s="12"/>
      <c r="C52" s="12" t="s">
        <v>66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3">
      <c r="A53" s="38"/>
      <c r="B53" s="15"/>
      <c r="C53" s="15" t="s">
        <v>67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3">
      <c r="A54" s="39"/>
      <c r="B54" s="12"/>
      <c r="C54" s="12" t="s">
        <v>68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3">
      <c r="A55" s="38"/>
      <c r="B55" s="15"/>
      <c r="C55" s="15" t="s">
        <v>69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3">
      <c r="A56" s="39"/>
      <c r="B56" s="12"/>
      <c r="C56" s="12" t="s">
        <v>70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3">
      <c r="A57" s="38"/>
      <c r="B57" s="15"/>
      <c r="C57" s="15" t="s">
        <v>71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3">
      <c r="A58" s="39"/>
      <c r="B58" s="12"/>
      <c r="C58" s="12" t="s">
        <v>72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3">
      <c r="A59" s="38"/>
      <c r="B59" s="15"/>
      <c r="C59" s="15" t="s">
        <v>191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3">
      <c r="A60" s="39"/>
      <c r="B60" s="12"/>
      <c r="C60" s="12" t="s">
        <v>192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3">
      <c r="A61" s="38"/>
      <c r="B61" s="15"/>
      <c r="C61" s="15" t="s">
        <v>73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3">
      <c r="A62" s="38"/>
      <c r="B62" s="15" t="s">
        <v>25</v>
      </c>
      <c r="C62" s="15" t="s">
        <v>265</v>
      </c>
      <c r="D62" s="16"/>
      <c r="E62" s="52"/>
      <c r="F62" s="52"/>
      <c r="G62" s="52"/>
      <c r="H62" s="52"/>
      <c r="I62" s="52"/>
      <c r="J62" s="52"/>
      <c r="K62" s="52"/>
      <c r="L62" s="52"/>
      <c r="M62" s="52"/>
      <c r="N62" s="17"/>
      <c r="O62" s="26"/>
    </row>
    <row r="63" spans="1:15" x14ac:dyDescent="0.3">
      <c r="A63" s="38"/>
      <c r="B63" s="15"/>
      <c r="C63" s="15" t="s">
        <v>264</v>
      </c>
      <c r="D63" s="16"/>
      <c r="E63" s="52"/>
      <c r="F63" s="52"/>
      <c r="G63" s="52"/>
      <c r="H63" s="52"/>
      <c r="I63" s="52"/>
      <c r="J63" s="52"/>
      <c r="K63" s="52"/>
      <c r="L63" s="52"/>
      <c r="M63" s="52"/>
      <c r="N63" s="17"/>
      <c r="O63" s="26"/>
    </row>
    <row r="64" spans="1:15" x14ac:dyDescent="0.3">
      <c r="A64" s="39"/>
      <c r="B64" s="12"/>
      <c r="C64" s="12" t="s">
        <v>74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</row>
    <row r="65" spans="1:15" x14ac:dyDescent="0.3">
      <c r="A65" s="38"/>
      <c r="B65" s="15"/>
      <c r="C65" s="15" t="s">
        <v>75</v>
      </c>
      <c r="D65" s="16"/>
      <c r="E65" s="12"/>
      <c r="F65" s="12"/>
      <c r="G65" s="12"/>
      <c r="H65" s="12"/>
      <c r="I65" s="12"/>
      <c r="J65" s="12"/>
      <c r="K65" s="12"/>
      <c r="L65" s="12"/>
      <c r="M65" s="12"/>
      <c r="N65" s="17"/>
      <c r="O65" s="26"/>
    </row>
    <row r="66" spans="1:15" x14ac:dyDescent="0.3">
      <c r="A66" s="39"/>
      <c r="B66" s="12"/>
      <c r="C66" s="12" t="s">
        <v>76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</row>
    <row r="67" spans="1:15" x14ac:dyDescent="0.3">
      <c r="A67" s="38"/>
      <c r="B67" s="15"/>
      <c r="C67" s="15" t="s">
        <v>77</v>
      </c>
      <c r="D67" s="16"/>
      <c r="E67" s="12"/>
      <c r="F67" s="12"/>
      <c r="G67" s="12"/>
      <c r="H67" s="12"/>
      <c r="I67" s="12"/>
      <c r="J67" s="12"/>
      <c r="K67" s="12"/>
      <c r="L67" s="12"/>
      <c r="M67" s="12"/>
      <c r="N67" s="17"/>
      <c r="O67" s="26"/>
    </row>
    <row r="68" spans="1:15" x14ac:dyDescent="0.3">
      <c r="A68" s="39"/>
      <c r="B68" s="28"/>
      <c r="C68" s="28" t="s">
        <v>78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</row>
    <row r="69" spans="1:15" x14ac:dyDescent="0.3">
      <c r="A69" s="38"/>
      <c r="B69" s="15"/>
      <c r="C69" s="15" t="s">
        <v>79</v>
      </c>
      <c r="D69" s="16"/>
      <c r="E69" s="12"/>
      <c r="F69" s="12"/>
      <c r="G69" s="12"/>
      <c r="H69" s="12"/>
      <c r="I69" s="12"/>
      <c r="J69" s="12"/>
      <c r="K69" s="12"/>
      <c r="L69" s="12"/>
      <c r="M69" s="12"/>
      <c r="N69" s="17"/>
      <c r="O69" s="26"/>
    </row>
    <row r="70" spans="1:15" x14ac:dyDescent="0.3">
      <c r="A70" s="39"/>
      <c r="B70" s="12"/>
      <c r="C70" s="12" t="s">
        <v>80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40"/>
      <c r="O70" s="26"/>
    </row>
    <row r="71" spans="1:15" x14ac:dyDescent="0.3">
      <c r="A71" s="38"/>
      <c r="B71" s="15"/>
      <c r="C71" s="15" t="s">
        <v>81</v>
      </c>
      <c r="D71" s="16">
        <v>120</v>
      </c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3">
      <c r="A72" s="39"/>
      <c r="B72" s="12"/>
      <c r="C72" s="12" t="s">
        <v>82</v>
      </c>
      <c r="D72" s="13">
        <v>30</v>
      </c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3">
      <c r="A73" s="38"/>
      <c r="B73" s="15"/>
      <c r="C73" s="15" t="s">
        <v>193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3">
      <c r="A74" s="39"/>
      <c r="B74" s="12"/>
      <c r="C74" s="28" t="s">
        <v>194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3">
      <c r="A75" s="38"/>
      <c r="B75" s="15"/>
      <c r="C75" s="15" t="s">
        <v>83</v>
      </c>
      <c r="D75" s="16">
        <v>2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3">
      <c r="A76" s="39"/>
      <c r="B76" s="12"/>
      <c r="C76" s="28" t="s">
        <v>125</v>
      </c>
      <c r="D76" s="13" t="str">
        <f>"True"</f>
        <v>True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3">
      <c r="A77" s="38"/>
      <c r="B77" s="15"/>
      <c r="C77" s="15" t="s">
        <v>84</v>
      </c>
      <c r="D77" s="16" t="str">
        <f>"True"</f>
        <v>True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3">
      <c r="A78" s="39"/>
      <c r="B78" s="12"/>
      <c r="C78" s="12" t="s">
        <v>85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3">
      <c r="A79" s="38"/>
      <c r="B79" s="15"/>
      <c r="C79" s="15" t="s">
        <v>86</v>
      </c>
      <c r="D79" s="16">
        <v>500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3">
      <c r="A80" s="39"/>
      <c r="B80" s="12"/>
      <c r="C80" s="12" t="s">
        <v>87</v>
      </c>
      <c r="D80" s="13">
        <v>500</v>
      </c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3">
      <c r="A81" s="38"/>
      <c r="B81" s="15"/>
      <c r="C81" s="15" t="s">
        <v>88</v>
      </c>
      <c r="D81" s="16" t="str">
        <f>"False"</f>
        <v>False</v>
      </c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3">
      <c r="A82" s="39"/>
      <c r="B82" s="12"/>
      <c r="C82" s="12" t="s">
        <v>89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3">
      <c r="A83" s="38"/>
      <c r="B83" s="15"/>
      <c r="C83" s="15" t="s">
        <v>195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3">
      <c r="A84" s="39"/>
      <c r="B84" s="12"/>
      <c r="C84" s="12" t="s">
        <v>196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3">
      <c r="A85" s="38"/>
      <c r="B85" s="15" t="s">
        <v>90</v>
      </c>
      <c r="C85" s="15" t="s">
        <v>91</v>
      </c>
      <c r="D85" s="16" t="str">
        <f>"Off"</f>
        <v>Off</v>
      </c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3">
      <c r="A86" s="39"/>
      <c r="B86" s="12"/>
      <c r="C86" s="12" t="s">
        <v>92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3">
      <c r="A87" s="38"/>
      <c r="B87" s="15"/>
      <c r="C87" s="15" t="s">
        <v>93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3">
      <c r="A88" s="39"/>
      <c r="B88" s="12"/>
      <c r="C88" s="12" t="s">
        <v>197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3">
      <c r="A89" s="38"/>
      <c r="B89" s="15"/>
      <c r="C89" s="15" t="s">
        <v>198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3">
      <c r="A90" s="39"/>
      <c r="B90" s="12"/>
      <c r="C90" s="12" t="s">
        <v>199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3">
      <c r="A91" s="38"/>
      <c r="B91" s="15"/>
      <c r="C91" s="15" t="s">
        <v>94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3">
      <c r="A92" s="39"/>
      <c r="B92" s="12"/>
      <c r="C92" s="12" t="s">
        <v>200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3">
      <c r="A93" s="38"/>
      <c r="B93" s="15"/>
      <c r="C93" s="15" t="s">
        <v>95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3">
      <c r="A94" s="39"/>
      <c r="B94" s="12" t="s">
        <v>36</v>
      </c>
      <c r="C94" s="12" t="s">
        <v>96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3">
      <c r="A95" s="38"/>
      <c r="B95" s="15"/>
      <c r="C95" s="15" t="s">
        <v>97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3">
      <c r="A96" s="39"/>
      <c r="B96" s="12"/>
      <c r="C96" s="12" t="s">
        <v>98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3">
      <c r="A97" s="38"/>
      <c r="B97" s="15"/>
      <c r="C97" s="15" t="s">
        <v>99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3">
      <c r="A98" s="39"/>
      <c r="B98" s="12"/>
      <c r="C98" s="12" t="s">
        <v>100</v>
      </c>
      <c r="D98" s="13">
        <v>15</v>
      </c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3">
      <c r="A99" s="38"/>
      <c r="B99" s="15"/>
      <c r="C99" s="15" t="s">
        <v>201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3">
      <c r="A100" s="39"/>
      <c r="B100" s="12"/>
      <c r="C100" s="12" t="s">
        <v>101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3">
      <c r="A101" s="38"/>
      <c r="B101" s="15"/>
      <c r="C101" s="15" t="s">
        <v>126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3">
      <c r="A102" s="39"/>
      <c r="B102" s="12"/>
      <c r="C102" s="12" t="s">
        <v>102</v>
      </c>
      <c r="D102" s="13">
        <v>5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3">
      <c r="A103" s="38"/>
      <c r="B103" s="15"/>
      <c r="C103" s="15" t="s">
        <v>103</v>
      </c>
      <c r="D103" s="16">
        <v>15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3">
      <c r="A104" s="39"/>
      <c r="B104" s="12"/>
      <c r="C104" s="12" t="s">
        <v>104</v>
      </c>
      <c r="D104" s="13" t="str">
        <f>"False"</f>
        <v>False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3">
      <c r="A105" s="38"/>
      <c r="B105" s="15" t="s">
        <v>105</v>
      </c>
      <c r="C105" s="15" t="s">
        <v>106</v>
      </c>
      <c r="D105" s="16" t="str">
        <f>"False"</f>
        <v>False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3">
      <c r="A106" s="39"/>
      <c r="B106" s="12"/>
      <c r="C106" s="12" t="s">
        <v>107</v>
      </c>
      <c r="D106" s="13" t="s">
        <v>108</v>
      </c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3">
      <c r="A107" s="38"/>
      <c r="B107" s="15"/>
      <c r="C107" s="15" t="s">
        <v>109</v>
      </c>
      <c r="D107" s="16">
        <v>60</v>
      </c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3">
      <c r="A108" s="39"/>
      <c r="B108" s="12"/>
      <c r="C108" s="12" t="s">
        <v>202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3">
      <c r="A109" s="38"/>
      <c r="B109" s="15"/>
      <c r="C109" s="15" t="s">
        <v>203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</row>
    <row r="110" spans="1:15" x14ac:dyDescent="0.3">
      <c r="A110" s="39"/>
      <c r="B110" s="12"/>
      <c r="C110" s="12" t="s">
        <v>204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</row>
    <row r="111" spans="1:15" x14ac:dyDescent="0.3">
      <c r="A111" s="38"/>
      <c r="B111" s="5"/>
      <c r="C111" s="5" t="s">
        <v>110</v>
      </c>
      <c r="D111" s="6">
        <v>12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3">
      <c r="A112" s="39"/>
      <c r="B112" s="2"/>
      <c r="C112" s="2" t="s">
        <v>111</v>
      </c>
      <c r="D112" s="8" t="str">
        <f>"True"</f>
        <v>True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3">
      <c r="A113" s="38"/>
      <c r="B113" s="5"/>
      <c r="C113" s="5" t="s">
        <v>112</v>
      </c>
      <c r="D113" s="6" t="str">
        <f>"=support_line_width * 6.0"</f>
        <v>=support_line_width * 6.0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3">
      <c r="A114" s="39"/>
      <c r="B114" s="2"/>
      <c r="C114" s="2" t="s">
        <v>116</v>
      </c>
      <c r="D114" s="8"/>
      <c r="E114" s="2">
        <f t="shared" ref="E114:M114" si="1">MAX(CEILING(Nozzle_Diameter/2,0.04),E$5)</f>
        <v>0.32</v>
      </c>
      <c r="F114" s="2">
        <f t="shared" si="1"/>
        <v>0.32</v>
      </c>
      <c r="G114" s="2">
        <f t="shared" si="1"/>
        <v>0.32</v>
      </c>
      <c r="H114" s="2">
        <f t="shared" si="1"/>
        <v>0.4</v>
      </c>
      <c r="I114" s="2">
        <f t="shared" si="1"/>
        <v>0.48</v>
      </c>
      <c r="J114" s="2">
        <f t="shared" si="1"/>
        <v>0.56000000000000005</v>
      </c>
      <c r="K114" s="2">
        <f t="shared" si="1"/>
        <v>0.64</v>
      </c>
      <c r="L114" s="2">
        <f t="shared" si="1"/>
        <v>0.72</v>
      </c>
      <c r="M114" s="2">
        <f t="shared" si="1"/>
        <v>0.8</v>
      </c>
      <c r="N114" s="42"/>
      <c r="O114" s="26"/>
    </row>
    <row r="115" spans="1:15" x14ac:dyDescent="0.3">
      <c r="A115" s="38"/>
      <c r="B115" s="5"/>
      <c r="C115" s="5" t="s">
        <v>117</v>
      </c>
      <c r="D115" s="6">
        <f>Nozzle_Diameter*2</f>
        <v>1.2</v>
      </c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3">
      <c r="A116" s="39"/>
      <c r="B116" s="2"/>
      <c r="C116" s="2" t="s">
        <v>118</v>
      </c>
      <c r="D116" s="8">
        <f>Nozzle_Diameter/2</f>
        <v>0.3</v>
      </c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3">
      <c r="A117" s="38"/>
      <c r="B117" s="5"/>
      <c r="C117" s="5" t="s">
        <v>205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3">
      <c r="A118" s="39"/>
      <c r="B118" s="2"/>
      <c r="C118" s="2" t="s">
        <v>206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3">
      <c r="A119" s="38"/>
      <c r="B119" s="5"/>
      <c r="C119" s="5" t="s">
        <v>207</v>
      </c>
      <c r="D119" s="6"/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3">
      <c r="A120" s="39"/>
      <c r="B120" s="2"/>
      <c r="C120" s="2" t="s">
        <v>208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3">
      <c r="A121" s="38"/>
      <c r="B121" s="5"/>
      <c r="C121" s="5" t="s">
        <v>119</v>
      </c>
      <c r="D121" s="6" t="str">
        <f>"True"</f>
        <v>True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3">
      <c r="A122" s="39"/>
      <c r="B122" s="2"/>
      <c r="C122" s="2" t="s">
        <v>209</v>
      </c>
      <c r="D122" s="8"/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3">
      <c r="A123" s="38"/>
      <c r="B123" s="5"/>
      <c r="C123" s="5" t="s">
        <v>120</v>
      </c>
      <c r="D123" s="6">
        <v>80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3">
      <c r="A124" s="39"/>
      <c r="B124" s="2"/>
      <c r="C124" s="2" t="s">
        <v>121</v>
      </c>
      <c r="D124" s="8">
        <f>Nozzle_Diameter</f>
        <v>0.6</v>
      </c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3">
      <c r="A125" s="38"/>
      <c r="B125" s="5"/>
      <c r="C125" s="5" t="s">
        <v>122</v>
      </c>
      <c r="D125" s="6">
        <f>Nozzle_Diameter</f>
        <v>0.6</v>
      </c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3">
      <c r="A126" s="39"/>
      <c r="B126" s="2"/>
      <c r="C126" s="2" t="s">
        <v>210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3">
      <c r="A127" s="38"/>
      <c r="B127" s="5"/>
      <c r="C127" s="5" t="s">
        <v>211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3">
      <c r="A128" s="39"/>
      <c r="B128" s="2"/>
      <c r="C128" s="2" t="s">
        <v>212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3">
      <c r="A129" s="38"/>
      <c r="B129" s="5"/>
      <c r="C129" s="5" t="s">
        <v>213</v>
      </c>
      <c r="D129" s="6"/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3">
      <c r="A130" s="39"/>
      <c r="B130" s="2"/>
      <c r="C130" s="2" t="s">
        <v>214</v>
      </c>
      <c r="D130" s="8"/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3">
      <c r="A131" s="38"/>
      <c r="B131" s="5"/>
      <c r="C131" s="5" t="s">
        <v>114</v>
      </c>
      <c r="D131" s="6" t="str">
        <f>"False"</f>
        <v>False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3">
      <c r="A132" s="39"/>
      <c r="B132" s="2" t="s">
        <v>127</v>
      </c>
      <c r="C132" s="2" t="s">
        <v>128</v>
      </c>
      <c r="D132" s="8" t="s">
        <v>135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3">
      <c r="A133" s="38"/>
      <c r="B133" s="5"/>
      <c r="C133" s="5" t="s">
        <v>129</v>
      </c>
      <c r="D133" s="6">
        <v>3</v>
      </c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3">
      <c r="A134" s="39"/>
      <c r="B134" s="2"/>
      <c r="C134" s="2" t="s">
        <v>130</v>
      </c>
      <c r="D134" s="8">
        <v>5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3">
      <c r="A135" s="38"/>
      <c r="B135" s="5"/>
      <c r="C135" s="5" t="s">
        <v>215</v>
      </c>
      <c r="D135" s="6"/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3">
      <c r="A136" s="39"/>
      <c r="B136" s="2"/>
      <c r="C136" s="2" t="s">
        <v>1</v>
      </c>
      <c r="D136" s="8" t="str">
        <f>"=wall_line_width * 5.0"</f>
        <v>=wall_line_width * 5.0</v>
      </c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3">
      <c r="A137" s="38"/>
      <c r="B137" s="5"/>
      <c r="C137" s="5" t="s">
        <v>172</v>
      </c>
      <c r="D137" s="6">
        <v>3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3">
      <c r="A138" s="39"/>
      <c r="B138" s="2"/>
      <c r="C138" s="2" t="s">
        <v>216</v>
      </c>
      <c r="D138" s="8"/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3">
      <c r="A139" s="38"/>
      <c r="B139" s="5"/>
      <c r="C139" s="5" t="s">
        <v>131</v>
      </c>
      <c r="D139" s="6" t="s">
        <v>175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3">
      <c r="A140" s="39"/>
      <c r="B140" s="2"/>
      <c r="C140" s="2" t="s">
        <v>240</v>
      </c>
      <c r="D140" s="8"/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3">
      <c r="A141" s="38"/>
      <c r="B141" s="5" t="s">
        <v>132</v>
      </c>
      <c r="C141" s="5" t="s">
        <v>123</v>
      </c>
      <c r="D141" s="6" t="s">
        <v>175</v>
      </c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3">
      <c r="A142" s="39"/>
      <c r="B142" s="2" t="s">
        <v>133</v>
      </c>
      <c r="C142" s="2" t="s">
        <v>115</v>
      </c>
      <c r="D142" s="8" t="s">
        <v>176</v>
      </c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3">
      <c r="A143" s="38"/>
      <c r="B143" s="5"/>
      <c r="C143" s="5" t="s">
        <v>113</v>
      </c>
      <c r="D143" s="6">
        <v>0.2</v>
      </c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3">
      <c r="A144" s="39"/>
      <c r="B144" s="2"/>
      <c r="C144" s="2" t="s">
        <v>217</v>
      </c>
      <c r="D144" s="8"/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3">
      <c r="A145" s="38"/>
      <c r="B145" s="5"/>
      <c r="C145" s="5" t="s">
        <v>218</v>
      </c>
      <c r="D145" s="6"/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3">
      <c r="A146" s="39"/>
      <c r="B146" s="2"/>
      <c r="C146" s="2" t="s">
        <v>219</v>
      </c>
      <c r="D146" s="8"/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3">
      <c r="A147" s="38"/>
      <c r="B147" s="5"/>
      <c r="C147" s="5" t="s">
        <v>134</v>
      </c>
      <c r="D147" s="6" t="s">
        <v>175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3">
      <c r="A148" s="39"/>
      <c r="B148" s="2"/>
      <c r="C148" s="2" t="s">
        <v>124</v>
      </c>
      <c r="D148" s="8" t="s">
        <v>175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3">
      <c r="A149" s="38"/>
      <c r="B149" s="5"/>
      <c r="C149" s="5" t="s">
        <v>220</v>
      </c>
      <c r="D149" s="6" t="str">
        <f>"False"</f>
        <v>False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3">
      <c r="A150" s="39"/>
      <c r="B150" s="2"/>
      <c r="C150" s="2" t="s">
        <v>221</v>
      </c>
      <c r="D150" s="8" t="str">
        <f>"False"</f>
        <v>False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3">
      <c r="A151" s="38"/>
      <c r="B151" s="5"/>
      <c r="C151" s="5" t="s">
        <v>136</v>
      </c>
      <c r="D151" s="6" t="s">
        <v>176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3">
      <c r="A152" s="39"/>
      <c r="B152" s="2"/>
      <c r="C152" s="2" t="s">
        <v>137</v>
      </c>
      <c r="D152" s="8" t="s">
        <v>178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3">
      <c r="A153" s="38"/>
      <c r="B153" s="5"/>
      <c r="C153" s="5" t="s">
        <v>138</v>
      </c>
      <c r="D153" s="6" t="s">
        <v>177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3">
      <c r="A154" s="39"/>
      <c r="B154" s="2"/>
      <c r="C154" s="2" t="s">
        <v>139</v>
      </c>
      <c r="D154" s="8" t="s">
        <v>175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3">
      <c r="A155" s="38"/>
      <c r="B155" s="5"/>
      <c r="C155" s="5" t="s">
        <v>222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3">
      <c r="A156" s="39"/>
      <c r="B156" s="2"/>
      <c r="C156" s="2" t="s">
        <v>223</v>
      </c>
      <c r="D156" s="8" t="str">
        <f>"False"</f>
        <v>False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3">
      <c r="A157" s="38"/>
      <c r="B157" s="5"/>
      <c r="C157" s="5" t="s">
        <v>224</v>
      </c>
      <c r="D157" s="6" t="str">
        <f>"False"</f>
        <v>False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3">
      <c r="A158" s="39"/>
      <c r="B158" s="2"/>
      <c r="C158" s="2" t="s">
        <v>225</v>
      </c>
      <c r="D158" s="8" t="str">
        <f>"False"</f>
        <v>False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3">
      <c r="A159" s="38"/>
      <c r="B159" s="5"/>
      <c r="C159" s="5" t="s">
        <v>140</v>
      </c>
      <c r="D159" s="6" t="s">
        <v>176</v>
      </c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3">
      <c r="A160" s="39"/>
      <c r="B160" s="2"/>
      <c r="C160" s="2" t="s">
        <v>141</v>
      </c>
      <c r="D160" s="8">
        <v>0.08</v>
      </c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3">
      <c r="A161" s="38"/>
      <c r="B161" s="5"/>
      <c r="C161" s="5" t="s">
        <v>142</v>
      </c>
      <c r="D161" s="6">
        <v>0.04</v>
      </c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3">
      <c r="A162" s="39"/>
      <c r="B162" s="2"/>
      <c r="C162" s="2" t="s">
        <v>226</v>
      </c>
      <c r="D162" s="8"/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3">
      <c r="A163" s="38"/>
      <c r="B163" s="5"/>
      <c r="C163" s="5" t="s">
        <v>227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3">
      <c r="A164" s="39"/>
      <c r="B164" s="2"/>
      <c r="C164" s="2" t="s">
        <v>143</v>
      </c>
      <c r="D164" s="8" t="s">
        <v>175</v>
      </c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3">
      <c r="A165" s="38"/>
      <c r="B165" s="5"/>
      <c r="C165" s="5" t="s">
        <v>228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3">
      <c r="A166" s="39"/>
      <c r="B166" s="2"/>
      <c r="C166" s="2" t="s">
        <v>229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3">
      <c r="A167" s="38"/>
      <c r="B167" s="5"/>
      <c r="C167" s="5" t="s">
        <v>230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3">
      <c r="A168" s="39"/>
      <c r="B168" s="2"/>
      <c r="C168" s="2" t="s">
        <v>231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3">
      <c r="A169" s="38"/>
      <c r="B169" s="5"/>
      <c r="C169" s="5" t="s">
        <v>232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3">
      <c r="A170" s="39"/>
      <c r="B170" s="2"/>
      <c r="C170" s="2" t="s">
        <v>233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3">
      <c r="A171" s="38"/>
      <c r="B171" s="5"/>
      <c r="C171" s="5" t="s">
        <v>234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3">
      <c r="A172" s="39"/>
      <c r="B172" s="2"/>
      <c r="C172" s="2" t="s">
        <v>235</v>
      </c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3">
      <c r="A173" s="38"/>
      <c r="B173" s="5"/>
      <c r="C173" s="5" t="s">
        <v>4</v>
      </c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3">
      <c r="A174" s="39"/>
      <c r="B174" s="2"/>
      <c r="C174" s="2" t="s">
        <v>236</v>
      </c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3">
      <c r="A175" s="38"/>
      <c r="B175" s="5"/>
      <c r="C175" s="5" t="s">
        <v>242</v>
      </c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3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3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3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3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3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3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3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3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3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3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3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3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3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3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3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3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3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3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3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3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3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3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3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3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3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3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3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3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3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3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3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3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3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3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3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3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3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3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3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3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3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3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3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3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3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3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3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3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3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3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3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3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3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3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3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3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3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3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3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3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3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3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3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3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3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3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3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3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3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3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3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3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3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3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3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3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3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3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3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3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3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3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3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3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3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3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3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3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3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3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3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3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3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3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3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3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3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3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3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3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3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3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3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3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3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3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3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3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3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3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3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3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3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3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3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3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3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3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3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3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3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3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3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3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3">
      <c r="A300" s="39"/>
      <c r="B300" s="2"/>
      <c r="C300" s="2"/>
      <c r="D300" s="8"/>
      <c r="E300" s="2"/>
      <c r="F300" s="2"/>
      <c r="G300" s="2"/>
      <c r="H300" s="2"/>
      <c r="I300" s="2"/>
      <c r="J300" s="2"/>
      <c r="K300" s="2"/>
      <c r="L300" s="2"/>
      <c r="M300" s="2"/>
      <c r="N300" s="42"/>
      <c r="O300" s="26"/>
    </row>
    <row r="301" spans="1:15" x14ac:dyDescent="0.3">
      <c r="A301" s="38"/>
      <c r="B301" s="5"/>
      <c r="C301" s="5"/>
      <c r="D301" s="6"/>
      <c r="E301" s="5"/>
      <c r="F301" s="5"/>
      <c r="G301" s="5"/>
      <c r="H301" s="5"/>
      <c r="I301" s="5"/>
      <c r="J301" s="5"/>
      <c r="K301" s="5"/>
      <c r="L301" s="5"/>
      <c r="M301" s="5"/>
      <c r="N301" s="41"/>
      <c r="O301" s="26"/>
    </row>
    <row r="302" spans="1:15" x14ac:dyDescent="0.3">
      <c r="A302" s="43"/>
      <c r="B302" s="44"/>
      <c r="C302" s="44"/>
      <c r="D302" s="45"/>
      <c r="E302" s="44"/>
      <c r="F302" s="44"/>
      <c r="G302" s="44"/>
      <c r="H302" s="44"/>
      <c r="I302" s="44"/>
      <c r="J302" s="44"/>
      <c r="K302" s="44"/>
      <c r="L302" s="44"/>
      <c r="M302" s="44"/>
      <c r="N302" s="46"/>
      <c r="O302" s="26"/>
    </row>
    <row r="303" spans="1:15" x14ac:dyDescent="0.3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3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3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3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3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3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3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3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3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3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3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3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3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3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3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3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3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3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3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3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3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3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3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3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  <row r="327" spans="1:15" x14ac:dyDescent="0.3">
      <c r="A327" s="26"/>
      <c r="B327" s="26"/>
      <c r="C327" s="26"/>
      <c r="D327" s="3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</row>
    <row r="328" spans="1:15" x14ac:dyDescent="0.3">
      <c r="A328" s="26"/>
      <c r="B328" s="26"/>
      <c r="C328" s="26"/>
      <c r="D328" s="3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9CAD99-4783-4989-AAD8-9DF84CC8AD4A}">
          <x14:formula1>
            <xm:f>spec!$E$3:$E$12</xm:f>
          </x14:formula1>
          <xm:sqref>D62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2"/>
  <sheetViews>
    <sheetView tabSelected="1" workbookViewId="0">
      <pane ySplit="1" topLeftCell="A38" activePane="bottomLeft" state="frozen"/>
      <selection pane="bottomLeft" activeCell="E75" sqref="E75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11" style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3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3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169</v>
      </c>
      <c r="D9" s="16" t="s">
        <v>170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235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25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20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#Volumetric Max</v>
      </c>
      <c r="D62" s="16" t="s">
        <v>5</v>
      </c>
      <c r="E62" s="52">
        <f>IFERROR(VLOOKUP($D$62,spec!$E$3:$O$12,2,FALSE)/((Nozzle_Diameter*1.2)*E$1),0)</f>
        <v>92.592592592592609</v>
      </c>
      <c r="F62" s="52">
        <f>IFERROR(VLOOKUP($D$62,spec!$E$3:$O$12,2,FALSE)/((Nozzle_Diameter*1.2)*F$1),0)</f>
        <v>55.555555555555557</v>
      </c>
      <c r="G62" s="52">
        <f>IFERROR(VLOOKUP($D$62,spec!$E$3:$O$12,2,FALSE)/((Nozzle_Diameter*1.2)*G$1),0)</f>
        <v>34.722222222222221</v>
      </c>
      <c r="H62" s="52">
        <f>IFERROR(VLOOKUP($D$62,spec!$E$3:$O$12,2,FALSE)/((Nozzle_Diameter*1.2)*H$1),0)</f>
        <v>27.777777777777779</v>
      </c>
      <c r="I62" s="52">
        <f>IFERROR(VLOOKUP($D$62,spec!$E$3:$O$12,2,FALSE)/((Nozzle_Diameter*1.2)*I$1),0)</f>
        <v>23.148148148148152</v>
      </c>
      <c r="J62" s="52">
        <f>IFERROR(VLOOKUP($D$62,spec!$E$3:$O$12,2,FALSE)/((Nozzle_Diameter*1.2)*J$1),0)</f>
        <v>19.841269841269842</v>
      </c>
      <c r="K62" s="52">
        <f>IFERROR(VLOOKUP($D$62,spec!$E$3:$O$12,2,FALSE)/((Nozzle_Diameter*1.2)*K$1),0)</f>
        <v>17.361111111111111</v>
      </c>
      <c r="L62" s="52">
        <f>IFERROR(VLOOKUP($D$62,spec!$E$3:$O$12,2,FALSE)/((Nozzle_Diameter*1.2)*L$1),0)</f>
        <v>15.4320987654321</v>
      </c>
      <c r="M62" s="52">
        <f>IFERROR(VLOOKUP($D$62,spec!$E$3:$O$12,2,FALSE)/((Nozzle_Diameter*1.2)*M$1),0)</f>
        <v>13.888888888888889</v>
      </c>
      <c r="N62" s="17"/>
    </row>
    <row r="63" spans="1:14" x14ac:dyDescent="0.3">
      <c r="A63" s="31"/>
      <c r="B63" s="29" t="str">
        <f>Fill_Value(quality!B63)</f>
        <v/>
      </c>
      <c r="C63" s="29" t="str">
        <f>Fill_Value(quality!C63)</f>
        <v>#Manual Max</v>
      </c>
      <c r="D63" s="16">
        <v>60</v>
      </c>
      <c r="E63" s="13">
        <v>55</v>
      </c>
      <c r="F63" s="13">
        <v>50</v>
      </c>
      <c r="G63" s="13">
        <v>40</v>
      </c>
      <c r="H63" s="12">
        <v>35</v>
      </c>
      <c r="I63" s="12">
        <v>30</v>
      </c>
      <c r="J63" s="12">
        <v>25</v>
      </c>
      <c r="K63" s="12">
        <v>25</v>
      </c>
      <c r="L63" s="12">
        <v>20</v>
      </c>
      <c r="M63" s="12">
        <v>20</v>
      </c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speed_print</v>
      </c>
      <c r="D64" s="13">
        <v>60</v>
      </c>
      <c r="E64" s="12">
        <f t="shared" ref="E64:M70" si="0">GetSpeed($D64,E$63,E$62,SpeedType)</f>
        <v>55</v>
      </c>
      <c r="F64" s="12">
        <f t="shared" si="0"/>
        <v>50</v>
      </c>
      <c r="G64" s="12">
        <f t="shared" si="0"/>
        <v>35</v>
      </c>
      <c r="H64" s="12">
        <f t="shared" si="0"/>
        <v>28</v>
      </c>
      <c r="I64" s="12">
        <f t="shared" si="0"/>
        <v>23</v>
      </c>
      <c r="J64" s="12">
        <f t="shared" si="0"/>
        <v>20</v>
      </c>
      <c r="K64" s="12">
        <f t="shared" si="0"/>
        <v>17</v>
      </c>
      <c r="L64" s="12">
        <f t="shared" si="0"/>
        <v>15</v>
      </c>
      <c r="M64" s="12">
        <f t="shared" si="0"/>
        <v>14</v>
      </c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speed_infill</v>
      </c>
      <c r="D65" s="16">
        <v>45</v>
      </c>
      <c r="E65" s="12">
        <f t="shared" si="0"/>
        <v>45</v>
      </c>
      <c r="F65" s="12">
        <f t="shared" si="0"/>
        <v>45</v>
      </c>
      <c r="G65" s="12">
        <f t="shared" si="0"/>
        <v>35</v>
      </c>
      <c r="H65" s="12">
        <f t="shared" si="0"/>
        <v>28</v>
      </c>
      <c r="I65" s="12">
        <f t="shared" si="0"/>
        <v>23</v>
      </c>
      <c r="J65" s="12">
        <f t="shared" si="0"/>
        <v>20</v>
      </c>
      <c r="K65" s="12">
        <f t="shared" si="0"/>
        <v>17</v>
      </c>
      <c r="L65" s="12">
        <f t="shared" si="0"/>
        <v>15</v>
      </c>
      <c r="M65" s="12">
        <f t="shared" si="0"/>
        <v>14</v>
      </c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</v>
      </c>
      <c r="D66" s="13">
        <v>40</v>
      </c>
      <c r="E66" s="12">
        <f t="shared" si="0"/>
        <v>40</v>
      </c>
      <c r="F66" s="12">
        <f t="shared" si="0"/>
        <v>40</v>
      </c>
      <c r="G66" s="12">
        <f t="shared" si="0"/>
        <v>35</v>
      </c>
      <c r="H66" s="12">
        <f t="shared" si="0"/>
        <v>28</v>
      </c>
      <c r="I66" s="12">
        <f t="shared" si="0"/>
        <v>23</v>
      </c>
      <c r="J66" s="12">
        <f t="shared" si="0"/>
        <v>20</v>
      </c>
      <c r="K66" s="12">
        <f t="shared" si="0"/>
        <v>17</v>
      </c>
      <c r="L66" s="12">
        <f t="shared" si="0"/>
        <v>15</v>
      </c>
      <c r="M66" s="12">
        <f t="shared" si="0"/>
        <v>14</v>
      </c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12">
        <f t="shared" si="0"/>
        <v>35</v>
      </c>
      <c r="F67" s="12">
        <f t="shared" si="0"/>
        <v>35</v>
      </c>
      <c r="G67" s="12">
        <f t="shared" si="0"/>
        <v>35</v>
      </c>
      <c r="H67" s="12">
        <f t="shared" si="0"/>
        <v>28</v>
      </c>
      <c r="I67" s="12">
        <f t="shared" si="0"/>
        <v>23</v>
      </c>
      <c r="J67" s="12">
        <f t="shared" si="0"/>
        <v>20</v>
      </c>
      <c r="K67" s="12">
        <f t="shared" si="0"/>
        <v>17</v>
      </c>
      <c r="L67" s="12">
        <f t="shared" si="0"/>
        <v>15</v>
      </c>
      <c r="M67" s="12">
        <f t="shared" si="0"/>
        <v>14</v>
      </c>
      <c r="N67" s="17"/>
    </row>
    <row r="68" spans="1:14" x14ac:dyDescent="0.3">
      <c r="A68" s="31"/>
      <c r="B68" s="29" t="str">
        <f>Fill_Value(quality!B68)</f>
        <v/>
      </c>
      <c r="C68" s="29" t="str">
        <f>Fill_Value(quality!C68)</f>
        <v>speed_wall_x</v>
      </c>
      <c r="D68" s="13">
        <v>40</v>
      </c>
      <c r="E68" s="12">
        <f t="shared" si="0"/>
        <v>40</v>
      </c>
      <c r="F68" s="12">
        <f t="shared" si="0"/>
        <v>40</v>
      </c>
      <c r="G68" s="12">
        <f t="shared" si="0"/>
        <v>35</v>
      </c>
      <c r="H68" s="12">
        <f t="shared" si="0"/>
        <v>28</v>
      </c>
      <c r="I68" s="12">
        <f t="shared" si="0"/>
        <v>23</v>
      </c>
      <c r="J68" s="12">
        <f t="shared" si="0"/>
        <v>20</v>
      </c>
      <c r="K68" s="12">
        <f t="shared" si="0"/>
        <v>17</v>
      </c>
      <c r="L68" s="12">
        <f t="shared" si="0"/>
        <v>15</v>
      </c>
      <c r="M68" s="12">
        <f t="shared" si="0"/>
        <v>14</v>
      </c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12">
        <f t="shared" si="0"/>
        <v>35</v>
      </c>
      <c r="F69" s="12">
        <f t="shared" si="0"/>
        <v>35</v>
      </c>
      <c r="G69" s="12">
        <f t="shared" si="0"/>
        <v>35</v>
      </c>
      <c r="H69" s="12">
        <f t="shared" si="0"/>
        <v>28</v>
      </c>
      <c r="I69" s="12">
        <f t="shared" si="0"/>
        <v>23</v>
      </c>
      <c r="J69" s="12">
        <f t="shared" si="0"/>
        <v>20</v>
      </c>
      <c r="K69" s="12">
        <f t="shared" si="0"/>
        <v>17</v>
      </c>
      <c r="L69" s="12">
        <f t="shared" si="0"/>
        <v>15</v>
      </c>
      <c r="M69" s="12">
        <f t="shared" si="0"/>
        <v>14</v>
      </c>
      <c r="N69" s="19"/>
    </row>
    <row r="70" spans="1:14" x14ac:dyDescent="0.3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12">
        <f t="shared" si="0"/>
        <v>45</v>
      </c>
      <c r="F70" s="12">
        <f t="shared" si="0"/>
        <v>45</v>
      </c>
      <c r="G70" s="12">
        <f t="shared" si="0"/>
        <v>35</v>
      </c>
      <c r="H70" s="12">
        <f t="shared" si="0"/>
        <v>28</v>
      </c>
      <c r="I70" s="12">
        <f t="shared" si="0"/>
        <v>23</v>
      </c>
      <c r="J70" s="12">
        <f t="shared" si="0"/>
        <v>20</v>
      </c>
      <c r="K70" s="12">
        <f t="shared" si="0"/>
        <v>17</v>
      </c>
      <c r="L70" s="12">
        <f t="shared" si="0"/>
        <v>15</v>
      </c>
      <c r="M70" s="12">
        <f t="shared" si="0"/>
        <v>14</v>
      </c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55"/>
      <c r="F72" s="55"/>
      <c r="G72" s="55"/>
      <c r="H72" s="55"/>
      <c r="I72" s="55"/>
      <c r="J72" s="55"/>
      <c r="K72" s="55"/>
      <c r="L72" s="55"/>
      <c r="M72" s="55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</v>
      </c>
      <c r="D95" s="16">
        <v>50</v>
      </c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cool_fan_speed_min</v>
      </c>
      <c r="D96" s="13">
        <v>30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3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0.08</v>
      </c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0.08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1"/>
      <c r="B300" s="29" t="str">
        <f>Fill_Value(quality!B300)</f>
        <v/>
      </c>
      <c r="C300" s="29" t="str">
        <f>Fill_Value(quality!C300)</f>
        <v/>
      </c>
      <c r="D300" s="13"/>
      <c r="E300" s="12"/>
      <c r="F300" s="12"/>
      <c r="G300" s="12"/>
      <c r="H300" s="12"/>
      <c r="I300" s="12"/>
      <c r="J300" s="12"/>
      <c r="K300" s="12"/>
      <c r="L300" s="12"/>
      <c r="M300" s="12"/>
      <c r="N300" s="14"/>
    </row>
    <row r="301" spans="1:14" x14ac:dyDescent="0.3">
      <c r="A301" s="31"/>
      <c r="B301" s="29" t="str">
        <f>Fill_Value(quality!B301)</f>
        <v/>
      </c>
      <c r="C301" s="29" t="str">
        <f>Fill_Value(quality!C301)</f>
        <v/>
      </c>
      <c r="D301" s="16"/>
      <c r="E301" s="15"/>
      <c r="F301" s="15"/>
      <c r="G301" s="15"/>
      <c r="H301" s="15"/>
      <c r="I301" s="15"/>
      <c r="J301" s="15"/>
      <c r="K301" s="15"/>
      <c r="L301" s="15"/>
      <c r="M301" s="15"/>
      <c r="N301" s="17"/>
    </row>
    <row r="302" spans="1:14" x14ac:dyDescent="0.3">
      <c r="A302" s="32"/>
      <c r="B302" s="33" t="str">
        <f>Fill_Value(quality!B302)</f>
        <v/>
      </c>
      <c r="C302" s="33" t="str">
        <f>Fill_Value(quality!C302)</f>
        <v/>
      </c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C734A-5E8C-4834-8328-E89A5FEBBFAC}">
          <x14:formula1>
            <xm:f>spec!$E$3:$E$12</xm:f>
          </x14:formula1>
          <xm:sqref>D62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2"/>
  <sheetViews>
    <sheetView workbookViewId="0">
      <pane ySplit="1" topLeftCell="A32" activePane="bottomLeft" state="frozen"/>
      <selection pane="bottomLeft" activeCell="D52" sqref="D52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15.44140625" style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3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3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169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175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175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#Volumetric Max</v>
      </c>
      <c r="D62" s="16" t="s">
        <v>252</v>
      </c>
      <c r="E62" s="52">
        <f>IFERROR(VLOOKUP($D$62,spec!$E$3:$O$12,2,FALSE)/((Nozzle_Diameter*1.2)*E$1),0)</f>
        <v>133.10185185185188</v>
      </c>
      <c r="F62" s="52">
        <f>IFERROR(VLOOKUP($D$62,spec!$E$3:$O$12,2,FALSE)/((Nozzle_Diameter*1.2)*F$1),0)</f>
        <v>79.861111111111114</v>
      </c>
      <c r="G62" s="52">
        <f>IFERROR(VLOOKUP($D$62,spec!$E$3:$O$12,2,FALSE)/((Nozzle_Diameter*1.2)*G$1),0)</f>
        <v>49.913194444444443</v>
      </c>
      <c r="H62" s="52">
        <f>IFERROR(VLOOKUP($D$62,spec!$E$3:$O$12,2,FALSE)/((Nozzle_Diameter*1.2)*H$1),0)</f>
        <v>39.930555555555557</v>
      </c>
      <c r="I62" s="52">
        <f>IFERROR(VLOOKUP($D$62,spec!$E$3:$O$12,2,FALSE)/((Nozzle_Diameter*1.2)*I$1),0)</f>
        <v>33.275462962962969</v>
      </c>
      <c r="J62" s="52">
        <f>IFERROR(VLOOKUP($D$62,spec!$E$3:$O$12,2,FALSE)/((Nozzle_Diameter*1.2)*J$1),0)</f>
        <v>28.521825396825395</v>
      </c>
      <c r="K62" s="52">
        <f>IFERROR(VLOOKUP($D$62,spec!$E$3:$O$12,2,FALSE)/((Nozzle_Diameter*1.2)*K$1),0)</f>
        <v>24.956597222222221</v>
      </c>
      <c r="L62" s="52">
        <f>IFERROR(VLOOKUP($D$62,spec!$E$3:$O$12,2,FALSE)/((Nozzle_Diameter*1.2)*L$1),0)</f>
        <v>22.183641975308642</v>
      </c>
      <c r="M62" s="52">
        <f>IFERROR(VLOOKUP($D$62,spec!$E$3:$O$12,2,FALSE)/((Nozzle_Diameter*1.2)*M$1),0)</f>
        <v>19.965277777777779</v>
      </c>
      <c r="N62" s="17"/>
    </row>
    <row r="63" spans="1:14" x14ac:dyDescent="0.3">
      <c r="A63" s="31"/>
      <c r="B63" s="29" t="str">
        <f>Fill_Value(quality!B63)</f>
        <v/>
      </c>
      <c r="C63" s="29" t="str">
        <f>Fill_Value(quality!C63)</f>
        <v>#Manual Max</v>
      </c>
      <c r="D63" s="16">
        <v>90</v>
      </c>
      <c r="E63" s="12">
        <v>80</v>
      </c>
      <c r="F63" s="12">
        <v>70</v>
      </c>
      <c r="G63" s="12">
        <v>55</v>
      </c>
      <c r="H63" s="12">
        <v>45</v>
      </c>
      <c r="I63" s="12">
        <v>40</v>
      </c>
      <c r="J63" s="12">
        <v>35</v>
      </c>
      <c r="K63" s="12">
        <v>30</v>
      </c>
      <c r="L63" s="12">
        <v>25</v>
      </c>
      <c r="M63" s="12">
        <v>22</v>
      </c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speed_print</v>
      </c>
      <c r="D64" s="13">
        <v>90</v>
      </c>
      <c r="E64" s="12">
        <f t="shared" ref="E64:M70" si="0">GetSpeed($D64,E$63,E$62,SpeedType)</f>
        <v>80</v>
      </c>
      <c r="F64" s="12">
        <f t="shared" si="0"/>
        <v>70</v>
      </c>
      <c r="G64" s="12">
        <f t="shared" si="0"/>
        <v>50</v>
      </c>
      <c r="H64" s="12">
        <f t="shared" si="0"/>
        <v>40</v>
      </c>
      <c r="I64" s="12">
        <f t="shared" si="0"/>
        <v>33</v>
      </c>
      <c r="J64" s="12">
        <f t="shared" si="0"/>
        <v>29</v>
      </c>
      <c r="K64" s="12">
        <f t="shared" si="0"/>
        <v>25</v>
      </c>
      <c r="L64" s="12">
        <f t="shared" si="0"/>
        <v>22</v>
      </c>
      <c r="M64" s="12">
        <f t="shared" si="0"/>
        <v>20</v>
      </c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speed_infill</v>
      </c>
      <c r="D65" s="16">
        <v>65</v>
      </c>
      <c r="E65" s="12">
        <f t="shared" si="0"/>
        <v>65</v>
      </c>
      <c r="F65" s="12">
        <f t="shared" si="0"/>
        <v>65</v>
      </c>
      <c r="G65" s="12">
        <f t="shared" si="0"/>
        <v>50</v>
      </c>
      <c r="H65" s="12">
        <f t="shared" si="0"/>
        <v>40</v>
      </c>
      <c r="I65" s="12">
        <f t="shared" si="0"/>
        <v>33</v>
      </c>
      <c r="J65" s="12">
        <f t="shared" si="0"/>
        <v>29</v>
      </c>
      <c r="K65" s="12">
        <f t="shared" si="0"/>
        <v>25</v>
      </c>
      <c r="L65" s="12">
        <f t="shared" si="0"/>
        <v>22</v>
      </c>
      <c r="M65" s="12">
        <f t="shared" si="0"/>
        <v>20</v>
      </c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</v>
      </c>
      <c r="D66" s="13">
        <v>45</v>
      </c>
      <c r="E66" s="12">
        <f t="shared" si="0"/>
        <v>45</v>
      </c>
      <c r="F66" s="12">
        <f t="shared" si="0"/>
        <v>45</v>
      </c>
      <c r="G66" s="12">
        <f t="shared" si="0"/>
        <v>45</v>
      </c>
      <c r="H66" s="12">
        <f t="shared" si="0"/>
        <v>40</v>
      </c>
      <c r="I66" s="12">
        <f t="shared" si="0"/>
        <v>33</v>
      </c>
      <c r="J66" s="12">
        <f t="shared" si="0"/>
        <v>29</v>
      </c>
      <c r="K66" s="12">
        <f t="shared" si="0"/>
        <v>25</v>
      </c>
      <c r="L66" s="12">
        <f t="shared" si="0"/>
        <v>22</v>
      </c>
      <c r="M66" s="12">
        <f t="shared" si="0"/>
        <v>20</v>
      </c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12">
        <f t="shared" si="0"/>
        <v>35</v>
      </c>
      <c r="F67" s="12">
        <f t="shared" si="0"/>
        <v>35</v>
      </c>
      <c r="G67" s="12">
        <f t="shared" si="0"/>
        <v>35</v>
      </c>
      <c r="H67" s="12">
        <f t="shared" si="0"/>
        <v>35</v>
      </c>
      <c r="I67" s="12">
        <f t="shared" si="0"/>
        <v>33</v>
      </c>
      <c r="J67" s="12">
        <f t="shared" si="0"/>
        <v>29</v>
      </c>
      <c r="K67" s="12">
        <f t="shared" si="0"/>
        <v>25</v>
      </c>
      <c r="L67" s="12">
        <f t="shared" si="0"/>
        <v>22</v>
      </c>
      <c r="M67" s="12">
        <f t="shared" si="0"/>
        <v>20</v>
      </c>
      <c r="N67" s="17"/>
    </row>
    <row r="68" spans="1:14" x14ac:dyDescent="0.3">
      <c r="A68" s="31"/>
      <c r="B68" s="29" t="str">
        <f>Fill_Value(quality!B68)</f>
        <v/>
      </c>
      <c r="C68" s="29" t="str">
        <f>Fill_Value(quality!C68)</f>
        <v>speed_wall_x</v>
      </c>
      <c r="D68" s="13">
        <v>45</v>
      </c>
      <c r="E68" s="12">
        <f t="shared" si="0"/>
        <v>45</v>
      </c>
      <c r="F68" s="12">
        <f t="shared" si="0"/>
        <v>45</v>
      </c>
      <c r="G68" s="12">
        <f t="shared" si="0"/>
        <v>45</v>
      </c>
      <c r="H68" s="12">
        <f t="shared" si="0"/>
        <v>40</v>
      </c>
      <c r="I68" s="12">
        <f t="shared" si="0"/>
        <v>33</v>
      </c>
      <c r="J68" s="12">
        <f t="shared" si="0"/>
        <v>29</v>
      </c>
      <c r="K68" s="12">
        <f t="shared" si="0"/>
        <v>25</v>
      </c>
      <c r="L68" s="12">
        <f t="shared" si="0"/>
        <v>22</v>
      </c>
      <c r="M68" s="12">
        <f t="shared" si="0"/>
        <v>20</v>
      </c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12">
        <f t="shared" si="0"/>
        <v>35</v>
      </c>
      <c r="F69" s="12">
        <f t="shared" si="0"/>
        <v>35</v>
      </c>
      <c r="G69" s="12">
        <f t="shared" si="0"/>
        <v>35</v>
      </c>
      <c r="H69" s="12">
        <f t="shared" si="0"/>
        <v>35</v>
      </c>
      <c r="I69" s="12">
        <f t="shared" si="0"/>
        <v>33</v>
      </c>
      <c r="J69" s="12">
        <f t="shared" si="0"/>
        <v>29</v>
      </c>
      <c r="K69" s="12">
        <f t="shared" si="0"/>
        <v>25</v>
      </c>
      <c r="L69" s="12">
        <f t="shared" si="0"/>
        <v>22</v>
      </c>
      <c r="M69" s="12">
        <f t="shared" si="0"/>
        <v>20</v>
      </c>
      <c r="N69" s="19"/>
    </row>
    <row r="70" spans="1:14" x14ac:dyDescent="0.3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12">
        <f t="shared" si="0"/>
        <v>45</v>
      </c>
      <c r="F70" s="12">
        <f t="shared" si="0"/>
        <v>45</v>
      </c>
      <c r="G70" s="12">
        <f t="shared" si="0"/>
        <v>45</v>
      </c>
      <c r="H70" s="12">
        <f t="shared" si="0"/>
        <v>40</v>
      </c>
      <c r="I70" s="12">
        <f t="shared" si="0"/>
        <v>33</v>
      </c>
      <c r="J70" s="12">
        <f t="shared" si="0"/>
        <v>29</v>
      </c>
      <c r="K70" s="12">
        <f t="shared" si="0"/>
        <v>25</v>
      </c>
      <c r="L70" s="12">
        <f t="shared" si="0"/>
        <v>22</v>
      </c>
      <c r="M70" s="12">
        <f t="shared" si="0"/>
        <v>20</v>
      </c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</v>
      </c>
      <c r="D95" s="16">
        <v>100</v>
      </c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cool_fan_speed_min</v>
      </c>
      <c r="D96" s="13">
        <v>100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2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</v>
      </c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0.03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1"/>
      <c r="B300" s="29" t="str">
        <f>Fill_Value(quality!B300)</f>
        <v/>
      </c>
      <c r="C300" s="29" t="str">
        <f>Fill_Value(quality!C300)</f>
        <v/>
      </c>
      <c r="D300" s="13"/>
      <c r="E300" s="12"/>
      <c r="F300" s="12"/>
      <c r="G300" s="12"/>
      <c r="H300" s="12"/>
      <c r="I300" s="12"/>
      <c r="J300" s="12"/>
      <c r="K300" s="12"/>
      <c r="L300" s="12"/>
      <c r="M300" s="12"/>
      <c r="N300" s="14"/>
    </row>
    <row r="301" spans="1:14" x14ac:dyDescent="0.3">
      <c r="A301" s="31"/>
      <c r="B301" s="29" t="str">
        <f>Fill_Value(quality!B301)</f>
        <v/>
      </c>
      <c r="C301" s="29" t="str">
        <f>Fill_Value(quality!C301)</f>
        <v/>
      </c>
      <c r="D301" s="16"/>
      <c r="E301" s="15"/>
      <c r="F301" s="15"/>
      <c r="G301" s="15"/>
      <c r="H301" s="15"/>
      <c r="I301" s="15"/>
      <c r="J301" s="15"/>
      <c r="K301" s="15"/>
      <c r="L301" s="15"/>
      <c r="M301" s="15"/>
      <c r="N301" s="17"/>
    </row>
    <row r="302" spans="1:14" x14ac:dyDescent="0.3">
      <c r="A302" s="32"/>
      <c r="B302" s="33" t="str">
        <f>Fill_Value(quality!B302)</f>
        <v/>
      </c>
      <c r="C302" s="33" t="str">
        <f>Fill_Value(quality!C302)</f>
        <v/>
      </c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A5D8E8-9DC7-46D3-8FE0-6EC606C290D5}">
          <x14:formula1>
            <xm:f>spec!$E$3:$E$12</xm:f>
          </x14:formula1>
          <xm:sqref>D62</xm:sqref>
        </x14:dataValidation>
      </x14:dataValidations>
    </ext>
  </extLst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spec</vt:lpstr>
      <vt:lpstr>printer</vt:lpstr>
      <vt:lpstr>quality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Meterial_Thickness</vt:lpstr>
      <vt:lpstr>Min_Layer_Height</vt:lpstr>
      <vt:lpstr>Nozzle_Diameter</vt:lpstr>
      <vt:lpstr>PRINTER_DEF</vt:lpstr>
      <vt:lpstr>Printer_Name</vt:lpstr>
      <vt:lpstr>SpeedType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2019-09-18T21:54:12Z</dcterms:modified>
</cp:coreProperties>
</file>