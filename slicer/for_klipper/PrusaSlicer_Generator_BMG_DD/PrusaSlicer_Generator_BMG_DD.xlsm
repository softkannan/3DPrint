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GitHub\3DPrint\slicer\for_klipper\PrusaSlicer_Generator_BMG_DD\"/>
    </mc:Choice>
  </mc:AlternateContent>
  <xr:revisionPtr revIDLastSave="0" documentId="13_ncr:1_{03E1E323-2E92-4CE6-B26C-A9AE696CE594}" xr6:coauthVersionLast="45" xr6:coauthVersionMax="45" xr10:uidLastSave="{00000000-0000-0000-0000-000000000000}"/>
  <bookViews>
    <workbookView xWindow="-108" yWindow="-108" windowWidth="30936" windowHeight="16920" activeTab="5"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8" i="11" l="1"/>
  <c r="C28" i="2"/>
  <c r="C28" i="10"/>
  <c r="F79" i="2"/>
  <c r="G79" i="2"/>
  <c r="C79" i="10"/>
  <c r="C79" i="11"/>
  <c r="K16" i="6"/>
  <c r="J16" i="6"/>
  <c r="K15" i="6"/>
  <c r="J15" i="6"/>
  <c r="K14" i="6"/>
  <c r="J3" i="6"/>
  <c r="J14" i="6" s="1"/>
  <c r="K3" i="6"/>
  <c r="F89" i="2"/>
  <c r="F86" i="2"/>
  <c r="F84" i="2"/>
  <c r="F82" i="2"/>
  <c r="F80" i="2"/>
  <c r="G89" i="2"/>
  <c r="G86" i="2"/>
  <c r="G84" i="2"/>
  <c r="G82" i="2"/>
  <c r="G80" i="2"/>
  <c r="F88" i="2"/>
  <c r="F85" i="2"/>
  <c r="F83" i="2"/>
  <c r="F81" i="2"/>
  <c r="G88" i="2"/>
  <c r="G85" i="2"/>
  <c r="G83" i="2"/>
  <c r="G81" i="2"/>
  <c r="B3" i="6" l="1"/>
  <c r="B4" i="6" s="1"/>
  <c r="N15" i="11"/>
  <c r="L15" i="11"/>
  <c r="H16" i="11"/>
  <c r="D15" i="11"/>
  <c r="D16" i="2"/>
  <c r="N15" i="2"/>
  <c r="J16" i="2"/>
  <c r="K16" i="2"/>
  <c r="H15" i="11"/>
  <c r="I16" i="10"/>
  <c r="E16" i="10"/>
  <c r="H16" i="10"/>
  <c r="K15" i="10"/>
  <c r="N15" i="10"/>
  <c r="M102" i="2"/>
  <c r="N102" i="2"/>
  <c r="J15" i="2"/>
  <c r="D15" i="2"/>
  <c r="E16" i="2"/>
  <c r="L16" i="2"/>
  <c r="M16" i="2"/>
  <c r="N16" i="11"/>
  <c r="E15" i="11"/>
  <c r="I15" i="2"/>
  <c r="E15" i="2"/>
  <c r="M15" i="10"/>
  <c r="I15" i="10"/>
  <c r="D15" i="10"/>
  <c r="L16" i="10"/>
  <c r="J16" i="10"/>
  <c r="J102" i="2"/>
  <c r="D102" i="2"/>
  <c r="J15" i="11"/>
  <c r="D16" i="11"/>
  <c r="H15" i="2"/>
  <c r="M15" i="2"/>
  <c r="I16" i="11"/>
  <c r="E16" i="11"/>
  <c r="H16" i="2"/>
  <c r="I15" i="11"/>
  <c r="J16" i="11"/>
  <c r="L15" i="10"/>
  <c r="N16" i="10"/>
  <c r="E15" i="10"/>
  <c r="J15" i="10"/>
  <c r="I102" i="2"/>
  <c r="H102" i="2"/>
  <c r="L102" i="2"/>
  <c r="M16" i="11"/>
  <c r="N16" i="2"/>
  <c r="M15" i="11"/>
  <c r="K15" i="11"/>
  <c r="K16" i="11"/>
  <c r="K15" i="2"/>
  <c r="L16" i="11"/>
  <c r="I16" i="2"/>
  <c r="L15" i="2"/>
  <c r="M16" i="10"/>
  <c r="D16" i="10"/>
  <c r="K16" i="10"/>
  <c r="H15" i="10"/>
  <c r="E102" i="2"/>
  <c r="K102" i="2"/>
  <c r="K79" i="2" l="1"/>
  <c r="E79" i="2"/>
  <c r="L79" i="2"/>
  <c r="H79" i="2"/>
  <c r="I79" i="2"/>
  <c r="D79" i="2"/>
  <c r="J79" i="2"/>
  <c r="N79" i="2"/>
  <c r="M79" i="2"/>
  <c r="C159" i="1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12" i="13"/>
  <c r="B4" i="13"/>
  <c r="F4" i="13" l="1"/>
  <c r="E4" i="13"/>
  <c r="F12" i="13"/>
  <c r="E12" i="13"/>
  <c r="H12" i="13"/>
  <c r="C12" i="13"/>
  <c r="J4" i="13"/>
  <c r="H4" i="13"/>
  <c r="D4" i="13"/>
  <c r="G12" i="13"/>
  <c r="M4" i="13"/>
  <c r="J12" i="13"/>
  <c r="K12" i="13"/>
  <c r="I4" i="13"/>
  <c r="I12" i="13"/>
  <c r="C4" i="13"/>
  <c r="L12" i="13"/>
  <c r="G4" i="13"/>
  <c r="L4" i="13"/>
  <c r="M12" i="13"/>
  <c r="D12" i="13"/>
  <c r="K4" i="13"/>
  <c r="C75" i="11"/>
  <c r="C67" i="11"/>
  <c r="C72" i="11"/>
  <c r="B6" i="13"/>
  <c r="B5" i="13"/>
  <c r="B10" i="13"/>
  <c r="B8" i="13"/>
  <c r="B14" i="13"/>
  <c r="B3" i="13"/>
  <c r="E30" i="3"/>
  <c r="B15" i="13"/>
  <c r="B16" i="13"/>
  <c r="B17" i="13"/>
  <c r="B9" i="13"/>
  <c r="B13" i="13"/>
  <c r="B11" i="13"/>
  <c r="B7" i="13"/>
  <c r="E102" i="11"/>
  <c r="M102" i="11"/>
  <c r="J102" i="11"/>
  <c r="N102" i="11"/>
  <c r="I102" i="11"/>
  <c r="H102" i="11"/>
  <c r="L102" i="11"/>
  <c r="K102" i="11"/>
  <c r="D102" i="11"/>
  <c r="G102" i="11"/>
  <c r="F102" i="11"/>
  <c r="F79" i="11" l="1"/>
  <c r="G79" i="11"/>
  <c r="D79" i="11"/>
  <c r="K79" i="11"/>
  <c r="L79" i="11"/>
  <c r="H79" i="11"/>
  <c r="I79" i="11"/>
  <c r="N79" i="11"/>
  <c r="J79" i="11"/>
  <c r="M79" i="11"/>
  <c r="E79" i="11"/>
  <c r="E7" i="13"/>
  <c r="F7" i="13"/>
  <c r="E9" i="13"/>
  <c r="F9" i="13"/>
  <c r="E11" i="13"/>
  <c r="F11" i="13"/>
  <c r="E3" i="13"/>
  <c r="F3" i="13"/>
  <c r="F8" i="13"/>
  <c r="E8" i="13"/>
  <c r="F10" i="13"/>
  <c r="E10" i="13"/>
  <c r="E5" i="13"/>
  <c r="F5" i="13"/>
  <c r="F6" i="13"/>
  <c r="E6" i="13"/>
  <c r="C8" i="13"/>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F80" i="11"/>
  <c r="F82" i="11"/>
  <c r="F86" i="11"/>
  <c r="F84" i="11"/>
  <c r="F89" i="11"/>
  <c r="F81" i="11"/>
  <c r="F83" i="11"/>
  <c r="F85" i="11"/>
  <c r="F88" i="11"/>
  <c r="G84" i="11"/>
  <c r="G89" i="11"/>
  <c r="G80" i="11"/>
  <c r="G82" i="11"/>
  <c r="G86" i="11"/>
  <c r="G81" i="11"/>
  <c r="G83" i="11"/>
  <c r="G85" i="11"/>
  <c r="G88" i="11"/>
  <c r="J30" i="3"/>
  <c r="C59" i="5"/>
  <c r="C63" i="5"/>
  <c r="C68" i="5"/>
  <c r="D30" i="3"/>
  <c r="C67" i="5"/>
  <c r="C65" i="5"/>
  <c r="C71" i="5"/>
  <c r="I30" i="3"/>
  <c r="F30" i="3"/>
  <c r="C60" i="5"/>
  <c r="C6" i="5"/>
  <c r="C64" i="5"/>
  <c r="H30" i="3"/>
  <c r="G30" i="3"/>
  <c r="C5" i="5"/>
  <c r="C66" i="5"/>
  <c r="J102" i="10"/>
  <c r="N102" i="10"/>
  <c r="K102" i="10"/>
  <c r="I102" i="10"/>
  <c r="L102" i="10"/>
  <c r="H102" i="10"/>
  <c r="E102" i="10"/>
  <c r="M102" i="10"/>
  <c r="D102" i="10"/>
  <c r="G102" i="10"/>
  <c r="F102" i="10"/>
  <c r="F79" i="10" l="1"/>
  <c r="G79" i="10"/>
  <c r="D79" i="10"/>
  <c r="M79" i="10"/>
  <c r="E79" i="10"/>
  <c r="H79" i="10"/>
  <c r="L79" i="10"/>
  <c r="I79" i="10"/>
  <c r="K79" i="10"/>
  <c r="N79" i="10"/>
  <c r="J79" i="10"/>
  <c r="I3" i="6"/>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F83" i="10"/>
  <c r="F84" i="10"/>
  <c r="F86" i="10"/>
  <c r="F82" i="10"/>
  <c r="F89" i="10"/>
  <c r="F88" i="10"/>
  <c r="F81" i="10"/>
  <c r="F80" i="10"/>
  <c r="F85" i="10"/>
  <c r="G83" i="10"/>
  <c r="G80" i="10"/>
  <c r="G81" i="10"/>
  <c r="G86" i="10"/>
  <c r="G89" i="10"/>
  <c r="G84" i="10"/>
  <c r="G88" i="10"/>
  <c r="G85" i="10"/>
  <c r="G82" i="10"/>
  <c r="C136" i="11" l="1"/>
  <c r="C99" i="11"/>
  <c r="C98" i="11"/>
  <c r="C97" i="11"/>
  <c r="C96" i="11"/>
  <c r="C95" i="11"/>
  <c r="C87" i="11"/>
  <c r="C50" i="11"/>
  <c r="C40" i="11"/>
  <c r="J67" i="3"/>
  <c r="D66" i="3"/>
  <c r="I66" i="3"/>
  <c r="I67" i="3"/>
  <c r="I11" i="11"/>
  <c r="H80" i="11"/>
  <c r="H81" i="11"/>
  <c r="E82" i="11"/>
  <c r="J86" i="11"/>
  <c r="I86" i="11"/>
  <c r="L89" i="11"/>
  <c r="I89" i="11"/>
  <c r="K89" i="11"/>
  <c r="N84" i="11"/>
  <c r="M80" i="11"/>
  <c r="L11" i="2"/>
  <c r="I82" i="11"/>
  <c r="J84" i="11"/>
  <c r="J81" i="11"/>
  <c r="N11" i="11"/>
  <c r="J89" i="11"/>
  <c r="J83" i="11"/>
  <c r="D86" i="11"/>
  <c r="I83" i="11"/>
  <c r="N11" i="2"/>
  <c r="H89" i="11"/>
  <c r="E86" i="11"/>
  <c r="M85" i="11"/>
  <c r="E83" i="11"/>
  <c r="E86" i="10"/>
  <c r="H83" i="10"/>
  <c r="M81" i="10"/>
  <c r="N82" i="10"/>
  <c r="D83" i="10"/>
  <c r="D85" i="10"/>
  <c r="E81" i="10"/>
  <c r="I80" i="10"/>
  <c r="H84" i="10"/>
  <c r="L81" i="10"/>
  <c r="D84" i="10"/>
  <c r="J84" i="10"/>
  <c r="E82" i="10"/>
  <c r="J11" i="10"/>
  <c r="K88" i="10"/>
  <c r="K86" i="10"/>
  <c r="I89" i="10"/>
  <c r="N88" i="10"/>
  <c r="K11" i="10"/>
  <c r="K82" i="10"/>
  <c r="D89" i="10"/>
  <c r="K81" i="10"/>
  <c r="H88" i="2"/>
  <c r="J89" i="2"/>
  <c r="N82" i="2"/>
  <c r="H80" i="2"/>
  <c r="K88" i="2"/>
  <c r="I86" i="2"/>
  <c r="D83" i="2"/>
  <c r="E88" i="2"/>
  <c r="J82" i="2"/>
  <c r="N85" i="2"/>
  <c r="E66" i="3"/>
  <c r="I89" i="2"/>
  <c r="M85" i="2"/>
  <c r="N86" i="2"/>
  <c r="N84" i="2"/>
  <c r="D88" i="2"/>
  <c r="I81" i="2"/>
  <c r="H83" i="2"/>
  <c r="I88" i="2"/>
  <c r="H84" i="2"/>
  <c r="N80" i="2"/>
  <c r="H66" i="3"/>
  <c r="H67" i="3"/>
  <c r="E67" i="3"/>
  <c r="J66" i="3"/>
  <c r="D89" i="11"/>
  <c r="L80" i="11"/>
  <c r="M86" i="11"/>
  <c r="L11" i="11"/>
  <c r="E81" i="11"/>
  <c r="D84" i="11"/>
  <c r="E88" i="11"/>
  <c r="J11" i="2"/>
  <c r="N88" i="11"/>
  <c r="L82" i="11"/>
  <c r="J85" i="11"/>
  <c r="J11" i="11"/>
  <c r="J88" i="11"/>
  <c r="K82" i="11"/>
  <c r="L85" i="11"/>
  <c r="N81" i="11"/>
  <c r="M11" i="2"/>
  <c r="N89" i="11"/>
  <c r="L86" i="11"/>
  <c r="D81" i="11"/>
  <c r="D11" i="11"/>
  <c r="D88" i="11"/>
  <c r="I80" i="11"/>
  <c r="N80" i="11"/>
  <c r="K85" i="11"/>
  <c r="D81" i="10"/>
  <c r="H85" i="10"/>
  <c r="I11" i="10"/>
  <c r="L83" i="10"/>
  <c r="N89" i="10"/>
  <c r="I88" i="10"/>
  <c r="L84" i="10"/>
  <c r="E88" i="10"/>
  <c r="M89" i="10"/>
  <c r="H80" i="10"/>
  <c r="J80" i="10"/>
  <c r="M88" i="10"/>
  <c r="D80" i="10"/>
  <c r="L11" i="10"/>
  <c r="N81" i="10"/>
  <c r="L89" i="10"/>
  <c r="D88" i="10"/>
  <c r="I81" i="10"/>
  <c r="J86" i="10"/>
  <c r="H88" i="10"/>
  <c r="M11" i="10"/>
  <c r="M82" i="10"/>
  <c r="N88" i="2"/>
  <c r="J84" i="2"/>
  <c r="L83" i="2"/>
  <c r="J85" i="2"/>
  <c r="D67" i="3"/>
  <c r="C92" i="5"/>
  <c r="F66" i="3"/>
  <c r="F67" i="3"/>
  <c r="D80" i="11"/>
  <c r="J80" i="11"/>
  <c r="L88" i="11"/>
  <c r="H11" i="11"/>
  <c r="M81" i="11"/>
  <c r="I88" i="11"/>
  <c r="I85" i="11"/>
  <c r="I11" i="2"/>
  <c r="N86" i="11"/>
  <c r="E85" i="11"/>
  <c r="N82" i="11"/>
  <c r="D83" i="11"/>
  <c r="E84" i="11"/>
  <c r="L84" i="11"/>
  <c r="K11" i="11"/>
  <c r="N85" i="11"/>
  <c r="E11" i="2"/>
  <c r="L83" i="11"/>
  <c r="M89" i="11"/>
  <c r="H84" i="11"/>
  <c r="E80" i="11"/>
  <c r="M88" i="11"/>
  <c r="K86" i="11"/>
  <c r="K84" i="11"/>
  <c r="E80" i="10"/>
  <c r="H82" i="10"/>
  <c r="N11" i="10"/>
  <c r="I82" i="10"/>
  <c r="I83" i="10"/>
  <c r="N85" i="10"/>
  <c r="J88" i="10"/>
  <c r="K89" i="10"/>
  <c r="E83" i="10"/>
  <c r="H81" i="10"/>
  <c r="J81" i="10"/>
  <c r="E89" i="10"/>
  <c r="E84" i="10"/>
  <c r="I85" i="10"/>
  <c r="K83" i="10"/>
  <c r="M83" i="10"/>
  <c r="H86" i="10"/>
  <c r="L88" i="10"/>
  <c r="K84" i="10"/>
  <c r="M86" i="10"/>
  <c r="I86" i="10"/>
  <c r="L86" i="10"/>
  <c r="M84" i="10"/>
  <c r="D89" i="2"/>
  <c r="M88" i="2"/>
  <c r="I80" i="2"/>
  <c r="N89" i="2"/>
  <c r="M81" i="2"/>
  <c r="L86" i="2"/>
  <c r="K82" i="2"/>
  <c r="M86" i="2"/>
  <c r="K89" i="2"/>
  <c r="L89" i="2"/>
  <c r="D81" i="2"/>
  <c r="M84" i="2"/>
  <c r="E82" i="2"/>
  <c r="I85" i="2"/>
  <c r="K86" i="2"/>
  <c r="D85" i="2"/>
  <c r="J86" i="2"/>
  <c r="K85" i="2"/>
  <c r="D80" i="2"/>
  <c r="E81" i="2"/>
  <c r="C90" i="5"/>
  <c r="G67" i="3"/>
  <c r="C91" i="5"/>
  <c r="G66" i="3"/>
  <c r="D11" i="2"/>
  <c r="K88" i="11"/>
  <c r="E89" i="11"/>
  <c r="H88" i="11"/>
  <c r="E11" i="11"/>
  <c r="H86" i="11"/>
  <c r="I81" i="11"/>
  <c r="H82" i="11"/>
  <c r="H85" i="11"/>
  <c r="K81" i="11"/>
  <c r="M83" i="11"/>
  <c r="H11" i="2"/>
  <c r="D85" i="11"/>
  <c r="L81" i="11"/>
  <c r="H83" i="11"/>
  <c r="M11" i="11"/>
  <c r="J82" i="11"/>
  <c r="K11" i="2"/>
  <c r="M84" i="11"/>
  <c r="I84" i="11"/>
  <c r="K83" i="11"/>
  <c r="D82" i="11"/>
  <c r="M82" i="11"/>
  <c r="K80" i="11"/>
  <c r="N83" i="11"/>
  <c r="N86" i="10"/>
  <c r="K85" i="10"/>
  <c r="E11" i="10"/>
  <c r="L82" i="10"/>
  <c r="M80" i="10"/>
  <c r="D82" i="10"/>
  <c r="H89" i="10"/>
  <c r="K80" i="10"/>
  <c r="E85" i="10"/>
  <c r="L80" i="10"/>
  <c r="J89" i="10"/>
  <c r="J82" i="10"/>
  <c r="I84" i="10"/>
  <c r="H11" i="10"/>
  <c r="M85" i="10"/>
  <c r="D86" i="10"/>
  <c r="N84" i="10"/>
  <c r="N80" i="10"/>
  <c r="D11" i="10"/>
  <c r="J85" i="10"/>
  <c r="N83" i="10"/>
  <c r="J81" i="2"/>
  <c r="D84" i="2"/>
  <c r="L88" i="2"/>
  <c r="J83" i="2"/>
  <c r="I84" i="2"/>
  <c r="M80" i="2"/>
  <c r="E83" i="2"/>
  <c r="D82" i="2"/>
  <c r="E85" i="2"/>
  <c r="L85" i="10"/>
  <c r="H81" i="2"/>
  <c r="L82" i="2"/>
  <c r="L81" i="2"/>
  <c r="D86" i="2"/>
  <c r="M83" i="2"/>
  <c r="H82" i="2"/>
  <c r="M89" i="2"/>
  <c r="K80" i="2"/>
  <c r="E86" i="2"/>
  <c r="H86" i="2"/>
  <c r="N81" i="2"/>
  <c r="E84" i="2"/>
  <c r="J83" i="10"/>
  <c r="K83" i="2"/>
  <c r="J88" i="2"/>
  <c r="I82" i="2"/>
  <c r="K84" i="2"/>
  <c r="H85" i="2"/>
  <c r="H89" i="2"/>
  <c r="L85" i="2"/>
  <c r="E80" i="2"/>
  <c r="J80" i="2"/>
  <c r="M82" i="2"/>
  <c r="L80" i="2"/>
  <c r="N83" i="2"/>
  <c r="K81" i="2"/>
  <c r="E89" i="2"/>
  <c r="L84" i="2"/>
  <c r="I83" i="2"/>
  <c r="C136" i="2" l="1"/>
  <c r="C87" i="10"/>
  <c r="C136" i="10"/>
  <c r="C87" i="2"/>
  <c r="C99" i="10" l="1"/>
  <c r="C98" i="10"/>
  <c r="C97" i="10"/>
  <c r="C96" i="10"/>
  <c r="C95" i="10"/>
  <c r="C50" i="10"/>
  <c r="C40" i="10"/>
  <c r="C25" i="5"/>
  <c r="C41" i="5" l="1"/>
  <c r="C42" i="5"/>
  <c r="C40" i="5"/>
  <c r="C38" i="5"/>
  <c r="C37" i="5"/>
  <c r="C96" i="2"/>
  <c r="C97" i="2"/>
  <c r="C98" i="2"/>
  <c r="C99" i="2"/>
  <c r="C95" i="2"/>
  <c r="C89" i="5"/>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<sst xmlns="http://schemas.openxmlformats.org/spreadsheetml/2006/main" count="1017" uniqueCount="478">
  <si>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</si>
  <si>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</si>
  <si>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</si>
  <si>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</si>
  <si>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</si>
  <si>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</si>
  <si>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</si>
  <si>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</si>
  <si>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</si>
  <si>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</si>
  <si>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</si>
  <si>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</si>
  <si>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</si>
  <si>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</si>
  <si>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</si>
  <si>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</si>
  <si>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</si>
  <si>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</si>
  <si>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</si>
  <si>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</si>
  <si>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</si>
  <si>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</si>
  <si>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</si>
  <si>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</si>
  <si>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</si>
  <si>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</si>
  <si>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</si>
  <si>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</si>
  <si>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</si>
  <si>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</si>
  <si>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</si>
  <si>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</si>
  <si>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</si>
  <si>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</si>
  <si>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</si>
  <si>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</si>
  <si>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</si>
  <si>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</si>
  <si>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</si>
  <si>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</si>
  <si>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</si>
  <si>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</si>
  <si>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</si>
  <si>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</si>
  <si>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</si>
  <si>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</si>
  <si>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</si>
  <si>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</si>
  <si>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</si>
  <si>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</si>
  <si>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</si>
  <si>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</si>
  <si>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</si>
  <si>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</si>
  <si>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</si>
  <si>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</si>
  <si>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</si>
  <si>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</si>
  <si>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</si>
  <si>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</si>
  <si>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</si>
  <si>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</si>
  <si>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</si>
  <si>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</si>
  <si>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</si>
  <si>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</si>
  <si>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</si>
  <si>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</si>
  <si>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</si>
  <si>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</si>
  <si>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</si>
  <si>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</si>
  <si>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</si>
  <si>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</si>
  <si>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</si>
  <si>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</si>
  <si>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</si>
  <si>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</si>
  <si>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</si>
  <si>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</si>
  <si>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</si>
  <si>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</si>
  <si>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</si>
  <si>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</si>
  <si>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</si>
  <si>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</si>
  <si>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</si>
  <si>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</si>
  <si>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</si>
  <si>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</si>
  <si>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</si>
  <si>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</si>
  <si>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</si>
  <si>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</si>
  <si>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</si>
  <si>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</si>
  <si>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</si>
  <si>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</si>
  <si>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</si>
  <si>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</si>
  <si>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</si>
  <si>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</si>
  <si>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</si>
  <si>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</si>
  <si>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</si>
  <si>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</si>
  <si>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</si>
  <si>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</si>
  <si>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</si>
  <si>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</si>
  <si>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</si>
  <si>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</si>
  <si>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</si>
  <si>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</si>
  <si>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</si>
  <si>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</si>
  <si>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</si>
  <si>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</si>
  <si>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</si>
  <si>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</si>
  <si>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</si>
  <si>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</si>
  <si>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</si>
  <si>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</si>
  <si>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</si>
  <si>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</si>
  <si>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</si>
  <si>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</si>
  <si>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</si>
  <si>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</si>
  <si>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</si>
  <si>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</si>
  <si>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</si>
  <si>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</si>
  <si>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</si>
  <si>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</si>
  <si>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</si>
  <si>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</si>
  <si>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</si>
  <si>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</si>
  <si>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</si>
  <si>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</si>
  <si>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</si>
  <si>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</si>
  <si>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</si>
  <si>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</si>
  <si>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</si>
  <si>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</si>
  <si>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</si>
  <si>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</si>
  <si>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</si>
  <si>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</si>
  <si>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</si>
  <si>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</si>
  <si>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</si>
  <si>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</si>
  <si>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</si>
  <si>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</si>
  <si>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</si>
  <si>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</si>
  <si>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</si>
  <si>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</si>
  <si>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</si>
  <si>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</si>
  <si>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</si>
  <si>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</si>
  <si>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</si>
  <si>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</si>
  <si>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</si>
  <si>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</si>
  <si>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</si>
  <si>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</si>
  <si>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</si>
  <si>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</si>
  <si>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</si>
  <si>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</si>
  <si>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</si>
  <si>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</si>
  <si>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</si>
  <si>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</si>
  <si>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</si>
  <si>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</si>
  <si>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</si>
  <si>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</si>
  <si>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</si>
  <si>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</si>
  <si>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</si>
  <si>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</si>
  <si>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</si>
  <si>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</si>
  <si>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</si>
  <si>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</si>
  <si>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</si>
  <si>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</si>
  <si>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</si>
  <si>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</si>
  <si>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</si>
  <si>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</si>
  <si>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</si>
  <si>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</si>
  <si>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</si>
  <si>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</si>
  <si>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</si>
  <si>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</si>
  <si>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</si>
  <si>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</si>
  <si>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</si>
  <si>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</si>
  <si>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</si>
  <si>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</si>
  <si>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</si>
  <si>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</si>
  <si>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</si>
  <si>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</si>
  <si>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</si>
  <si>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</si>
  <si>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</si>
  <si>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</si>
  <si>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</si>
  <si>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</si>
  <si>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</si>
  <si>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</si>
  <si>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</si>
  <si>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</si>
  <si>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</si>
  <si>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</si>
  <si>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</si>
  <si>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</si>
  <si>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</si>
  <si>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</si>
  <si>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</si>
  <si>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</si>
  <si>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</si>
  <si>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</si>
  <si>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</si>
  <si>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</si>
  <si>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</si>
  <si>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</si>
  <si>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</si>
  <si>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</si>
  <si>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</si>
  <si>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</si>
  <si>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</si>
  <si>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</si>
  <si>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</si>
  <si>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</si>
  <si>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</si>
  <si>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</si>
  <si>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</si>
  <si>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</si>
  <si>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</si>
  <si>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</si>
  <si>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</si>
  <si>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</si>
  <si>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</si>
  <si>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</si>
  <si>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</si>
  <si>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</si>
  <si>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</si>
  <si>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</si>
  <si>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</si>
  <si>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</si>
  <si>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</si>
  <si>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</si>
  <si>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</si>
  <si>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</si>
  <si>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</si>
  <si>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</si>
  <si>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</si>
  <si>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</si>
  <si>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</si>
  <si>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</si>
  <si>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</si>
  <si>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</si>
  <si>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</si>
  <si>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</si>
  <si>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</si>
  <si>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</si>
  <si>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</si>
  <si>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</si>
  <si>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</si>
  <si>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</si>
  <si>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</si>
  <si>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</si>
  <si>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</si>
  <si>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</si>
  <si>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</si>
  <si>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</si>
  <si>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</si>
  <si>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</si>
  <si>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</si>
  <si>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</si>
  <si>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</si>
  <si>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</si>
  <si>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</si>
  <si>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</si>
  <si>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</si>
  <si>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</si>
  <si>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</si>
  <si>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</si>
  <si>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</si>
  <si>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</si>
  <si>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</si>
  <si>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</si>
  <si>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</si>
  <si>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</si>
  <si>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</si>
  <si>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</si>
  <si>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</si>
  <si>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</si>
  <si>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</si>
  <si>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</si>
  <si>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</si>
  <si>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</si>
  <si>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</si>
  <si>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</si>
  <si>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</si>
  <si>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</si>
  <si>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</si>
  <si>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</si>
  <si>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</si>
  <si>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</si>
  <si>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</si>
  <si>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</si>
  <si>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</si>
  <si>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</si>
  <si>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</si>
  <si>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</si>
  <si>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</si>
  <si>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</si>
  <si>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</si>
  <si>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</si>
  <si>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</si>
  <si>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</si>
  <si>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</si>
  <si>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</si>
  <si>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</si>
  <si>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</si>
  <si>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</si>
  <si>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</si>
  <si>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</si>
  <si>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</si>
  <si>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</si>
  <si>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</si>
  <si>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</si>
  <si>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</si>
  <si>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</si>
  <si>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</si>
  <si>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</si>
  <si>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</si>
  <si>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</si>
  <si>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</si>
  <si>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</si>
  <si>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</si>
  <si>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</si>
  <si>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</si>
  <si>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</si>
  <si>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</si>
  <si>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</si>
  <si>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</si>
  <si>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</si>
  <si>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</si>
  <si>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</si>
  <si>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</si>
  <si>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</si>
  <si>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</si>
  <si>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</si>
  <si>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</si>
  <si>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</si>
  <si>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</si>
  <si>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</si>
  <si>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</si>
  <si>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</si>
  <si>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</si>
  <si>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</si>
  <si>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</si>
  <si>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</si>
  <si>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</si>
  <si>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</si>
  <si>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</si>
  <si>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</si>
  <si>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</si>
  <si>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</si>
  <si>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</si>
  <si>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</si>
  <si>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</si>
  <si>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</si>
  <si>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</si>
  <si>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</si>
  <si>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</si>
  <si>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</si>
  <si>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</si>
  <si>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</si>
  <si>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</si>
  <si>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</si>
  <si>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</si>
  <si>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</si>
  <si>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</si>
  <si>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</si>
  <si>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</si>
  <si>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</si>
  <si>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</si>
  <si>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</si>
  <si>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</si>
  <si>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</si>
  <si>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</si>
  <si>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</si>
  <si>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</si>
  <si>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</si>
  <si>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</si>
  <si>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</si>
  <si>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</si>
  <si>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</si>
  <si>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</si>
  <si>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</si>
  <si>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</si>
  <si>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</si>
  <si>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</si>
  <si>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</si>
  <si>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</si>
  <si>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</si>
  <si>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</si>
  <si>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</si>
  <si>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</si>
  <si>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</si>
  <si>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</si>
  <si>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</si>
  <si>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</si>
  <si>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</si>
  <si>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</si>
  <si>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</si>
  <si>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</si>
  <si>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</si>
  <si>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</si>
  <si>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</si>
  <si>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</si>
  <si>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</si>
  <si>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</si>
  <si>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</si>
  <si>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</si>
  <si>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</si>
  <si>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</si>
  <si>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</si>
  <si>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</si>
  <si>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</si>
  <si>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</si>
  <si>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</si>
  <si>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</si>
  <si>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</si>
  <si>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</si>
  <si>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</si>
  <si>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</si>
  <si>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</si>
  <si>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</si>
  <si>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</si>
  <si>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</si>
  <si>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</si>
  <si>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</si>
  <si>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</si>
  <si>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</si>
  <si>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</si>
  <si>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</si>
  <si>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</si>
  <si>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</si>
  <si>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AutoVolumetric</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</si>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</sst>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289560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workbookViewId="0">
      <selection activeCell="E29" sqref="E29"/>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0" max="11" width="12.6640625" customWidth="1"/>
    <col min="20" max="20" width="7.88671875" bestFit="1" customWidth="1"/>
    <col min="21" max="21" width="18.109375" bestFit="1" customWidth="1"/>
    <col min="22" max="22" width="21.109375" bestFit="1" customWidth="1"/>
  </cols>
  <sheetData>
    <row r="1" spans="1:22" x14ac:dyDescent="0.3">
      <c r="A1" s="50" t="s">
        <v>218</v>
      </c>
      <c r="B1" s="50" t="s">
        <v>219</v>
      </c>
      <c r="C1" s="50" t="s">
        <v>408</v>
      </c>
      <c r="D1" s="50" t="s">
        <v>226</v>
      </c>
      <c r="F1" s="81" t="s">
        <v>413</v>
      </c>
      <c r="G1" s="82"/>
      <c r="H1" s="82"/>
      <c r="I1" s="82"/>
      <c r="J1" s="82"/>
      <c r="K1" s="82"/>
      <c r="L1" s="82"/>
      <c r="M1" s="82"/>
      <c r="N1" s="82"/>
      <c r="O1" s="82"/>
      <c r="P1" s="82"/>
      <c r="Q1" s="82"/>
      <c r="R1" s="83"/>
      <c r="T1" s="84" t="s">
        <v>411</v>
      </c>
      <c r="U1" s="84"/>
      <c r="V1" s="84"/>
    </row>
    <row r="2" spans="1:22" x14ac:dyDescent="0.3">
      <c r="A2" s="53" t="s">
        <v>217</v>
      </c>
      <c r="B2" s="54">
        <v>0.6</v>
      </c>
      <c r="C2" s="53" t="s">
        <v>409</v>
      </c>
      <c r="D2" s="53"/>
      <c r="F2" s="50" t="s">
        <v>416</v>
      </c>
      <c r="G2" s="50"/>
      <c r="H2" s="50">
        <v>0.12</v>
      </c>
      <c r="I2" s="50">
        <v>0.2</v>
      </c>
      <c r="J2" s="50">
        <v>0.24</v>
      </c>
      <c r="K2" s="50">
        <v>0.28000000000000003</v>
      </c>
      <c r="L2" s="50">
        <v>0.32</v>
      </c>
      <c r="M2" s="50">
        <v>0.4</v>
      </c>
      <c r="N2" s="50">
        <v>0.48</v>
      </c>
      <c r="O2" s="50">
        <v>0.56000000000000005</v>
      </c>
      <c r="P2" s="50">
        <v>0.64</v>
      </c>
      <c r="Q2" s="50">
        <v>0.72</v>
      </c>
      <c r="R2" s="50">
        <v>0.8</v>
      </c>
      <c r="T2" s="50" t="s">
        <v>410</v>
      </c>
      <c r="U2" s="50" t="s">
        <v>412</v>
      </c>
      <c r="V2" s="50" t="s">
        <v>414</v>
      </c>
    </row>
    <row r="3" spans="1:22" x14ac:dyDescent="0.3">
      <c r="A3" s="55" t="s">
        <v>220</v>
      </c>
      <c r="B3" s="58" t="str">
        <f>"Ender3 " &amp;HotendType</f>
        <v>Ender3 E3D V6</v>
      </c>
      <c r="C3" s="55"/>
      <c r="D3" s="55"/>
      <c r="F3" s="51" t="s">
        <v>3</v>
      </c>
      <c r="G3" s="51"/>
      <c r="H3" s="60">
        <f t="shared" ref="H3:R3" si="0">Nozzle_Diameter*3</f>
        <v>1.7999999999999998</v>
      </c>
      <c r="I3" s="60">
        <f t="shared" si="0"/>
        <v>1.7999999999999998</v>
      </c>
      <c r="J3" s="60">
        <f t="shared" si="0"/>
        <v>1.7999999999999998</v>
      </c>
      <c r="K3" s="60">
        <f t="shared" si="0"/>
        <v>1.7999999999999998</v>
      </c>
      <c r="L3" s="60">
        <f t="shared" si="0"/>
        <v>1.7999999999999998</v>
      </c>
      <c r="M3" s="60">
        <f t="shared" si="0"/>
        <v>1.7999999999999998</v>
      </c>
      <c r="N3" s="60">
        <f t="shared" si="0"/>
        <v>1.7999999999999998</v>
      </c>
      <c r="O3" s="60">
        <f t="shared" si="0"/>
        <v>1.7999999999999998</v>
      </c>
      <c r="P3" s="60">
        <f t="shared" si="0"/>
        <v>1.7999999999999998</v>
      </c>
      <c r="Q3" s="60">
        <f t="shared" si="0"/>
        <v>1.7999999999999998</v>
      </c>
      <c r="R3" s="60">
        <f t="shared" si="0"/>
        <v>1.7999999999999998</v>
      </c>
      <c r="T3" s="51" t="s">
        <v>152</v>
      </c>
      <c r="U3" s="60">
        <v>1.5</v>
      </c>
      <c r="V3" s="60">
        <v>0.8</v>
      </c>
    </row>
    <row r="4" spans="1:22" x14ac:dyDescent="0.3">
      <c r="A4" s="53" t="s">
        <v>223</v>
      </c>
      <c r="B4" s="59" t="str">
        <f>B3 &amp; " " &amp; Nozzle_Diameter &amp; " mm " &amp; FILAMENT_NAME</f>
        <v>Ender3 E3D V6 0.6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3">
      <c r="A5" s="55" t="s">
        <v>221</v>
      </c>
      <c r="B5" s="56">
        <f>Nozzle_Diameter*0.2</f>
        <v>0.12</v>
      </c>
      <c r="C5" s="55" t="s">
        <v>409</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3">
      <c r="A6" s="53" t="s">
        <v>222</v>
      </c>
      <c r="B6" s="56">
        <f>Nozzle_Diameter*0.8</f>
        <v>0.48</v>
      </c>
      <c r="C6" s="53" t="s">
        <v>409</v>
      </c>
      <c r="D6" s="53"/>
      <c r="F6" s="51"/>
      <c r="G6" s="51"/>
      <c r="H6" s="52"/>
      <c r="I6" s="52"/>
      <c r="J6" s="52"/>
      <c r="K6" s="52"/>
      <c r="L6" s="52"/>
      <c r="M6" s="52"/>
      <c r="N6" s="52"/>
      <c r="O6" s="52"/>
      <c r="P6" s="52"/>
      <c r="Q6" s="52"/>
      <c r="R6" s="52"/>
      <c r="T6" s="51" t="s">
        <v>350</v>
      </c>
      <c r="U6" s="60">
        <v>1.5</v>
      </c>
      <c r="V6" s="60">
        <v>0.8</v>
      </c>
    </row>
    <row r="7" spans="1:22" x14ac:dyDescent="0.3">
      <c r="A7" s="53" t="s">
        <v>308</v>
      </c>
      <c r="B7" s="57" t="s">
        <v>152</v>
      </c>
      <c r="C7" s="53"/>
      <c r="D7" s="53"/>
      <c r="F7" s="51"/>
      <c r="G7" s="51"/>
      <c r="H7" s="51"/>
      <c r="I7" s="51"/>
      <c r="J7" s="51"/>
      <c r="K7" s="51"/>
      <c r="L7" s="51"/>
      <c r="M7" s="51"/>
      <c r="N7" s="51"/>
      <c r="O7" s="51"/>
      <c r="P7" s="51"/>
      <c r="Q7" s="51"/>
      <c r="R7" s="51"/>
      <c r="T7" s="51" t="s">
        <v>352</v>
      </c>
      <c r="U7" s="60">
        <v>1.5</v>
      </c>
      <c r="V7" s="60">
        <v>0.8</v>
      </c>
    </row>
    <row r="8" spans="1:22" x14ac:dyDescent="0.3">
      <c r="A8" s="53" t="s">
        <v>398</v>
      </c>
      <c r="B8" s="53">
        <v>500</v>
      </c>
      <c r="C8" s="53" t="s">
        <v>409</v>
      </c>
      <c r="D8" s="53"/>
      <c r="F8" s="51"/>
      <c r="G8" s="51"/>
      <c r="H8" s="51"/>
      <c r="I8" s="51"/>
      <c r="J8" s="51"/>
      <c r="K8" s="51"/>
      <c r="L8" s="51"/>
      <c r="M8" s="51"/>
      <c r="N8" s="51"/>
      <c r="O8" s="51"/>
      <c r="P8" s="51"/>
      <c r="Q8" s="51"/>
      <c r="R8" s="51"/>
      <c r="T8" s="51" t="s">
        <v>154</v>
      </c>
      <c r="U8" s="60">
        <v>1.5</v>
      </c>
      <c r="V8" s="60">
        <v>0.8</v>
      </c>
    </row>
    <row r="9" spans="1:22" x14ac:dyDescent="0.3">
      <c r="A9" s="53" t="s">
        <v>254</v>
      </c>
      <c r="B9" s="57" t="s">
        <v>464</v>
      </c>
      <c r="C9" s="53"/>
      <c r="D9" s="53"/>
      <c r="F9" s="51"/>
      <c r="G9" s="51"/>
      <c r="H9" s="51"/>
      <c r="I9" s="51"/>
      <c r="J9" s="51"/>
      <c r="K9" s="51"/>
      <c r="L9" s="51"/>
      <c r="M9" s="51"/>
      <c r="N9" s="51"/>
      <c r="O9" s="51"/>
      <c r="P9" s="51"/>
      <c r="Q9" s="51"/>
      <c r="R9" s="51"/>
      <c r="T9" s="51"/>
      <c r="U9" s="51"/>
      <c r="V9" s="51"/>
    </row>
    <row r="10" spans="1:22" x14ac:dyDescent="0.3">
      <c r="A10" s="53" t="s">
        <v>432</v>
      </c>
      <c r="B10" s="57" t="s">
        <v>433</v>
      </c>
      <c r="C10" s="53"/>
      <c r="D10" s="53"/>
      <c r="F10" s="51"/>
      <c r="G10" s="51"/>
      <c r="H10" s="51"/>
      <c r="I10" s="51"/>
      <c r="J10" s="51"/>
      <c r="K10" s="51"/>
      <c r="L10" s="51"/>
      <c r="M10" s="51"/>
      <c r="N10" s="51"/>
      <c r="O10" s="51"/>
      <c r="P10" s="51"/>
      <c r="Q10" s="51"/>
      <c r="R10" s="51"/>
      <c r="T10" s="51"/>
      <c r="U10" s="51"/>
      <c r="V10" s="51"/>
    </row>
    <row r="11" spans="1:22" x14ac:dyDescent="0.3">
      <c r="A11" s="53" t="s">
        <v>465</v>
      </c>
      <c r="B11" s="57" t="s">
        <v>470</v>
      </c>
      <c r="C11" s="53"/>
      <c r="D11" s="53"/>
      <c r="F11" s="51"/>
      <c r="G11" s="51"/>
      <c r="H11" s="51"/>
      <c r="I11" s="51"/>
      <c r="J11" s="51"/>
      <c r="K11" s="51"/>
      <c r="L11" s="51"/>
      <c r="M11" s="51"/>
      <c r="N11" s="51"/>
      <c r="O11" s="51"/>
      <c r="P11" s="51"/>
      <c r="Q11" s="51"/>
      <c r="R11" s="51"/>
      <c r="T11" s="51"/>
      <c r="U11" s="51"/>
      <c r="V11" s="51"/>
    </row>
    <row r="12" spans="1:22" x14ac:dyDescent="0.3">
      <c r="A12" s="53"/>
      <c r="B12" s="53"/>
      <c r="C12" s="53"/>
      <c r="D12" s="53"/>
      <c r="F12" s="81" t="s">
        <v>415</v>
      </c>
      <c r="G12" s="82"/>
      <c r="H12" s="82"/>
      <c r="I12" s="82"/>
      <c r="J12" s="82"/>
      <c r="K12" s="82"/>
      <c r="L12" s="82"/>
      <c r="M12" s="82"/>
      <c r="N12" s="82"/>
      <c r="O12" s="82"/>
      <c r="P12" s="82"/>
      <c r="Q12" s="82"/>
      <c r="R12" s="83"/>
      <c r="T12" s="51"/>
      <c r="U12" s="51"/>
      <c r="V12" s="51"/>
    </row>
    <row r="13" spans="1:22" x14ac:dyDescent="0.3">
      <c r="A13" s="53"/>
      <c r="B13" s="53"/>
      <c r="C13" s="53"/>
      <c r="D13" s="53"/>
      <c r="F13" s="50" t="s">
        <v>416</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3">
      <c r="A14" s="53"/>
      <c r="B14" s="53"/>
      <c r="C14" s="53"/>
      <c r="D14" s="53"/>
      <c r="F14" s="51" t="s">
        <v>3</v>
      </c>
      <c r="G14" s="51"/>
      <c r="H14" s="60">
        <f t="shared" ref="H14:R14" si="1">H3/Nozzle_Diameter</f>
        <v>3</v>
      </c>
      <c r="I14" s="60">
        <f t="shared" si="1"/>
        <v>3</v>
      </c>
      <c r="J14" s="60">
        <f t="shared" si="1"/>
        <v>3</v>
      </c>
      <c r="K14" s="60">
        <f t="shared" si="1"/>
        <v>3</v>
      </c>
      <c r="L14" s="60">
        <f t="shared" si="1"/>
        <v>3</v>
      </c>
      <c r="M14" s="60">
        <f t="shared" si="1"/>
        <v>3</v>
      </c>
      <c r="N14" s="60">
        <f t="shared" si="1"/>
        <v>3</v>
      </c>
      <c r="O14" s="60">
        <f t="shared" si="1"/>
        <v>3</v>
      </c>
      <c r="P14" s="60">
        <f t="shared" si="1"/>
        <v>3</v>
      </c>
      <c r="Q14" s="60">
        <f t="shared" si="1"/>
        <v>3</v>
      </c>
      <c r="R14" s="60">
        <f t="shared" si="1"/>
        <v>3</v>
      </c>
      <c r="T14" s="51"/>
      <c r="U14" s="51"/>
      <c r="V14" s="51"/>
    </row>
    <row r="15" spans="1:22" x14ac:dyDescent="0.3">
      <c r="A15" s="55" t="s">
        <v>236</v>
      </c>
      <c r="B15" s="55" t="s">
        <v>472</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3">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3">
      <c r="A17" s="55"/>
      <c r="B17" s="55"/>
      <c r="C17" s="55"/>
      <c r="D17" s="55"/>
      <c r="F17" s="51"/>
      <c r="G17" s="51"/>
      <c r="H17" s="52"/>
      <c r="I17" s="52"/>
      <c r="J17" s="52"/>
      <c r="K17" s="52"/>
      <c r="L17" s="52"/>
      <c r="M17" s="52"/>
      <c r="N17" s="52"/>
      <c r="O17" s="52"/>
      <c r="P17" s="52"/>
      <c r="Q17" s="52"/>
      <c r="R17" s="52"/>
      <c r="T17" s="51"/>
      <c r="U17" s="51"/>
      <c r="V17" s="51"/>
    </row>
    <row r="18" spans="1:22" x14ac:dyDescent="0.3">
      <c r="A18" s="53"/>
      <c r="B18" s="53"/>
      <c r="C18" s="53"/>
      <c r="D18" s="53"/>
      <c r="F18" s="51"/>
      <c r="G18" s="51"/>
      <c r="H18" s="51"/>
      <c r="I18" s="51"/>
      <c r="J18" s="51"/>
      <c r="K18" s="51"/>
      <c r="L18" s="51"/>
      <c r="M18" s="51"/>
      <c r="N18" s="51"/>
      <c r="O18" s="51"/>
      <c r="P18" s="51"/>
      <c r="Q18" s="51"/>
      <c r="R18" s="51"/>
    </row>
    <row r="19" spans="1:22" x14ac:dyDescent="0.3">
      <c r="A19" s="55"/>
      <c r="B19" s="55"/>
      <c r="C19" s="55"/>
      <c r="D19" s="55"/>
      <c r="F19" s="51"/>
      <c r="G19" s="51"/>
      <c r="H19" s="51"/>
      <c r="I19" s="51"/>
      <c r="J19" s="51"/>
      <c r="K19" s="51"/>
      <c r="L19" s="51"/>
      <c r="M19" s="51"/>
      <c r="N19" s="51"/>
      <c r="O19" s="51"/>
      <c r="P19" s="51"/>
      <c r="Q19" s="51"/>
      <c r="R19" s="51"/>
    </row>
    <row r="20" spans="1:22" x14ac:dyDescent="0.3">
      <c r="A20" s="53"/>
      <c r="B20" s="53"/>
      <c r="C20" s="53"/>
      <c r="D20" s="53"/>
      <c r="F20" s="51"/>
      <c r="G20" s="51"/>
      <c r="H20" s="51"/>
      <c r="I20" s="51"/>
      <c r="J20" s="51"/>
      <c r="K20" s="51"/>
      <c r="L20" s="51"/>
      <c r="M20" s="51"/>
      <c r="N20" s="51"/>
      <c r="O20" s="51"/>
      <c r="P20" s="51"/>
      <c r="Q20" s="51"/>
      <c r="R20" s="51"/>
    </row>
    <row r="21" spans="1:22" x14ac:dyDescent="0.3">
      <c r="A21" s="55"/>
      <c r="B21" s="55"/>
      <c r="C21" s="55"/>
      <c r="D21" s="55"/>
      <c r="F21" s="51"/>
      <c r="G21" s="51"/>
      <c r="H21" s="51"/>
      <c r="I21" s="51"/>
      <c r="J21" s="51"/>
      <c r="K21" s="51"/>
      <c r="L21" s="51"/>
      <c r="M21" s="51"/>
      <c r="N21" s="51"/>
      <c r="O21" s="51"/>
      <c r="P21" s="51"/>
      <c r="Q21" s="51"/>
      <c r="R21" s="51"/>
    </row>
    <row r="22" spans="1:22" x14ac:dyDescent="0.3">
      <c r="A22" s="53"/>
      <c r="B22" s="53"/>
      <c r="C22" s="53"/>
      <c r="D22" s="53"/>
      <c r="F22" s="51"/>
      <c r="G22" s="51"/>
      <c r="H22" s="51"/>
      <c r="I22" s="51"/>
      <c r="J22" s="51"/>
      <c r="K22" s="51"/>
      <c r="L22" s="51"/>
      <c r="M22" s="51"/>
      <c r="N22" s="51"/>
      <c r="O22" s="51"/>
      <c r="P22" s="51"/>
      <c r="Q22" s="51"/>
      <c r="R22" s="51"/>
    </row>
    <row r="23" spans="1:22" x14ac:dyDescent="0.3">
      <c r="A23" s="55"/>
      <c r="B23" s="55"/>
      <c r="C23" s="55"/>
      <c r="D23" s="55"/>
    </row>
    <row r="36" spans="2:2" x14ac:dyDescent="0.3">
      <c r="B36" s="55" t="s">
        <v>419</v>
      </c>
    </row>
    <row r="37" spans="2:2" x14ac:dyDescent="0.3">
      <c r="B37" s="53" t="s">
        <v>362</v>
      </c>
    </row>
    <row r="38" spans="2:2" x14ac:dyDescent="0.3">
      <c r="B38" s="55" t="s">
        <v>394</v>
      </c>
    </row>
    <row r="39" spans="2:2" x14ac:dyDescent="0.3">
      <c r="B39" s="53" t="s">
        <v>395</v>
      </c>
    </row>
    <row r="41" spans="2:2" x14ac:dyDescent="0.3">
      <c r="B41" s="55" t="s">
        <v>361</v>
      </c>
    </row>
    <row r="42" spans="2:2" x14ac:dyDescent="0.3">
      <c r="B42" s="53" t="s">
        <v>359</v>
      </c>
    </row>
    <row r="43" spans="2:2" x14ac:dyDescent="0.3">
      <c r="B43" s="55" t="s">
        <v>360</v>
      </c>
    </row>
    <row r="44" spans="2:2" x14ac:dyDescent="0.3">
      <c r="B44" s="53" t="s">
        <v>472</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289560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G18" sqref="G18"/>
    </sheetView>
  </sheetViews>
  <sheetFormatPr defaultRowHeight="14.4" x14ac:dyDescent="0.3"/>
  <cols>
    <col min="3" max="3" width="15.109375" customWidth="1"/>
    <col min="4" max="4" width="12.6640625" customWidth="1"/>
    <col min="5" max="5" width="11.109375" customWidth="1"/>
    <col min="6" max="6" width="13.33203125" customWidth="1"/>
    <col min="10" max="10" width="15" bestFit="1" customWidth="1"/>
    <col min="12" max="12" width="17.6640625" customWidth="1"/>
    <col min="13" max="15" width="19.109375" customWidth="1"/>
  </cols>
  <sheetData>
    <row r="1" spans="1:16" ht="43.2" x14ac:dyDescent="0.3">
      <c r="A1" s="64" t="s">
        <v>439</v>
      </c>
      <c r="B1" s="64" t="s">
        <v>447</v>
      </c>
      <c r="C1" s="64" t="s">
        <v>440</v>
      </c>
      <c r="D1" s="64" t="s">
        <v>441</v>
      </c>
      <c r="E1" s="64" t="s">
        <v>442</v>
      </c>
      <c r="F1" s="64" t="s">
        <v>445</v>
      </c>
      <c r="G1" s="64" t="s">
        <v>312</v>
      </c>
      <c r="H1" s="64" t="s">
        <v>446</v>
      </c>
      <c r="I1" s="64" t="s">
        <v>449</v>
      </c>
      <c r="J1" s="64" t="s">
        <v>450</v>
      </c>
      <c r="K1" s="64" t="s">
        <v>452</v>
      </c>
      <c r="L1" s="64" t="s">
        <v>457</v>
      </c>
      <c r="M1" s="64" t="s">
        <v>458</v>
      </c>
      <c r="N1" s="64" t="s">
        <v>461</v>
      </c>
      <c r="O1" s="64" t="s">
        <v>463</v>
      </c>
      <c r="P1" s="64" t="s">
        <v>456</v>
      </c>
    </row>
    <row r="2" spans="1:16" x14ac:dyDescent="0.3">
      <c r="A2" s="51" t="s">
        <v>152</v>
      </c>
      <c r="B2" s="51">
        <v>60</v>
      </c>
      <c r="C2" s="51">
        <v>210</v>
      </c>
      <c r="D2" s="51">
        <v>60</v>
      </c>
      <c r="E2" s="51" t="s">
        <v>443</v>
      </c>
      <c r="F2" s="51">
        <v>40</v>
      </c>
      <c r="G2" s="51">
        <v>100</v>
      </c>
      <c r="H2" s="51">
        <v>2</v>
      </c>
      <c r="I2" s="51"/>
      <c r="J2" s="51" t="s">
        <v>453</v>
      </c>
      <c r="K2" s="65"/>
      <c r="L2" s="51">
        <v>56</v>
      </c>
      <c r="M2" s="60">
        <f>IF(ISBLANK(L2),"",(9/5) * L2  + 32)</f>
        <v>132.80000000000001</v>
      </c>
      <c r="N2" s="60">
        <v>50</v>
      </c>
      <c r="O2" s="60">
        <v>122</v>
      </c>
      <c r="P2" s="51" t="s">
        <v>453</v>
      </c>
    </row>
    <row r="3" spans="1:16" x14ac:dyDescent="0.3">
      <c r="A3" s="51" t="s">
        <v>151</v>
      </c>
      <c r="B3" s="51">
        <v>40</v>
      </c>
      <c r="C3" s="51">
        <v>240</v>
      </c>
      <c r="D3" s="51">
        <v>70</v>
      </c>
      <c r="E3" s="51" t="s">
        <v>443</v>
      </c>
      <c r="F3" s="51">
        <v>40</v>
      </c>
      <c r="G3" s="51">
        <v>30</v>
      </c>
      <c r="H3" s="51">
        <v>3</v>
      </c>
      <c r="I3" s="51"/>
      <c r="J3" s="51" t="s">
        <v>455</v>
      </c>
      <c r="K3" s="65">
        <v>0.08</v>
      </c>
      <c r="L3" s="51">
        <v>70</v>
      </c>
      <c r="M3" s="60">
        <f t="shared" ref="M3:M16" si="0">IF(ISBLANK(L3),"",(9/5) * L3  + 32)</f>
        <v>158</v>
      </c>
      <c r="N3" s="60">
        <v>70</v>
      </c>
      <c r="O3" s="60">
        <v>140</v>
      </c>
      <c r="P3" s="51" t="s">
        <v>459</v>
      </c>
    </row>
    <row r="4" spans="1:16" x14ac:dyDescent="0.3">
      <c r="A4" s="51" t="s">
        <v>153</v>
      </c>
      <c r="B4" s="51">
        <v>70</v>
      </c>
      <c r="C4" s="51">
        <v>250</v>
      </c>
      <c r="D4" s="51">
        <v>110</v>
      </c>
      <c r="E4" s="51" t="s">
        <v>444</v>
      </c>
      <c r="F4" s="51">
        <v>60</v>
      </c>
      <c r="G4" s="51">
        <v>0</v>
      </c>
      <c r="H4" s="51">
        <v>0</v>
      </c>
      <c r="I4" s="51"/>
      <c r="J4" s="51" t="s">
        <v>453</v>
      </c>
      <c r="K4" s="65"/>
      <c r="L4" s="51">
        <v>98</v>
      </c>
      <c r="M4" s="60">
        <f t="shared" si="0"/>
        <v>208.4</v>
      </c>
      <c r="N4" s="60">
        <v>85</v>
      </c>
      <c r="O4" s="60">
        <v>158</v>
      </c>
      <c r="P4" s="51" t="s">
        <v>460</v>
      </c>
    </row>
    <row r="5" spans="1:16" x14ac:dyDescent="0.3">
      <c r="A5" s="51" t="s">
        <v>350</v>
      </c>
      <c r="B5" s="51">
        <v>60</v>
      </c>
      <c r="C5" s="51">
        <v>250</v>
      </c>
      <c r="D5" s="51">
        <v>75</v>
      </c>
      <c r="E5" s="51" t="s">
        <v>444</v>
      </c>
      <c r="F5" s="51">
        <v>45</v>
      </c>
      <c r="G5" s="51">
        <v>0</v>
      </c>
      <c r="H5" s="51">
        <v>0</v>
      </c>
      <c r="I5" s="65">
        <v>0.2</v>
      </c>
      <c r="J5" s="51" t="s">
        <v>451</v>
      </c>
      <c r="K5" s="65"/>
      <c r="L5" s="51">
        <v>110</v>
      </c>
      <c r="M5" s="60">
        <f t="shared" si="0"/>
        <v>230</v>
      </c>
      <c r="N5" s="60" t="s">
        <v>462</v>
      </c>
      <c r="O5" s="60"/>
      <c r="P5" s="51" t="s">
        <v>459</v>
      </c>
    </row>
    <row r="6" spans="1:16" x14ac:dyDescent="0.3">
      <c r="A6" s="51" t="s">
        <v>448</v>
      </c>
      <c r="B6" s="51">
        <v>40</v>
      </c>
      <c r="C6" s="51">
        <v>245</v>
      </c>
      <c r="D6" s="51">
        <v>80</v>
      </c>
      <c r="E6" s="51" t="s">
        <v>443</v>
      </c>
      <c r="F6" s="51">
        <v>40</v>
      </c>
      <c r="G6" s="51">
        <v>30</v>
      </c>
      <c r="H6" s="51">
        <v>3</v>
      </c>
      <c r="I6" s="51"/>
      <c r="J6" s="51" t="s">
        <v>455</v>
      </c>
      <c r="K6" s="65"/>
      <c r="L6" s="51">
        <v>-20</v>
      </c>
      <c r="M6" s="60">
        <f t="shared" si="0"/>
        <v>-4</v>
      </c>
      <c r="N6" s="60"/>
      <c r="O6" s="60"/>
      <c r="P6" s="51" t="s">
        <v>460</v>
      </c>
    </row>
    <row r="7" spans="1:16" x14ac:dyDescent="0.3">
      <c r="A7" s="51" t="s">
        <v>154</v>
      </c>
      <c r="B7" s="51">
        <v>25</v>
      </c>
      <c r="C7" s="51">
        <v>225</v>
      </c>
      <c r="D7" s="51">
        <v>70</v>
      </c>
      <c r="E7" s="51" t="s">
        <v>443</v>
      </c>
      <c r="F7" s="51">
        <v>40</v>
      </c>
      <c r="G7" s="51">
        <v>30</v>
      </c>
      <c r="H7" s="51">
        <v>2</v>
      </c>
      <c r="I7" s="51"/>
      <c r="J7" s="51" t="s">
        <v>453</v>
      </c>
      <c r="K7" s="65"/>
      <c r="L7" s="51">
        <v>-20</v>
      </c>
      <c r="M7" s="60">
        <f t="shared" si="0"/>
        <v>-4</v>
      </c>
      <c r="N7" s="60">
        <v>80</v>
      </c>
      <c r="O7" s="60"/>
      <c r="P7" s="51" t="s">
        <v>459</v>
      </c>
    </row>
    <row r="8" spans="1:16" x14ac:dyDescent="0.3">
      <c r="A8" s="51" t="s">
        <v>438</v>
      </c>
      <c r="B8" s="51">
        <v>60</v>
      </c>
      <c r="C8" s="51">
        <v>240</v>
      </c>
      <c r="D8" s="51">
        <v>60</v>
      </c>
      <c r="E8" s="51" t="s">
        <v>444</v>
      </c>
      <c r="F8" s="51">
        <v>60</v>
      </c>
      <c r="G8" s="51">
        <v>0</v>
      </c>
      <c r="H8" s="51">
        <v>0</v>
      </c>
      <c r="I8" s="51"/>
      <c r="J8" s="51" t="s">
        <v>453</v>
      </c>
      <c r="K8" s="65"/>
      <c r="L8" s="51">
        <v>97</v>
      </c>
      <c r="M8" s="60">
        <f t="shared" si="0"/>
        <v>206.6</v>
      </c>
      <c r="N8" s="60">
        <v>100</v>
      </c>
      <c r="O8" s="60"/>
      <c r="P8" s="51" t="s">
        <v>460</v>
      </c>
    </row>
    <row r="9" spans="1:16" x14ac:dyDescent="0.3">
      <c r="A9" s="51" t="s">
        <v>417</v>
      </c>
      <c r="B9" s="51">
        <v>80</v>
      </c>
      <c r="C9" s="51">
        <v>250</v>
      </c>
      <c r="D9" s="51">
        <v>120</v>
      </c>
      <c r="E9" s="51" t="s">
        <v>444</v>
      </c>
      <c r="F9" s="51">
        <v>60</v>
      </c>
      <c r="G9" s="51">
        <v>20</v>
      </c>
      <c r="H9" s="51">
        <v>2</v>
      </c>
      <c r="I9" s="51"/>
      <c r="J9" s="51" t="s">
        <v>453</v>
      </c>
      <c r="K9" s="65"/>
      <c r="L9" s="51">
        <v>103</v>
      </c>
      <c r="M9" s="60">
        <f t="shared" si="0"/>
        <v>217.4</v>
      </c>
      <c r="N9" s="60"/>
      <c r="O9" s="60"/>
      <c r="P9" s="51" t="s">
        <v>453</v>
      </c>
    </row>
    <row r="10" spans="1:16" x14ac:dyDescent="0.3">
      <c r="A10" s="51" t="s">
        <v>352</v>
      </c>
      <c r="B10" s="51">
        <v>60</v>
      </c>
      <c r="C10" s="51">
        <v>250</v>
      </c>
      <c r="D10" s="51">
        <v>110</v>
      </c>
      <c r="E10" s="51" t="s">
        <v>444</v>
      </c>
      <c r="F10" s="51">
        <v>60</v>
      </c>
      <c r="G10" s="51">
        <v>0</v>
      </c>
      <c r="H10" s="51">
        <v>0</v>
      </c>
      <c r="I10" s="51"/>
      <c r="J10" s="51" t="s">
        <v>453</v>
      </c>
      <c r="K10" s="65"/>
      <c r="L10" s="51">
        <v>-10</v>
      </c>
      <c r="M10" s="60">
        <f t="shared" si="0"/>
        <v>14</v>
      </c>
      <c r="N10" s="60"/>
      <c r="O10" s="60"/>
      <c r="P10" s="51" t="s">
        <v>460</v>
      </c>
    </row>
    <row r="11" spans="1:16" x14ac:dyDescent="0.3">
      <c r="A11" s="51" t="s">
        <v>454</v>
      </c>
      <c r="B11" s="51">
        <v>25</v>
      </c>
      <c r="C11" s="51">
        <v>220</v>
      </c>
      <c r="D11" s="51">
        <v>60</v>
      </c>
      <c r="E11" s="51" t="s">
        <v>443</v>
      </c>
      <c r="F11" s="51">
        <v>40</v>
      </c>
      <c r="G11" s="51">
        <v>0</v>
      </c>
      <c r="H11" s="51">
        <v>0</v>
      </c>
      <c r="I11" s="51"/>
      <c r="J11" s="51" t="s">
        <v>453</v>
      </c>
      <c r="K11" s="65"/>
      <c r="L11" s="51">
        <v>-20</v>
      </c>
      <c r="M11" s="60">
        <f t="shared" si="0"/>
        <v>-4</v>
      </c>
      <c r="N11" s="60"/>
      <c r="O11" s="60"/>
      <c r="P11" s="51" t="s">
        <v>459</v>
      </c>
    </row>
    <row r="12" spans="1:16" x14ac:dyDescent="0.3">
      <c r="A12" s="51"/>
      <c r="B12" s="51"/>
      <c r="C12" s="51"/>
      <c r="D12" s="51"/>
      <c r="E12" s="51"/>
      <c r="F12" s="51"/>
      <c r="G12" s="51"/>
      <c r="H12" s="51"/>
      <c r="I12" s="51"/>
      <c r="J12" s="51"/>
      <c r="K12" s="65"/>
      <c r="L12" s="51"/>
      <c r="M12" s="60" t="str">
        <f t="shared" si="0"/>
        <v/>
      </c>
      <c r="N12" s="60"/>
      <c r="O12" s="60"/>
      <c r="P12" s="51"/>
    </row>
    <row r="13" spans="1:16" x14ac:dyDescent="0.3">
      <c r="A13" s="51"/>
      <c r="B13" s="51"/>
      <c r="C13" s="51"/>
      <c r="D13" s="51"/>
      <c r="E13" s="51"/>
      <c r="F13" s="51"/>
      <c r="G13" s="51"/>
      <c r="H13" s="51"/>
      <c r="I13" s="51"/>
      <c r="J13" s="51"/>
      <c r="K13" s="65"/>
      <c r="L13" s="51"/>
      <c r="M13" s="60" t="str">
        <f t="shared" si="0"/>
        <v/>
      </c>
      <c r="N13" s="60"/>
      <c r="O13" s="60"/>
      <c r="P13" s="51"/>
    </row>
    <row r="14" spans="1:16" x14ac:dyDescent="0.3">
      <c r="A14" s="51"/>
      <c r="B14" s="51"/>
      <c r="C14" s="51"/>
      <c r="D14" s="51"/>
      <c r="E14" s="51"/>
      <c r="F14" s="51"/>
      <c r="G14" s="51"/>
      <c r="H14" s="51"/>
      <c r="I14" s="51"/>
      <c r="J14" s="51"/>
      <c r="K14" s="65"/>
      <c r="L14" s="51"/>
      <c r="M14" s="60" t="str">
        <f t="shared" si="0"/>
        <v/>
      </c>
      <c r="N14" s="60"/>
      <c r="O14" s="60"/>
      <c r="P14" s="51"/>
    </row>
    <row r="15" spans="1:16" x14ac:dyDescent="0.3">
      <c r="A15" s="51"/>
      <c r="B15" s="51"/>
      <c r="C15" s="51"/>
      <c r="D15" s="51"/>
      <c r="E15" s="51"/>
      <c r="F15" s="51"/>
      <c r="G15" s="51"/>
      <c r="H15" s="51"/>
      <c r="I15" s="51"/>
      <c r="J15" s="51"/>
      <c r="K15" s="65"/>
      <c r="L15" s="51"/>
      <c r="M15" s="60" t="str">
        <f t="shared" si="0"/>
        <v/>
      </c>
      <c r="N15" s="60"/>
      <c r="O15" s="60"/>
      <c r="P15" s="51"/>
    </row>
    <row r="16" spans="1:16" x14ac:dyDescent="0.3">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29" sqref="D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81" t="s">
        <v>437</v>
      </c>
      <c r="B1" s="82"/>
      <c r="C1" s="82"/>
      <c r="D1" s="82"/>
      <c r="E1" s="82"/>
      <c r="F1" s="82"/>
      <c r="G1" s="82"/>
      <c r="H1" s="82"/>
      <c r="I1" s="82"/>
      <c r="J1" s="82"/>
      <c r="K1" s="82"/>
      <c r="L1" s="82"/>
      <c r="M1" s="83"/>
      <c r="O1" s="81" t="s">
        <v>466</v>
      </c>
      <c r="P1" s="82"/>
      <c r="Q1" s="82"/>
      <c r="R1" s="82"/>
      <c r="S1" s="82"/>
      <c r="T1" s="82"/>
      <c r="U1" s="82"/>
      <c r="V1" s="82"/>
      <c r="W1" s="82"/>
      <c r="X1" s="82"/>
      <c r="Y1" s="82"/>
      <c r="Z1" s="83"/>
    </row>
    <row r="2" spans="1:26" ht="43.2" x14ac:dyDescent="0.3">
      <c r="A2" s="50" t="s">
        <v>308</v>
      </c>
      <c r="B2" s="64" t="s">
        <v>406</v>
      </c>
      <c r="C2" s="50">
        <v>0.12</v>
      </c>
      <c r="D2" s="50">
        <v>0.2</v>
      </c>
      <c r="E2" s="50">
        <v>0.24</v>
      </c>
      <c r="F2" s="50">
        <v>0.28000000000000003</v>
      </c>
      <c r="G2" s="50">
        <v>0.32</v>
      </c>
      <c r="H2" s="50">
        <v>0.4</v>
      </c>
      <c r="I2" s="50">
        <v>0.48</v>
      </c>
      <c r="J2" s="50">
        <v>0.56000000000000005</v>
      </c>
      <c r="K2" s="50">
        <v>0.64</v>
      </c>
      <c r="L2" s="50">
        <v>0.72</v>
      </c>
      <c r="M2" s="50">
        <v>0.8</v>
      </c>
      <c r="O2" s="64" t="s">
        <v>436</v>
      </c>
      <c r="P2" s="64" t="s">
        <v>471</v>
      </c>
      <c r="Q2" s="64" t="s">
        <v>470</v>
      </c>
      <c r="R2" s="64" t="s">
        <v>469</v>
      </c>
      <c r="S2" s="64" t="s">
        <v>468</v>
      </c>
      <c r="T2" s="64" t="s">
        <v>467</v>
      </c>
      <c r="U2" s="50"/>
      <c r="V2" s="50"/>
      <c r="W2" s="50"/>
      <c r="X2" s="50"/>
      <c r="Y2" s="50"/>
      <c r="Z2" s="50"/>
    </row>
    <row r="3" spans="1:26" x14ac:dyDescent="0.3">
      <c r="A3" s="51" t="str">
        <f>IF(ISBLANK(spec_filament!A2),"",spec_filament!A2)</f>
        <v>PLA</v>
      </c>
      <c r="B3" s="51" t="str">
        <f t="shared" ref="B3:B17" si="0">Matchfill(INDEX($O$2:$Z$17,MATCH($A3,$O$2:$O$17,0),MATCH(HotendType,$O$2:$Z$2,0)),$P1)</f>
        <v>11.5</v>
      </c>
      <c r="C3" s="52">
        <f t="shared" ref="C3:M16" si="1">IF(LEN($B3) = 0,"",$B3/((Nozzle_Diameter*1.2)*C$2))</f>
        <v>133.10185185185188</v>
      </c>
      <c r="D3" s="52">
        <f t="shared" si="1"/>
        <v>79.861111111111114</v>
      </c>
      <c r="E3" s="52">
        <f t="shared" si="1"/>
        <v>66.550925925925938</v>
      </c>
      <c r="F3" s="52">
        <f t="shared" si="1"/>
        <v>57.043650793650791</v>
      </c>
      <c r="G3" s="52">
        <f t="shared" si="1"/>
        <v>49.913194444444443</v>
      </c>
      <c r="H3" s="52">
        <f t="shared" si="1"/>
        <v>39.930555555555557</v>
      </c>
      <c r="I3" s="52">
        <f t="shared" si="1"/>
        <v>33.275462962962969</v>
      </c>
      <c r="J3" s="52">
        <f t="shared" si="1"/>
        <v>28.521825396825395</v>
      </c>
      <c r="K3" s="52">
        <f t="shared" si="1"/>
        <v>24.956597222222221</v>
      </c>
      <c r="L3" s="52">
        <f t="shared" si="1"/>
        <v>22.183641975308642</v>
      </c>
      <c r="M3" s="52">
        <f t="shared" si="1"/>
        <v>19.965277777777779</v>
      </c>
      <c r="O3" s="51" t="str">
        <f>IF(ISBLANK(spec_filament!A2),"",spec_filament!A2)</f>
        <v>PLA</v>
      </c>
      <c r="P3" s="67">
        <v>11.5</v>
      </c>
      <c r="Q3" s="67">
        <v>11.5</v>
      </c>
      <c r="R3" s="67">
        <v>22</v>
      </c>
      <c r="S3" s="67">
        <v>35</v>
      </c>
      <c r="T3" s="67">
        <f>IF(ISBLANK(Q3),"",Q3)</f>
        <v>11.5</v>
      </c>
      <c r="U3" s="51"/>
      <c r="V3" s="51"/>
      <c r="W3" s="51"/>
      <c r="X3" s="51"/>
      <c r="Y3" s="51"/>
      <c r="Z3" s="51"/>
    </row>
    <row r="4" spans="1:26" x14ac:dyDescent="0.3">
      <c r="A4" s="51" t="str">
        <f>IF(ISBLANK(spec_filament!A3),"",spec_filament!A3)</f>
        <v>PET</v>
      </c>
      <c r="B4" s="51" t="str">
        <f t="shared" si="0"/>
        <v>8</v>
      </c>
      <c r="C4" s="52">
        <f t="shared" si="1"/>
        <v>92.592592592592609</v>
      </c>
      <c r="D4" s="52">
        <f t="shared" si="1"/>
        <v>55.555555555555557</v>
      </c>
      <c r="E4" s="52">
        <f t="shared" si="1"/>
        <v>46.296296296296305</v>
      </c>
      <c r="F4" s="52">
        <f t="shared" si="1"/>
        <v>39.682539682539684</v>
      </c>
      <c r="G4" s="52">
        <f t="shared" si="1"/>
        <v>34.722222222222221</v>
      </c>
      <c r="H4" s="52">
        <f t="shared" si="1"/>
        <v>27.777777777777779</v>
      </c>
      <c r="I4" s="52">
        <f t="shared" si="1"/>
        <v>23.148148148148152</v>
      </c>
      <c r="J4" s="52">
        <f t="shared" si="1"/>
        <v>19.841269841269842</v>
      </c>
      <c r="K4" s="52">
        <f t="shared" si="1"/>
        <v>17.361111111111111</v>
      </c>
      <c r="L4" s="52">
        <f t="shared" si="1"/>
        <v>15.4320987654321</v>
      </c>
      <c r="M4" s="52">
        <f t="shared" si="1"/>
        <v>13.888888888888889</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3">
      <c r="A5" s="51" t="str">
        <f>IF(ISBLANK(spec_filament!A4),"",spec_filament!A4)</f>
        <v>ABS</v>
      </c>
      <c r="B5" s="51" t="str">
        <f t="shared" si="0"/>
        <v>10</v>
      </c>
      <c r="C5" s="52">
        <f t="shared" si="1"/>
        <v>115.74074074074075</v>
      </c>
      <c r="D5" s="52">
        <f t="shared" si="1"/>
        <v>69.444444444444443</v>
      </c>
      <c r="E5" s="52">
        <f t="shared" si="1"/>
        <v>57.870370370370374</v>
      </c>
      <c r="F5" s="52">
        <f t="shared" si="1"/>
        <v>49.603174603174601</v>
      </c>
      <c r="G5" s="52">
        <f t="shared" si="1"/>
        <v>43.402777777777779</v>
      </c>
      <c r="H5" s="52">
        <f t="shared" si="1"/>
        <v>34.722222222222221</v>
      </c>
      <c r="I5" s="52">
        <f t="shared" si="1"/>
        <v>28.935185185185187</v>
      </c>
      <c r="J5" s="52">
        <f t="shared" si="1"/>
        <v>24.801587301587301</v>
      </c>
      <c r="K5" s="52">
        <f t="shared" si="1"/>
        <v>21.701388888888889</v>
      </c>
      <c r="L5" s="52">
        <f t="shared" si="1"/>
        <v>19.290123456790123</v>
      </c>
      <c r="M5" s="52">
        <f t="shared" si="1"/>
        <v>17.361111111111111</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3">
      <c r="A6" s="51" t="str">
        <f>IF(ISBLANK(spec_filament!A5),"",spec_filament!A5)</f>
        <v>Nylon</v>
      </c>
      <c r="B6" s="51" t="str">
        <f t="shared" si="0"/>
        <v>8</v>
      </c>
      <c r="C6" s="52">
        <f t="shared" si="1"/>
        <v>92.592592592592609</v>
      </c>
      <c r="D6" s="52">
        <f t="shared" si="1"/>
        <v>55.555555555555557</v>
      </c>
      <c r="E6" s="52">
        <f t="shared" si="1"/>
        <v>46.296296296296305</v>
      </c>
      <c r="F6" s="52">
        <f t="shared" si="1"/>
        <v>39.682539682539684</v>
      </c>
      <c r="G6" s="52">
        <f t="shared" si="1"/>
        <v>34.722222222222221</v>
      </c>
      <c r="H6" s="52">
        <f t="shared" si="1"/>
        <v>27.777777777777779</v>
      </c>
      <c r="I6" s="52">
        <f t="shared" si="1"/>
        <v>23.148148148148152</v>
      </c>
      <c r="J6" s="52">
        <f t="shared" si="1"/>
        <v>19.841269841269842</v>
      </c>
      <c r="K6" s="52">
        <f t="shared" si="1"/>
        <v>17.361111111111111</v>
      </c>
      <c r="L6" s="52">
        <f t="shared" si="1"/>
        <v>15.4320987654321</v>
      </c>
      <c r="M6" s="52">
        <f t="shared" si="1"/>
        <v>13.888888888888889</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3">
      <c r="A7" s="51" t="str">
        <f>IF(ISBLANK(spec_filament!A6),"",spec_filament!A6)</f>
        <v>CoPoly</v>
      </c>
      <c r="B7" s="51" t="str">
        <f t="shared" si="0"/>
        <v>8</v>
      </c>
      <c r="C7" s="52">
        <f t="shared" si="1"/>
        <v>92.592592592592609</v>
      </c>
      <c r="D7" s="52">
        <f t="shared" si="1"/>
        <v>55.555555555555557</v>
      </c>
      <c r="E7" s="52">
        <f t="shared" si="1"/>
        <v>46.296296296296305</v>
      </c>
      <c r="F7" s="52">
        <f t="shared" si="1"/>
        <v>39.682539682539684</v>
      </c>
      <c r="G7" s="52">
        <f t="shared" si="1"/>
        <v>34.722222222222221</v>
      </c>
      <c r="H7" s="52">
        <f t="shared" si="1"/>
        <v>27.777777777777779</v>
      </c>
      <c r="I7" s="52">
        <f t="shared" si="1"/>
        <v>23.148148148148152</v>
      </c>
      <c r="J7" s="52">
        <f t="shared" si="1"/>
        <v>19.841269841269842</v>
      </c>
      <c r="K7" s="52">
        <f t="shared" si="1"/>
        <v>17.361111111111111</v>
      </c>
      <c r="L7" s="52">
        <f t="shared" si="1"/>
        <v>15.4320987654321</v>
      </c>
      <c r="M7" s="52">
        <f t="shared" si="1"/>
        <v>13.888888888888889</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3">
      <c r="A8" s="51" t="str">
        <f>IF(ISBLANK(spec_filament!A7),"",spec_filament!A7)</f>
        <v>TPU</v>
      </c>
      <c r="B8" s="51" t="str">
        <f t="shared" si="0"/>
        <v>6</v>
      </c>
      <c r="C8" s="52">
        <f t="shared" si="1"/>
        <v>69.444444444444457</v>
      </c>
      <c r="D8" s="52">
        <f t="shared" si="1"/>
        <v>41.666666666666671</v>
      </c>
      <c r="E8" s="52">
        <f t="shared" si="1"/>
        <v>34.722222222222229</v>
      </c>
      <c r="F8" s="52">
        <f t="shared" si="1"/>
        <v>29.761904761904763</v>
      </c>
      <c r="G8" s="52">
        <f t="shared" si="1"/>
        <v>26.041666666666668</v>
      </c>
      <c r="H8" s="52">
        <f t="shared" si="1"/>
        <v>20.833333333333336</v>
      </c>
      <c r="I8" s="52">
        <f t="shared" si="1"/>
        <v>17.361111111111114</v>
      </c>
      <c r="J8" s="52">
        <f t="shared" si="1"/>
        <v>14.880952380952381</v>
      </c>
      <c r="K8" s="52">
        <f t="shared" si="1"/>
        <v>13.020833333333334</v>
      </c>
      <c r="L8" s="52">
        <f t="shared" si="1"/>
        <v>11.574074074074074</v>
      </c>
      <c r="M8" s="52">
        <f t="shared" si="1"/>
        <v>10.416666666666668</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3">
      <c r="A9" s="51" t="str">
        <f>IF(ISBLANK(spec_filament!A8),"",spec_filament!A8)</f>
        <v>HIPS</v>
      </c>
      <c r="B9" s="51" t="str">
        <f t="shared" si="0"/>
        <v>10</v>
      </c>
      <c r="C9" s="52">
        <f t="shared" si="1"/>
        <v>115.74074074074075</v>
      </c>
      <c r="D9" s="52">
        <f t="shared" si="1"/>
        <v>69.444444444444443</v>
      </c>
      <c r="E9" s="52">
        <f t="shared" si="1"/>
        <v>57.870370370370374</v>
      </c>
      <c r="F9" s="52">
        <f t="shared" si="1"/>
        <v>49.603174603174601</v>
      </c>
      <c r="G9" s="52">
        <f t="shared" si="1"/>
        <v>43.402777777777779</v>
      </c>
      <c r="H9" s="52">
        <f t="shared" si="1"/>
        <v>34.722222222222221</v>
      </c>
      <c r="I9" s="52">
        <f t="shared" si="1"/>
        <v>28.935185185185187</v>
      </c>
      <c r="J9" s="52">
        <f t="shared" si="1"/>
        <v>24.801587301587301</v>
      </c>
      <c r="K9" s="52">
        <f t="shared" si="1"/>
        <v>21.701388888888889</v>
      </c>
      <c r="L9" s="52">
        <f t="shared" si="1"/>
        <v>19.290123456790123</v>
      </c>
      <c r="M9" s="52">
        <f t="shared" si="1"/>
        <v>17.361111111111111</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3">
      <c r="A10" s="51" t="str">
        <f>IF(ISBLANK(spec_filament!A9),"",spec_filament!A9)</f>
        <v>ASA</v>
      </c>
      <c r="B10" s="51" t="str">
        <f t="shared" si="0"/>
        <v>10</v>
      </c>
      <c r="C10" s="52">
        <f t="shared" si="1"/>
        <v>115.74074074074075</v>
      </c>
      <c r="D10" s="52">
        <f t="shared" si="1"/>
        <v>69.444444444444443</v>
      </c>
      <c r="E10" s="52">
        <f t="shared" si="1"/>
        <v>57.870370370370374</v>
      </c>
      <c r="F10" s="52">
        <f t="shared" si="1"/>
        <v>49.603174603174601</v>
      </c>
      <c r="G10" s="52">
        <f t="shared" si="1"/>
        <v>43.402777777777779</v>
      </c>
      <c r="H10" s="52">
        <f t="shared" si="1"/>
        <v>34.722222222222221</v>
      </c>
      <c r="I10" s="52">
        <f t="shared" si="1"/>
        <v>28.935185185185187</v>
      </c>
      <c r="J10" s="52">
        <f t="shared" si="1"/>
        <v>24.801587301587301</v>
      </c>
      <c r="K10" s="52">
        <f t="shared" si="1"/>
        <v>21.701388888888889</v>
      </c>
      <c r="L10" s="52">
        <f t="shared" si="1"/>
        <v>19.290123456790123</v>
      </c>
      <c r="M10" s="52">
        <f t="shared" si="1"/>
        <v>17.361111111111111</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3">
      <c r="A11" s="51" t="str">
        <f>IF(ISBLANK(spec_filament!A10),"",spec_filament!A10)</f>
        <v>PP</v>
      </c>
      <c r="B11" s="51" t="str">
        <f t="shared" si="0"/>
        <v>8</v>
      </c>
      <c r="C11" s="52">
        <f t="shared" si="1"/>
        <v>92.592592592592609</v>
      </c>
      <c r="D11" s="52">
        <f t="shared" si="1"/>
        <v>55.555555555555557</v>
      </c>
      <c r="E11" s="52">
        <f t="shared" si="1"/>
        <v>46.296296296296305</v>
      </c>
      <c r="F11" s="52">
        <f t="shared" si="1"/>
        <v>39.682539682539684</v>
      </c>
      <c r="G11" s="52">
        <f t="shared" si="1"/>
        <v>34.722222222222221</v>
      </c>
      <c r="H11" s="52">
        <f t="shared" si="1"/>
        <v>27.777777777777779</v>
      </c>
      <c r="I11" s="52">
        <f t="shared" si="1"/>
        <v>23.148148148148152</v>
      </c>
      <c r="J11" s="52">
        <f t="shared" si="1"/>
        <v>19.841269841269842</v>
      </c>
      <c r="K11" s="52">
        <f t="shared" si="1"/>
        <v>17.361111111111111</v>
      </c>
      <c r="L11" s="52">
        <f t="shared" si="1"/>
        <v>15.4320987654321</v>
      </c>
      <c r="M11" s="52">
        <f t="shared" si="1"/>
        <v>13.888888888888889</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3">
      <c r="A12" s="51" t="str">
        <f>IF(ISBLANK(spec_filament!A11),"",spec_filament!A11)</f>
        <v>TPE</v>
      </c>
      <c r="B12" s="51" t="str">
        <f t="shared" si="0"/>
        <v>6</v>
      </c>
      <c r="C12" s="52">
        <f t="shared" si="1"/>
        <v>69.444444444444457</v>
      </c>
      <c r="D12" s="52">
        <f t="shared" si="1"/>
        <v>41.666666666666671</v>
      </c>
      <c r="E12" s="52">
        <f t="shared" si="1"/>
        <v>34.722222222222229</v>
      </c>
      <c r="F12" s="52">
        <f t="shared" si="1"/>
        <v>29.761904761904763</v>
      </c>
      <c r="G12" s="52">
        <f t="shared" si="1"/>
        <v>26.041666666666668</v>
      </c>
      <c r="H12" s="52">
        <f t="shared" si="1"/>
        <v>20.833333333333336</v>
      </c>
      <c r="I12" s="52">
        <f t="shared" si="1"/>
        <v>17.361111111111114</v>
      </c>
      <c r="J12" s="52">
        <f t="shared" si="1"/>
        <v>14.880952380952381</v>
      </c>
      <c r="K12" s="52">
        <f t="shared" si="1"/>
        <v>13.020833333333334</v>
      </c>
      <c r="L12" s="52">
        <f t="shared" si="1"/>
        <v>11.574074074074074</v>
      </c>
      <c r="M12" s="52">
        <f t="shared" si="1"/>
        <v>10.416666666666668</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3">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3">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3">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3">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3">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3">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40" activePane="bottomLeft" state="frozen"/>
      <selection activeCell="B30" sqref="B30"/>
      <selection pane="bottomLeft" activeCell="C160" sqref="C160"/>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242</v>
      </c>
      <c r="B1" s="28" t="s">
        <v>215</v>
      </c>
      <c r="C1" s="29" t="s">
        <v>109</v>
      </c>
      <c r="D1" s="28" t="s">
        <v>283</v>
      </c>
      <c r="E1" s="28" t="s">
        <v>284</v>
      </c>
      <c r="F1" s="72">
        <v>0.24</v>
      </c>
      <c r="G1" s="72">
        <v>0.28000000000000003</v>
      </c>
      <c r="H1" s="28" t="s">
        <v>285</v>
      </c>
      <c r="I1" s="28" t="s">
        <v>286</v>
      </c>
      <c r="J1" s="28" t="s">
        <v>287</v>
      </c>
      <c r="K1" s="28" t="s">
        <v>288</v>
      </c>
      <c r="L1" s="28" t="s">
        <v>289</v>
      </c>
      <c r="M1" s="28" t="s">
        <v>290</v>
      </c>
      <c r="N1" s="28" t="s">
        <v>291</v>
      </c>
      <c r="O1" s="30" t="s">
        <v>226</v>
      </c>
    </row>
    <row r="2" spans="1:15" x14ac:dyDescent="0.3">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475</v>
      </c>
      <c r="D29" s="70"/>
      <c r="E29" s="70"/>
      <c r="F29" s="70"/>
      <c r="G29" s="70"/>
      <c r="H29" s="70"/>
      <c r="I29" s="70"/>
      <c r="J29" s="70"/>
      <c r="K29" s="70"/>
      <c r="L29" s="70"/>
      <c r="M29" s="70"/>
      <c r="N29" s="70"/>
      <c r="O29" s="36" t="s">
        <v>279</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378</v>
      </c>
      <c r="C31" s="35" t="s">
        <v>17</v>
      </c>
      <c r="D31" s="70"/>
      <c r="E31" s="70"/>
      <c r="F31" s="70"/>
      <c r="G31" s="70"/>
      <c r="H31" s="70"/>
      <c r="I31" s="70"/>
      <c r="J31" s="70"/>
      <c r="K31" s="70"/>
      <c r="L31" s="70"/>
      <c r="M31" s="70"/>
      <c r="N31" s="70"/>
      <c r="O31" s="36"/>
    </row>
    <row r="32" spans="1:15" x14ac:dyDescent="0.3">
      <c r="A32" s="31"/>
      <c r="B32" s="31" t="s">
        <v>384</v>
      </c>
      <c r="C32" s="32" t="s">
        <v>17</v>
      </c>
      <c r="D32" s="71"/>
      <c r="E32" s="71"/>
      <c r="F32" s="71"/>
      <c r="G32" s="71"/>
      <c r="H32" s="71"/>
      <c r="I32" s="71"/>
      <c r="J32" s="71"/>
      <c r="K32" s="71"/>
      <c r="L32" s="71"/>
      <c r="M32" s="71"/>
      <c r="N32" s="71"/>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c r="E64" s="71"/>
      <c r="F64" s="71"/>
      <c r="G64" s="71"/>
      <c r="H64" s="71"/>
      <c r="I64" s="71"/>
      <c r="J64" s="71"/>
      <c r="K64" s="71"/>
      <c r="L64" s="71"/>
      <c r="M64" s="71"/>
      <c r="N64" s="71"/>
      <c r="O64" s="33" t="s">
        <v>300</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299</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v>0.2</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c r="D79" s="75">
        <f t="shared" ref="D79:N79" si="0">IF(SpeedType &lt;&gt; "ForceVolumetric",D$101, IFERROR(D$102/((Nozzle_Diameter*1.2)*D$1),0))</f>
        <v>65</v>
      </c>
      <c r="E79" s="75">
        <f t="shared" si="0"/>
        <v>60</v>
      </c>
      <c r="F79" s="75">
        <f t="shared" si="0"/>
        <v>60</v>
      </c>
      <c r="G79" s="75">
        <f t="shared" si="0"/>
        <v>60</v>
      </c>
      <c r="H79" s="75">
        <f t="shared" si="0"/>
        <v>55</v>
      </c>
      <c r="I79" s="75">
        <f t="shared" si="0"/>
        <v>50</v>
      </c>
      <c r="J79" s="75">
        <f t="shared" si="0"/>
        <v>45</v>
      </c>
      <c r="K79" s="75">
        <f t="shared" si="0"/>
        <v>40</v>
      </c>
      <c r="L79" s="75">
        <f t="shared" si="0"/>
        <v>35</v>
      </c>
      <c r="M79" s="75">
        <f t="shared" si="0"/>
        <v>30</v>
      </c>
      <c r="N79" s="75">
        <f t="shared" si="0"/>
        <v>25</v>
      </c>
      <c r="O79" s="33"/>
    </row>
    <row r="80" spans="1:15" x14ac:dyDescent="0.3">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3">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3">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3">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3">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3">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3">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3">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59" activePane="bottomLeft" state="frozen"/>
      <selection activeCell="B30" sqref="B30"/>
      <selection pane="bottomLeft" activeCell="C101" sqref="C10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242</v>
      </c>
      <c r="B1" s="28" t="s">
        <v>215</v>
      </c>
      <c r="C1" s="29" t="s">
        <v>109</v>
      </c>
      <c r="D1" s="28" t="s">
        <v>283</v>
      </c>
      <c r="E1" s="72" t="s">
        <v>284</v>
      </c>
      <c r="F1" s="72">
        <v>0.24</v>
      </c>
      <c r="G1" s="72">
        <v>0.28000000000000003</v>
      </c>
      <c r="H1" s="28" t="s">
        <v>285</v>
      </c>
      <c r="I1" s="28" t="s">
        <v>286</v>
      </c>
      <c r="J1" s="28" t="s">
        <v>287</v>
      </c>
      <c r="K1" s="28" t="s">
        <v>288</v>
      </c>
      <c r="L1" s="28" t="s">
        <v>289</v>
      </c>
      <c r="M1" s="28" t="s">
        <v>290</v>
      </c>
      <c r="N1" s="28" t="s">
        <v>291</v>
      </c>
      <c r="O1" s="30" t="s">
        <v>226</v>
      </c>
    </row>
    <row r="2" spans="1:15" x14ac:dyDescent="0.3">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68" t="s">
        <v>13</v>
      </c>
      <c r="D25" s="73"/>
      <c r="E25" s="73"/>
      <c r="F25" s="73"/>
      <c r="G25" s="73"/>
      <c r="H25" s="73"/>
      <c r="I25" s="73"/>
      <c r="J25" s="73"/>
      <c r="K25" s="73"/>
      <c r="L25" s="73"/>
      <c r="M25" s="73"/>
      <c r="N25" s="73"/>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68" t="s">
        <v>475</v>
      </c>
      <c r="D29" s="73"/>
      <c r="E29" s="73"/>
      <c r="F29" s="73"/>
      <c r="G29" s="73"/>
      <c r="H29" s="73"/>
      <c r="I29" s="73"/>
      <c r="J29" s="73"/>
      <c r="K29" s="73"/>
      <c r="L29" s="73"/>
      <c r="M29" s="73"/>
      <c r="N29" s="73"/>
      <c r="O29" s="36" t="s">
        <v>279</v>
      </c>
    </row>
    <row r="30" spans="1:15" x14ac:dyDescent="0.3">
      <c r="A30" s="31"/>
      <c r="B30" s="31" t="s">
        <v>18</v>
      </c>
      <c r="C30" s="69" t="s">
        <v>17</v>
      </c>
      <c r="D30" s="74"/>
      <c r="E30" s="74"/>
      <c r="F30" s="74"/>
      <c r="G30" s="74"/>
      <c r="H30" s="74"/>
      <c r="I30" s="74"/>
      <c r="J30" s="74"/>
      <c r="K30" s="74"/>
      <c r="L30" s="74"/>
      <c r="M30" s="74"/>
      <c r="N30" s="74"/>
      <c r="O30" s="33"/>
    </row>
    <row r="31" spans="1:15" x14ac:dyDescent="0.3">
      <c r="A31" s="34"/>
      <c r="B31" s="34" t="s">
        <v>378</v>
      </c>
      <c r="C31" s="68" t="s">
        <v>17</v>
      </c>
      <c r="D31" s="73"/>
      <c r="E31" s="73"/>
      <c r="F31" s="73"/>
      <c r="G31" s="73"/>
      <c r="H31" s="73"/>
      <c r="I31" s="73"/>
      <c r="J31" s="73"/>
      <c r="K31" s="73"/>
      <c r="L31" s="73"/>
      <c r="M31" s="73"/>
      <c r="N31" s="73"/>
      <c r="O31" s="36"/>
    </row>
    <row r="32" spans="1:15" x14ac:dyDescent="0.3">
      <c r="A32" s="31"/>
      <c r="B32" s="31" t="s">
        <v>384</v>
      </c>
      <c r="C32" s="69" t="s">
        <v>17</v>
      </c>
      <c r="D32" s="74"/>
      <c r="E32" s="74"/>
      <c r="F32" s="74"/>
      <c r="G32" s="74"/>
      <c r="H32" s="74"/>
      <c r="I32" s="74"/>
      <c r="J32" s="74"/>
      <c r="K32" s="74"/>
      <c r="L32" s="74"/>
      <c r="M32" s="74"/>
      <c r="N32" s="74"/>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3">
      <c r="A65" s="34"/>
      <c r="B65" s="34" t="s">
        <v>38</v>
      </c>
      <c r="C65" s="68" t="s">
        <v>17</v>
      </c>
      <c r="D65" s="73"/>
      <c r="E65" s="73"/>
      <c r="F65" s="73"/>
      <c r="G65" s="73"/>
      <c r="H65" s="73"/>
      <c r="I65" s="73"/>
      <c r="J65" s="73"/>
      <c r="K65" s="73"/>
      <c r="L65" s="73"/>
      <c r="M65" s="73"/>
      <c r="N65" s="73"/>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299</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v>0.2</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t="str">
        <f ca="1">SUBSTITUTE(RIGHT(CELL("filename",A1),LEN(CELL("filename",A1))-FIND("]",CELL("filename",A1),1)),"print_","")</f>
        <v>PLA</v>
      </c>
      <c r="D79" s="75">
        <f t="shared" ref="D79:N79" si="0" xml:space="preserve"> IF(SpeedType &lt;&gt; "ForceVolumetric",D$101, IFERROR(D$102/((Nozzle_Diameter*1.2)*D$1),0))</f>
        <v>80</v>
      </c>
      <c r="E79" s="75">
        <f t="shared" si="0"/>
        <v>80</v>
      </c>
      <c r="F79" s="75">
        <f t="shared" si="0"/>
        <v>80</v>
      </c>
      <c r="G79" s="75">
        <f t="shared" si="0"/>
        <v>80</v>
      </c>
      <c r="H79" s="75">
        <f t="shared" si="0"/>
        <v>80</v>
      </c>
      <c r="I79" s="75">
        <f t="shared" si="0"/>
        <v>80</v>
      </c>
      <c r="J79" s="75">
        <f t="shared" si="0"/>
        <v>80</v>
      </c>
      <c r="K79" s="75">
        <f t="shared" si="0"/>
        <v>80</v>
      </c>
      <c r="L79" s="75">
        <f t="shared" si="0"/>
        <v>80</v>
      </c>
      <c r="M79" s="75">
        <f t="shared" si="0"/>
        <v>80</v>
      </c>
      <c r="N79" s="75">
        <f t="shared" si="0"/>
        <v>80</v>
      </c>
      <c r="O79" s="33"/>
    </row>
    <row r="80" spans="1:15" x14ac:dyDescent="0.3">
      <c r="A80" s="34"/>
      <c r="B80" s="34" t="s">
        <v>48</v>
      </c>
      <c r="C80" s="35">
        <v>45</v>
      </c>
      <c r="D80" s="70">
        <f t="shared" ref="D80:N80" si="1">GetSpeed($C80,D$101,D$79)</f>
        <v>45</v>
      </c>
      <c r="E80" s="70">
        <f t="shared" si="1"/>
        <v>45</v>
      </c>
      <c r="F80" s="70">
        <f t="shared" si="1"/>
        <v>45</v>
      </c>
      <c r="G80" s="70">
        <f t="shared" si="1"/>
        <v>45</v>
      </c>
      <c r="H80" s="70">
        <f t="shared" si="1"/>
        <v>45</v>
      </c>
      <c r="I80" s="70">
        <f t="shared" si="1"/>
        <v>45</v>
      </c>
      <c r="J80" s="70">
        <f t="shared" si="1"/>
        <v>45</v>
      </c>
      <c r="K80" s="70">
        <f t="shared" si="1"/>
        <v>45</v>
      </c>
      <c r="L80" s="70">
        <f t="shared" si="1"/>
        <v>45</v>
      </c>
      <c r="M80" s="70">
        <f t="shared" si="1"/>
        <v>45</v>
      </c>
      <c r="N80" s="70">
        <f t="shared" si="1"/>
        <v>45</v>
      </c>
      <c r="O80" s="36"/>
    </row>
    <row r="81" spans="1:15" x14ac:dyDescent="0.3">
      <c r="A81" s="31"/>
      <c r="B81" s="31" t="s">
        <v>49</v>
      </c>
      <c r="C81" s="32">
        <v>25</v>
      </c>
      <c r="D81" s="71">
        <f t="shared" ref="D81:N81" si="2">GetSpeed($C$81,D$101,D$79)</f>
        <v>25</v>
      </c>
      <c r="E81" s="71">
        <f t="shared" si="2"/>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35</v>
      </c>
      <c r="D82" s="70">
        <f t="shared" ref="D82:N82" si="3">GetSpeed($C$82,D$101,D$79)</f>
        <v>35</v>
      </c>
      <c r="E82" s="70">
        <f t="shared" si="3"/>
        <v>35</v>
      </c>
      <c r="F82" s="70">
        <f t="shared" si="3"/>
        <v>35</v>
      </c>
      <c r="G82" s="70">
        <f t="shared" si="3"/>
        <v>35</v>
      </c>
      <c r="H82" s="70">
        <f t="shared" si="3"/>
        <v>35</v>
      </c>
      <c r="I82" s="70">
        <f t="shared" si="3"/>
        <v>35</v>
      </c>
      <c r="J82" s="70">
        <f t="shared" si="3"/>
        <v>35</v>
      </c>
      <c r="K82" s="70">
        <f t="shared" si="3"/>
        <v>35</v>
      </c>
      <c r="L82" s="70">
        <f t="shared" si="3"/>
        <v>35</v>
      </c>
      <c r="M82" s="70">
        <f t="shared" si="3"/>
        <v>35</v>
      </c>
      <c r="N82" s="70">
        <f t="shared" si="3"/>
        <v>35</v>
      </c>
      <c r="O82" s="36"/>
    </row>
    <row r="83" spans="1:15" x14ac:dyDescent="0.3">
      <c r="A83" s="31"/>
      <c r="B83" s="31" t="s">
        <v>51</v>
      </c>
      <c r="C83" s="32">
        <v>65</v>
      </c>
      <c r="D83" s="71">
        <f t="shared" ref="D83:N83" si="4">GetSpeed($C$83,D$101,D$79)</f>
        <v>65</v>
      </c>
      <c r="E83" s="71">
        <f t="shared" si="4"/>
        <v>65</v>
      </c>
      <c r="F83" s="71">
        <f t="shared" si="4"/>
        <v>65</v>
      </c>
      <c r="G83" s="71">
        <f t="shared" si="4"/>
        <v>65</v>
      </c>
      <c r="H83" s="71">
        <f t="shared" si="4"/>
        <v>65</v>
      </c>
      <c r="I83" s="71">
        <f t="shared" si="4"/>
        <v>65</v>
      </c>
      <c r="J83" s="71">
        <f t="shared" si="4"/>
        <v>65</v>
      </c>
      <c r="K83" s="71">
        <f t="shared" si="4"/>
        <v>65</v>
      </c>
      <c r="L83" s="71">
        <f t="shared" si="4"/>
        <v>65</v>
      </c>
      <c r="M83" s="71">
        <f t="shared" si="4"/>
        <v>65</v>
      </c>
      <c r="N83" s="71">
        <f t="shared" si="4"/>
        <v>65</v>
      </c>
      <c r="O83" s="33"/>
    </row>
    <row r="84" spans="1:15" x14ac:dyDescent="0.3">
      <c r="A84" s="34"/>
      <c r="B84" s="34" t="s">
        <v>52</v>
      </c>
      <c r="C84" s="35">
        <v>45</v>
      </c>
      <c r="D84" s="70">
        <f t="shared" ref="D84:N84" si="5">GetSpeed($C$84,D$101,D$79)</f>
        <v>45</v>
      </c>
      <c r="E84" s="70">
        <f t="shared" si="5"/>
        <v>45</v>
      </c>
      <c r="F84" s="70">
        <f t="shared" si="5"/>
        <v>45</v>
      </c>
      <c r="G84" s="70">
        <f t="shared" si="5"/>
        <v>45</v>
      </c>
      <c r="H84" s="70">
        <f t="shared" si="5"/>
        <v>45</v>
      </c>
      <c r="I84" s="70">
        <f t="shared" si="5"/>
        <v>45</v>
      </c>
      <c r="J84" s="70">
        <f t="shared" si="5"/>
        <v>45</v>
      </c>
      <c r="K84" s="70">
        <f t="shared" si="5"/>
        <v>45</v>
      </c>
      <c r="L84" s="70">
        <f t="shared" si="5"/>
        <v>45</v>
      </c>
      <c r="M84" s="70">
        <f t="shared" si="5"/>
        <v>45</v>
      </c>
      <c r="N84" s="70">
        <f t="shared" si="5"/>
        <v>45</v>
      </c>
      <c r="O84" s="36"/>
    </row>
    <row r="85" spans="1:15" x14ac:dyDescent="0.3">
      <c r="A85" s="31"/>
      <c r="B85" s="31" t="s">
        <v>53</v>
      </c>
      <c r="C85" s="32">
        <v>35</v>
      </c>
      <c r="D85" s="71">
        <f t="shared" ref="D85:N85" si="6">GetSpeed($C$85,D$101,D$79)</f>
        <v>35</v>
      </c>
      <c r="E85" s="71">
        <f t="shared" si="6"/>
        <v>35</v>
      </c>
      <c r="F85" s="71">
        <f t="shared" si="6"/>
        <v>35</v>
      </c>
      <c r="G85" s="71">
        <f t="shared" si="6"/>
        <v>35</v>
      </c>
      <c r="H85" s="71">
        <f t="shared" si="6"/>
        <v>35</v>
      </c>
      <c r="I85" s="71">
        <f t="shared" si="6"/>
        <v>35</v>
      </c>
      <c r="J85" s="71">
        <f t="shared" si="6"/>
        <v>35</v>
      </c>
      <c r="K85" s="71">
        <f t="shared" si="6"/>
        <v>35</v>
      </c>
      <c r="L85" s="71">
        <f t="shared" si="6"/>
        <v>35</v>
      </c>
      <c r="M85" s="71">
        <f t="shared" si="6"/>
        <v>35</v>
      </c>
      <c r="N85" s="71">
        <f t="shared" si="6"/>
        <v>35</v>
      </c>
      <c r="O85" s="33"/>
    </row>
    <row r="86" spans="1:15" x14ac:dyDescent="0.3">
      <c r="A86" s="34"/>
      <c r="B86" s="34" t="s">
        <v>54</v>
      </c>
      <c r="C86" s="35">
        <v>45</v>
      </c>
      <c r="D86" s="70">
        <f t="shared" ref="D86:N86" si="7">GetSpeed($C$86,D$101,D$79)</f>
        <v>45</v>
      </c>
      <c r="E86" s="70">
        <f t="shared" si="7"/>
        <v>45</v>
      </c>
      <c r="F86" s="70">
        <f t="shared" si="7"/>
        <v>45</v>
      </c>
      <c r="G86" s="70">
        <f t="shared" si="7"/>
        <v>45</v>
      </c>
      <c r="H86" s="70">
        <f t="shared" si="7"/>
        <v>45</v>
      </c>
      <c r="I86" s="70">
        <f t="shared" si="7"/>
        <v>45</v>
      </c>
      <c r="J86" s="70">
        <f t="shared" si="7"/>
        <v>45</v>
      </c>
      <c r="K86" s="70">
        <f t="shared" si="7"/>
        <v>45</v>
      </c>
      <c r="L86" s="70">
        <f t="shared" si="7"/>
        <v>45</v>
      </c>
      <c r="M86" s="70">
        <f t="shared" si="7"/>
        <v>45</v>
      </c>
      <c r="N86" s="70">
        <f t="shared" si="7"/>
        <v>45</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 t="shared" ref="D88:N88" si="8">GetSpeed($C$88,D$101,D$79)</f>
        <v>30</v>
      </c>
      <c r="E88" s="70">
        <f t="shared" si="8"/>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3">
      <c r="A89" s="31"/>
      <c r="B89" s="31" t="s">
        <v>57</v>
      </c>
      <c r="C89" s="32">
        <v>20</v>
      </c>
      <c r="D89" s="71">
        <f t="shared" ref="D89:N89" si="9">GetSpeed($C$89,D$101,D$79)</f>
        <v>20</v>
      </c>
      <c r="E89" s="71">
        <f t="shared" si="9"/>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3">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tabSelected="1" workbookViewId="0">
      <pane ySplit="1" topLeftCell="A80" activePane="bottomLeft" state="frozen"/>
      <selection activeCell="B30" sqref="B30"/>
      <selection pane="bottomLeft" activeCell="F95" sqref="F95"/>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28" t="s">
        <v>242</v>
      </c>
      <c r="B1" s="28" t="s">
        <v>215</v>
      </c>
      <c r="C1" s="29" t="s">
        <v>109</v>
      </c>
      <c r="D1" s="72" t="s">
        <v>283</v>
      </c>
      <c r="E1" s="72" t="s">
        <v>284</v>
      </c>
      <c r="F1" s="72">
        <v>0.24</v>
      </c>
      <c r="G1" s="72">
        <v>0.28000000000000003</v>
      </c>
      <c r="H1" s="72" t="s">
        <v>285</v>
      </c>
      <c r="I1" s="72" t="s">
        <v>286</v>
      </c>
      <c r="J1" s="72" t="s">
        <v>287</v>
      </c>
      <c r="K1" s="72" t="s">
        <v>288</v>
      </c>
      <c r="L1" s="72" t="s">
        <v>289</v>
      </c>
      <c r="M1" s="72" t="s">
        <v>290</v>
      </c>
      <c r="N1" s="72" t="s">
        <v>291</v>
      </c>
      <c r="O1" s="30" t="s">
        <v>226</v>
      </c>
    </row>
    <row r="2" spans="1:15" x14ac:dyDescent="0.3">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3">
      <c r="A3" s="34"/>
      <c r="B3" s="34" t="s">
        <v>0</v>
      </c>
      <c r="C3" s="35">
        <v>4</v>
      </c>
      <c r="D3" s="70"/>
      <c r="E3" s="70"/>
      <c r="F3" s="70"/>
      <c r="G3" s="70"/>
      <c r="H3" s="70"/>
      <c r="I3" s="70"/>
      <c r="J3" s="70"/>
      <c r="K3" s="70"/>
      <c r="L3" s="70"/>
      <c r="M3" s="70"/>
      <c r="N3" s="70"/>
      <c r="O3" s="36"/>
    </row>
    <row r="4" spans="1:15" x14ac:dyDescent="0.3">
      <c r="A4" s="37" t="s">
        <v>243</v>
      </c>
      <c r="B4" s="38" t="s">
        <v>237</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373</v>
      </c>
      <c r="C7" s="35">
        <v>0</v>
      </c>
      <c r="D7" s="70"/>
      <c r="E7" s="70"/>
      <c r="F7" s="70"/>
      <c r="G7" s="70"/>
      <c r="H7" s="70"/>
      <c r="I7" s="70"/>
      <c r="J7" s="70"/>
      <c r="K7" s="70"/>
      <c r="L7" s="70"/>
      <c r="M7" s="70"/>
      <c r="N7" s="70"/>
      <c r="O7" s="36"/>
    </row>
    <row r="8" spans="1:15" x14ac:dyDescent="0.3">
      <c r="A8" s="31"/>
      <c r="B8" s="31" t="s">
        <v>374</v>
      </c>
      <c r="C8" s="32">
        <v>75</v>
      </c>
      <c r="D8" s="71"/>
      <c r="E8" s="71"/>
      <c r="F8" s="71"/>
      <c r="G8" s="71"/>
      <c r="H8" s="71"/>
      <c r="I8" s="71"/>
      <c r="J8" s="71"/>
      <c r="K8" s="71"/>
      <c r="L8" s="71"/>
      <c r="M8" s="71"/>
      <c r="N8" s="71"/>
      <c r="O8" s="33"/>
    </row>
    <row r="9" spans="1:15" x14ac:dyDescent="0.3">
      <c r="A9" s="34"/>
      <c r="B9" s="34" t="s">
        <v>375</v>
      </c>
      <c r="C9" s="35">
        <v>0</v>
      </c>
      <c r="D9" s="70"/>
      <c r="E9" s="70"/>
      <c r="F9" s="70"/>
      <c r="G9" s="70"/>
      <c r="H9" s="70"/>
      <c r="I9" s="70"/>
      <c r="J9" s="70"/>
      <c r="K9" s="70"/>
      <c r="L9" s="70"/>
      <c r="M9" s="70"/>
      <c r="N9" s="70"/>
      <c r="O9" s="36"/>
    </row>
    <row r="10" spans="1:15" x14ac:dyDescent="0.3">
      <c r="A10" s="31"/>
      <c r="B10" s="38" t="s">
        <v>238</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376</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239</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377</v>
      </c>
      <c r="C17" s="35">
        <v>0</v>
      </c>
      <c r="D17" s="70"/>
      <c r="E17" s="70"/>
      <c r="F17" s="70"/>
      <c r="G17" s="70"/>
      <c r="H17" s="70"/>
      <c r="I17" s="70"/>
      <c r="J17" s="70"/>
      <c r="K17" s="70"/>
      <c r="L17" s="70"/>
      <c r="M17" s="70"/>
      <c r="N17" s="70"/>
      <c r="O17" s="36"/>
    </row>
    <row r="18" spans="1:15" x14ac:dyDescent="0.3">
      <c r="A18" s="31"/>
      <c r="B18" s="38" t="s">
        <v>240</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275</v>
      </c>
    </row>
    <row r="20" spans="1:15" x14ac:dyDescent="0.3">
      <c r="A20" s="31"/>
      <c r="B20" s="31" t="s">
        <v>8</v>
      </c>
      <c r="C20" s="32">
        <v>1</v>
      </c>
      <c r="D20" s="71"/>
      <c r="E20" s="71"/>
      <c r="F20" s="71"/>
      <c r="G20" s="71"/>
      <c r="H20" s="71"/>
      <c r="I20" s="71"/>
      <c r="J20" s="71"/>
      <c r="K20" s="71"/>
      <c r="L20" s="71"/>
      <c r="M20" s="71"/>
      <c r="N20" s="71"/>
      <c r="O20" s="33" t="s">
        <v>276</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277</v>
      </c>
    </row>
    <row r="23" spans="1:15" x14ac:dyDescent="0.3">
      <c r="A23" s="34"/>
      <c r="B23" s="34" t="s">
        <v>304</v>
      </c>
      <c r="C23" s="35">
        <v>1</v>
      </c>
      <c r="D23" s="70"/>
      <c r="E23" s="70"/>
      <c r="F23" s="70"/>
      <c r="G23" s="70"/>
      <c r="H23" s="70"/>
      <c r="I23" s="70"/>
      <c r="J23" s="70"/>
      <c r="K23" s="70"/>
      <c r="L23" s="70"/>
      <c r="M23" s="70"/>
      <c r="N23" s="70"/>
      <c r="O23" s="36" t="s">
        <v>305</v>
      </c>
    </row>
    <row r="24" spans="1:15" x14ac:dyDescent="0.3">
      <c r="A24" s="31"/>
      <c r="B24" s="38" t="s">
        <v>241</v>
      </c>
      <c r="C24" s="32"/>
      <c r="D24" s="71"/>
      <c r="E24" s="71"/>
      <c r="F24" s="71"/>
      <c r="G24" s="71"/>
      <c r="H24" s="71"/>
      <c r="I24" s="71"/>
      <c r="J24" s="71"/>
      <c r="K24" s="71"/>
      <c r="L24" s="71"/>
      <c r="M24" s="71"/>
      <c r="N24" s="71"/>
      <c r="O24" s="33" t="s">
        <v>278</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244</v>
      </c>
      <c r="B27" s="38" t="s">
        <v>245</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475</v>
      </c>
      <c r="D29" s="70"/>
      <c r="E29" s="70"/>
      <c r="F29" s="70"/>
      <c r="G29" s="70"/>
      <c r="H29" s="70"/>
      <c r="I29" s="70"/>
      <c r="J29" s="70"/>
      <c r="K29" s="70"/>
      <c r="L29" s="70"/>
      <c r="M29" s="70"/>
      <c r="N29" s="70"/>
      <c r="O29" s="36" t="s">
        <v>279</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378</v>
      </c>
      <c r="C31" s="35" t="s">
        <v>17</v>
      </c>
      <c r="D31" s="70"/>
      <c r="E31" s="70"/>
      <c r="F31" s="70"/>
      <c r="G31" s="70"/>
      <c r="H31" s="70"/>
      <c r="I31" s="70"/>
      <c r="J31" s="70"/>
      <c r="K31" s="70"/>
      <c r="L31" s="70"/>
      <c r="M31" s="70"/>
      <c r="N31" s="70"/>
      <c r="O31" s="36"/>
    </row>
    <row r="32" spans="1:15" x14ac:dyDescent="0.3">
      <c r="A32" s="31"/>
      <c r="B32" s="31" t="s">
        <v>384</v>
      </c>
      <c r="C32" s="32" t="s">
        <v>17</v>
      </c>
      <c r="D32" s="71"/>
      <c r="E32" s="71"/>
      <c r="F32" s="71"/>
      <c r="G32" s="71"/>
      <c r="H32" s="71"/>
      <c r="I32" s="71"/>
      <c r="J32" s="71"/>
      <c r="K32" s="71"/>
      <c r="L32" s="71"/>
      <c r="M32" s="71"/>
      <c r="N32" s="71"/>
      <c r="O32" s="33"/>
    </row>
    <row r="33" spans="1:15" x14ac:dyDescent="0.3">
      <c r="A33" s="34"/>
      <c r="B33" s="38" t="s">
        <v>246</v>
      </c>
      <c r="C33" s="35"/>
      <c r="D33" s="70"/>
      <c r="E33" s="70"/>
      <c r="F33" s="70"/>
      <c r="G33" s="70"/>
      <c r="H33" s="70"/>
      <c r="I33" s="70"/>
      <c r="J33" s="70"/>
      <c r="K33" s="70"/>
      <c r="L33" s="70"/>
      <c r="M33" s="70"/>
      <c r="N33" s="70"/>
      <c r="O33" s="36" t="s">
        <v>280</v>
      </c>
    </row>
    <row r="34" spans="1:15" x14ac:dyDescent="0.3">
      <c r="A34" s="31"/>
      <c r="B34" s="31" t="s">
        <v>19</v>
      </c>
      <c r="C34" s="32">
        <v>1</v>
      </c>
      <c r="D34" s="71"/>
      <c r="E34" s="71"/>
      <c r="F34" s="71"/>
      <c r="G34" s="71"/>
      <c r="H34" s="71"/>
      <c r="I34" s="71"/>
      <c r="J34" s="71"/>
      <c r="K34" s="71"/>
      <c r="L34" s="71"/>
      <c r="M34" s="71"/>
      <c r="N34" s="71"/>
      <c r="O34" s="33" t="s">
        <v>281</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241</v>
      </c>
      <c r="C36" s="32"/>
      <c r="D36" s="71"/>
      <c r="E36" s="71"/>
      <c r="F36" s="71"/>
      <c r="G36" s="71"/>
      <c r="H36" s="71"/>
      <c r="I36" s="71"/>
      <c r="J36" s="71"/>
      <c r="K36" s="71"/>
      <c r="L36" s="71"/>
      <c r="M36" s="71"/>
      <c r="N36" s="71"/>
      <c r="O36" s="33"/>
    </row>
    <row r="37" spans="1:15" x14ac:dyDescent="0.3">
      <c r="A37" s="34"/>
      <c r="B37" s="34" t="s">
        <v>379</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36</v>
      </c>
      <c r="D40" s="71"/>
      <c r="E40" s="71"/>
      <c r="F40" s="71"/>
      <c r="G40" s="71"/>
      <c r="H40" s="71"/>
      <c r="I40" s="71"/>
      <c r="J40" s="71"/>
      <c r="K40" s="71"/>
      <c r="L40" s="71"/>
      <c r="M40" s="71"/>
      <c r="N40" s="71"/>
      <c r="O40" s="33" t="s">
        <v>282</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247</v>
      </c>
      <c r="B44" s="38" t="s">
        <v>248</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292</v>
      </c>
    </row>
    <row r="46" spans="1:15" x14ac:dyDescent="0.3">
      <c r="A46" s="31"/>
      <c r="B46" s="31" t="s">
        <v>28</v>
      </c>
      <c r="C46" s="32">
        <v>2</v>
      </c>
      <c r="D46" s="71"/>
      <c r="E46" s="71"/>
      <c r="F46" s="71"/>
      <c r="G46" s="71"/>
      <c r="H46" s="71"/>
      <c r="I46" s="71"/>
      <c r="J46" s="71"/>
      <c r="K46" s="71"/>
      <c r="L46" s="71"/>
      <c r="M46" s="71"/>
      <c r="N46" s="71"/>
      <c r="O46" s="33" t="s">
        <v>295</v>
      </c>
    </row>
    <row r="47" spans="1:15" x14ac:dyDescent="0.3">
      <c r="A47" s="34"/>
      <c r="B47" s="34" t="s">
        <v>29</v>
      </c>
      <c r="C47" s="35">
        <v>1</v>
      </c>
      <c r="D47" s="70"/>
      <c r="E47" s="70"/>
      <c r="F47" s="70"/>
      <c r="G47" s="70"/>
      <c r="H47" s="70"/>
      <c r="I47" s="70"/>
      <c r="J47" s="70"/>
      <c r="K47" s="70"/>
      <c r="L47" s="70"/>
      <c r="M47" s="70"/>
      <c r="N47" s="70"/>
      <c r="O47" s="36" t="s">
        <v>293</v>
      </c>
    </row>
    <row r="48" spans="1:15" x14ac:dyDescent="0.3">
      <c r="A48" s="31"/>
      <c r="B48" s="31" t="s">
        <v>30</v>
      </c>
      <c r="C48" s="32">
        <v>4</v>
      </c>
      <c r="D48" s="71"/>
      <c r="E48" s="71"/>
      <c r="F48" s="71"/>
      <c r="G48" s="71"/>
      <c r="H48" s="71"/>
      <c r="I48" s="71"/>
      <c r="J48" s="71"/>
      <c r="K48" s="71"/>
      <c r="L48" s="71"/>
      <c r="M48" s="71"/>
      <c r="N48" s="71"/>
      <c r="O48" s="33" t="s">
        <v>296</v>
      </c>
    </row>
    <row r="49" spans="1:15" x14ac:dyDescent="0.3">
      <c r="A49" s="34"/>
      <c r="B49" s="38" t="s">
        <v>249</v>
      </c>
      <c r="C49" s="35"/>
      <c r="D49" s="70"/>
      <c r="E49" s="70"/>
      <c r="F49" s="70"/>
      <c r="G49" s="70"/>
      <c r="H49" s="70"/>
      <c r="I49" s="70"/>
      <c r="J49" s="70"/>
      <c r="K49" s="70"/>
      <c r="L49" s="70"/>
      <c r="M49" s="70"/>
      <c r="N49" s="70"/>
      <c r="O49" s="36" t="s">
        <v>294</v>
      </c>
    </row>
    <row r="50" spans="1:15" x14ac:dyDescent="0.3">
      <c r="A50" s="31"/>
      <c r="B50" s="31" t="s">
        <v>31</v>
      </c>
      <c r="C50" s="32">
        <f>Nozzle_Diameter*4</f>
        <v>2.4</v>
      </c>
      <c r="D50" s="71"/>
      <c r="E50" s="71"/>
      <c r="F50" s="71"/>
      <c r="G50" s="71"/>
      <c r="H50" s="71"/>
      <c r="I50" s="71"/>
      <c r="J50" s="71"/>
      <c r="K50" s="71"/>
      <c r="L50" s="71"/>
      <c r="M50" s="71"/>
      <c r="N50" s="71"/>
      <c r="O50" s="33"/>
    </row>
    <row r="51" spans="1:15" x14ac:dyDescent="0.3">
      <c r="A51" s="34"/>
      <c r="B51" s="34" t="s">
        <v>380</v>
      </c>
      <c r="C51" s="35">
        <v>0</v>
      </c>
      <c r="D51" s="70"/>
      <c r="E51" s="70"/>
      <c r="F51" s="70"/>
      <c r="G51" s="70"/>
      <c r="H51" s="70"/>
      <c r="I51" s="70"/>
      <c r="J51" s="70"/>
      <c r="K51" s="70"/>
      <c r="L51" s="70"/>
      <c r="M51" s="70"/>
      <c r="N51" s="70"/>
      <c r="O51" s="36"/>
    </row>
    <row r="52" spans="1:15" x14ac:dyDescent="0.3">
      <c r="A52" s="31"/>
      <c r="B52" s="31" t="s">
        <v>381</v>
      </c>
      <c r="C52" s="32">
        <v>125</v>
      </c>
      <c r="D52" s="71"/>
      <c r="E52" s="71"/>
      <c r="F52" s="71"/>
      <c r="G52" s="71"/>
      <c r="H52" s="71"/>
      <c r="I52" s="71"/>
      <c r="J52" s="71"/>
      <c r="K52" s="71"/>
      <c r="L52" s="71"/>
      <c r="M52" s="71"/>
      <c r="N52" s="71"/>
      <c r="O52" s="33"/>
    </row>
    <row r="53" spans="1:15" x14ac:dyDescent="0.3">
      <c r="A53" s="34"/>
      <c r="B53" s="34" t="s">
        <v>382</v>
      </c>
      <c r="C53" s="35">
        <v>0</v>
      </c>
      <c r="D53" s="70"/>
      <c r="E53" s="70"/>
      <c r="F53" s="70"/>
      <c r="G53" s="70"/>
      <c r="H53" s="70"/>
      <c r="I53" s="70"/>
      <c r="J53" s="70"/>
      <c r="K53" s="70"/>
      <c r="L53" s="70"/>
      <c r="M53" s="70"/>
      <c r="N53" s="70"/>
      <c r="O53" s="36"/>
    </row>
    <row r="54" spans="1:15" x14ac:dyDescent="0.3">
      <c r="A54" s="31"/>
      <c r="B54" s="31" t="s">
        <v>383</v>
      </c>
      <c r="C54" s="32">
        <v>0</v>
      </c>
      <c r="D54" s="71"/>
      <c r="E54" s="71"/>
      <c r="F54" s="71"/>
      <c r="G54" s="71"/>
      <c r="H54" s="71"/>
      <c r="I54" s="71"/>
      <c r="J54" s="71"/>
      <c r="K54" s="71"/>
      <c r="L54" s="71"/>
      <c r="M54" s="71"/>
      <c r="N54" s="71"/>
      <c r="O54" s="33"/>
    </row>
    <row r="55" spans="1:15" x14ac:dyDescent="0.3">
      <c r="A55" s="38" t="s">
        <v>250</v>
      </c>
      <c r="B55" s="38" t="s">
        <v>251</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297</v>
      </c>
    </row>
    <row r="58" spans="1:15" x14ac:dyDescent="0.3">
      <c r="A58" s="31"/>
      <c r="B58" s="31" t="s">
        <v>34</v>
      </c>
      <c r="C58" s="32">
        <v>0</v>
      </c>
      <c r="D58" s="71"/>
      <c r="E58" s="71"/>
      <c r="F58" s="71"/>
      <c r="G58" s="71"/>
      <c r="H58" s="71"/>
      <c r="I58" s="71"/>
      <c r="J58" s="71"/>
      <c r="K58" s="71"/>
      <c r="L58" s="71"/>
      <c r="M58" s="71"/>
      <c r="N58" s="71"/>
      <c r="O58" s="33" t="s">
        <v>298</v>
      </c>
    </row>
    <row r="59" spans="1:15" x14ac:dyDescent="0.3">
      <c r="A59" s="34"/>
      <c r="B59" s="34" t="s">
        <v>389</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252</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253</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f>Nozzle_Diameter*5</f>
        <v>3</v>
      </c>
      <c r="D67" s="70"/>
      <c r="E67" s="70"/>
      <c r="F67" s="70"/>
      <c r="G67" s="70"/>
      <c r="H67" s="70"/>
      <c r="I67" s="70"/>
      <c r="J67" s="70"/>
      <c r="K67" s="70"/>
      <c r="L67" s="70"/>
      <c r="M67" s="70"/>
      <c r="N67" s="70"/>
      <c r="O67" s="36" t="s">
        <v>434</v>
      </c>
    </row>
    <row r="68" spans="1:15" x14ac:dyDescent="0.3">
      <c r="A68" s="31"/>
      <c r="B68" s="31" t="s">
        <v>41</v>
      </c>
      <c r="C68" s="32">
        <v>45</v>
      </c>
      <c r="D68" s="71"/>
      <c r="E68" s="71"/>
      <c r="F68" s="71"/>
      <c r="G68" s="71"/>
      <c r="H68" s="71"/>
      <c r="I68" s="71"/>
      <c r="J68" s="71"/>
      <c r="K68" s="71"/>
      <c r="L68" s="71"/>
      <c r="M68" s="71"/>
      <c r="N68" s="71"/>
      <c r="O68" s="33"/>
    </row>
    <row r="69" spans="1:15" x14ac:dyDescent="0.3">
      <c r="A69" s="34"/>
      <c r="B69" s="34" t="s">
        <v>390</v>
      </c>
      <c r="C69" s="35">
        <v>2.5</v>
      </c>
      <c r="D69" s="70"/>
      <c r="E69" s="70"/>
      <c r="F69" s="70"/>
      <c r="G69" s="70"/>
      <c r="H69" s="70"/>
      <c r="I69" s="70"/>
      <c r="J69" s="70"/>
      <c r="K69" s="70"/>
      <c r="L69" s="70"/>
      <c r="M69" s="70"/>
      <c r="N69" s="70"/>
      <c r="O69" s="36"/>
    </row>
    <row r="70" spans="1:15" x14ac:dyDescent="0.3">
      <c r="A70" s="31"/>
      <c r="B70" s="31" t="s">
        <v>391</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301</v>
      </c>
    </row>
    <row r="72" spans="1:15" x14ac:dyDescent="0.3">
      <c r="A72" s="31"/>
      <c r="B72" s="31" t="s">
        <v>43</v>
      </c>
      <c r="C72" s="32">
        <f>Nozzle_Diameter</f>
        <v>0.6</v>
      </c>
      <c r="D72" s="71"/>
      <c r="E72" s="71"/>
      <c r="F72" s="71"/>
      <c r="G72" s="71"/>
      <c r="H72" s="71"/>
      <c r="I72" s="71"/>
      <c r="J72" s="71"/>
      <c r="K72" s="71"/>
      <c r="L72" s="71"/>
      <c r="M72" s="71"/>
      <c r="N72" s="71"/>
      <c r="O72" s="33" t="s">
        <v>302</v>
      </c>
    </row>
    <row r="73" spans="1:15" x14ac:dyDescent="0.3">
      <c r="A73" s="34"/>
      <c r="B73" s="34" t="s">
        <v>44</v>
      </c>
      <c r="C73" s="35">
        <v>0</v>
      </c>
      <c r="D73" s="70"/>
      <c r="E73" s="70"/>
      <c r="F73" s="70"/>
      <c r="G73" s="70"/>
      <c r="H73" s="70"/>
      <c r="I73" s="70"/>
      <c r="J73" s="70"/>
      <c r="K73" s="70"/>
      <c r="L73" s="70"/>
      <c r="M73" s="70"/>
      <c r="N73" s="70"/>
      <c r="O73" s="36" t="s">
        <v>303</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f>Nozzle_Diameter * 2</f>
        <v>1.2</v>
      </c>
      <c r="D75" s="70"/>
      <c r="E75" s="70"/>
      <c r="F75" s="70"/>
      <c r="G75" s="70"/>
      <c r="H75" s="70"/>
      <c r="I75" s="70"/>
      <c r="J75" s="70"/>
      <c r="K75" s="70"/>
      <c r="L75" s="70"/>
      <c r="M75" s="70"/>
      <c r="N75" s="70"/>
      <c r="O75" s="36" t="s">
        <v>435</v>
      </c>
    </row>
    <row r="76" spans="1:15" x14ac:dyDescent="0.3">
      <c r="A76" s="31"/>
      <c r="B76" s="31" t="s">
        <v>11</v>
      </c>
      <c r="C76" s="32">
        <v>1</v>
      </c>
      <c r="D76" s="71"/>
      <c r="E76" s="71"/>
      <c r="F76" s="71"/>
      <c r="G76" s="71"/>
      <c r="H76" s="71"/>
      <c r="I76" s="71"/>
      <c r="J76" s="71"/>
      <c r="K76" s="71"/>
      <c r="L76" s="71"/>
      <c r="M76" s="71"/>
      <c r="N76" s="71"/>
      <c r="O76" s="33" t="s">
        <v>306</v>
      </c>
    </row>
    <row r="77" spans="1:15" x14ac:dyDescent="0.3">
      <c r="A77" s="34"/>
      <c r="B77" s="34" t="s">
        <v>47</v>
      </c>
      <c r="C77" s="35">
        <v>0</v>
      </c>
      <c r="D77" s="70"/>
      <c r="E77" s="70"/>
      <c r="F77" s="70"/>
      <c r="G77" s="70"/>
      <c r="H77" s="70"/>
      <c r="I77" s="70"/>
      <c r="J77" s="70"/>
      <c r="K77" s="70"/>
      <c r="L77" s="70"/>
      <c r="M77" s="70"/>
      <c r="N77" s="70"/>
      <c r="O77" s="36"/>
    </row>
    <row r="78" spans="1:15" x14ac:dyDescent="0.3">
      <c r="A78" s="38" t="s">
        <v>254</v>
      </c>
      <c r="B78" s="38" t="s">
        <v>255</v>
      </c>
      <c r="C78" s="32"/>
      <c r="D78" s="71"/>
      <c r="E78" s="71"/>
      <c r="F78" s="71"/>
      <c r="G78" s="71"/>
      <c r="H78" s="71"/>
      <c r="I78" s="71"/>
      <c r="J78" s="71"/>
      <c r="K78" s="71"/>
      <c r="L78" s="71"/>
      <c r="M78" s="71"/>
      <c r="N78" s="71"/>
      <c r="O78" s="33"/>
    </row>
    <row r="79" spans="1:15" x14ac:dyDescent="0.3">
      <c r="A79" s="31"/>
      <c r="B79" s="38" t="s">
        <v>431</v>
      </c>
      <c r="C79" s="32" t="str">
        <f ca="1">SUBSTITUTE(RIGHT(CELL("filename",A1),LEN(CELL("filename",A1))-FIND("]",CELL("filename",A1),1)),"print_","")</f>
        <v>PET</v>
      </c>
      <c r="D79" s="75">
        <f t="shared" ref="D79:N79" si="0" xml:space="preserve"> IF(SpeedType &lt;&gt; "ForceVolumetric",D$101, IFERROR(D$102/((Nozzle_Diameter*1.2)*D$1),0))</f>
        <v>60</v>
      </c>
      <c r="E79" s="75">
        <f t="shared" si="0"/>
        <v>60</v>
      </c>
      <c r="F79" s="75">
        <f t="shared" si="0"/>
        <v>60</v>
      </c>
      <c r="G79" s="75">
        <f t="shared" si="0"/>
        <v>60</v>
      </c>
      <c r="H79" s="75">
        <f t="shared" si="0"/>
        <v>60</v>
      </c>
      <c r="I79" s="75">
        <f t="shared" si="0"/>
        <v>60</v>
      </c>
      <c r="J79" s="75">
        <f t="shared" si="0"/>
        <v>60</v>
      </c>
      <c r="K79" s="75">
        <f t="shared" si="0"/>
        <v>60</v>
      </c>
      <c r="L79" s="75">
        <f t="shared" si="0"/>
        <v>60</v>
      </c>
      <c r="M79" s="75">
        <f t="shared" si="0"/>
        <v>60</v>
      </c>
      <c r="N79" s="75">
        <f t="shared" si="0"/>
        <v>60</v>
      </c>
      <c r="O79" s="33"/>
    </row>
    <row r="80" spans="1:15" x14ac:dyDescent="0.3">
      <c r="A80" s="34"/>
      <c r="B80" s="34" t="s">
        <v>48</v>
      </c>
      <c r="C80" s="35">
        <v>30</v>
      </c>
      <c r="D80" s="70">
        <f>GetSpeed($C80,D$101,D$79)</f>
        <v>30</v>
      </c>
      <c r="E80" s="70">
        <f t="shared" ref="E80:N80" si="1">GetSpeed($C80,E$101,E$79)</f>
        <v>30</v>
      </c>
      <c r="F80" s="70">
        <f t="shared" si="1"/>
        <v>30</v>
      </c>
      <c r="G80" s="70">
        <f t="shared" si="1"/>
        <v>30</v>
      </c>
      <c r="H80" s="70">
        <f t="shared" si="1"/>
        <v>30</v>
      </c>
      <c r="I80" s="70">
        <f t="shared" si="1"/>
        <v>30</v>
      </c>
      <c r="J80" s="70">
        <f t="shared" si="1"/>
        <v>30</v>
      </c>
      <c r="K80" s="70">
        <f t="shared" si="1"/>
        <v>30</v>
      </c>
      <c r="L80" s="70">
        <f t="shared" si="1"/>
        <v>30</v>
      </c>
      <c r="M80" s="70">
        <f t="shared" si="1"/>
        <v>30</v>
      </c>
      <c r="N80" s="70">
        <f t="shared" si="1"/>
        <v>30</v>
      </c>
      <c r="O80" s="36"/>
    </row>
    <row r="81" spans="1:15" x14ac:dyDescent="0.3">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30</v>
      </c>
      <c r="D82" s="70">
        <f>GetSpeed($C$82,D$101,D$79)</f>
        <v>30</v>
      </c>
      <c r="E82" s="70">
        <f t="shared" ref="E82:N82" si="3">GetSpeed($C$82,E$101,E$79)</f>
        <v>30</v>
      </c>
      <c r="F82" s="70">
        <f t="shared" si="3"/>
        <v>30</v>
      </c>
      <c r="G82" s="70">
        <f t="shared" si="3"/>
        <v>30</v>
      </c>
      <c r="H82" s="70">
        <f t="shared" si="3"/>
        <v>30</v>
      </c>
      <c r="I82" s="70">
        <f t="shared" si="3"/>
        <v>30</v>
      </c>
      <c r="J82" s="70">
        <f t="shared" si="3"/>
        <v>30</v>
      </c>
      <c r="K82" s="70">
        <f t="shared" si="3"/>
        <v>30</v>
      </c>
      <c r="L82" s="70">
        <f t="shared" si="3"/>
        <v>30</v>
      </c>
      <c r="M82" s="70">
        <f t="shared" si="3"/>
        <v>30</v>
      </c>
      <c r="N82" s="70">
        <f t="shared" si="3"/>
        <v>30</v>
      </c>
      <c r="O82" s="36"/>
    </row>
    <row r="83" spans="1:15" x14ac:dyDescent="0.3">
      <c r="A83" s="31"/>
      <c r="B83" s="31" t="s">
        <v>51</v>
      </c>
      <c r="C83" s="32">
        <v>30</v>
      </c>
      <c r="D83" s="71">
        <f>GetSpeed($C$83,D$101,D$79)</f>
        <v>30</v>
      </c>
      <c r="E83" s="71">
        <f t="shared" ref="E83:N83" si="4">GetSpeed($C$83,E$101,E$79)</f>
        <v>30</v>
      </c>
      <c r="F83" s="71">
        <f t="shared" si="4"/>
        <v>30</v>
      </c>
      <c r="G83" s="71">
        <f t="shared" si="4"/>
        <v>30</v>
      </c>
      <c r="H83" s="71">
        <f t="shared" si="4"/>
        <v>30</v>
      </c>
      <c r="I83" s="71">
        <f t="shared" si="4"/>
        <v>30</v>
      </c>
      <c r="J83" s="71">
        <f t="shared" si="4"/>
        <v>30</v>
      </c>
      <c r="K83" s="71">
        <f t="shared" si="4"/>
        <v>30</v>
      </c>
      <c r="L83" s="71">
        <f t="shared" si="4"/>
        <v>30</v>
      </c>
      <c r="M83" s="71">
        <f t="shared" si="4"/>
        <v>30</v>
      </c>
      <c r="N83" s="71">
        <f t="shared" si="4"/>
        <v>30</v>
      </c>
      <c r="O83" s="33"/>
    </row>
    <row r="84" spans="1:15" x14ac:dyDescent="0.3">
      <c r="A84" s="34"/>
      <c r="B84" s="34" t="s">
        <v>52</v>
      </c>
      <c r="C84" s="35">
        <v>30</v>
      </c>
      <c r="D84" s="70">
        <f>GetSpeed($C$84,D$101,D$79)</f>
        <v>30</v>
      </c>
      <c r="E84" s="70">
        <f t="shared" ref="E84:N84" si="5">GetSpeed($C$84,E$101,E$79)</f>
        <v>30</v>
      </c>
      <c r="F84" s="70">
        <f t="shared" si="5"/>
        <v>30</v>
      </c>
      <c r="G84" s="70">
        <f t="shared" si="5"/>
        <v>30</v>
      </c>
      <c r="H84" s="70">
        <f t="shared" si="5"/>
        <v>30</v>
      </c>
      <c r="I84" s="70">
        <f t="shared" si="5"/>
        <v>30</v>
      </c>
      <c r="J84" s="70">
        <f t="shared" si="5"/>
        <v>30</v>
      </c>
      <c r="K84" s="70">
        <f t="shared" si="5"/>
        <v>30</v>
      </c>
      <c r="L84" s="70">
        <f t="shared" si="5"/>
        <v>30</v>
      </c>
      <c r="M84" s="70">
        <f t="shared" si="5"/>
        <v>30</v>
      </c>
      <c r="N84" s="70">
        <f t="shared" si="5"/>
        <v>30</v>
      </c>
      <c r="O84" s="36"/>
    </row>
    <row r="85" spans="1:15" x14ac:dyDescent="0.3">
      <c r="A85" s="31"/>
      <c r="B85" s="31" t="s">
        <v>53</v>
      </c>
      <c r="C85" s="32">
        <v>30</v>
      </c>
      <c r="D85" s="71">
        <f>GetSpeed($C$85,D$101,D$79)</f>
        <v>30</v>
      </c>
      <c r="E85" s="71">
        <f t="shared" ref="E85:N85" si="6">GetSpeed($C$85,E$101,E$79)</f>
        <v>30</v>
      </c>
      <c r="F85" s="71">
        <f t="shared" si="6"/>
        <v>30</v>
      </c>
      <c r="G85" s="71">
        <f t="shared" si="6"/>
        <v>30</v>
      </c>
      <c r="H85" s="71">
        <f t="shared" si="6"/>
        <v>30</v>
      </c>
      <c r="I85" s="71">
        <f t="shared" si="6"/>
        <v>30</v>
      </c>
      <c r="J85" s="71">
        <f t="shared" si="6"/>
        <v>30</v>
      </c>
      <c r="K85" s="71">
        <f t="shared" si="6"/>
        <v>30</v>
      </c>
      <c r="L85" s="71">
        <f t="shared" si="6"/>
        <v>30</v>
      </c>
      <c r="M85" s="71">
        <f t="shared" si="6"/>
        <v>30</v>
      </c>
      <c r="N85" s="71">
        <f t="shared" si="6"/>
        <v>30</v>
      </c>
      <c r="O85" s="33"/>
    </row>
    <row r="86" spans="1:15" x14ac:dyDescent="0.3">
      <c r="A86" s="34"/>
      <c r="B86" s="34" t="s">
        <v>54</v>
      </c>
      <c r="C86" s="35">
        <v>30</v>
      </c>
      <c r="D86" s="70">
        <f>GetSpeed($C$86,D$101,D$79)</f>
        <v>30</v>
      </c>
      <c r="E86" s="70">
        <f t="shared" ref="E86:N86" si="7">GetSpeed($C$86,E$101,E$79)</f>
        <v>30</v>
      </c>
      <c r="F86" s="70">
        <f t="shared" si="7"/>
        <v>30</v>
      </c>
      <c r="G86" s="70">
        <f t="shared" si="7"/>
        <v>30</v>
      </c>
      <c r="H86" s="70">
        <f t="shared" si="7"/>
        <v>30</v>
      </c>
      <c r="I86" s="70">
        <f t="shared" si="7"/>
        <v>30</v>
      </c>
      <c r="J86" s="70">
        <f t="shared" si="7"/>
        <v>30</v>
      </c>
      <c r="K86" s="70">
        <f t="shared" si="7"/>
        <v>30</v>
      </c>
      <c r="L86" s="70">
        <f t="shared" si="7"/>
        <v>30</v>
      </c>
      <c r="M86" s="70">
        <f t="shared" si="7"/>
        <v>30</v>
      </c>
      <c r="N86" s="70">
        <f t="shared" si="7"/>
        <v>30</v>
      </c>
      <c r="O86" s="36"/>
    </row>
    <row r="87" spans="1:15" x14ac:dyDescent="0.3">
      <c r="A87" s="31"/>
      <c r="B87" s="31" t="s">
        <v>55</v>
      </c>
      <c r="C87" s="39" t="str">
        <f>"100%"</f>
        <v>100%</v>
      </c>
      <c r="D87" s="79"/>
      <c r="E87" s="71"/>
      <c r="F87" s="71"/>
      <c r="G87" s="71"/>
      <c r="H87" s="71"/>
      <c r="I87" s="71"/>
      <c r="J87" s="71"/>
      <c r="K87" s="71"/>
      <c r="L87" s="71"/>
      <c r="M87" s="71"/>
      <c r="N87" s="71"/>
      <c r="O87" s="33"/>
    </row>
    <row r="88" spans="1:15" x14ac:dyDescent="0.3">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3">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256</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257</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258</v>
      </c>
      <c r="C94" s="35"/>
      <c r="D94" s="70"/>
      <c r="E94" s="70"/>
      <c r="F94" s="70"/>
      <c r="G94" s="70"/>
      <c r="H94" s="70"/>
      <c r="I94" s="70"/>
      <c r="J94" s="70"/>
      <c r="K94" s="70"/>
      <c r="L94" s="70"/>
      <c r="M94" s="70"/>
      <c r="N94" s="70"/>
      <c r="O94" s="36"/>
    </row>
    <row r="95" spans="1:15" x14ac:dyDescent="0.3">
      <c r="A95" s="31"/>
      <c r="B95" s="31" t="s">
        <v>60</v>
      </c>
      <c r="C95" s="32">
        <f>MAX_ACCELERATION</f>
        <v>500</v>
      </c>
      <c r="D95" s="71"/>
      <c r="E95" s="71"/>
      <c r="F95" s="71"/>
      <c r="G95" s="71"/>
      <c r="H95" s="71"/>
      <c r="I95" s="71"/>
      <c r="J95" s="71"/>
      <c r="K95" s="71"/>
      <c r="L95" s="71"/>
      <c r="M95" s="71"/>
      <c r="N95" s="71"/>
      <c r="O95" s="33"/>
    </row>
    <row r="96" spans="1:15" x14ac:dyDescent="0.3">
      <c r="A96" s="34"/>
      <c r="B96" s="34" t="s">
        <v>61</v>
      </c>
      <c r="C96" s="32">
        <f>MAX_ACCELERATION</f>
        <v>500</v>
      </c>
      <c r="D96" s="70"/>
      <c r="E96" s="70"/>
      <c r="F96" s="70"/>
      <c r="G96" s="70"/>
      <c r="H96" s="70"/>
      <c r="I96" s="70"/>
      <c r="J96" s="70"/>
      <c r="K96" s="70"/>
      <c r="L96" s="70"/>
      <c r="M96" s="70"/>
      <c r="N96" s="70"/>
      <c r="O96" s="36"/>
    </row>
    <row r="97" spans="1:15" x14ac:dyDescent="0.3">
      <c r="A97" s="31"/>
      <c r="B97" s="31" t="s">
        <v>62</v>
      </c>
      <c r="C97" s="32">
        <f>MAX_ACCELERATION</f>
        <v>500</v>
      </c>
      <c r="D97" s="71"/>
      <c r="E97" s="71"/>
      <c r="F97" s="71"/>
      <c r="G97" s="71"/>
      <c r="H97" s="71"/>
      <c r="I97" s="71"/>
      <c r="J97" s="71"/>
      <c r="K97" s="71"/>
      <c r="L97" s="71"/>
      <c r="M97" s="71"/>
      <c r="N97" s="71"/>
      <c r="O97" s="33"/>
    </row>
    <row r="98" spans="1:15" x14ac:dyDescent="0.3">
      <c r="A98" s="34"/>
      <c r="B98" s="34" t="s">
        <v>63</v>
      </c>
      <c r="C98" s="32">
        <f>MAX_ACCELERATION</f>
        <v>500</v>
      </c>
      <c r="D98" s="70"/>
      <c r="E98" s="70"/>
      <c r="F98" s="70"/>
      <c r="G98" s="70"/>
      <c r="H98" s="70"/>
      <c r="I98" s="70"/>
      <c r="J98" s="70"/>
      <c r="K98" s="70"/>
      <c r="L98" s="70"/>
      <c r="M98" s="70"/>
      <c r="N98" s="70"/>
      <c r="O98" s="36"/>
    </row>
    <row r="99" spans="1:15" x14ac:dyDescent="0.3">
      <c r="A99" s="31"/>
      <c r="B99" s="31" t="s">
        <v>64</v>
      </c>
      <c r="C99" s="32">
        <f>MAX_ACCELERATION</f>
        <v>500</v>
      </c>
      <c r="D99" s="71"/>
      <c r="E99" s="71"/>
      <c r="F99" s="71"/>
      <c r="G99" s="71"/>
      <c r="H99" s="71"/>
      <c r="I99" s="71"/>
      <c r="J99" s="71"/>
      <c r="K99" s="71"/>
      <c r="L99" s="71"/>
      <c r="M99" s="71"/>
      <c r="N99" s="71"/>
      <c r="O99" s="33"/>
    </row>
    <row r="100" spans="1:15" x14ac:dyDescent="0.3">
      <c r="A100" s="34"/>
      <c r="B100" s="38" t="s">
        <v>259</v>
      </c>
      <c r="C100" s="35"/>
      <c r="D100" s="70"/>
      <c r="E100" s="70"/>
      <c r="F100" s="70"/>
      <c r="G100" s="70"/>
      <c r="H100" s="70"/>
      <c r="I100" s="70"/>
      <c r="J100" s="70"/>
      <c r="K100" s="70"/>
      <c r="L100" s="70"/>
      <c r="M100" s="70"/>
      <c r="N100" s="70"/>
      <c r="O100" s="36"/>
    </row>
    <row r="101" spans="1:15" x14ac:dyDescent="0.3">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3">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260</v>
      </c>
      <c r="B105" s="38" t="s">
        <v>261</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262</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263</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241</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388</v>
      </c>
      <c r="C124" s="35">
        <v>0</v>
      </c>
      <c r="D124" s="70"/>
      <c r="E124" s="70"/>
      <c r="F124" s="70"/>
      <c r="G124" s="70"/>
      <c r="H124" s="70"/>
      <c r="I124" s="70"/>
      <c r="J124" s="70"/>
      <c r="K124" s="70"/>
      <c r="L124" s="70"/>
      <c r="M124" s="70"/>
      <c r="N124" s="70"/>
      <c r="O124" s="36"/>
    </row>
    <row r="125" spans="1:15" x14ac:dyDescent="0.3">
      <c r="A125" s="38" t="s">
        <v>264</v>
      </c>
      <c r="B125" s="38" t="s">
        <v>265</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0.72</v>
      </c>
      <c r="D127" s="77"/>
      <c r="E127" s="77"/>
      <c r="F127" s="77"/>
      <c r="G127" s="77"/>
      <c r="H127" s="77"/>
      <c r="I127" s="77"/>
      <c r="J127" s="77"/>
      <c r="K127" s="77"/>
      <c r="L127" s="77"/>
      <c r="M127" s="77"/>
      <c r="N127" s="77"/>
      <c r="O127" s="33"/>
    </row>
    <row r="128" spans="1:15" ht="14.25" customHeight="1"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0.6</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392</v>
      </c>
      <c r="C134" s="41">
        <v>0</v>
      </c>
      <c r="D134" s="76"/>
      <c r="E134" s="76"/>
      <c r="F134" s="76"/>
      <c r="G134" s="76"/>
      <c r="H134" s="76"/>
      <c r="I134" s="76"/>
      <c r="J134" s="76"/>
      <c r="K134" s="76"/>
      <c r="L134" s="76"/>
      <c r="M134" s="76"/>
      <c r="N134" s="76"/>
      <c r="O134" s="36"/>
    </row>
    <row r="135" spans="1:15" x14ac:dyDescent="0.3">
      <c r="A135" s="31"/>
      <c r="B135" s="38" t="s">
        <v>266</v>
      </c>
      <c r="C135" s="32"/>
      <c r="D135" s="71"/>
      <c r="E135" s="71"/>
      <c r="F135" s="71"/>
      <c r="G135" s="71"/>
      <c r="H135" s="71"/>
      <c r="I135" s="71"/>
      <c r="J135" s="71"/>
      <c r="K135" s="71"/>
      <c r="L135" s="71"/>
      <c r="M135" s="71"/>
      <c r="N135" s="71"/>
      <c r="O135" s="33"/>
    </row>
    <row r="136" spans="1:15" x14ac:dyDescent="0.3">
      <c r="A136" s="34"/>
      <c r="B136" s="34" t="s">
        <v>92</v>
      </c>
      <c r="C136" s="43" t="str">
        <f>"8%"</f>
        <v>8%</v>
      </c>
      <c r="D136" s="70"/>
      <c r="E136" s="70"/>
      <c r="F136" s="70"/>
      <c r="G136" s="70"/>
      <c r="H136" s="70"/>
      <c r="I136" s="70"/>
      <c r="J136" s="70"/>
      <c r="K136" s="70"/>
      <c r="L136" s="70"/>
      <c r="M136" s="70"/>
      <c r="N136" s="70"/>
      <c r="O136" s="36"/>
    </row>
    <row r="137" spans="1:15" x14ac:dyDescent="0.3">
      <c r="A137" s="31"/>
      <c r="B137" s="38" t="s">
        <v>267</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268</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402</v>
      </c>
      <c r="C143" s="35"/>
      <c r="D143" s="70"/>
      <c r="E143" s="70"/>
      <c r="F143" s="70"/>
      <c r="G143" s="70"/>
      <c r="H143" s="70"/>
      <c r="I143" s="70"/>
      <c r="J143" s="70"/>
      <c r="K143" s="70"/>
      <c r="L143" s="70"/>
      <c r="M143" s="70"/>
      <c r="N143" s="70"/>
      <c r="O143" s="36"/>
    </row>
    <row r="144" spans="1:15" x14ac:dyDescent="0.3">
      <c r="A144" s="34"/>
      <c r="B144" s="31" t="s">
        <v>97</v>
      </c>
      <c r="C144" s="32">
        <v>0</v>
      </c>
      <c r="D144" s="70"/>
      <c r="E144" s="70"/>
      <c r="F144" s="70"/>
      <c r="G144" s="70"/>
      <c r="H144" s="70"/>
      <c r="I144" s="70"/>
      <c r="J144" s="70"/>
      <c r="K144" s="70"/>
      <c r="L144" s="70"/>
      <c r="M144" s="70"/>
      <c r="N144" s="70"/>
      <c r="O144" s="36"/>
    </row>
    <row r="145" spans="1:15" x14ac:dyDescent="0.3">
      <c r="A145" s="38" t="s">
        <v>269</v>
      </c>
      <c r="B145" s="38" t="s">
        <v>272</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273</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401</v>
      </c>
      <c r="C151" s="32">
        <v>1</v>
      </c>
      <c r="D151" s="71"/>
      <c r="E151" s="71"/>
      <c r="F151" s="71"/>
      <c r="G151" s="71"/>
      <c r="H151" s="71"/>
      <c r="I151" s="71"/>
      <c r="J151" s="71"/>
      <c r="K151" s="71"/>
      <c r="L151" s="71"/>
      <c r="M151" s="71"/>
      <c r="N151" s="71"/>
      <c r="O151" s="33"/>
    </row>
    <row r="152" spans="1:15" x14ac:dyDescent="0.3">
      <c r="A152" s="31"/>
      <c r="B152" s="31" t="s">
        <v>407</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270</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271</v>
      </c>
      <c r="B158" s="38" t="s">
        <v>274</v>
      </c>
      <c r="C158" s="32"/>
      <c r="D158" s="71"/>
      <c r="E158" s="71"/>
      <c r="F158" s="71"/>
      <c r="G158" s="71"/>
      <c r="H158" s="71"/>
      <c r="I158" s="71"/>
      <c r="J158" s="71"/>
      <c r="K158" s="71"/>
      <c r="L158" s="71"/>
      <c r="M158" s="71"/>
      <c r="N158" s="71"/>
      <c r="O158" s="33"/>
    </row>
    <row r="159" spans="1:15" x14ac:dyDescent="0.3">
      <c r="A159" s="34"/>
      <c r="B159" s="34" t="s">
        <v>149</v>
      </c>
      <c r="C159" s="80" t="str">
        <f>Printer_Name</f>
        <v>Ender3 E3D V6 0.6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385</v>
      </c>
      <c r="C161" s="35">
        <v>1</v>
      </c>
      <c r="D161" s="70"/>
      <c r="E161" s="70"/>
      <c r="F161" s="70"/>
      <c r="G161" s="70"/>
      <c r="H161" s="70"/>
      <c r="I161" s="70"/>
      <c r="J161" s="70"/>
      <c r="K161" s="70"/>
      <c r="L161" s="70"/>
      <c r="M161" s="70"/>
      <c r="N161" s="70"/>
      <c r="O161" s="36"/>
    </row>
    <row r="162" spans="1:15" ht="28.8" x14ac:dyDescent="0.3">
      <c r="A162" s="31"/>
      <c r="B162" s="31" t="s">
        <v>387</v>
      </c>
      <c r="C162" s="45" t="s">
        <v>393</v>
      </c>
      <c r="D162" s="71"/>
      <c r="E162" s="71"/>
      <c r="F162" s="71"/>
      <c r="G162" s="71"/>
      <c r="H162" s="71"/>
      <c r="I162" s="71"/>
      <c r="J162" s="71"/>
      <c r="K162" s="71"/>
      <c r="L162" s="71"/>
      <c r="M162" s="71"/>
      <c r="N162" s="71"/>
      <c r="O162" s="33"/>
    </row>
    <row r="163" spans="1:15" x14ac:dyDescent="0.3">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E19" sqref="E19"/>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242</v>
      </c>
      <c r="B1" s="4" t="s">
        <v>215</v>
      </c>
      <c r="C1" s="4" t="s">
        <v>109</v>
      </c>
      <c r="D1" s="4" t="s">
        <v>152</v>
      </c>
      <c r="E1" s="4" t="s">
        <v>151</v>
      </c>
      <c r="F1" s="4" t="s">
        <v>153</v>
      </c>
      <c r="G1" s="4" t="s">
        <v>417</v>
      </c>
      <c r="H1" s="4" t="s">
        <v>350</v>
      </c>
      <c r="I1" s="4" t="s">
        <v>352</v>
      </c>
      <c r="J1" s="4" t="s">
        <v>154</v>
      </c>
      <c r="K1" s="4" t="s">
        <v>226</v>
      </c>
    </row>
    <row r="2" spans="1:11" ht="15" thickTop="1" x14ac:dyDescent="0.3">
      <c r="A2" s="5" t="s">
        <v>308</v>
      </c>
      <c r="B2" s="6" t="s">
        <v>307</v>
      </c>
      <c r="C2" s="7"/>
      <c r="D2" s="7"/>
      <c r="E2" s="7"/>
      <c r="F2" s="7"/>
      <c r="G2" s="7"/>
      <c r="H2" s="7"/>
      <c r="I2" s="7"/>
      <c r="J2" s="7"/>
      <c r="K2" s="7"/>
    </row>
    <row r="3" spans="1:11" x14ac:dyDescent="0.3">
      <c r="A3" s="8"/>
      <c r="B3" s="9" t="s">
        <v>110</v>
      </c>
      <c r="C3" s="10" t="s">
        <v>111</v>
      </c>
      <c r="D3" s="9" t="s">
        <v>353</v>
      </c>
      <c r="E3" s="9" t="s">
        <v>354</v>
      </c>
      <c r="F3" s="9" t="s">
        <v>355</v>
      </c>
      <c r="G3" s="9" t="s">
        <v>418</v>
      </c>
      <c r="H3" s="9" t="s">
        <v>351</v>
      </c>
      <c r="I3" s="9" t="s">
        <v>356</v>
      </c>
      <c r="J3" s="9" t="s">
        <v>357</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358</v>
      </c>
    </row>
    <row r="8" spans="1:11" x14ac:dyDescent="0.3">
      <c r="A8" s="11"/>
      <c r="B8" s="12" t="s">
        <v>311</v>
      </c>
      <c r="C8" s="2"/>
      <c r="D8" s="2"/>
      <c r="E8" s="2"/>
      <c r="F8" s="2"/>
      <c r="G8" s="2"/>
      <c r="H8" s="2"/>
      <c r="I8" s="2"/>
      <c r="J8" s="2"/>
      <c r="K8" s="2"/>
    </row>
    <row r="9" spans="1:11" x14ac:dyDescent="0.3">
      <c r="A9" s="8"/>
      <c r="B9" s="9" t="s">
        <v>116</v>
      </c>
      <c r="C9" s="9">
        <v>220</v>
      </c>
      <c r="D9" s="9"/>
      <c r="E9" s="9">
        <v>240</v>
      </c>
      <c r="F9" s="9">
        <v>230</v>
      </c>
      <c r="G9" s="9">
        <v>230</v>
      </c>
      <c r="H9" s="9">
        <v>245</v>
      </c>
      <c r="I9" s="9">
        <v>220</v>
      </c>
      <c r="J9" s="9">
        <v>230</v>
      </c>
      <c r="K9" s="9"/>
    </row>
    <row r="10" spans="1:11" x14ac:dyDescent="0.3">
      <c r="A10" s="11"/>
      <c r="B10" s="2" t="s">
        <v>117</v>
      </c>
      <c r="C10" s="2">
        <v>215</v>
      </c>
      <c r="D10" s="2"/>
      <c r="E10" s="2">
        <v>245</v>
      </c>
      <c r="F10" s="2">
        <v>230</v>
      </c>
      <c r="G10" s="2">
        <v>230</v>
      </c>
      <c r="H10" s="2">
        <v>245</v>
      </c>
      <c r="I10" s="2">
        <v>220</v>
      </c>
      <c r="J10" s="2">
        <v>230</v>
      </c>
      <c r="K10" s="2"/>
    </row>
    <row r="11" spans="1:11" x14ac:dyDescent="0.3">
      <c r="A11" s="8"/>
      <c r="B11" s="9" t="s">
        <v>118</v>
      </c>
      <c r="C11" s="9">
        <v>60</v>
      </c>
      <c r="D11" s="9"/>
      <c r="E11" s="9">
        <v>80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312</v>
      </c>
      <c r="B13" s="12" t="s">
        <v>313</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0</v>
      </c>
      <c r="F17" s="9"/>
      <c r="G17" s="9"/>
      <c r="H17" s="9"/>
      <c r="I17" s="9"/>
      <c r="J17" s="9"/>
      <c r="K17" s="9"/>
    </row>
    <row r="18" spans="1:11" x14ac:dyDescent="0.3">
      <c r="A18" s="11"/>
      <c r="B18" s="2" t="s">
        <v>124</v>
      </c>
      <c r="C18" s="2">
        <v>100</v>
      </c>
      <c r="D18" s="2"/>
      <c r="E18" s="2">
        <v>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309</v>
      </c>
    </row>
    <row r="23" spans="1:11" ht="28.8" x14ac:dyDescent="0.3">
      <c r="A23" s="8"/>
      <c r="B23" s="9" t="s">
        <v>129</v>
      </c>
      <c r="C23" s="9">
        <v>5</v>
      </c>
      <c r="D23" s="9"/>
      <c r="E23" s="9"/>
      <c r="F23" s="9"/>
      <c r="G23" s="9"/>
      <c r="H23" s="9"/>
      <c r="I23" s="9"/>
      <c r="J23" s="9"/>
      <c r="K23" s="15" t="s">
        <v>314</v>
      </c>
    </row>
    <row r="24" spans="1:11" x14ac:dyDescent="0.3">
      <c r="A24" s="11"/>
      <c r="B24" s="2" t="s">
        <v>130</v>
      </c>
      <c r="C24" s="2">
        <v>10</v>
      </c>
      <c r="D24" s="2"/>
      <c r="E24" s="2"/>
      <c r="F24" s="2"/>
      <c r="G24" s="2"/>
      <c r="H24" s="2"/>
      <c r="I24" s="2"/>
      <c r="J24" s="2"/>
      <c r="K24" s="2"/>
    </row>
    <row r="25" spans="1:11" x14ac:dyDescent="0.3">
      <c r="A25" s="13" t="s">
        <v>264</v>
      </c>
      <c r="B25" s="12" t="s">
        <v>315</v>
      </c>
      <c r="C25" s="9"/>
      <c r="D25" s="9"/>
      <c r="E25" s="9"/>
      <c r="F25" s="9"/>
      <c r="G25" s="9"/>
      <c r="H25" s="9"/>
      <c r="I25" s="9"/>
      <c r="J25" s="9"/>
      <c r="K25" s="9"/>
    </row>
    <row r="26" spans="1:11" x14ac:dyDescent="0.3">
      <c r="A26" s="11"/>
      <c r="B26" s="2" t="s">
        <v>131</v>
      </c>
      <c r="C26" s="16" t="s">
        <v>152</v>
      </c>
      <c r="D26" s="2" t="s">
        <v>152</v>
      </c>
      <c r="E26" s="2" t="s">
        <v>151</v>
      </c>
      <c r="F26" s="2" t="s">
        <v>153</v>
      </c>
      <c r="G26" s="2" t="s">
        <v>417</v>
      </c>
      <c r="H26" s="2" t="s">
        <v>224</v>
      </c>
      <c r="I26" s="2" t="s">
        <v>224</v>
      </c>
      <c r="J26" s="2" t="s">
        <v>224</v>
      </c>
      <c r="K26" s="2"/>
    </row>
    <row r="27" spans="1:11" x14ac:dyDescent="0.3">
      <c r="A27" s="8"/>
      <c r="B27" s="9" t="s">
        <v>132</v>
      </c>
      <c r="C27" s="10">
        <v>0</v>
      </c>
      <c r="D27" s="9"/>
      <c r="E27" s="9"/>
      <c r="F27" s="9"/>
      <c r="G27" s="9"/>
      <c r="H27" s="9"/>
      <c r="I27" s="9"/>
      <c r="J27" s="9"/>
      <c r="K27" s="9"/>
    </row>
    <row r="28" spans="1:11" x14ac:dyDescent="0.3">
      <c r="A28" s="11"/>
      <c r="B28" s="12" t="s">
        <v>316</v>
      </c>
      <c r="C28" s="16"/>
      <c r="D28" s="2"/>
      <c r="E28" s="2"/>
      <c r="F28" s="2"/>
      <c r="G28" s="2"/>
      <c r="H28" s="2"/>
      <c r="I28" s="2"/>
      <c r="J28" s="2"/>
      <c r="K28" s="2"/>
    </row>
    <row r="29" spans="1:11" x14ac:dyDescent="0.3">
      <c r="A29" s="11"/>
      <c r="B29" s="49" t="s">
        <v>405</v>
      </c>
      <c r="C29" s="16">
        <v>0</v>
      </c>
      <c r="D29" s="2"/>
      <c r="E29" s="2"/>
      <c r="F29" s="2"/>
      <c r="G29" s="2"/>
      <c r="H29" s="2"/>
      <c r="I29" s="2"/>
      <c r="J29" s="2"/>
      <c r="K29" s="2"/>
    </row>
    <row r="30" spans="1:11" x14ac:dyDescent="0.3">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317</v>
      </c>
    </row>
    <row r="31" spans="1:11" x14ac:dyDescent="0.3">
      <c r="A31" s="11"/>
      <c r="B31" s="12" t="s">
        <v>318</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310</v>
      </c>
    </row>
    <row r="39" spans="1:11" x14ac:dyDescent="0.3">
      <c r="A39" s="11"/>
      <c r="B39" s="2" t="s">
        <v>141</v>
      </c>
      <c r="C39" s="2">
        <v>4</v>
      </c>
      <c r="D39" s="2"/>
      <c r="E39" s="2"/>
      <c r="F39" s="2"/>
      <c r="G39" s="2"/>
      <c r="H39" s="2"/>
      <c r="I39" s="2"/>
      <c r="J39" s="2"/>
      <c r="K39" s="2" t="s">
        <v>319</v>
      </c>
    </row>
    <row r="40" spans="1:11" x14ac:dyDescent="0.3">
      <c r="A40" s="8"/>
      <c r="B40" s="9" t="s">
        <v>142</v>
      </c>
      <c r="C40" s="9">
        <v>2.2000000000000002</v>
      </c>
      <c r="D40" s="9"/>
      <c r="E40" s="9"/>
      <c r="F40" s="9"/>
      <c r="G40" s="9"/>
      <c r="H40" s="9"/>
      <c r="I40" s="9"/>
      <c r="J40" s="9"/>
      <c r="K40" s="9" t="s">
        <v>320</v>
      </c>
    </row>
    <row r="41" spans="1:11" x14ac:dyDescent="0.3">
      <c r="A41" s="11"/>
      <c r="B41" s="2" t="s">
        <v>143</v>
      </c>
      <c r="C41" s="2">
        <v>3.4</v>
      </c>
      <c r="D41" s="2"/>
      <c r="E41" s="2"/>
      <c r="F41" s="2"/>
      <c r="G41" s="2"/>
      <c r="H41" s="2"/>
      <c r="I41" s="2"/>
      <c r="J41" s="2"/>
      <c r="K41" s="2" t="s">
        <v>321</v>
      </c>
    </row>
    <row r="42" spans="1:11" x14ac:dyDescent="0.3">
      <c r="A42" s="8"/>
      <c r="B42" s="9" t="s">
        <v>144</v>
      </c>
      <c r="C42" s="9">
        <v>15</v>
      </c>
      <c r="D42" s="9"/>
      <c r="E42" s="9"/>
      <c r="F42" s="9"/>
      <c r="G42" s="9"/>
      <c r="H42" s="9"/>
      <c r="I42" s="9"/>
      <c r="J42" s="9"/>
      <c r="K42" s="9" t="s">
        <v>322</v>
      </c>
    </row>
    <row r="43" spans="1:11" x14ac:dyDescent="0.3">
      <c r="A43" s="11"/>
      <c r="B43" s="2" t="s">
        <v>145</v>
      </c>
      <c r="C43" s="17"/>
      <c r="D43" s="2"/>
      <c r="E43" s="2"/>
      <c r="F43" s="2"/>
      <c r="G43" s="2"/>
      <c r="H43" s="2"/>
      <c r="I43" s="2"/>
      <c r="J43" s="2"/>
      <c r="K43" s="2" t="s">
        <v>323</v>
      </c>
    </row>
    <row r="44" spans="1:11" x14ac:dyDescent="0.3">
      <c r="A44" s="13" t="s">
        <v>270</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271</v>
      </c>
      <c r="B46" s="12" t="s">
        <v>108</v>
      </c>
      <c r="C46" s="2"/>
      <c r="D46" s="2"/>
      <c r="E46" s="2"/>
      <c r="F46" s="2"/>
      <c r="G46" s="2"/>
      <c r="H46" s="2"/>
      <c r="I46" s="2"/>
      <c r="J46" s="2"/>
      <c r="K46" s="2"/>
    </row>
    <row r="47" spans="1:11" x14ac:dyDescent="0.3">
      <c r="A47" s="8"/>
      <c r="B47" s="9" t="s">
        <v>370</v>
      </c>
      <c r="C47" s="9"/>
      <c r="D47" s="9"/>
      <c r="E47" s="9"/>
      <c r="F47" s="9"/>
      <c r="G47" s="9"/>
      <c r="H47" s="9"/>
      <c r="I47" s="9"/>
      <c r="J47" s="9"/>
      <c r="K47" s="9"/>
    </row>
    <row r="48" spans="1:11" x14ac:dyDescent="0.3">
      <c r="A48" s="11"/>
      <c r="B48" s="2" t="s">
        <v>149</v>
      </c>
      <c r="C48" s="2" t="str">
        <f>Printer_Name</f>
        <v>Ender3 E3D V6 0.6 mm PLA</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403</v>
      </c>
      <c r="C50" s="2"/>
      <c r="D50" s="2"/>
      <c r="E50" s="2"/>
      <c r="F50" s="2"/>
      <c r="G50" s="2"/>
      <c r="H50" s="2"/>
      <c r="I50" s="2"/>
      <c r="J50" s="2"/>
      <c r="K50" s="2"/>
    </row>
    <row r="51" spans="1:11" x14ac:dyDescent="0.3">
      <c r="A51" s="11"/>
      <c r="B51" s="2" t="s">
        <v>404</v>
      </c>
      <c r="C51" s="2"/>
      <c r="D51" s="2"/>
      <c r="E51" s="2"/>
      <c r="F51" s="2"/>
      <c r="G51" s="2"/>
      <c r="H51" s="2"/>
      <c r="I51" s="2"/>
      <c r="J51" s="2"/>
      <c r="K51" s="2"/>
    </row>
    <row r="52" spans="1:11" x14ac:dyDescent="0.3">
      <c r="A52" s="13" t="s">
        <v>371</v>
      </c>
      <c r="B52" s="12" t="s">
        <v>372</v>
      </c>
      <c r="C52" s="9"/>
      <c r="D52" s="9"/>
      <c r="E52" s="9"/>
      <c r="F52" s="9"/>
      <c r="G52" s="9"/>
      <c r="H52" s="9"/>
      <c r="I52" s="9"/>
      <c r="J52" s="9"/>
      <c r="K52" s="9"/>
    </row>
    <row r="53" spans="1:11" x14ac:dyDescent="0.3">
      <c r="A53" s="11"/>
      <c r="B53" s="2" t="s">
        <v>399</v>
      </c>
      <c r="C53" s="2">
        <v>0</v>
      </c>
      <c r="D53" s="2">
        <v>0.05</v>
      </c>
      <c r="E53" s="2">
        <v>0.08</v>
      </c>
      <c r="F53" s="2"/>
      <c r="G53" s="2"/>
      <c r="H53" s="2"/>
      <c r="I53" s="2"/>
      <c r="J53" s="2"/>
      <c r="K53" s="2"/>
    </row>
    <row r="54" spans="1:11" ht="28.8" x14ac:dyDescent="0.3">
      <c r="A54" s="11"/>
      <c r="B54" s="2" t="s">
        <v>158</v>
      </c>
      <c r="C54" s="2">
        <v>0</v>
      </c>
      <c r="D54" s="2"/>
      <c r="E54" s="2"/>
      <c r="F54" s="2"/>
      <c r="G54" s="2"/>
      <c r="H54" s="2"/>
      <c r="I54" s="2"/>
      <c r="J54" s="2"/>
      <c r="K54" s="17" t="s">
        <v>430</v>
      </c>
    </row>
    <row r="55" spans="1:11" x14ac:dyDescent="0.3">
      <c r="A55" s="8"/>
      <c r="B55" s="9" t="s">
        <v>429</v>
      </c>
      <c r="C55" s="9">
        <v>0</v>
      </c>
      <c r="D55" s="9"/>
      <c r="E55" s="9">
        <v>0.04</v>
      </c>
      <c r="F55" s="9"/>
      <c r="G55" s="9"/>
      <c r="H55" s="9"/>
      <c r="I55" s="9"/>
      <c r="J55" s="9"/>
      <c r="K55" s="9"/>
    </row>
    <row r="56" spans="1:11" x14ac:dyDescent="0.3">
      <c r="A56" s="11"/>
      <c r="B56" s="2" t="s">
        <v>420</v>
      </c>
      <c r="C56" s="2">
        <v>0.8</v>
      </c>
      <c r="D56" s="2"/>
      <c r="E56" s="2"/>
      <c r="F56" s="2"/>
      <c r="G56" s="2"/>
      <c r="H56" s="2"/>
      <c r="I56" s="2"/>
      <c r="J56" s="2"/>
      <c r="K56" s="2"/>
    </row>
    <row r="57" spans="1:11" x14ac:dyDescent="0.3">
      <c r="A57" s="8"/>
      <c r="B57" s="9" t="s">
        <v>421</v>
      </c>
      <c r="C57" s="9">
        <v>0.4</v>
      </c>
      <c r="D57" s="9"/>
      <c r="E57" s="9"/>
      <c r="F57" s="9"/>
      <c r="G57" s="9"/>
      <c r="H57" s="9"/>
      <c r="I57" s="9"/>
      <c r="J57" s="9"/>
      <c r="K57" s="9"/>
    </row>
    <row r="58" spans="1:11" x14ac:dyDescent="0.3">
      <c r="A58" s="11"/>
      <c r="B58" s="2" t="s">
        <v>422</v>
      </c>
      <c r="C58" s="2">
        <v>35</v>
      </c>
      <c r="D58" s="2"/>
      <c r="E58" s="2">
        <v>25</v>
      </c>
      <c r="F58" s="2"/>
      <c r="G58" s="2"/>
      <c r="H58" s="2"/>
      <c r="I58" s="2"/>
      <c r="J58" s="2"/>
      <c r="K58" s="2"/>
    </row>
    <row r="59" spans="1:11" x14ac:dyDescent="0.3">
      <c r="A59" s="8"/>
      <c r="B59" s="9" t="s">
        <v>423</v>
      </c>
      <c r="C59" s="9">
        <v>35</v>
      </c>
      <c r="D59" s="9"/>
      <c r="E59" s="9">
        <v>20</v>
      </c>
      <c r="F59" s="9"/>
      <c r="G59" s="9"/>
      <c r="H59" s="9"/>
      <c r="I59" s="9"/>
      <c r="J59" s="9"/>
      <c r="K59" s="9"/>
    </row>
    <row r="60" spans="1:11" x14ac:dyDescent="0.3">
      <c r="A60" s="11"/>
      <c r="B60" s="2" t="s">
        <v>424</v>
      </c>
      <c r="C60" s="2">
        <v>0</v>
      </c>
      <c r="D60" s="2"/>
      <c r="E60" s="2"/>
      <c r="F60" s="2"/>
      <c r="G60" s="2"/>
      <c r="H60" s="2"/>
      <c r="I60" s="2"/>
      <c r="J60" s="2"/>
      <c r="K60" s="2"/>
    </row>
    <row r="61" spans="1:11" x14ac:dyDescent="0.3">
      <c r="A61" s="8"/>
      <c r="B61" s="9" t="s">
        <v>426</v>
      </c>
      <c r="C61" s="9">
        <v>1</v>
      </c>
      <c r="D61" s="9"/>
      <c r="E61" s="9"/>
      <c r="F61" s="9"/>
      <c r="G61" s="9"/>
      <c r="H61" s="9"/>
      <c r="I61" s="9"/>
      <c r="J61" s="9"/>
      <c r="K61" s="9"/>
    </row>
    <row r="62" spans="1:11" x14ac:dyDescent="0.3">
      <c r="A62" s="11"/>
      <c r="B62" s="2" t="s">
        <v>425</v>
      </c>
      <c r="C62" s="2">
        <v>1</v>
      </c>
      <c r="D62" s="2"/>
      <c r="E62" s="2"/>
      <c r="F62" s="2"/>
      <c r="G62" s="2"/>
      <c r="H62" s="2"/>
      <c r="I62" s="2"/>
      <c r="J62" s="2"/>
      <c r="K62" s="2"/>
    </row>
    <row r="63" spans="1:11" x14ac:dyDescent="0.3">
      <c r="A63" s="8"/>
      <c r="B63" s="9" t="s">
        <v>427</v>
      </c>
      <c r="C63" s="9">
        <v>1</v>
      </c>
      <c r="D63" s="9"/>
      <c r="E63" s="9"/>
      <c r="F63" s="9"/>
      <c r="G63" s="9"/>
      <c r="H63" s="9"/>
      <c r="I63" s="9"/>
      <c r="J63" s="9"/>
      <c r="K63" s="9"/>
    </row>
    <row r="64" spans="1:11" x14ac:dyDescent="0.3">
      <c r="A64" s="11"/>
      <c r="B64" s="2" t="s">
        <v>428</v>
      </c>
      <c r="C64" s="48">
        <v>80</v>
      </c>
      <c r="D64" s="2"/>
      <c r="E64" s="2"/>
      <c r="F64" s="2"/>
      <c r="G64" s="2"/>
      <c r="H64" s="2"/>
      <c r="I64" s="2"/>
      <c r="J64" s="2"/>
      <c r="K64" s="2"/>
    </row>
    <row r="65" spans="1:11" x14ac:dyDescent="0.3">
      <c r="A65" s="13" t="s">
        <v>324</v>
      </c>
      <c r="B65" s="12" t="s">
        <v>325</v>
      </c>
      <c r="C65" s="9"/>
      <c r="D65" s="9"/>
      <c r="E65" s="9"/>
      <c r="F65" s="9"/>
      <c r="G65" s="9"/>
      <c r="H65" s="9"/>
      <c r="I65" s="9"/>
      <c r="J65" s="9"/>
      <c r="K65" s="9"/>
    </row>
    <row r="66" spans="1:11" x14ac:dyDescent="0.3">
      <c r="A66" s="11"/>
      <c r="B66" s="2" t="s">
        <v>146</v>
      </c>
      <c r="C66" s="48"/>
      <c r="D66" s="61" t="str">
        <f>Get_filament_Start_Gcode(D53,D55)</f>
        <v xml:space="preserve">; Ender 3 filament Start G-code
; End of filament start GCode
</v>
      </c>
      <c r="E66" s="61" t="str">
        <f t="shared" ref="E66:J66" si="0">Get_filament_Start_Gcode(E53,E55)</f>
        <v xml:space="preserve">; Ender 3 filament Start G-code
; End of filament start GCode
</v>
      </c>
      <c r="F66" s="61" t="str">
        <f t="shared" si="0"/>
        <v xml:space="preserve">; Ender 3 filament Start G-code
; End of filament start GCode
</v>
      </c>
      <c r="G66" s="61" t="str">
        <f t="shared" si="0"/>
        <v xml:space="preserve">; Ender 3 filament Start G-code
; End of filament start GCode
</v>
      </c>
      <c r="H66" s="61" t="str">
        <f t="shared" si="0"/>
        <v xml:space="preserve">; Ender 3 filament Start G-code
; End of filament start GCode
</v>
      </c>
      <c r="I66" s="61" t="str">
        <f t="shared" si="0"/>
        <v xml:space="preserve">; Ender 3 filament Start G-code
; End of filament start GCode
</v>
      </c>
      <c r="J66" s="61" t="str">
        <f t="shared" si="0"/>
        <v xml:space="preserve">; Ender 3 filament Start G-code
; End of filament start GCode
</v>
      </c>
      <c r="K66" s="2"/>
    </row>
    <row r="67" spans="1:11" x14ac:dyDescent="0.3">
      <c r="A67" s="8"/>
      <c r="B67" s="9" t="s">
        <v>147</v>
      </c>
      <c r="C67" s="62"/>
      <c r="D67" s="63" t="str">
        <f>Get_filament_end_Gcode()</f>
        <v xml:space="preserve">; Ender 3 filament End G-code
; End of filament end GCode
</v>
      </c>
      <c r="E67" s="63" t="str">
        <f t="shared" ref="E67:J67" si="1">Get_filament_end_Gcode()</f>
        <v xml:space="preserve">; Ender 3 filament End G-code
; End of filament end GCode
</v>
      </c>
      <c r="F67" s="63" t="str">
        <f t="shared" si="1"/>
        <v xml:space="preserve">; Ender 3 filament End G-code
; End of filament end GCode
</v>
      </c>
      <c r="G67" s="63" t="str">
        <f t="shared" si="1"/>
        <v xml:space="preserve">; Ender 3 filament End G-code
; End of filament end GCode
</v>
      </c>
      <c r="H67" s="63" t="str">
        <f t="shared" si="1"/>
        <v xml:space="preserve">; Ender 3 filament End G-code
; End of filament end GCode
</v>
      </c>
      <c r="I67" s="63" t="str">
        <f t="shared" si="1"/>
        <v xml:space="preserve">; Ender 3 filament End G-code
; End of filament end GCode
</v>
      </c>
      <c r="J67" s="63" t="str">
        <f t="shared" si="1"/>
        <v xml:space="preserve">; Ender 3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2" activePane="bottomLeft" state="frozen"/>
      <selection activeCell="B30" sqref="B30"/>
      <selection pane="bottomLeft" activeCell="C25" sqref="C25"/>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242</v>
      </c>
      <c r="B1" s="4" t="s">
        <v>215</v>
      </c>
      <c r="C1" s="18" t="s">
        <v>349</v>
      </c>
      <c r="D1" s="18" t="s">
        <v>226</v>
      </c>
    </row>
    <row r="2" spans="1:4" ht="15" thickTop="1" x14ac:dyDescent="0.3">
      <c r="A2" s="5" t="s">
        <v>326</v>
      </c>
      <c r="B2" s="6" t="s">
        <v>327</v>
      </c>
      <c r="C2" s="19"/>
      <c r="D2" s="7"/>
    </row>
    <row r="3" spans="1:4" x14ac:dyDescent="0.3">
      <c r="A3" s="8"/>
      <c r="B3" s="9" t="s">
        <v>155</v>
      </c>
      <c r="C3" s="10" t="s">
        <v>156</v>
      </c>
      <c r="D3" s="9"/>
    </row>
    <row r="4" spans="1:4" x14ac:dyDescent="0.3">
      <c r="A4" s="11"/>
      <c r="B4" s="2" t="s">
        <v>157</v>
      </c>
      <c r="C4" s="16">
        <v>250</v>
      </c>
      <c r="D4" s="2"/>
    </row>
    <row r="5" spans="1:4" x14ac:dyDescent="0.3">
      <c r="A5" s="11"/>
      <c r="B5" s="2" t="s">
        <v>158</v>
      </c>
      <c r="C5" s="10" t="str">
        <f>Matchfill(INDEX(filament!$A$1:$K$98,MATCH(B5,filament!$B$1:$B$98,0),MATCH(FILAMENT_NAME,filament!$A$1:$K$1,0)),filament!$C$1)</f>
        <v>0</v>
      </c>
      <c r="D5" s="2"/>
    </row>
    <row r="6" spans="1:4" x14ac:dyDescent="0.3">
      <c r="A6" s="8"/>
      <c r="B6" s="9" t="s">
        <v>429</v>
      </c>
      <c r="C6" s="10" t="str">
        <f>Matchfill(INDEX(filament!$A$1:$K$98,MATCH(B6,filament!$B$1:$B$98,0),MATCH(FILAMENT_NAME,filament!$A$1:$K$1,0)),filament!$C$1)</f>
        <v>0</v>
      </c>
      <c r="D6" s="9"/>
    </row>
    <row r="7" spans="1:4" x14ac:dyDescent="0.3">
      <c r="A7" s="11"/>
      <c r="B7" s="12" t="s">
        <v>328</v>
      </c>
      <c r="C7" s="16"/>
      <c r="D7" s="2"/>
    </row>
    <row r="8" spans="1:4" x14ac:dyDescent="0.3">
      <c r="A8" s="8"/>
      <c r="B8" s="9" t="s">
        <v>261</v>
      </c>
      <c r="C8" s="10">
        <v>1</v>
      </c>
      <c r="D8" s="9"/>
    </row>
    <row r="9" spans="1:4" x14ac:dyDescent="0.3">
      <c r="A9" s="11"/>
      <c r="B9" s="2" t="s">
        <v>363</v>
      </c>
      <c r="C9" s="16">
        <v>1</v>
      </c>
      <c r="D9" s="2"/>
    </row>
    <row r="10" spans="1:4" x14ac:dyDescent="0.3">
      <c r="A10" s="8"/>
      <c r="B10" s="9" t="s">
        <v>160</v>
      </c>
      <c r="C10" s="10">
        <v>0</v>
      </c>
      <c r="D10" s="9"/>
    </row>
    <row r="11" spans="1:4" x14ac:dyDescent="0.3">
      <c r="A11" s="11"/>
      <c r="B11" s="12" t="s">
        <v>329</v>
      </c>
      <c r="C11" s="16"/>
      <c r="D11" s="2"/>
    </row>
    <row r="12" spans="1:4" x14ac:dyDescent="0.3">
      <c r="A12" s="8"/>
      <c r="B12" s="9" t="s">
        <v>161</v>
      </c>
      <c r="C12" s="10" t="s">
        <v>162</v>
      </c>
      <c r="D12" s="9"/>
    </row>
    <row r="13" spans="1:4" x14ac:dyDescent="0.3">
      <c r="A13" s="11"/>
      <c r="B13" s="2" t="s">
        <v>344</v>
      </c>
      <c r="C13" s="16" t="s">
        <v>476</v>
      </c>
      <c r="D13" s="2"/>
    </row>
    <row r="14" spans="1:4" x14ac:dyDescent="0.3">
      <c r="A14" s="8"/>
      <c r="B14" s="9" t="s">
        <v>343</v>
      </c>
      <c r="C14" s="20" t="s">
        <v>477</v>
      </c>
      <c r="D14" s="9"/>
    </row>
    <row r="15" spans="1:4" x14ac:dyDescent="0.3">
      <c r="A15" s="11"/>
      <c r="B15" s="2" t="s">
        <v>364</v>
      </c>
      <c r="C15" s="21" t="str">
        <f>C14</f>
        <v>FE4834BE7497471D9CE1A3844D752B23</v>
      </c>
      <c r="D15" s="2"/>
    </row>
    <row r="16" spans="1:4" x14ac:dyDescent="0.3">
      <c r="A16" s="8"/>
      <c r="B16" s="12" t="s">
        <v>330</v>
      </c>
      <c r="C16" s="20"/>
      <c r="D16" s="9"/>
    </row>
    <row r="17" spans="1:4" x14ac:dyDescent="0.3">
      <c r="A17" s="11"/>
      <c r="B17" s="2" t="s">
        <v>163</v>
      </c>
      <c r="C17" s="16" t="s">
        <v>164</v>
      </c>
      <c r="D17" s="2"/>
    </row>
    <row r="18" spans="1:4" x14ac:dyDescent="0.3">
      <c r="A18" s="8"/>
      <c r="B18" s="9" t="s">
        <v>165</v>
      </c>
      <c r="C18" s="10">
        <v>0</v>
      </c>
      <c r="D18" s="9"/>
    </row>
    <row r="19" spans="1:4" x14ac:dyDescent="0.3">
      <c r="A19" s="11"/>
      <c r="B19" s="2" t="s">
        <v>166</v>
      </c>
      <c r="C19" s="16">
        <v>0</v>
      </c>
      <c r="D19" s="2"/>
    </row>
    <row r="20" spans="1:4" x14ac:dyDescent="0.3">
      <c r="A20" s="8"/>
      <c r="B20" s="12" t="s">
        <v>241</v>
      </c>
      <c r="C20" s="10"/>
      <c r="D20" s="9"/>
    </row>
    <row r="21" spans="1:4" x14ac:dyDescent="0.3">
      <c r="A21" s="11"/>
      <c r="B21" s="2" t="s">
        <v>167</v>
      </c>
      <c r="C21" s="16">
        <v>1</v>
      </c>
      <c r="D21" s="2"/>
    </row>
    <row r="22" spans="1:4" x14ac:dyDescent="0.3">
      <c r="A22" s="8"/>
      <c r="B22" s="9" t="s">
        <v>168</v>
      </c>
      <c r="C22" s="10">
        <v>0</v>
      </c>
      <c r="D22" s="9"/>
    </row>
    <row r="23" spans="1:4" x14ac:dyDescent="0.3">
      <c r="A23" s="11"/>
      <c r="B23" s="2" t="s">
        <v>169</v>
      </c>
      <c r="C23" s="16">
        <v>0</v>
      </c>
      <c r="D23" s="2"/>
    </row>
    <row r="24" spans="1:4" x14ac:dyDescent="0.3">
      <c r="A24" s="8"/>
      <c r="B24" s="9" t="s">
        <v>170</v>
      </c>
      <c r="C24" s="10">
        <v>1</v>
      </c>
      <c r="D24" s="9"/>
    </row>
    <row r="25" spans="1:4" x14ac:dyDescent="0.3">
      <c r="A25" s="8"/>
      <c r="B25" s="9" t="s">
        <v>399</v>
      </c>
      <c r="C25" s="10" t="str">
        <f>Matchfill(INDEX(filament!$A$1:$K$96,MATCH(B25,filament!$B$1:$B$96,0),MATCH(FILAMENT_NAME,filament!$A$1:$K$1,0)),filament!$C$1)</f>
        <v>0.05</v>
      </c>
      <c r="D25" s="9"/>
    </row>
    <row r="26" spans="1:4" x14ac:dyDescent="0.3">
      <c r="A26" s="8"/>
      <c r="B26" s="9" t="s">
        <v>365</v>
      </c>
      <c r="C26" s="10">
        <v>0</v>
      </c>
      <c r="D26" s="9"/>
    </row>
    <row r="27" spans="1:4" x14ac:dyDescent="0.3">
      <c r="A27" s="8"/>
      <c r="B27" s="9" t="s">
        <v>366</v>
      </c>
      <c r="C27" s="10">
        <v>0</v>
      </c>
      <c r="D27" s="9"/>
    </row>
    <row r="28" spans="1:4" x14ac:dyDescent="0.3">
      <c r="A28" s="11"/>
      <c r="B28" s="2" t="s">
        <v>367</v>
      </c>
      <c r="C28" s="16">
        <v>0</v>
      </c>
      <c r="D28" s="2"/>
    </row>
    <row r="29" spans="1:4" x14ac:dyDescent="0.3">
      <c r="A29" s="8"/>
      <c r="B29" s="9" t="s">
        <v>369</v>
      </c>
      <c r="C29" s="10">
        <v>0</v>
      </c>
      <c r="D29" s="9"/>
    </row>
    <row r="30" spans="1:4" x14ac:dyDescent="0.3">
      <c r="A30" s="11"/>
      <c r="B30" s="2" t="s">
        <v>368</v>
      </c>
      <c r="C30" s="16">
        <v>0</v>
      </c>
      <c r="D30" s="2"/>
    </row>
    <row r="31" spans="1:4" x14ac:dyDescent="0.3">
      <c r="A31" s="13" t="s">
        <v>331</v>
      </c>
      <c r="B31" s="12" t="s">
        <v>333</v>
      </c>
      <c r="C31" s="10"/>
      <c r="D31" s="9"/>
    </row>
    <row r="32" spans="1:4" x14ac:dyDescent="0.3">
      <c r="A32" s="11"/>
      <c r="B32" s="2" t="s">
        <v>176</v>
      </c>
      <c r="C32" s="16">
        <v>150</v>
      </c>
      <c r="D32" s="2"/>
    </row>
    <row r="33" spans="1:4" x14ac:dyDescent="0.3">
      <c r="A33" s="8"/>
      <c r="B33" s="9" t="s">
        <v>177</v>
      </c>
      <c r="C33" s="10">
        <v>150</v>
      </c>
      <c r="D33" s="9"/>
    </row>
    <row r="34" spans="1:4" x14ac:dyDescent="0.3">
      <c r="A34" s="11"/>
      <c r="B34" s="2" t="s">
        <v>178</v>
      </c>
      <c r="C34" s="16">
        <v>5</v>
      </c>
      <c r="D34" s="2"/>
    </row>
    <row r="35" spans="1:4" x14ac:dyDescent="0.3">
      <c r="A35" s="8"/>
      <c r="B35" s="9" t="s">
        <v>179</v>
      </c>
      <c r="C35" s="10">
        <v>100</v>
      </c>
      <c r="D35" s="9"/>
    </row>
    <row r="36" spans="1:4" x14ac:dyDescent="0.3">
      <c r="A36" s="11"/>
      <c r="B36" s="12" t="s">
        <v>334</v>
      </c>
      <c r="C36" s="16"/>
      <c r="D36" s="2"/>
    </row>
    <row r="37" spans="1:4" x14ac:dyDescent="0.3">
      <c r="A37" s="8"/>
      <c r="B37" s="9" t="s">
        <v>180</v>
      </c>
      <c r="C37" s="10">
        <f>MAX_ACCELERATION</f>
        <v>500</v>
      </c>
      <c r="D37" s="9"/>
    </row>
    <row r="38" spans="1:4" x14ac:dyDescent="0.3">
      <c r="A38" s="11"/>
      <c r="B38" s="2" t="s">
        <v>181</v>
      </c>
      <c r="C38" s="10">
        <f>MAX_ACCELERATION</f>
        <v>500</v>
      </c>
      <c r="D38" s="2"/>
    </row>
    <row r="39" spans="1:4" x14ac:dyDescent="0.3">
      <c r="A39" s="8"/>
      <c r="B39" s="9" t="s">
        <v>182</v>
      </c>
      <c r="C39" s="10">
        <v>100</v>
      </c>
      <c r="D39" s="9"/>
    </row>
    <row r="40" spans="1:4" x14ac:dyDescent="0.3">
      <c r="A40" s="11"/>
      <c r="B40" s="2" t="s">
        <v>183</v>
      </c>
      <c r="C40" s="16">
        <f>MAX_ACCELERATION</f>
        <v>500</v>
      </c>
      <c r="D40" s="2"/>
    </row>
    <row r="41" spans="1:4" x14ac:dyDescent="0.3">
      <c r="A41" s="8"/>
      <c r="B41" s="9" t="s">
        <v>184</v>
      </c>
      <c r="C41" s="16">
        <f>MAX_ACCELERATION</f>
        <v>500</v>
      </c>
      <c r="D41" s="9"/>
    </row>
    <row r="42" spans="1:4" x14ac:dyDescent="0.3">
      <c r="A42" s="11"/>
      <c r="B42" s="2" t="s">
        <v>185</v>
      </c>
      <c r="C42" s="16">
        <f>MAX_ACCELERATION</f>
        <v>500</v>
      </c>
      <c r="D42" s="2"/>
    </row>
    <row r="43" spans="1:4" x14ac:dyDescent="0.3">
      <c r="A43" s="8"/>
      <c r="B43" s="12" t="s">
        <v>335</v>
      </c>
      <c r="C43" s="10"/>
      <c r="D43" s="9"/>
    </row>
    <row r="44" spans="1:4" x14ac:dyDescent="0.3">
      <c r="A44" s="11"/>
      <c r="B44" s="2" t="s">
        <v>186</v>
      </c>
      <c r="C44" s="16">
        <v>10</v>
      </c>
      <c r="D44" s="2"/>
    </row>
    <row r="45" spans="1:4" x14ac:dyDescent="0.3">
      <c r="A45" s="8"/>
      <c r="B45" s="9" t="s">
        <v>187</v>
      </c>
      <c r="C45" s="10">
        <v>10</v>
      </c>
      <c r="D45" s="9"/>
    </row>
    <row r="46" spans="1:4" x14ac:dyDescent="0.3">
      <c r="A46" s="11"/>
      <c r="B46" s="2" t="s">
        <v>188</v>
      </c>
      <c r="C46" s="16">
        <v>0.2</v>
      </c>
      <c r="D46" s="2"/>
    </row>
    <row r="47" spans="1:4" x14ac:dyDescent="0.3">
      <c r="A47" s="8"/>
      <c r="B47" s="9" t="s">
        <v>189</v>
      </c>
      <c r="C47" s="10">
        <v>2.5</v>
      </c>
      <c r="D47" s="9"/>
    </row>
    <row r="48" spans="1:4" x14ac:dyDescent="0.3">
      <c r="A48" s="11"/>
      <c r="B48" s="12" t="s">
        <v>336</v>
      </c>
      <c r="C48" s="16"/>
      <c r="D48" s="2"/>
    </row>
    <row r="49" spans="1:4" x14ac:dyDescent="0.3">
      <c r="A49" s="8"/>
      <c r="B49" s="9" t="s">
        <v>190</v>
      </c>
      <c r="C49" s="10">
        <v>0</v>
      </c>
      <c r="D49" s="9"/>
    </row>
    <row r="50" spans="1:4" x14ac:dyDescent="0.3">
      <c r="A50" s="11"/>
      <c r="B50" s="2" t="s">
        <v>191</v>
      </c>
      <c r="C50" s="16">
        <v>0</v>
      </c>
      <c r="D50" s="2"/>
    </row>
    <row r="51" spans="1:4" x14ac:dyDescent="0.3">
      <c r="A51" s="13" t="s">
        <v>332</v>
      </c>
      <c r="B51" s="12" t="s">
        <v>337</v>
      </c>
      <c r="C51" s="10"/>
      <c r="D51" s="9"/>
    </row>
    <row r="52" spans="1:4" x14ac:dyDescent="0.3">
      <c r="A52" s="11"/>
      <c r="B52" s="2" t="s">
        <v>159</v>
      </c>
      <c r="C52" s="16">
        <f>Nozzle_Diameter</f>
        <v>0.6</v>
      </c>
      <c r="D52" s="2"/>
    </row>
    <row r="53" spans="1:4" x14ac:dyDescent="0.3">
      <c r="A53" s="8"/>
      <c r="B53" s="12" t="s">
        <v>338</v>
      </c>
      <c r="C53" s="10"/>
      <c r="D53" s="9"/>
    </row>
    <row r="54" spans="1:4" x14ac:dyDescent="0.3">
      <c r="A54" s="11"/>
      <c r="B54" s="2" t="s">
        <v>192</v>
      </c>
      <c r="C54" s="16">
        <f>Min_Layer_Height</f>
        <v>0.12</v>
      </c>
      <c r="D54" s="2"/>
    </row>
    <row r="55" spans="1:4" x14ac:dyDescent="0.3">
      <c r="A55" s="8"/>
      <c r="B55" s="9" t="s">
        <v>193</v>
      </c>
      <c r="C55" s="10">
        <f>Max_Layer_Height</f>
        <v>0.48</v>
      </c>
      <c r="D55" s="9"/>
    </row>
    <row r="56" spans="1:4" x14ac:dyDescent="0.3">
      <c r="A56" s="11"/>
      <c r="B56" s="12" t="s">
        <v>339</v>
      </c>
      <c r="C56" s="16"/>
      <c r="D56" s="2"/>
    </row>
    <row r="57" spans="1:4" x14ac:dyDescent="0.3">
      <c r="A57" s="8"/>
      <c r="B57" s="9" t="s">
        <v>194</v>
      </c>
      <c r="C57" s="10" t="s">
        <v>195</v>
      </c>
      <c r="D57" s="9"/>
    </row>
    <row r="58" spans="1:4" x14ac:dyDescent="0.3">
      <c r="A58" s="11"/>
      <c r="B58" s="12" t="s">
        <v>340</v>
      </c>
      <c r="C58" s="16"/>
      <c r="D58" s="2"/>
    </row>
    <row r="59" spans="1:4" x14ac:dyDescent="0.3">
      <c r="A59" s="8"/>
      <c r="B59" s="9" t="s">
        <v>196</v>
      </c>
      <c r="C59" s="10" t="str">
        <f>Matchfill(INDEX(filament!$A$1:$K$98,MATCH("filament_" &amp; $B59,filament!$B$1:$B$98,0),MATCH(FILAMENT_NAME,filament!$A$1:$K$1,0)),filament!$C$1)</f>
        <v>0.8</v>
      </c>
      <c r="D59" s="9"/>
    </row>
    <row r="60" spans="1:4" x14ac:dyDescent="0.3">
      <c r="A60" s="11"/>
      <c r="B60" s="2" t="s">
        <v>197</v>
      </c>
      <c r="C60" s="10" t="str">
        <f>Matchfill(INDEX(filament!$A$1:$K$98,MATCH("filament_" &amp; $B60,filament!$B$1:$B$98,0),MATCH(FILAMENT_NAME,filament!$A$1:$K$1,0)),filament!$C$1)</f>
        <v>0.4</v>
      </c>
      <c r="D60" s="2"/>
    </row>
    <row r="61" spans="1:4" x14ac:dyDescent="0.3">
      <c r="A61" s="8"/>
      <c r="B61" s="9" t="s">
        <v>198</v>
      </c>
      <c r="C61" s="10">
        <v>0</v>
      </c>
      <c r="D61" s="9"/>
    </row>
    <row r="62" spans="1:4" x14ac:dyDescent="0.3">
      <c r="A62" s="11"/>
      <c r="B62" s="2" t="s">
        <v>199</v>
      </c>
      <c r="C62" s="10">
        <v>250</v>
      </c>
      <c r="D62" s="2"/>
    </row>
    <row r="63" spans="1:4" x14ac:dyDescent="0.3">
      <c r="A63" s="8"/>
      <c r="B63" s="9" t="s">
        <v>200</v>
      </c>
      <c r="C63" s="10" t="str">
        <f>Matchfill(INDEX(filament!$A$1:$J$99,MATCH("filament_" &amp; $B63,filament!$B$1:$B$99,0),MATCH(FILAMENT_NAME,filament!$A$1:$J$1,0)),filament!$C$1)</f>
        <v>35</v>
      </c>
      <c r="D63" s="9"/>
    </row>
    <row r="64" spans="1:4" x14ac:dyDescent="0.3">
      <c r="A64" s="11"/>
      <c r="B64" s="2" t="s">
        <v>201</v>
      </c>
      <c r="C64" s="10" t="str">
        <f>Matchfill(INDEX(filament!$A$1:$K$98,MATCH("filament_" &amp; $B64,filament!$B$1:$B$98,0),MATCH(FILAMENT_NAME,filament!$A$1:$K$1,0)),filament!$C$1)</f>
        <v>35</v>
      </c>
      <c r="D64" s="2"/>
    </row>
    <row r="65" spans="1:4" x14ac:dyDescent="0.3">
      <c r="A65" s="8"/>
      <c r="B65" s="9" t="s">
        <v>202</v>
      </c>
      <c r="C65" s="10" t="str">
        <f>Matchfill(INDEX(filament!$A$1:$K$98,MATCH("filament_" &amp; $B65,filament!$B$1:$B$98,0),MATCH(FILAMENT_NAME,filament!$A$1:$K$1,0)),filament!$C$1)</f>
        <v>0</v>
      </c>
      <c r="D65" s="9"/>
    </row>
    <row r="66" spans="1:4" x14ac:dyDescent="0.3">
      <c r="A66" s="11"/>
      <c r="B66" s="2" t="s">
        <v>203</v>
      </c>
      <c r="C66" s="10" t="str">
        <f>Matchfill(INDEX(filament!$A$1:$K$98,MATCH("filament_" &amp; $B66,filament!$B$1:$B$98,0),MATCH(FILAMENT_NAME,filament!$A$1:$K$1,0)),filament!$C$1)</f>
        <v>1</v>
      </c>
      <c r="D66" s="2"/>
    </row>
    <row r="67" spans="1:4" x14ac:dyDescent="0.3">
      <c r="A67" s="8"/>
      <c r="B67" s="9" t="s">
        <v>204</v>
      </c>
      <c r="C67" s="10" t="str">
        <f>Matchfill(INDEX(filament!$A$1:$K$98,MATCH("filament_" &amp; $B67,filament!$B$1:$B$98,0),MATCH(FILAMENT_NAME,filament!$A$1:$K$1,0)),filament!$C$1)</f>
        <v>1</v>
      </c>
      <c r="D67" s="9"/>
    </row>
    <row r="68" spans="1:4" x14ac:dyDescent="0.3">
      <c r="A68" s="11"/>
      <c r="B68" s="2" t="s">
        <v>205</v>
      </c>
      <c r="C68" s="10" t="str">
        <f>Matchfill(INDEX(filament!$A$1:$K$98,MATCH("filament_" &amp; $B68,filament!$B$1:$B$98,0),MATCH(FILAMENT_NAME,filament!$A$1:$K$1,0)),filament!$C$1)</f>
        <v>1</v>
      </c>
      <c r="D68" s="2"/>
    </row>
    <row r="69" spans="1:4" x14ac:dyDescent="0.3">
      <c r="A69" s="8"/>
      <c r="B69" s="9" t="s">
        <v>396</v>
      </c>
      <c r="C69" s="10">
        <v>0</v>
      </c>
      <c r="D69" s="9"/>
    </row>
    <row r="70" spans="1:4" x14ac:dyDescent="0.3">
      <c r="A70" s="11"/>
      <c r="B70" s="2" t="s">
        <v>397</v>
      </c>
      <c r="C70" s="10">
        <v>0</v>
      </c>
      <c r="D70" s="2"/>
    </row>
    <row r="71" spans="1:4" x14ac:dyDescent="0.3">
      <c r="A71" s="8"/>
      <c r="B71" s="9" t="s">
        <v>206</v>
      </c>
      <c r="C71" s="10" t="str">
        <f>Matchfill(INDEX(filament!$A$1:$K$98,MATCH("filament_" &amp; $B71,filament!$B$1:$B$98,0),MATCH(FILAMENT_NAME,filament!$A$1:$K$1,0)),filament!$C$1)</f>
        <v>80</v>
      </c>
      <c r="D71" s="9"/>
    </row>
    <row r="72" spans="1:4" x14ac:dyDescent="0.3">
      <c r="A72" s="11"/>
      <c r="B72" s="12" t="s">
        <v>341</v>
      </c>
      <c r="C72" s="22"/>
      <c r="D72" s="2"/>
    </row>
    <row r="73" spans="1:4" x14ac:dyDescent="0.3">
      <c r="A73" s="8"/>
      <c r="B73" s="9" t="s">
        <v>207</v>
      </c>
      <c r="C73" s="10">
        <v>0</v>
      </c>
      <c r="D73" s="9"/>
    </row>
    <row r="74" spans="1:4" x14ac:dyDescent="0.3">
      <c r="A74" s="11"/>
      <c r="B74" s="2" t="s">
        <v>208</v>
      </c>
      <c r="C74" s="16">
        <v>0</v>
      </c>
      <c r="D74" s="2"/>
    </row>
    <row r="75" spans="1:4" x14ac:dyDescent="0.3">
      <c r="A75" s="8"/>
      <c r="B75" s="12" t="s">
        <v>342</v>
      </c>
      <c r="C75" s="10"/>
      <c r="D75" s="9"/>
    </row>
    <row r="76" spans="1:4" x14ac:dyDescent="0.3">
      <c r="A76" s="11"/>
      <c r="B76" s="2" t="s">
        <v>209</v>
      </c>
      <c r="C76" s="16" t="s">
        <v>210</v>
      </c>
      <c r="D76" s="2"/>
    </row>
    <row r="77" spans="1:4" x14ac:dyDescent="0.3">
      <c r="A77" s="13" t="s">
        <v>270</v>
      </c>
      <c r="B77" s="12" t="s">
        <v>106</v>
      </c>
      <c r="C77" s="10"/>
      <c r="D77" s="9"/>
    </row>
    <row r="78" spans="1:4" ht="43.2" x14ac:dyDescent="0.3">
      <c r="A78" s="11"/>
      <c r="B78" s="2" t="s">
        <v>225</v>
      </c>
      <c r="C78" s="23"/>
      <c r="D78" s="17" t="s">
        <v>400</v>
      </c>
    </row>
    <row r="79" spans="1:4" x14ac:dyDescent="0.3">
      <c r="A79" s="13" t="s">
        <v>271</v>
      </c>
      <c r="B79" s="9"/>
      <c r="C79" s="10"/>
      <c r="D79" s="9"/>
    </row>
    <row r="80" spans="1:4" x14ac:dyDescent="0.3">
      <c r="A80" s="11"/>
      <c r="B80" s="2" t="s">
        <v>214</v>
      </c>
      <c r="C80" s="16"/>
      <c r="D80" s="2"/>
    </row>
    <row r="81" spans="1:4" x14ac:dyDescent="0.3">
      <c r="A81" s="8"/>
      <c r="B81" s="9" t="s">
        <v>213</v>
      </c>
      <c r="C81" s="10"/>
      <c r="D81" s="9"/>
    </row>
    <row r="82" spans="1:4" x14ac:dyDescent="0.3">
      <c r="A82" s="11"/>
      <c r="B82" s="2" t="s">
        <v>212</v>
      </c>
      <c r="C82" s="16">
        <f>C52</f>
        <v>0.6</v>
      </c>
      <c r="D82" s="2"/>
    </row>
    <row r="83" spans="1:4" x14ac:dyDescent="0.3">
      <c r="A83" s="8"/>
      <c r="B83" s="9" t="s">
        <v>345</v>
      </c>
      <c r="C83" s="10" t="s">
        <v>349</v>
      </c>
      <c r="D83" s="9"/>
    </row>
    <row r="84" spans="1:4" x14ac:dyDescent="0.3">
      <c r="A84" s="11"/>
      <c r="B84" s="2" t="s">
        <v>211</v>
      </c>
      <c r="C84" s="16"/>
      <c r="D84" s="2"/>
    </row>
    <row r="85" spans="1:4" x14ac:dyDescent="0.3">
      <c r="A85" s="8"/>
      <c r="B85" s="9" t="s">
        <v>346</v>
      </c>
      <c r="C85" s="10"/>
      <c r="D85" s="9"/>
    </row>
    <row r="86" spans="1:4" x14ac:dyDescent="0.3">
      <c r="A86" s="11"/>
      <c r="B86" s="2" t="s">
        <v>347</v>
      </c>
      <c r="C86" s="16"/>
      <c r="D86" s="2"/>
    </row>
    <row r="87" spans="1:4" x14ac:dyDescent="0.3">
      <c r="A87" s="8"/>
      <c r="B87" s="9" t="s">
        <v>348</v>
      </c>
      <c r="C87" s="10">
        <v>250000</v>
      </c>
      <c r="D87" s="9"/>
    </row>
    <row r="88" spans="1:4" x14ac:dyDescent="0.3">
      <c r="A88" s="11" t="s">
        <v>324</v>
      </c>
      <c r="B88" s="2" t="s">
        <v>325</v>
      </c>
      <c r="C88" s="16"/>
      <c r="D88" s="2"/>
    </row>
    <row r="89" spans="1:4" ht="374.4" x14ac:dyDescent="0.3">
      <c r="A89" s="8"/>
      <c r="B89" s="9" t="s">
        <v>171</v>
      </c>
      <c r="C89" s="24" t="str">
        <f>Get_printer_start_Gcode(pressure_advance_klipper,z_offset_klipper)</f>
        <v xml:space="preserve">; Ender 3 Printer Start G-code
; begin heating bed
M140 S[first_layer_bed_temperature]
; begin heating nozzle
M104 S[first_layer_temperature]
G28 ; Home all axes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5" customHeight="1" x14ac:dyDescent="0.3">
      <c r="A90" s="11"/>
      <c r="B90" s="2" t="s">
        <v>172</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173</v>
      </c>
      <c r="C91" s="26" t="str">
        <f>GetBefore_Layer_Gcode()</f>
        <v xml:space="preserve">;BEFORE_LAYER_CHANGE
;Layer [layer_num]
;[layer_z]mm
;Printing layer [layer_num] at [layer_z]mm
</v>
      </c>
      <c r="D91" s="9"/>
    </row>
    <row r="92" spans="1:4" ht="72" x14ac:dyDescent="0.3">
      <c r="A92" s="11"/>
      <c r="B92" s="2" t="s">
        <v>174</v>
      </c>
      <c r="C92" s="25" t="str">
        <f>GetAfter_Layer_Gcode()</f>
        <v xml:space="preserve">;AFTER_LAYER_CHANGE
;Layer [layer_num]
;[layer_z]mm
;Printing layer [layer_num] at [layer_z]mm
</v>
      </c>
      <c r="D92" s="2"/>
    </row>
    <row r="93" spans="1:4" x14ac:dyDescent="0.3">
      <c r="A93" s="8"/>
      <c r="B93" s="9" t="s">
        <v>175</v>
      </c>
      <c r="C93" s="10"/>
      <c r="D93" s="9"/>
    </row>
    <row r="94" spans="1:4" x14ac:dyDescent="0.3">
      <c r="A94" s="11"/>
      <c r="B94" s="2" t="s">
        <v>216</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2019-11-25T23:06:12Z</dcterms:modified>
</cp:coreProperties>
</file>