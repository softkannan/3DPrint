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\"/>
    </mc:Choice>
  </mc:AlternateContent>
  <xr:revisionPtr revIDLastSave="0" documentId="13_ncr:1_{7C5D6131-E4D4-4DF2-8992-85B6D7AE66BA}" xr6:coauthVersionLast="43" xr6:coauthVersionMax="43" xr10:uidLastSave="{00000000-0000-0000-0000-000000000000}"/>
  <bookViews>
    <workbookView xWindow="-120" yWindow="-120" windowWidth="29040" windowHeight="15840" xr2:uid="{E8DF9499-C68D-4AF3-B2AA-BB8266EB0F5B}"/>
  </bookViews>
  <sheets>
    <sheet name="spec" sheetId="6" r:id="rId1"/>
    <sheet name="printer" sheetId="19" r:id="rId2"/>
    <sheet name="quality" sheetId="2" r:id="rId3"/>
    <sheet name="filament_TPU" sheetId="18" r:id="rId4"/>
    <sheet name="filament_PP" sheetId="17" r:id="rId5"/>
    <sheet name="filament_Nylon" sheetId="16" r:id="rId6"/>
    <sheet name="filament_ABS" sheetId="15" r:id="rId7"/>
    <sheet name="filament_PETG" sheetId="14" r:id="rId8"/>
    <sheet name="filament_PLA" sheetId="13" r:id="rId9"/>
  </sheets>
  <functionGroups builtInGroupCount="19"/>
  <definedNames>
    <definedName name="APPDATA_FOLDER">spec!$B$11</definedName>
    <definedName name="FILAMENT_NAME">spec!$B$9</definedName>
    <definedName name="Generate_Filament_Specific" localSheetId="6">spec!#REF!</definedName>
    <definedName name="Generate_Filament_Specific" localSheetId="5">spec!#REF!</definedName>
    <definedName name="Generate_Filament_Specific" localSheetId="7">spec!#REF!</definedName>
    <definedName name="Generate_Filament_Specific" localSheetId="8">spec!#REF!</definedName>
    <definedName name="Generate_Filament_Specific" localSheetId="4">spec!#REF!</definedName>
    <definedName name="Generate_Filament_Specific" localSheetId="3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6">spec!#REF!</definedName>
    <definedName name="Printer_Prefix" localSheetId="5">spec!#REF!</definedName>
    <definedName name="Printer_Prefix" localSheetId="7">spec!#REF!</definedName>
    <definedName name="Printer_Prefix" localSheetId="8">spec!#REF!</definedName>
    <definedName name="Printer_Prefix" localSheetId="4">spec!#REF!</definedName>
    <definedName name="Printer_Prefix" localSheetId="3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5" i="6"/>
  <c r="D147" i="2"/>
  <c r="D148" i="2"/>
  <c r="D153" i="2"/>
  <c r="D154" i="2"/>
  <c r="D155" i="2"/>
  <c r="D156" i="2"/>
  <c r="D53" i="14"/>
  <c r="D52" i="14"/>
  <c r="C138" i="14"/>
  <c r="D134" i="2" l="1"/>
  <c r="D129" i="2"/>
  <c r="D119" i="2"/>
  <c r="D111" i="2"/>
  <c r="D110" i="2"/>
  <c r="D102" i="2"/>
  <c r="D103" i="2"/>
  <c r="D92" i="2"/>
  <c r="D90" i="2"/>
  <c r="D89" i="2"/>
  <c r="D88" i="2"/>
  <c r="D87" i="2"/>
  <c r="D86" i="2"/>
  <c r="D83" i="2"/>
  <c r="D85" i="2"/>
  <c r="D79" i="2"/>
  <c r="D75" i="2"/>
  <c r="D74" i="2"/>
  <c r="D53" i="2"/>
  <c r="D52" i="2"/>
  <c r="D45" i="2"/>
  <c r="D44" i="2"/>
  <c r="D43" i="2"/>
  <c r="D61" i="2"/>
  <c r="D63" i="2"/>
  <c r="E63" i="2"/>
  <c r="E64" i="2" s="1"/>
  <c r="F64" i="2" s="1"/>
  <c r="F63" i="2"/>
  <c r="G63" i="2"/>
  <c r="H63" i="2"/>
  <c r="I63" i="2"/>
  <c r="J63" i="2"/>
  <c r="K63" i="2"/>
  <c r="L63" i="2"/>
  <c r="M63" i="2"/>
  <c r="D66" i="2"/>
  <c r="D67" i="2"/>
  <c r="D68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F66" i="2" l="1"/>
  <c r="G64" i="2"/>
  <c r="F68" i="2"/>
  <c r="E68" i="2"/>
  <c r="E66" i="2"/>
  <c r="E65" i="2"/>
  <c r="C32" i="13"/>
  <c r="C64" i="13"/>
  <c r="C96" i="13"/>
  <c r="C128" i="13"/>
  <c r="C192" i="13"/>
  <c r="C224" i="13"/>
  <c r="C256" i="13"/>
  <c r="C288" i="13"/>
  <c r="C29" i="13"/>
  <c r="C61" i="13"/>
  <c r="C93" i="13"/>
  <c r="C125" i="13"/>
  <c r="C189" i="13"/>
  <c r="C221" i="13"/>
  <c r="C59" i="13"/>
  <c r="C123" i="13"/>
  <c r="C187" i="13"/>
  <c r="C243" i="13"/>
  <c r="C286" i="13"/>
  <c r="C54" i="13"/>
  <c r="C118" i="13"/>
  <c r="C182" i="13"/>
  <c r="C239" i="13"/>
  <c r="C282" i="13"/>
  <c r="C111" i="13"/>
  <c r="C175" i="13"/>
  <c r="C235" i="13"/>
  <c r="C278" i="13"/>
  <c r="C42" i="13"/>
  <c r="C258" i="13"/>
  <c r="C263" i="13"/>
  <c r="C290" i="13"/>
  <c r="B19" i="13"/>
  <c r="B51" i="13"/>
  <c r="B83" i="13"/>
  <c r="B115" i="13"/>
  <c r="B179" i="13"/>
  <c r="B211" i="13"/>
  <c r="B243" i="13"/>
  <c r="B275" i="13"/>
  <c r="B16" i="13"/>
  <c r="B48" i="13"/>
  <c r="B80" i="13"/>
  <c r="B112" i="13"/>
  <c r="B176" i="13"/>
  <c r="B208" i="13"/>
  <c r="B38" i="13"/>
  <c r="B102" i="13"/>
  <c r="B229" i="13"/>
  <c r="B272" i="13"/>
  <c r="B33" i="13"/>
  <c r="B97" i="13"/>
  <c r="B225" i="13"/>
  <c r="B268" i="13"/>
  <c r="B26" i="13"/>
  <c r="B90" i="13"/>
  <c r="B218" i="13"/>
  <c r="B264" i="13"/>
  <c r="B21" i="13"/>
  <c r="B181" i="13"/>
  <c r="B133" i="13"/>
  <c r="B109" i="13"/>
  <c r="B10" i="13"/>
  <c r="C39" i="14"/>
  <c r="C71" i="14"/>
  <c r="C103" i="14"/>
  <c r="C135" i="14"/>
  <c r="C199" i="14"/>
  <c r="C231" i="14"/>
  <c r="C263" i="14"/>
  <c r="C295" i="14"/>
  <c r="C65" i="14"/>
  <c r="C133" i="14"/>
  <c r="C201" i="14"/>
  <c r="C265" i="14"/>
  <c r="C42" i="14"/>
  <c r="C106" i="14"/>
  <c r="C20" i="14"/>
  <c r="C52" i="14"/>
  <c r="C84" i="14"/>
  <c r="C116" i="14"/>
  <c r="C180" i="14"/>
  <c r="C212" i="14"/>
  <c r="C244" i="14"/>
  <c r="C276" i="14"/>
  <c r="C21" i="14"/>
  <c r="C81" i="14"/>
  <c r="C205" i="14"/>
  <c r="C269" i="14"/>
  <c r="C46" i="14"/>
  <c r="C110" i="14"/>
  <c r="C198" i="14"/>
  <c r="C206" i="14"/>
  <c r="C298" i="14"/>
  <c r="C226" i="14"/>
  <c r="B28" i="14"/>
  <c r="B60" i="14"/>
  <c r="B92" i="14"/>
  <c r="B124" i="14"/>
  <c r="B188" i="14"/>
  <c r="B220" i="14"/>
  <c r="B252" i="14"/>
  <c r="B284" i="14"/>
  <c r="B25" i="14"/>
  <c r="B57" i="14"/>
  <c r="B89" i="14"/>
  <c r="B121" i="14"/>
  <c r="B185" i="14"/>
  <c r="B217" i="14"/>
  <c r="B51" i="14"/>
  <c r="B115" i="14"/>
  <c r="C36" i="13"/>
  <c r="C68" i="13"/>
  <c r="C100" i="13"/>
  <c r="C132" i="13"/>
  <c r="C196" i="13"/>
  <c r="C228" i="13"/>
  <c r="C260" i="13"/>
  <c r="C292" i="13"/>
  <c r="C33" i="13"/>
  <c r="C65" i="13"/>
  <c r="C97" i="13"/>
  <c r="C129" i="13"/>
  <c r="C193" i="13"/>
  <c r="C225" i="13"/>
  <c r="C67" i="13"/>
  <c r="C131" i="13"/>
  <c r="C195" i="13"/>
  <c r="C249" i="13"/>
  <c r="C291" i="13"/>
  <c r="C62" i="13"/>
  <c r="C126" i="13"/>
  <c r="C190" i="13"/>
  <c r="C245" i="13"/>
  <c r="C287" i="13"/>
  <c r="C55" i="13"/>
  <c r="C119" i="13"/>
  <c r="C183" i="13"/>
  <c r="C241" i="13"/>
  <c r="C283" i="13"/>
  <c r="C50" i="13"/>
  <c r="C279" i="13"/>
  <c r="C66" i="13"/>
  <c r="C202" i="13"/>
  <c r="C74" i="13"/>
  <c r="B23" i="13"/>
  <c r="B55" i="13"/>
  <c r="B87" i="13"/>
  <c r="B119" i="13"/>
  <c r="B183" i="13"/>
  <c r="B215" i="13"/>
  <c r="B247" i="13"/>
  <c r="B279" i="13"/>
  <c r="B20" i="13"/>
  <c r="B52" i="13"/>
  <c r="B84" i="13"/>
  <c r="B116" i="13"/>
  <c r="B180" i="13"/>
  <c r="B212" i="13"/>
  <c r="B46" i="13"/>
  <c r="B110" i="13"/>
  <c r="B174" i="13"/>
  <c r="B234" i="13"/>
  <c r="B277" i="13"/>
  <c r="B41" i="13"/>
  <c r="B105" i="13"/>
  <c r="B230" i="13"/>
  <c r="B273" i="13"/>
  <c r="B34" i="13"/>
  <c r="B98" i="13"/>
  <c r="B226" i="13"/>
  <c r="B269" i="13"/>
  <c r="B29" i="13"/>
  <c r="B213" i="13"/>
  <c r="B189" i="13"/>
  <c r="C11" i="14"/>
  <c r="C43" i="14"/>
  <c r="C75" i="14"/>
  <c r="C107" i="14"/>
  <c r="C203" i="14"/>
  <c r="C235" i="14"/>
  <c r="C267" i="14"/>
  <c r="C299" i="14"/>
  <c r="C77" i="14"/>
  <c r="C209" i="14"/>
  <c r="C273" i="14"/>
  <c r="C50" i="14"/>
  <c r="C114" i="14"/>
  <c r="C24" i="14"/>
  <c r="C56" i="14"/>
  <c r="C88" i="14"/>
  <c r="C120" i="14"/>
  <c r="C184" i="14"/>
  <c r="C216" i="14"/>
  <c r="C248" i="14"/>
  <c r="C280" i="14"/>
  <c r="C29" i="14"/>
  <c r="C89" i="14"/>
  <c r="C213" i="14"/>
  <c r="C277" i="14"/>
  <c r="C54" i="14"/>
  <c r="C118" i="14"/>
  <c r="C214" i="14"/>
  <c r="C40" i="13"/>
  <c r="C72" i="13"/>
  <c r="C104" i="13"/>
  <c r="C136" i="13"/>
  <c r="C200" i="13"/>
  <c r="C232" i="13"/>
  <c r="C264" i="13"/>
  <c r="C296" i="13"/>
  <c r="C37" i="13"/>
  <c r="C69" i="13"/>
  <c r="C101" i="13"/>
  <c r="C133" i="13"/>
  <c r="C197" i="13"/>
  <c r="C11" i="13"/>
  <c r="C75" i="13"/>
  <c r="C203" i="13"/>
  <c r="C254" i="13"/>
  <c r="C297" i="13"/>
  <c r="C70" i="13"/>
  <c r="C134" i="13"/>
  <c r="C198" i="13"/>
  <c r="C250" i="13"/>
  <c r="C293" i="13"/>
  <c r="C63" i="13"/>
  <c r="C127" i="13"/>
  <c r="C191" i="13"/>
  <c r="C246" i="13"/>
  <c r="C289" i="13"/>
  <c r="C82" i="13"/>
  <c r="C90" i="13"/>
  <c r="C98" i="13"/>
  <c r="C253" i="13"/>
  <c r="B27" i="13"/>
  <c r="B59" i="13"/>
  <c r="B91" i="13"/>
  <c r="B123" i="13"/>
  <c r="B187" i="13"/>
  <c r="B219" i="13"/>
  <c r="B251" i="13"/>
  <c r="B283" i="13"/>
  <c r="B24" i="13"/>
  <c r="B56" i="13"/>
  <c r="B88" i="13"/>
  <c r="B120" i="13"/>
  <c r="B184" i="13"/>
  <c r="B216" i="13"/>
  <c r="B54" i="13"/>
  <c r="B118" i="13"/>
  <c r="B182" i="13"/>
  <c r="B240" i="13"/>
  <c r="B282" i="13"/>
  <c r="B49" i="13"/>
  <c r="B113" i="13"/>
  <c r="B177" i="13"/>
  <c r="B236" i="13"/>
  <c r="B278" i="13"/>
  <c r="B42" i="13"/>
  <c r="B106" i="13"/>
  <c r="B232" i="13"/>
  <c r="B274" i="13"/>
  <c r="B37" i="13"/>
  <c r="B238" i="13"/>
  <c r="B221" i="13"/>
  <c r="B197" i="13"/>
  <c r="B173" i="13"/>
  <c r="C15" i="14"/>
  <c r="C79" i="14"/>
  <c r="C111" i="14"/>
  <c r="C175" i="14"/>
  <c r="C207" i="14"/>
  <c r="C239" i="14"/>
  <c r="C271" i="14"/>
  <c r="C17" i="14"/>
  <c r="C85" i="14"/>
  <c r="C217" i="14"/>
  <c r="C281" i="14"/>
  <c r="C58" i="14"/>
  <c r="C122" i="14"/>
  <c r="C28" i="14"/>
  <c r="C60" i="14"/>
  <c r="C92" i="14"/>
  <c r="C124" i="14"/>
  <c r="C188" i="14"/>
  <c r="C220" i="14"/>
  <c r="C252" i="14"/>
  <c r="C284" i="14"/>
  <c r="C37" i="14"/>
  <c r="C97" i="14"/>
  <c r="C221" i="14"/>
  <c r="C285" i="14"/>
  <c r="C62" i="14"/>
  <c r="C126" i="14"/>
  <c r="C230" i="14"/>
  <c r="C270" i="14"/>
  <c r="C202" i="14"/>
  <c r="C190" i="14"/>
  <c r="C290" i="14"/>
  <c r="B36" i="14"/>
  <c r="B68" i="14"/>
  <c r="B100" i="14"/>
  <c r="B132" i="14"/>
  <c r="B196" i="14"/>
  <c r="B228" i="14"/>
  <c r="B260" i="14"/>
  <c r="B292" i="14"/>
  <c r="B33" i="14"/>
  <c r="B65" i="14"/>
  <c r="B97" i="14"/>
  <c r="B129" i="14"/>
  <c r="B193" i="14"/>
  <c r="B225" i="14"/>
  <c r="B67" i="14"/>
  <c r="C12" i="13"/>
  <c r="C44" i="13"/>
  <c r="C76" i="13"/>
  <c r="C108" i="13"/>
  <c r="C204" i="13"/>
  <c r="C236" i="13"/>
  <c r="C268" i="13"/>
  <c r="C300" i="13"/>
  <c r="C41" i="13"/>
  <c r="C73" i="13"/>
  <c r="C105" i="13"/>
  <c r="C137" i="13"/>
  <c r="C201" i="13"/>
  <c r="C19" i="13"/>
  <c r="C83" i="13"/>
  <c r="C211" i="13"/>
  <c r="C259" i="13"/>
  <c r="C14" i="13"/>
  <c r="C78" i="13"/>
  <c r="C206" i="13"/>
  <c r="C255" i="13"/>
  <c r="C298" i="13"/>
  <c r="C71" i="13"/>
  <c r="C135" i="13"/>
  <c r="C199" i="13"/>
  <c r="C251" i="13"/>
  <c r="C294" i="13"/>
  <c r="C114" i="13"/>
  <c r="C122" i="13"/>
  <c r="C130" i="13"/>
  <c r="C295" i="13"/>
  <c r="C231" i="13"/>
  <c r="B31" i="13"/>
  <c r="B63" i="13"/>
  <c r="B95" i="13"/>
  <c r="B127" i="13"/>
  <c r="B191" i="13"/>
  <c r="B223" i="13"/>
  <c r="B255" i="13"/>
  <c r="B287" i="13"/>
  <c r="B28" i="13"/>
  <c r="B60" i="13"/>
  <c r="B92" i="13"/>
  <c r="B124" i="13"/>
  <c r="B188" i="13"/>
  <c r="B220" i="13"/>
  <c r="B62" i="13"/>
  <c r="B126" i="13"/>
  <c r="B190" i="13"/>
  <c r="B245" i="13"/>
  <c r="B288" i="13"/>
  <c r="B57" i="13"/>
  <c r="B121" i="13"/>
  <c r="B185" i="13"/>
  <c r="B241" i="13"/>
  <c r="B284" i="13"/>
  <c r="B50" i="13"/>
  <c r="B114" i="13"/>
  <c r="B178" i="13"/>
  <c r="B237" i="13"/>
  <c r="B280" i="13"/>
  <c r="B45" i="13"/>
  <c r="B260" i="13"/>
  <c r="B244" i="13"/>
  <c r="B228" i="13"/>
  <c r="B205" i="13"/>
  <c r="C19" i="14"/>
  <c r="C51" i="14"/>
  <c r="C83" i="14"/>
  <c r="C115" i="14"/>
  <c r="C179" i="14"/>
  <c r="C211" i="14"/>
  <c r="C243" i="14"/>
  <c r="C275" i="14"/>
  <c r="C93" i="14"/>
  <c r="C225" i="14"/>
  <c r="C289" i="14"/>
  <c r="C66" i="14"/>
  <c r="C130" i="14"/>
  <c r="C32" i="14"/>
  <c r="C64" i="14"/>
  <c r="C96" i="14"/>
  <c r="C128" i="14"/>
  <c r="C192" i="14"/>
  <c r="C224" i="14"/>
  <c r="C256" i="14"/>
  <c r="C288" i="14"/>
  <c r="C16" i="13"/>
  <c r="C48" i="13"/>
  <c r="C80" i="13"/>
  <c r="C112" i="13"/>
  <c r="C176" i="13"/>
  <c r="C208" i="13"/>
  <c r="C240" i="13"/>
  <c r="C272" i="13"/>
  <c r="C13" i="13"/>
  <c r="C45" i="13"/>
  <c r="C77" i="13"/>
  <c r="C109" i="13"/>
  <c r="C173" i="13"/>
  <c r="C205" i="13"/>
  <c r="C27" i="13"/>
  <c r="C91" i="13"/>
  <c r="C219" i="13"/>
  <c r="C265" i="13"/>
  <c r="C22" i="13"/>
  <c r="C86" i="13"/>
  <c r="C214" i="13"/>
  <c r="C261" i="13"/>
  <c r="C15" i="13"/>
  <c r="C79" i="13"/>
  <c r="C207" i="13"/>
  <c r="C257" i="13"/>
  <c r="C299" i="13"/>
  <c r="C194" i="13"/>
  <c r="C58" i="13"/>
  <c r="C274" i="13"/>
  <c r="B35" i="13"/>
  <c r="B67" i="13"/>
  <c r="B99" i="13"/>
  <c r="B131" i="13"/>
  <c r="B195" i="13"/>
  <c r="B227" i="13"/>
  <c r="B259" i="13"/>
  <c r="B291" i="13"/>
  <c r="B32" i="13"/>
  <c r="B64" i="13"/>
  <c r="B96" i="13"/>
  <c r="B128" i="13"/>
  <c r="B192" i="13"/>
  <c r="B224" i="13"/>
  <c r="B70" i="13"/>
  <c r="B134" i="13"/>
  <c r="B198" i="13"/>
  <c r="B250" i="13"/>
  <c r="B293" i="13"/>
  <c r="B65" i="13"/>
  <c r="B129" i="13"/>
  <c r="B193" i="13"/>
  <c r="B246" i="13"/>
  <c r="B289" i="13"/>
  <c r="B58" i="13"/>
  <c r="B122" i="13"/>
  <c r="B186" i="13"/>
  <c r="B242" i="13"/>
  <c r="B285" i="13"/>
  <c r="B53" i="13"/>
  <c r="B281" i="13"/>
  <c r="B265" i="13"/>
  <c r="B249" i="13"/>
  <c r="B233" i="13"/>
  <c r="C23" i="14"/>
  <c r="C55" i="14"/>
  <c r="C87" i="14"/>
  <c r="C119" i="14"/>
  <c r="C183" i="14"/>
  <c r="C215" i="14"/>
  <c r="C247" i="14"/>
  <c r="C279" i="14"/>
  <c r="C33" i="14"/>
  <c r="C101" i="14"/>
  <c r="C233" i="14"/>
  <c r="C297" i="14"/>
  <c r="C74" i="14"/>
  <c r="C36" i="14"/>
  <c r="C68" i="14"/>
  <c r="C100" i="14"/>
  <c r="C132" i="14"/>
  <c r="C196" i="14"/>
  <c r="C228" i="14"/>
  <c r="C260" i="14"/>
  <c r="C292" i="14"/>
  <c r="C53" i="14"/>
  <c r="C113" i="14"/>
  <c r="C173" i="14"/>
  <c r="C237" i="14"/>
  <c r="C18" i="14"/>
  <c r="C78" i="14"/>
  <c r="C262" i="14"/>
  <c r="C210" i="14"/>
  <c r="C234" i="14"/>
  <c r="C254" i="14"/>
  <c r="B12" i="14"/>
  <c r="B44" i="14"/>
  <c r="B76" i="14"/>
  <c r="B108" i="14"/>
  <c r="B204" i="14"/>
  <c r="B236" i="14"/>
  <c r="B268" i="14"/>
  <c r="B300" i="14"/>
  <c r="B41" i="14"/>
  <c r="B73" i="14"/>
  <c r="B105" i="14"/>
  <c r="B137" i="14"/>
  <c r="B201" i="14"/>
  <c r="B19" i="14"/>
  <c r="B83" i="14"/>
  <c r="C20" i="13"/>
  <c r="C52" i="13"/>
  <c r="C84" i="13"/>
  <c r="C116" i="13"/>
  <c r="C180" i="13"/>
  <c r="C212" i="13"/>
  <c r="C244" i="13"/>
  <c r="C276" i="13"/>
  <c r="C17" i="13"/>
  <c r="C49" i="13"/>
  <c r="C81" i="13"/>
  <c r="C113" i="13"/>
  <c r="C177" i="13"/>
  <c r="C209" i="13"/>
  <c r="C35" i="13"/>
  <c r="C99" i="13"/>
  <c r="C227" i="13"/>
  <c r="C270" i="13"/>
  <c r="C30" i="13"/>
  <c r="C94" i="13"/>
  <c r="C222" i="13"/>
  <c r="C266" i="13"/>
  <c r="C23" i="13"/>
  <c r="C87" i="13"/>
  <c r="C215" i="13"/>
  <c r="C262" i="13"/>
  <c r="C18" i="13"/>
  <c r="C178" i="13"/>
  <c r="C186" i="13"/>
  <c r="C247" i="13"/>
  <c r="C285" i="13"/>
  <c r="C10" i="13"/>
  <c r="B39" i="13"/>
  <c r="B71" i="13"/>
  <c r="B103" i="13"/>
  <c r="B135" i="13"/>
  <c r="B199" i="13"/>
  <c r="B231" i="13"/>
  <c r="B263" i="13"/>
  <c r="B295" i="13"/>
  <c r="B36" i="13"/>
  <c r="B68" i="13"/>
  <c r="B100" i="13"/>
  <c r="B132" i="13"/>
  <c r="B196" i="13"/>
  <c r="B14" i="13"/>
  <c r="B78" i="13"/>
  <c r="B206" i="13"/>
  <c r="B256" i="13"/>
  <c r="B298" i="13"/>
  <c r="B73" i="13"/>
  <c r="B137" i="13"/>
  <c r="B201" i="13"/>
  <c r="B252" i="13"/>
  <c r="B294" i="13"/>
  <c r="B66" i="13"/>
  <c r="B130" i="13"/>
  <c r="B194" i="13"/>
  <c r="B248" i="13"/>
  <c r="B290" i="13"/>
  <c r="B85" i="13"/>
  <c r="B61" i="13"/>
  <c r="B286" i="13"/>
  <c r="B270" i="13"/>
  <c r="B254" i="13"/>
  <c r="C27" i="14"/>
  <c r="C59" i="14"/>
  <c r="C91" i="14"/>
  <c r="C123" i="14"/>
  <c r="C187" i="14"/>
  <c r="C219" i="14"/>
  <c r="C251" i="14"/>
  <c r="C283" i="14"/>
  <c r="C41" i="14"/>
  <c r="C109" i="14"/>
  <c r="C177" i="14"/>
  <c r="C241" i="14"/>
  <c r="C14" i="14"/>
  <c r="C82" i="14"/>
  <c r="C40" i="14"/>
  <c r="C72" i="14"/>
  <c r="C104" i="14"/>
  <c r="C136" i="14"/>
  <c r="C200" i="14"/>
  <c r="C232" i="14"/>
  <c r="C264" i="14"/>
  <c r="C296" i="14"/>
  <c r="C61" i="14"/>
  <c r="C121" i="14"/>
  <c r="C181" i="14"/>
  <c r="C245" i="14"/>
  <c r="C22" i="14"/>
  <c r="C86" i="14"/>
  <c r="C278" i="14"/>
  <c r="C242" i="14"/>
  <c r="C250" i="14"/>
  <c r="C28" i="13"/>
  <c r="C60" i="13"/>
  <c r="C92" i="13"/>
  <c r="C124" i="13"/>
  <c r="C188" i="13"/>
  <c r="C220" i="13"/>
  <c r="C252" i="13"/>
  <c r="C284" i="13"/>
  <c r="C57" i="13"/>
  <c r="C89" i="13"/>
  <c r="C121" i="13"/>
  <c r="C185" i="13"/>
  <c r="C217" i="13"/>
  <c r="C51" i="13"/>
  <c r="C115" i="13"/>
  <c r="C179" i="13"/>
  <c r="C238" i="13"/>
  <c r="C281" i="13"/>
  <c r="C46" i="13"/>
  <c r="C110" i="13"/>
  <c r="C174" i="13"/>
  <c r="C234" i="13"/>
  <c r="C277" i="13"/>
  <c r="C39" i="13"/>
  <c r="C103" i="13"/>
  <c r="C230" i="13"/>
  <c r="C273" i="13"/>
  <c r="C34" i="13"/>
  <c r="C237" i="13"/>
  <c r="C242" i="13"/>
  <c r="C106" i="13"/>
  <c r="C226" i="13"/>
  <c r="B15" i="13"/>
  <c r="B47" i="13"/>
  <c r="B79" i="13"/>
  <c r="B111" i="13"/>
  <c r="B175" i="13"/>
  <c r="B207" i="13"/>
  <c r="B239" i="13"/>
  <c r="B271" i="13"/>
  <c r="B12" i="13"/>
  <c r="B44" i="13"/>
  <c r="B76" i="13"/>
  <c r="B108" i="13"/>
  <c r="B204" i="13"/>
  <c r="B30" i="13"/>
  <c r="B94" i="13"/>
  <c r="B222" i="13"/>
  <c r="B266" i="13"/>
  <c r="B25" i="13"/>
  <c r="B89" i="13"/>
  <c r="B217" i="13"/>
  <c r="B262" i="13"/>
  <c r="B18" i="13"/>
  <c r="B82" i="13"/>
  <c r="B210" i="13"/>
  <c r="B258" i="13"/>
  <c r="B13" i="13"/>
  <c r="B125" i="13"/>
  <c r="B101" i="13"/>
  <c r="B77" i="13"/>
  <c r="B297" i="13"/>
  <c r="C35" i="14"/>
  <c r="C67" i="14"/>
  <c r="C99" i="14"/>
  <c r="C131" i="14"/>
  <c r="C195" i="14"/>
  <c r="C227" i="14"/>
  <c r="C259" i="14"/>
  <c r="C291" i="14"/>
  <c r="C57" i="14"/>
  <c r="C125" i="14"/>
  <c r="C193" i="14"/>
  <c r="C261" i="14"/>
  <c r="C34" i="14"/>
  <c r="C98" i="14"/>
  <c r="C16" i="14"/>
  <c r="C48" i="14"/>
  <c r="C80" i="14"/>
  <c r="C112" i="14"/>
  <c r="C176" i="14"/>
  <c r="C208" i="14"/>
  <c r="C240" i="14"/>
  <c r="C272" i="14"/>
  <c r="C13" i="14"/>
  <c r="C73" i="14"/>
  <c r="C137" i="14"/>
  <c r="C197" i="14"/>
  <c r="C257" i="14"/>
  <c r="C38" i="14"/>
  <c r="C102" i="14"/>
  <c r="C182" i="14"/>
  <c r="C174" i="14"/>
  <c r="C282" i="14"/>
  <c r="C194" i="14"/>
  <c r="B24" i="14"/>
  <c r="B56" i="14"/>
  <c r="B88" i="14"/>
  <c r="B120" i="14"/>
  <c r="B184" i="14"/>
  <c r="B216" i="14"/>
  <c r="B248" i="14"/>
  <c r="B280" i="14"/>
  <c r="B21" i="14"/>
  <c r="B53" i="14"/>
  <c r="B85" i="14"/>
  <c r="B117" i="14"/>
  <c r="B181" i="14"/>
  <c r="B213" i="14"/>
  <c r="B43" i="14"/>
  <c r="B107" i="14"/>
  <c r="C120" i="13"/>
  <c r="C85" i="13"/>
  <c r="C233" i="13"/>
  <c r="C95" i="13"/>
  <c r="B235" i="13"/>
  <c r="B200" i="13"/>
  <c r="B296" i="13"/>
  <c r="C95" i="14"/>
  <c r="C117" i="14"/>
  <c r="C108" i="14"/>
  <c r="C69" i="14"/>
  <c r="C30" i="14"/>
  <c r="C178" i="14"/>
  <c r="B52" i="14"/>
  <c r="B116" i="14"/>
  <c r="B180" i="14"/>
  <c r="B244" i="14"/>
  <c r="B17" i="14"/>
  <c r="B81" i="14"/>
  <c r="B209" i="14"/>
  <c r="B99" i="14"/>
  <c r="B179" i="14"/>
  <c r="B238" i="14"/>
  <c r="B281" i="14"/>
  <c r="B46" i="14"/>
  <c r="B110" i="14"/>
  <c r="B174" i="14"/>
  <c r="B234" i="14"/>
  <c r="B277" i="14"/>
  <c r="B39" i="14"/>
  <c r="B103" i="14"/>
  <c r="B230" i="14"/>
  <c r="B273" i="14"/>
  <c r="B34" i="14"/>
  <c r="B98" i="14"/>
  <c r="B226" i="14"/>
  <c r="B269" i="14"/>
  <c r="C15" i="15"/>
  <c r="C79" i="15"/>
  <c r="C111" i="15"/>
  <c r="C175" i="15"/>
  <c r="C207" i="15"/>
  <c r="C243" i="15"/>
  <c r="C40" i="15"/>
  <c r="C120" i="15"/>
  <c r="C200" i="15"/>
  <c r="C272" i="15"/>
  <c r="C34" i="15"/>
  <c r="C66" i="15"/>
  <c r="C98" i="15"/>
  <c r="C130" i="15"/>
  <c r="C194" i="15"/>
  <c r="C226" i="15"/>
  <c r="C258" i="15"/>
  <c r="C290" i="15"/>
  <c r="C275" i="15"/>
  <c r="C32" i="15"/>
  <c r="C84" i="15"/>
  <c r="C136" i="15"/>
  <c r="C188" i="15"/>
  <c r="C248" i="15"/>
  <c r="C300" i="15"/>
  <c r="C113" i="15"/>
  <c r="C241" i="15"/>
  <c r="C229" i="15"/>
  <c r="C281" i="15"/>
  <c r="C269" i="15"/>
  <c r="C89" i="15"/>
  <c r="C297" i="15"/>
  <c r="B35" i="15"/>
  <c r="B67" i="15"/>
  <c r="B99" i="15"/>
  <c r="B24" i="15"/>
  <c r="B56" i="15"/>
  <c r="B88" i="15"/>
  <c r="B120" i="15"/>
  <c r="B184" i="15"/>
  <c r="B216" i="15"/>
  <c r="B248" i="15"/>
  <c r="B280" i="15"/>
  <c r="B21" i="15"/>
  <c r="B53" i="15"/>
  <c r="B85" i="15"/>
  <c r="B117" i="15"/>
  <c r="B181" i="15"/>
  <c r="B213" i="15"/>
  <c r="B82" i="15"/>
  <c r="B227" i="15"/>
  <c r="B270" i="15"/>
  <c r="B54" i="15"/>
  <c r="B214" i="15"/>
  <c r="B261" i="15"/>
  <c r="B26" i="15"/>
  <c r="B235" i="15"/>
  <c r="B267" i="15"/>
  <c r="B78" i="15"/>
  <c r="B202" i="15"/>
  <c r="B279" i="15"/>
  <c r="C23" i="16"/>
  <c r="C55" i="16"/>
  <c r="C87" i="16"/>
  <c r="C119" i="16"/>
  <c r="C211" i="16"/>
  <c r="C40" i="16"/>
  <c r="C124" i="16"/>
  <c r="C208" i="16"/>
  <c r="C42" i="16"/>
  <c r="C74" i="16"/>
  <c r="C117" i="13"/>
  <c r="C275" i="13"/>
  <c r="B11" i="13"/>
  <c r="B267" i="13"/>
  <c r="B22" i="13"/>
  <c r="B209" i="13"/>
  <c r="B117" i="13"/>
  <c r="C127" i="14"/>
  <c r="C185" i="14"/>
  <c r="C105" i="14"/>
  <c r="C70" i="14"/>
  <c r="C274" i="14"/>
  <c r="C258" i="14"/>
  <c r="B64" i="14"/>
  <c r="B128" i="14"/>
  <c r="B192" i="14"/>
  <c r="B256" i="14"/>
  <c r="B29" i="14"/>
  <c r="B93" i="14"/>
  <c r="B221" i="14"/>
  <c r="B123" i="14"/>
  <c r="B187" i="14"/>
  <c r="B243" i="14"/>
  <c r="B286" i="14"/>
  <c r="B54" i="14"/>
  <c r="B118" i="14"/>
  <c r="B182" i="14"/>
  <c r="B239" i="14"/>
  <c r="B282" i="14"/>
  <c r="B47" i="14"/>
  <c r="B111" i="14"/>
  <c r="B175" i="14"/>
  <c r="B235" i="14"/>
  <c r="B278" i="14"/>
  <c r="B42" i="14"/>
  <c r="B106" i="14"/>
  <c r="B231" i="14"/>
  <c r="B274" i="14"/>
  <c r="C19" i="15"/>
  <c r="C51" i="15"/>
  <c r="C83" i="15"/>
  <c r="C115" i="15"/>
  <c r="C179" i="15"/>
  <c r="C211" i="15"/>
  <c r="C247" i="15"/>
  <c r="C48" i="15"/>
  <c r="C128" i="15"/>
  <c r="C208" i="15"/>
  <c r="C284" i="15"/>
  <c r="C38" i="15"/>
  <c r="C70" i="15"/>
  <c r="C102" i="15"/>
  <c r="C134" i="15"/>
  <c r="C198" i="15"/>
  <c r="C230" i="15"/>
  <c r="C262" i="15"/>
  <c r="C294" i="15"/>
  <c r="C283" i="15"/>
  <c r="C36" i="15"/>
  <c r="C92" i="15"/>
  <c r="C196" i="15"/>
  <c r="C256" i="15"/>
  <c r="C13" i="15"/>
  <c r="C129" i="15"/>
  <c r="C257" i="15"/>
  <c r="C277" i="15"/>
  <c r="C29" i="15"/>
  <c r="C285" i="15"/>
  <c r="C197" i="15"/>
  <c r="C105" i="15"/>
  <c r="C10" i="15"/>
  <c r="B39" i="15"/>
  <c r="B71" i="15"/>
  <c r="B103" i="15"/>
  <c r="B28" i="15"/>
  <c r="B60" i="15"/>
  <c r="B92" i="15"/>
  <c r="B124" i="15"/>
  <c r="B188" i="15"/>
  <c r="B220" i="15"/>
  <c r="B252" i="15"/>
  <c r="B284" i="15"/>
  <c r="B25" i="15"/>
  <c r="B57" i="15"/>
  <c r="B89" i="15"/>
  <c r="B121" i="15"/>
  <c r="B185" i="15"/>
  <c r="B217" i="15"/>
  <c r="B98" i="15"/>
  <c r="B233" i="15"/>
  <c r="B275" i="15"/>
  <c r="B70" i="15"/>
  <c r="B222" i="15"/>
  <c r="B266" i="15"/>
  <c r="B42" i="15"/>
  <c r="B262" i="15"/>
  <c r="B186" i="15"/>
  <c r="B199" i="15"/>
  <c r="B273" i="15"/>
  <c r="B110" i="15"/>
  <c r="B218" i="15"/>
  <c r="B285" i="15"/>
  <c r="C184" i="13"/>
  <c r="C38" i="13"/>
  <c r="C223" i="13"/>
  <c r="B43" i="13"/>
  <c r="B299" i="13"/>
  <c r="B86" i="13"/>
  <c r="B257" i="13"/>
  <c r="B93" i="13"/>
  <c r="C249" i="14"/>
  <c r="C129" i="14"/>
  <c r="C94" i="14"/>
  <c r="C186" i="14"/>
  <c r="C10" i="14"/>
  <c r="B72" i="14"/>
  <c r="B136" i="14"/>
  <c r="B200" i="14"/>
  <c r="B264" i="14"/>
  <c r="B37" i="14"/>
  <c r="B101" i="14"/>
  <c r="B11" i="14"/>
  <c r="B131" i="14"/>
  <c r="B195" i="14"/>
  <c r="B249" i="14"/>
  <c r="B291" i="14"/>
  <c r="B62" i="14"/>
  <c r="B126" i="14"/>
  <c r="B190" i="14"/>
  <c r="B245" i="14"/>
  <c r="B287" i="14"/>
  <c r="B55" i="14"/>
  <c r="B119" i="14"/>
  <c r="B183" i="14"/>
  <c r="B241" i="14"/>
  <c r="B283" i="14"/>
  <c r="B50" i="14"/>
  <c r="B114" i="14"/>
  <c r="B178" i="14"/>
  <c r="B237" i="14"/>
  <c r="B279" i="14"/>
  <c r="C23" i="15"/>
  <c r="C55" i="15"/>
  <c r="C87" i="15"/>
  <c r="C119" i="15"/>
  <c r="C183" i="15"/>
  <c r="C215" i="15"/>
  <c r="C259" i="15"/>
  <c r="C60" i="15"/>
  <c r="C216" i="15"/>
  <c r="C296" i="15"/>
  <c r="C42" i="15"/>
  <c r="C74" i="15"/>
  <c r="C106" i="15"/>
  <c r="C202" i="15"/>
  <c r="C234" i="15"/>
  <c r="C266" i="15"/>
  <c r="C298" i="15"/>
  <c r="C291" i="15"/>
  <c r="C44" i="15"/>
  <c r="C100" i="15"/>
  <c r="C204" i="15"/>
  <c r="C260" i="15"/>
  <c r="C17" i="15"/>
  <c r="C273" i="15"/>
  <c r="C41" i="15"/>
  <c r="C45" i="15"/>
  <c r="C173" i="15"/>
  <c r="C21" i="15"/>
  <c r="C213" i="15"/>
  <c r="C137" i="15"/>
  <c r="B11" i="15"/>
  <c r="B43" i="15"/>
  <c r="B75" i="15"/>
  <c r="B107" i="15"/>
  <c r="B32" i="15"/>
  <c r="B64" i="15"/>
  <c r="B96" i="15"/>
  <c r="B128" i="15"/>
  <c r="B192" i="15"/>
  <c r="B224" i="15"/>
  <c r="B256" i="15"/>
  <c r="B288" i="15"/>
  <c r="B29" i="15"/>
  <c r="B61" i="15"/>
  <c r="B93" i="15"/>
  <c r="B125" i="15"/>
  <c r="B189" i="15"/>
  <c r="B221" i="15"/>
  <c r="B114" i="15"/>
  <c r="B179" i="15"/>
  <c r="B238" i="15"/>
  <c r="B281" i="15"/>
  <c r="B86" i="15"/>
  <c r="B229" i="15"/>
  <c r="B271" i="15"/>
  <c r="B58" i="15"/>
  <c r="B289" i="15"/>
  <c r="B210" i="15"/>
  <c r="B215" i="15"/>
  <c r="B278" i="15"/>
  <c r="B130" i="15"/>
  <c r="B231" i="15"/>
  <c r="B290" i="15"/>
  <c r="C31" i="16"/>
  <c r="C63" i="16"/>
  <c r="C95" i="16"/>
  <c r="C127" i="16"/>
  <c r="C235" i="16"/>
  <c r="C64" i="16"/>
  <c r="C18" i="16"/>
  <c r="C50" i="16"/>
  <c r="C82" i="16"/>
  <c r="C216" i="13"/>
  <c r="C181" i="13"/>
  <c r="C102" i="13"/>
  <c r="C267" i="13"/>
  <c r="B75" i="13"/>
  <c r="B40" i="13"/>
  <c r="B300" i="13"/>
  <c r="B69" i="13"/>
  <c r="C191" i="14"/>
  <c r="C204" i="14"/>
  <c r="C134" i="14"/>
  <c r="C218" i="14"/>
  <c r="B16" i="14"/>
  <c r="B80" i="14"/>
  <c r="B208" i="14"/>
  <c r="B272" i="14"/>
  <c r="B45" i="14"/>
  <c r="B109" i="14"/>
  <c r="B173" i="14"/>
  <c r="B27" i="14"/>
  <c r="B203" i="14"/>
  <c r="B254" i="14"/>
  <c r="B297" i="14"/>
  <c r="B70" i="14"/>
  <c r="B134" i="14"/>
  <c r="B198" i="14"/>
  <c r="B250" i="14"/>
  <c r="B293" i="14"/>
  <c r="B63" i="14"/>
  <c r="B127" i="14"/>
  <c r="B191" i="14"/>
  <c r="B246" i="14"/>
  <c r="B289" i="14"/>
  <c r="B58" i="14"/>
  <c r="B122" i="14"/>
  <c r="B186" i="14"/>
  <c r="B242" i="14"/>
  <c r="B285" i="14"/>
  <c r="C27" i="15"/>
  <c r="C59" i="15"/>
  <c r="C91" i="15"/>
  <c r="C123" i="15"/>
  <c r="C187" i="15"/>
  <c r="C219" i="15"/>
  <c r="C271" i="15"/>
  <c r="C68" i="15"/>
  <c r="C224" i="15"/>
  <c r="C14" i="15"/>
  <c r="C46" i="15"/>
  <c r="C78" i="15"/>
  <c r="C110" i="15"/>
  <c r="C174" i="15"/>
  <c r="C206" i="15"/>
  <c r="C238" i="15"/>
  <c r="C270" i="15"/>
  <c r="C235" i="15"/>
  <c r="C295" i="15"/>
  <c r="C52" i="15"/>
  <c r="C104" i="15"/>
  <c r="C212" i="15"/>
  <c r="C268" i="15"/>
  <c r="C33" i="15"/>
  <c r="C289" i="15"/>
  <c r="C73" i="15"/>
  <c r="C61" i="15"/>
  <c r="C189" i="15"/>
  <c r="C53" i="15"/>
  <c r="C245" i="15"/>
  <c r="B15" i="15"/>
  <c r="B47" i="15"/>
  <c r="B79" i="15"/>
  <c r="B111" i="15"/>
  <c r="B36" i="15"/>
  <c r="B68" i="15"/>
  <c r="B100" i="15"/>
  <c r="B132" i="15"/>
  <c r="B196" i="15"/>
  <c r="B228" i="15"/>
  <c r="B260" i="15"/>
  <c r="B292" i="15"/>
  <c r="B33" i="15"/>
  <c r="B65" i="15"/>
  <c r="B97" i="15"/>
  <c r="B129" i="15"/>
  <c r="B193" i="15"/>
  <c r="B225" i="15"/>
  <c r="B123" i="15"/>
  <c r="B187" i="15"/>
  <c r="B243" i="15"/>
  <c r="B286" i="15"/>
  <c r="B102" i="15"/>
  <c r="B174" i="15"/>
  <c r="B234" i="15"/>
  <c r="B277" i="15"/>
  <c r="B74" i="15"/>
  <c r="B175" i="15"/>
  <c r="B14" i="15"/>
  <c r="B226" i="15"/>
  <c r="B230" i="15"/>
  <c r="B283" i="15"/>
  <c r="B242" i="15"/>
  <c r="B295" i="15"/>
  <c r="C248" i="13"/>
  <c r="C213" i="13"/>
  <c r="B107" i="13"/>
  <c r="B72" i="13"/>
  <c r="B214" i="13"/>
  <c r="B74" i="13"/>
  <c r="B292" i="13"/>
  <c r="C223" i="14"/>
  <c r="C90" i="14"/>
  <c r="C236" i="14"/>
  <c r="C189" i="14"/>
  <c r="C266" i="14"/>
  <c r="B20" i="14"/>
  <c r="B84" i="14"/>
  <c r="B212" i="14"/>
  <c r="B276" i="14"/>
  <c r="B49" i="14"/>
  <c r="B113" i="14"/>
  <c r="B177" i="14"/>
  <c r="B35" i="14"/>
  <c r="B211" i="14"/>
  <c r="B259" i="14"/>
  <c r="B14" i="14"/>
  <c r="B78" i="14"/>
  <c r="B206" i="14"/>
  <c r="B255" i="14"/>
  <c r="B298" i="14"/>
  <c r="B71" i="14"/>
  <c r="B135" i="14"/>
  <c r="B199" i="14"/>
  <c r="B251" i="14"/>
  <c r="B294" i="14"/>
  <c r="B66" i="14"/>
  <c r="B130" i="14"/>
  <c r="B194" i="14"/>
  <c r="B247" i="14"/>
  <c r="B290" i="14"/>
  <c r="C31" i="15"/>
  <c r="C63" i="15"/>
  <c r="C95" i="15"/>
  <c r="C127" i="15"/>
  <c r="C191" i="15"/>
  <c r="C223" i="15"/>
  <c r="C279" i="15"/>
  <c r="C76" i="15"/>
  <c r="C232" i="15"/>
  <c r="C18" i="15"/>
  <c r="C50" i="15"/>
  <c r="C82" i="15"/>
  <c r="C114" i="15"/>
  <c r="C178" i="15"/>
  <c r="C210" i="15"/>
  <c r="C242" i="15"/>
  <c r="C274" i="15"/>
  <c r="C251" i="15"/>
  <c r="C12" i="15"/>
  <c r="C56" i="15"/>
  <c r="C112" i="15"/>
  <c r="C220" i="15"/>
  <c r="C276" i="15"/>
  <c r="C49" i="15"/>
  <c r="C177" i="15"/>
  <c r="C37" i="15"/>
  <c r="C121" i="15"/>
  <c r="C77" i="15"/>
  <c r="C205" i="15"/>
  <c r="C69" i="15"/>
  <c r="C261" i="15"/>
  <c r="C185" i="15"/>
  <c r="B19" i="15"/>
  <c r="B51" i="15"/>
  <c r="B83" i="15"/>
  <c r="B115" i="15"/>
  <c r="B40" i="15"/>
  <c r="B72" i="15"/>
  <c r="B104" i="15"/>
  <c r="B136" i="15"/>
  <c r="B200" i="15"/>
  <c r="B232" i="15"/>
  <c r="B264" i="15"/>
  <c r="B296" i="15"/>
  <c r="B37" i="15"/>
  <c r="B69" i="15"/>
  <c r="B101" i="15"/>
  <c r="B133" i="15"/>
  <c r="B197" i="15"/>
  <c r="B18" i="15"/>
  <c r="B131" i="15"/>
  <c r="B195" i="15"/>
  <c r="B249" i="15"/>
  <c r="B291" i="15"/>
  <c r="B118" i="15"/>
  <c r="B182" i="15"/>
  <c r="B239" i="15"/>
  <c r="B282" i="15"/>
  <c r="B106" i="15"/>
  <c r="B183" i="15"/>
  <c r="B46" i="15"/>
  <c r="B237" i="15"/>
  <c r="B241" i="15"/>
  <c r="B294" i="15"/>
  <c r="B247" i="15"/>
  <c r="B10" i="15"/>
  <c r="C39" i="16"/>
  <c r="C71" i="16"/>
  <c r="C103" i="16"/>
  <c r="C135" i="16"/>
  <c r="C259" i="16"/>
  <c r="C84" i="16"/>
  <c r="C58" i="16"/>
  <c r="C90" i="16"/>
  <c r="C24" i="13"/>
  <c r="C280" i="13"/>
  <c r="C43" i="13"/>
  <c r="C229" i="13"/>
  <c r="C210" i="13"/>
  <c r="B104" i="13"/>
  <c r="B261" i="13"/>
  <c r="B276" i="13"/>
  <c r="C255" i="14"/>
  <c r="C12" i="14"/>
  <c r="C268" i="14"/>
  <c r="C229" i="14"/>
  <c r="C246" i="14"/>
  <c r="B32" i="14"/>
  <c r="B96" i="14"/>
  <c r="B224" i="14"/>
  <c r="B288" i="14"/>
  <c r="B61" i="14"/>
  <c r="B125" i="14"/>
  <c r="B189" i="14"/>
  <c r="B59" i="14"/>
  <c r="B219" i="14"/>
  <c r="B265" i="14"/>
  <c r="B22" i="14"/>
  <c r="B86" i="14"/>
  <c r="B214" i="14"/>
  <c r="B261" i="14"/>
  <c r="B15" i="14"/>
  <c r="B79" i="14"/>
  <c r="B207" i="14"/>
  <c r="B257" i="14"/>
  <c r="B299" i="14"/>
  <c r="B74" i="14"/>
  <c r="B202" i="14"/>
  <c r="B253" i="14"/>
  <c r="B295" i="14"/>
  <c r="C35" i="15"/>
  <c r="C67" i="15"/>
  <c r="C99" i="15"/>
  <c r="C131" i="15"/>
  <c r="C195" i="15"/>
  <c r="C227" i="15"/>
  <c r="C287" i="15"/>
  <c r="C88" i="15"/>
  <c r="C244" i="15"/>
  <c r="C22" i="15"/>
  <c r="C54" i="15"/>
  <c r="C86" i="15"/>
  <c r="C118" i="15"/>
  <c r="C182" i="15"/>
  <c r="C214" i="15"/>
  <c r="C246" i="15"/>
  <c r="C278" i="15"/>
  <c r="C255" i="15"/>
  <c r="C20" i="15"/>
  <c r="C64" i="15"/>
  <c r="C116" i="15"/>
  <c r="C228" i="15"/>
  <c r="C280" i="15"/>
  <c r="C65" i="15"/>
  <c r="C193" i="15"/>
  <c r="C117" i="15"/>
  <c r="C93" i="15"/>
  <c r="C221" i="15"/>
  <c r="C85" i="15"/>
  <c r="C293" i="15"/>
  <c r="C217" i="15"/>
  <c r="B23" i="15"/>
  <c r="B55" i="15"/>
  <c r="B87" i="15"/>
  <c r="B12" i="15"/>
  <c r="B44" i="15"/>
  <c r="B76" i="15"/>
  <c r="B108" i="15"/>
  <c r="B204" i="15"/>
  <c r="B236" i="15"/>
  <c r="B268" i="15"/>
  <c r="B300" i="15"/>
  <c r="B41" i="15"/>
  <c r="B73" i="15"/>
  <c r="B105" i="15"/>
  <c r="B137" i="15"/>
  <c r="B201" i="15"/>
  <c r="B34" i="15"/>
  <c r="B203" i="15"/>
  <c r="B254" i="15"/>
  <c r="B297" i="15"/>
  <c r="B126" i="15"/>
  <c r="B190" i="15"/>
  <c r="B245" i="15"/>
  <c r="B287" i="15"/>
  <c r="C88" i="13"/>
  <c r="C53" i="13"/>
  <c r="C31" i="13"/>
  <c r="C269" i="13"/>
  <c r="B203" i="13"/>
  <c r="B81" i="13"/>
  <c r="B253" i="13"/>
  <c r="C63" i="14"/>
  <c r="C49" i="14"/>
  <c r="C76" i="14"/>
  <c r="C45" i="14"/>
  <c r="C293" i="14"/>
  <c r="C238" i="14"/>
  <c r="C286" i="14"/>
  <c r="B48" i="14"/>
  <c r="B112" i="14"/>
  <c r="B176" i="14"/>
  <c r="B240" i="14"/>
  <c r="B13" i="14"/>
  <c r="B77" i="14"/>
  <c r="B205" i="14"/>
  <c r="B91" i="14"/>
  <c r="B233" i="14"/>
  <c r="B275" i="14"/>
  <c r="B38" i="14"/>
  <c r="B102" i="14"/>
  <c r="B229" i="14"/>
  <c r="B271" i="14"/>
  <c r="B31" i="14"/>
  <c r="B95" i="14"/>
  <c r="B223" i="14"/>
  <c r="B267" i="14"/>
  <c r="B26" i="14"/>
  <c r="B90" i="14"/>
  <c r="B218" i="14"/>
  <c r="B263" i="14"/>
  <c r="C11" i="15"/>
  <c r="C43" i="15"/>
  <c r="C75" i="15"/>
  <c r="C107" i="15"/>
  <c r="C203" i="15"/>
  <c r="C239" i="15"/>
  <c r="C16" i="15"/>
  <c r="C108" i="15"/>
  <c r="C192" i="15"/>
  <c r="C264" i="15"/>
  <c r="C30" i="15"/>
  <c r="C62" i="15"/>
  <c r="C94" i="15"/>
  <c r="C126" i="15"/>
  <c r="C190" i="15"/>
  <c r="C222" i="15"/>
  <c r="C254" i="15"/>
  <c r="C286" i="15"/>
  <c r="C267" i="15"/>
  <c r="C28" i="15"/>
  <c r="C80" i="15"/>
  <c r="C132" i="15"/>
  <c r="C180" i="15"/>
  <c r="C240" i="15"/>
  <c r="C292" i="15"/>
  <c r="C97" i="15"/>
  <c r="C225" i="15"/>
  <c r="C181" i="15"/>
  <c r="C249" i="15"/>
  <c r="C125" i="15"/>
  <c r="C253" i="15"/>
  <c r="C133" i="15"/>
  <c r="C57" i="15"/>
  <c r="C265" i="15"/>
  <c r="B31" i="15"/>
  <c r="B63" i="15"/>
  <c r="B95" i="15"/>
  <c r="B20" i="15"/>
  <c r="B52" i="15"/>
  <c r="B84" i="15"/>
  <c r="B116" i="15"/>
  <c r="B180" i="15"/>
  <c r="B212" i="15"/>
  <c r="B244" i="15"/>
  <c r="B276" i="15"/>
  <c r="B17" i="15"/>
  <c r="B49" i="15"/>
  <c r="B81" i="15"/>
  <c r="B113" i="15"/>
  <c r="B177" i="15"/>
  <c r="B209" i="15"/>
  <c r="B66" i="15"/>
  <c r="B219" i="15"/>
  <c r="B265" i="15"/>
  <c r="B38" i="15"/>
  <c r="B206" i="15"/>
  <c r="B255" i="15"/>
  <c r="B298" i="15"/>
  <c r="B135" i="15"/>
  <c r="B223" i="15"/>
  <c r="B90" i="15"/>
  <c r="B257" i="15"/>
  <c r="B62" i="15"/>
  <c r="B194" i="15"/>
  <c r="B269" i="15"/>
  <c r="C19" i="16"/>
  <c r="C51" i="16"/>
  <c r="C83" i="16"/>
  <c r="C115" i="16"/>
  <c r="C199" i="16"/>
  <c r="C16" i="16"/>
  <c r="C112" i="16"/>
  <c r="C196" i="16"/>
  <c r="C38" i="16"/>
  <c r="C70" i="16"/>
  <c r="C21" i="13"/>
  <c r="C31" i="14"/>
  <c r="B104" i="14"/>
  <c r="B23" i="14"/>
  <c r="B210" i="14"/>
  <c r="C199" i="15"/>
  <c r="C90" i="15"/>
  <c r="C24" i="15"/>
  <c r="B59" i="15"/>
  <c r="B208" i="15"/>
  <c r="B173" i="15"/>
  <c r="B198" i="15"/>
  <c r="B122" i="15"/>
  <c r="B178" i="15"/>
  <c r="C111" i="16"/>
  <c r="C187" i="16"/>
  <c r="C104" i="16"/>
  <c r="C34" i="16"/>
  <c r="C98" i="16"/>
  <c r="C130" i="16"/>
  <c r="C194" i="16"/>
  <c r="C226" i="16"/>
  <c r="C258" i="16"/>
  <c r="C290" i="16"/>
  <c r="C203" i="16"/>
  <c r="C251" i="16"/>
  <c r="C295" i="16"/>
  <c r="C44" i="16"/>
  <c r="C96" i="16"/>
  <c r="C200" i="16"/>
  <c r="C109" i="16"/>
  <c r="C224" i="16"/>
  <c r="C288" i="16"/>
  <c r="C113" i="16"/>
  <c r="C225" i="16"/>
  <c r="C289" i="16"/>
  <c r="C117" i="16"/>
  <c r="C228" i="16"/>
  <c r="C292" i="16"/>
  <c r="C121" i="16"/>
  <c r="C229" i="16"/>
  <c r="C293" i="16"/>
  <c r="B35" i="16"/>
  <c r="B67" i="16"/>
  <c r="B99" i="16"/>
  <c r="B131" i="16"/>
  <c r="B195" i="16"/>
  <c r="B227" i="16"/>
  <c r="B259" i="16"/>
  <c r="B291" i="16"/>
  <c r="B32" i="16"/>
  <c r="B64" i="16"/>
  <c r="B96" i="16"/>
  <c r="B128" i="16"/>
  <c r="B192" i="16"/>
  <c r="B224" i="16"/>
  <c r="B69" i="16"/>
  <c r="B133" i="16"/>
  <c r="B197" i="16"/>
  <c r="B249" i="16"/>
  <c r="B292" i="16"/>
  <c r="B62" i="16"/>
  <c r="B126" i="16"/>
  <c r="B190" i="16"/>
  <c r="B245" i="16"/>
  <c r="B288" i="16"/>
  <c r="B57" i="16"/>
  <c r="B121" i="16"/>
  <c r="B185" i="16"/>
  <c r="B241" i="16"/>
  <c r="B284" i="16"/>
  <c r="B50" i="16"/>
  <c r="B114" i="16"/>
  <c r="B178" i="16"/>
  <c r="B237" i="16"/>
  <c r="B280" i="16"/>
  <c r="C24" i="17"/>
  <c r="C56" i="17"/>
  <c r="C88" i="17"/>
  <c r="C120" i="17"/>
  <c r="C184" i="17"/>
  <c r="C216" i="17"/>
  <c r="C248" i="17"/>
  <c r="C280" i="17"/>
  <c r="C21" i="17"/>
  <c r="C53" i="17"/>
  <c r="C85" i="17"/>
  <c r="C117" i="17"/>
  <c r="C181" i="17"/>
  <c r="C213" i="17"/>
  <c r="C43" i="17"/>
  <c r="C107" i="17"/>
  <c r="C233" i="17"/>
  <c r="C275" i="17"/>
  <c r="C38" i="17"/>
  <c r="C102" i="17"/>
  <c r="C229" i="17"/>
  <c r="C271" i="17"/>
  <c r="C31" i="17"/>
  <c r="C95" i="17"/>
  <c r="C223" i="17"/>
  <c r="C267" i="17"/>
  <c r="C210" i="17"/>
  <c r="C186" i="17"/>
  <c r="B11" i="17"/>
  <c r="B43" i="17"/>
  <c r="B75" i="17"/>
  <c r="B107" i="17"/>
  <c r="B203" i="17"/>
  <c r="B235" i="17"/>
  <c r="B267" i="17"/>
  <c r="C107" i="13"/>
  <c r="C287" i="14"/>
  <c r="B227" i="14"/>
  <c r="B87" i="14"/>
  <c r="B258" i="14"/>
  <c r="C231" i="15"/>
  <c r="C122" i="15"/>
  <c r="C72" i="15"/>
  <c r="C201" i="15"/>
  <c r="B91" i="15"/>
  <c r="B240" i="15"/>
  <c r="B205" i="15"/>
  <c r="B250" i="15"/>
  <c r="B253" i="15"/>
  <c r="B258" i="15"/>
  <c r="C59" i="16"/>
  <c r="C123" i="16"/>
  <c r="C223" i="16"/>
  <c r="C136" i="16"/>
  <c r="C46" i="16"/>
  <c r="C102" i="16"/>
  <c r="C134" i="16"/>
  <c r="C198" i="16"/>
  <c r="C230" i="16"/>
  <c r="C262" i="16"/>
  <c r="C294" i="16"/>
  <c r="C207" i="16"/>
  <c r="C255" i="16"/>
  <c r="C299" i="16"/>
  <c r="C48" i="16"/>
  <c r="C100" i="16"/>
  <c r="C204" i="16"/>
  <c r="C125" i="16"/>
  <c r="C232" i="16"/>
  <c r="C296" i="16"/>
  <c r="C129" i="16"/>
  <c r="C233" i="16"/>
  <c r="C297" i="16"/>
  <c r="C133" i="16"/>
  <c r="C236" i="16"/>
  <c r="C300" i="16"/>
  <c r="C137" i="16"/>
  <c r="C237" i="16"/>
  <c r="C10" i="16"/>
  <c r="B39" i="16"/>
  <c r="B71" i="16"/>
  <c r="B103" i="16"/>
  <c r="B135" i="16"/>
  <c r="B199" i="16"/>
  <c r="B231" i="16"/>
  <c r="B263" i="16"/>
  <c r="B295" i="16"/>
  <c r="B36" i="16"/>
  <c r="B68" i="16"/>
  <c r="B100" i="16"/>
  <c r="B132" i="16"/>
  <c r="B196" i="16"/>
  <c r="B13" i="16"/>
  <c r="B77" i="16"/>
  <c r="B205" i="16"/>
  <c r="B254" i="16"/>
  <c r="C271" i="13"/>
  <c r="C44" i="14"/>
  <c r="B232" i="14"/>
  <c r="B270" i="14"/>
  <c r="B10" i="14"/>
  <c r="C299" i="15"/>
  <c r="C124" i="15"/>
  <c r="C109" i="15"/>
  <c r="B16" i="15"/>
  <c r="B272" i="15"/>
  <c r="B50" i="15"/>
  <c r="B293" i="15"/>
  <c r="B274" i="15"/>
  <c r="B263" i="15"/>
  <c r="C67" i="16"/>
  <c r="C131" i="16"/>
  <c r="C247" i="16"/>
  <c r="C54" i="16"/>
  <c r="C106" i="16"/>
  <c r="C202" i="16"/>
  <c r="C234" i="16"/>
  <c r="C266" i="16"/>
  <c r="C298" i="16"/>
  <c r="C215" i="16"/>
  <c r="C263" i="16"/>
  <c r="C12" i="16"/>
  <c r="C56" i="16"/>
  <c r="C108" i="16"/>
  <c r="C13" i="16"/>
  <c r="C240" i="16"/>
  <c r="C17" i="16"/>
  <c r="C241" i="16"/>
  <c r="C21" i="16"/>
  <c r="C244" i="16"/>
  <c r="C245" i="16"/>
  <c r="B11" i="16"/>
  <c r="B43" i="16"/>
  <c r="B75" i="16"/>
  <c r="B107" i="16"/>
  <c r="B203" i="16"/>
  <c r="B235" i="16"/>
  <c r="B267" i="16"/>
  <c r="B299" i="16"/>
  <c r="B40" i="16"/>
  <c r="B72" i="16"/>
  <c r="B104" i="16"/>
  <c r="B136" i="16"/>
  <c r="B200" i="16"/>
  <c r="B21" i="16"/>
  <c r="B85" i="16"/>
  <c r="B213" i="16"/>
  <c r="B260" i="16"/>
  <c r="B14" i="16"/>
  <c r="B78" i="16"/>
  <c r="B206" i="16"/>
  <c r="B256" i="16"/>
  <c r="B298" i="16"/>
  <c r="B73" i="16"/>
  <c r="B137" i="16"/>
  <c r="B201" i="16"/>
  <c r="B252" i="16"/>
  <c r="B294" i="16"/>
  <c r="B66" i="16"/>
  <c r="B130" i="16"/>
  <c r="B194" i="16"/>
  <c r="B248" i="16"/>
  <c r="B290" i="16"/>
  <c r="C32" i="17"/>
  <c r="C64" i="17"/>
  <c r="C96" i="17"/>
  <c r="C128" i="17"/>
  <c r="C192" i="17"/>
  <c r="C224" i="17"/>
  <c r="C256" i="17"/>
  <c r="C288" i="17"/>
  <c r="C29" i="17"/>
  <c r="C61" i="17"/>
  <c r="C93" i="17"/>
  <c r="C125" i="17"/>
  <c r="C189" i="17"/>
  <c r="C221" i="17"/>
  <c r="C59" i="17"/>
  <c r="C123" i="17"/>
  <c r="C187" i="17"/>
  <c r="C243" i="17"/>
  <c r="C286" i="17"/>
  <c r="C54" i="17"/>
  <c r="C118" i="17"/>
  <c r="C182" i="17"/>
  <c r="C239" i="17"/>
  <c r="C282" i="17"/>
  <c r="C111" i="17"/>
  <c r="C175" i="17"/>
  <c r="C235" i="17"/>
  <c r="C278" i="17"/>
  <c r="C42" i="17"/>
  <c r="C258" i="17"/>
  <c r="C242" i="17"/>
  <c r="C226" i="17"/>
  <c r="C202" i="17"/>
  <c r="B19" i="17"/>
  <c r="B51" i="17"/>
  <c r="B83" i="17"/>
  <c r="B115" i="17"/>
  <c r="C218" i="13"/>
  <c r="C300" i="14"/>
  <c r="B296" i="14"/>
  <c r="B30" i="14"/>
  <c r="B215" i="14"/>
  <c r="C39" i="15"/>
  <c r="C96" i="15"/>
  <c r="C186" i="15"/>
  <c r="C176" i="15"/>
  <c r="C237" i="15"/>
  <c r="B48" i="15"/>
  <c r="B13" i="15"/>
  <c r="B119" i="15"/>
  <c r="B246" i="15"/>
  <c r="C11" i="16"/>
  <c r="C75" i="16"/>
  <c r="C275" i="16"/>
  <c r="C176" i="16"/>
  <c r="C62" i="16"/>
  <c r="C110" i="16"/>
  <c r="C174" i="16"/>
  <c r="C206" i="16"/>
  <c r="C238" i="16"/>
  <c r="C270" i="16"/>
  <c r="C219" i="16"/>
  <c r="C267" i="16"/>
  <c r="C20" i="16"/>
  <c r="C60" i="16"/>
  <c r="C116" i="16"/>
  <c r="C29" i="16"/>
  <c r="C248" i="16"/>
  <c r="C33" i="16"/>
  <c r="C249" i="16"/>
  <c r="C37" i="16"/>
  <c r="C252" i="16"/>
  <c r="C41" i="16"/>
  <c r="C253" i="16"/>
  <c r="B15" i="16"/>
  <c r="B47" i="16"/>
  <c r="B79" i="16"/>
  <c r="B111" i="16"/>
  <c r="B175" i="16"/>
  <c r="B207" i="16"/>
  <c r="B239" i="16"/>
  <c r="B271" i="16"/>
  <c r="B12" i="16"/>
  <c r="B44" i="16"/>
  <c r="B76" i="16"/>
  <c r="B108" i="16"/>
  <c r="B204" i="16"/>
  <c r="B29" i="16"/>
  <c r="B93" i="16"/>
  <c r="B221" i="16"/>
  <c r="B265" i="16"/>
  <c r="B22" i="16"/>
  <c r="B86" i="16"/>
  <c r="B214" i="16"/>
  <c r="B261" i="16"/>
  <c r="B17" i="16"/>
  <c r="B81" i="16"/>
  <c r="B209" i="16"/>
  <c r="B257" i="16"/>
  <c r="B300" i="16"/>
  <c r="B74" i="16"/>
  <c r="B202" i="16"/>
  <c r="B253" i="16"/>
  <c r="B296" i="16"/>
  <c r="C36" i="17"/>
  <c r="C68" i="17"/>
  <c r="C100" i="17"/>
  <c r="C132" i="17"/>
  <c r="C196" i="17"/>
  <c r="C228" i="17"/>
  <c r="C260" i="17"/>
  <c r="C292" i="17"/>
  <c r="C33" i="17"/>
  <c r="C65" i="17"/>
  <c r="C97" i="17"/>
  <c r="C129" i="17"/>
  <c r="C193" i="17"/>
  <c r="C225" i="17"/>
  <c r="C67" i="17"/>
  <c r="C131" i="17"/>
  <c r="C195" i="17"/>
  <c r="C249" i="17"/>
  <c r="C291" i="17"/>
  <c r="C62" i="17"/>
  <c r="C126" i="17"/>
  <c r="C190" i="17"/>
  <c r="C245" i="17"/>
  <c r="C287" i="17"/>
  <c r="C55" i="17"/>
  <c r="C119" i="17"/>
  <c r="C183" i="17"/>
  <c r="C241" i="17"/>
  <c r="C283" i="17"/>
  <c r="C50" i="17"/>
  <c r="C279" i="17"/>
  <c r="C263" i="17"/>
  <c r="C247" i="17"/>
  <c r="C231" i="17"/>
  <c r="B23" i="17"/>
  <c r="B55" i="17"/>
  <c r="B87" i="17"/>
  <c r="B119" i="17"/>
  <c r="B183" i="17"/>
  <c r="B215" i="17"/>
  <c r="B247" i="17"/>
  <c r="C253" i="14"/>
  <c r="B69" i="14"/>
  <c r="B94" i="14"/>
  <c r="B262" i="14"/>
  <c r="C71" i="15"/>
  <c r="C184" i="15"/>
  <c r="C218" i="15"/>
  <c r="C236" i="15"/>
  <c r="C101" i="15"/>
  <c r="B80" i="15"/>
  <c r="B45" i="15"/>
  <c r="B211" i="15"/>
  <c r="B127" i="15"/>
  <c r="B251" i="15"/>
  <c r="C15" i="16"/>
  <c r="C79" i="16"/>
  <c r="C291" i="16"/>
  <c r="C188" i="16"/>
  <c r="C66" i="16"/>
  <c r="C114" i="16"/>
  <c r="C178" i="16"/>
  <c r="C210" i="16"/>
  <c r="C242" i="16"/>
  <c r="C274" i="16"/>
  <c r="C175" i="16"/>
  <c r="C227" i="16"/>
  <c r="C271" i="16"/>
  <c r="C24" i="16"/>
  <c r="C68" i="16"/>
  <c r="C120" i="16"/>
  <c r="C45" i="16"/>
  <c r="C173" i="16"/>
  <c r="C256" i="16"/>
  <c r="C49" i="16"/>
  <c r="C177" i="16"/>
  <c r="C257" i="16"/>
  <c r="C53" i="16"/>
  <c r="C181" i="16"/>
  <c r="C260" i="16"/>
  <c r="C57" i="16"/>
  <c r="C185" i="16"/>
  <c r="C261" i="16"/>
  <c r="B19" i="16"/>
  <c r="B51" i="16"/>
  <c r="B83" i="16"/>
  <c r="B115" i="16"/>
  <c r="B179" i="16"/>
  <c r="B211" i="16"/>
  <c r="B243" i="16"/>
  <c r="B275" i="16"/>
  <c r="B16" i="16"/>
  <c r="B48" i="16"/>
  <c r="B80" i="16"/>
  <c r="B112" i="16"/>
  <c r="B176" i="16"/>
  <c r="B208" i="16"/>
  <c r="B37" i="16"/>
  <c r="B101" i="16"/>
  <c r="B228" i="16"/>
  <c r="B270" i="16"/>
  <c r="B30" i="16"/>
  <c r="B94" i="16"/>
  <c r="B222" i="16"/>
  <c r="B266" i="16"/>
  <c r="B25" i="16"/>
  <c r="B89" i="16"/>
  <c r="B217" i="16"/>
  <c r="B262" i="16"/>
  <c r="B18" i="16"/>
  <c r="B82" i="16"/>
  <c r="B210" i="16"/>
  <c r="B258" i="16"/>
  <c r="B10" i="16"/>
  <c r="C40" i="17"/>
  <c r="C72" i="17"/>
  <c r="C104" i="17"/>
  <c r="C136" i="17"/>
  <c r="C200" i="17"/>
  <c r="C232" i="17"/>
  <c r="C264" i="17"/>
  <c r="C296" i="17"/>
  <c r="C37" i="17"/>
  <c r="C69" i="17"/>
  <c r="C101" i="17"/>
  <c r="C133" i="17"/>
  <c r="C197" i="17"/>
  <c r="C11" i="17"/>
  <c r="C75" i="17"/>
  <c r="C203" i="17"/>
  <c r="C254" i="17"/>
  <c r="C297" i="17"/>
  <c r="C70" i="17"/>
  <c r="C134" i="17"/>
  <c r="B136" i="13"/>
  <c r="C294" i="14"/>
  <c r="B133" i="14"/>
  <c r="B18" i="14"/>
  <c r="C103" i="15"/>
  <c r="C252" i="15"/>
  <c r="C250" i="15"/>
  <c r="C288" i="15"/>
  <c r="B112" i="15"/>
  <c r="B77" i="15"/>
  <c r="B259" i="15"/>
  <c r="B191" i="15"/>
  <c r="B299" i="15"/>
  <c r="C27" i="16"/>
  <c r="C91" i="16"/>
  <c r="C52" i="16"/>
  <c r="C14" i="16"/>
  <c r="C78" i="16"/>
  <c r="C118" i="16"/>
  <c r="C182" i="16"/>
  <c r="C214" i="16"/>
  <c r="C246" i="16"/>
  <c r="C278" i="16"/>
  <c r="C183" i="16"/>
  <c r="C231" i="16"/>
  <c r="C279" i="16"/>
  <c r="C28" i="16"/>
  <c r="C76" i="16"/>
  <c r="C128" i="16"/>
  <c r="C180" i="16"/>
  <c r="C61" i="16"/>
  <c r="C189" i="16"/>
  <c r="C264" i="16"/>
  <c r="C65" i="16"/>
  <c r="C193" i="16"/>
  <c r="C265" i="16"/>
  <c r="C69" i="16"/>
  <c r="C197" i="16"/>
  <c r="C268" i="16"/>
  <c r="C73" i="16"/>
  <c r="C201" i="16"/>
  <c r="C269" i="16"/>
  <c r="B23" i="16"/>
  <c r="B55" i="16"/>
  <c r="B87" i="16"/>
  <c r="B119" i="16"/>
  <c r="B183" i="16"/>
  <c r="B215" i="16"/>
  <c r="B247" i="16"/>
  <c r="B279" i="16"/>
  <c r="B20" i="16"/>
  <c r="B52" i="16"/>
  <c r="B84" i="16"/>
  <c r="B116" i="16"/>
  <c r="B180" i="16"/>
  <c r="B212" i="16"/>
  <c r="B45" i="16"/>
  <c r="B109" i="16"/>
  <c r="B173" i="16"/>
  <c r="B233" i="16"/>
  <c r="B276" i="16"/>
  <c r="B38" i="16"/>
  <c r="B102" i="16"/>
  <c r="B229" i="16"/>
  <c r="B272" i="16"/>
  <c r="C56" i="13"/>
  <c r="B202" i="13"/>
  <c r="B40" i="14"/>
  <c r="B75" i="14"/>
  <c r="B266" i="14"/>
  <c r="C58" i="15"/>
  <c r="C263" i="15"/>
  <c r="C209" i="15"/>
  <c r="B27" i="15"/>
  <c r="B176" i="15"/>
  <c r="B134" i="15"/>
  <c r="B94" i="15"/>
  <c r="C43" i="16"/>
  <c r="C107" i="16"/>
  <c r="C179" i="16"/>
  <c r="C92" i="16"/>
  <c r="C30" i="16"/>
  <c r="C94" i="16"/>
  <c r="C126" i="16"/>
  <c r="C190" i="16"/>
  <c r="C222" i="16"/>
  <c r="C254" i="16"/>
  <c r="C286" i="16"/>
  <c r="C195" i="16"/>
  <c r="C243" i="16"/>
  <c r="C287" i="16"/>
  <c r="C36" i="16"/>
  <c r="C88" i="16"/>
  <c r="C192" i="16"/>
  <c r="C93" i="16"/>
  <c r="C216" i="16"/>
  <c r="C280" i="16"/>
  <c r="C97" i="16"/>
  <c r="C217" i="16"/>
  <c r="C281" i="16"/>
  <c r="C101" i="16"/>
  <c r="C220" i="16"/>
  <c r="C284" i="16"/>
  <c r="C105" i="16"/>
  <c r="C221" i="16"/>
  <c r="C285" i="16"/>
  <c r="B31" i="16"/>
  <c r="B63" i="16"/>
  <c r="B95" i="16"/>
  <c r="B127" i="16"/>
  <c r="B191" i="16"/>
  <c r="B223" i="16"/>
  <c r="B255" i="16"/>
  <c r="B287" i="16"/>
  <c r="B28" i="16"/>
  <c r="B60" i="16"/>
  <c r="B92" i="16"/>
  <c r="B124" i="16"/>
  <c r="B188" i="16"/>
  <c r="B220" i="16"/>
  <c r="B61" i="16"/>
  <c r="B125" i="16"/>
  <c r="B189" i="16"/>
  <c r="B244" i="16"/>
  <c r="B286" i="16"/>
  <c r="B54" i="16"/>
  <c r="B118" i="16"/>
  <c r="B182" i="16"/>
  <c r="B240" i="16"/>
  <c r="B282" i="16"/>
  <c r="B49" i="16"/>
  <c r="B113" i="16"/>
  <c r="B177" i="16"/>
  <c r="B236" i="16"/>
  <c r="B278" i="16"/>
  <c r="B42" i="16"/>
  <c r="B106" i="16"/>
  <c r="B232" i="16"/>
  <c r="B274" i="16"/>
  <c r="C20" i="17"/>
  <c r="C52" i="17"/>
  <c r="C84" i="17"/>
  <c r="C116" i="17"/>
  <c r="C180" i="17"/>
  <c r="C212" i="17"/>
  <c r="C244" i="17"/>
  <c r="C276" i="17"/>
  <c r="C17" i="17"/>
  <c r="C49" i="17"/>
  <c r="C81" i="17"/>
  <c r="C113" i="17"/>
  <c r="C177" i="17"/>
  <c r="C209" i="17"/>
  <c r="C35" i="17"/>
  <c r="C99" i="17"/>
  <c r="C227" i="17"/>
  <c r="C270" i="17"/>
  <c r="C30" i="17"/>
  <c r="C94" i="17"/>
  <c r="C222" i="17"/>
  <c r="C266" i="17"/>
  <c r="C23" i="17"/>
  <c r="C87" i="17"/>
  <c r="C215" i="17"/>
  <c r="C262" i="17"/>
  <c r="C18" i="17"/>
  <c r="C178" i="17"/>
  <c r="C130" i="17"/>
  <c r="C106" i="17"/>
  <c r="C10" i="17"/>
  <c r="B39" i="17"/>
  <c r="B71" i="17"/>
  <c r="C282" i="15"/>
  <c r="C35" i="16"/>
  <c r="C186" i="16"/>
  <c r="C80" i="16"/>
  <c r="C273" i="16"/>
  <c r="B59" i="16"/>
  <c r="B24" i="16"/>
  <c r="B117" i="16"/>
  <c r="B134" i="16"/>
  <c r="B41" i="16"/>
  <c r="B225" i="16"/>
  <c r="B58" i="16"/>
  <c r="B226" i="16"/>
  <c r="C44" i="17"/>
  <c r="C124" i="17"/>
  <c r="C208" i="17"/>
  <c r="C300" i="17"/>
  <c r="C89" i="17"/>
  <c r="C173" i="17"/>
  <c r="C83" i="17"/>
  <c r="C238" i="17"/>
  <c r="C86" i="17"/>
  <c r="C234" i="17"/>
  <c r="C39" i="17"/>
  <c r="C273" i="17"/>
  <c r="C237" i="17"/>
  <c r="C194" i="17"/>
  <c r="B15" i="17"/>
  <c r="B79" i="17"/>
  <c r="B131" i="17"/>
  <c r="B179" i="17"/>
  <c r="B223" i="17"/>
  <c r="B263" i="17"/>
  <c r="B299" i="17"/>
  <c r="B40" i="17"/>
  <c r="B72" i="17"/>
  <c r="B104" i="17"/>
  <c r="B136" i="17"/>
  <c r="B200" i="17"/>
  <c r="B21" i="17"/>
  <c r="B85" i="17"/>
  <c r="B213" i="17"/>
  <c r="B260" i="17"/>
  <c r="B17" i="17"/>
  <c r="B257" i="17"/>
  <c r="B50" i="17"/>
  <c r="B178" i="17"/>
  <c r="B285" i="17"/>
  <c r="B70" i="17"/>
  <c r="B134" i="17"/>
  <c r="B198" i="17"/>
  <c r="B250" i="17"/>
  <c r="B293" i="17"/>
  <c r="B121" i="17"/>
  <c r="B241" i="17"/>
  <c r="B82" i="17"/>
  <c r="B202" i="17"/>
  <c r="B290" i="17"/>
  <c r="B32" i="18"/>
  <c r="B64" i="18"/>
  <c r="B96" i="18"/>
  <c r="B128" i="18"/>
  <c r="B192" i="18"/>
  <c r="B224" i="18"/>
  <c r="B256" i="18"/>
  <c r="B288" i="18"/>
  <c r="B29" i="18"/>
  <c r="B61" i="18"/>
  <c r="B93" i="18"/>
  <c r="B125" i="18"/>
  <c r="B189" i="18"/>
  <c r="B221" i="18"/>
  <c r="B62" i="18"/>
  <c r="B126" i="18"/>
  <c r="B190" i="18"/>
  <c r="B245" i="18"/>
  <c r="B287" i="18"/>
  <c r="B55" i="18"/>
  <c r="B119" i="18"/>
  <c r="B183" i="18"/>
  <c r="B241" i="18"/>
  <c r="B283" i="18"/>
  <c r="B50" i="18"/>
  <c r="B114" i="18"/>
  <c r="B178" i="18"/>
  <c r="B237" i="18"/>
  <c r="B279" i="18"/>
  <c r="B43" i="18"/>
  <c r="B107" i="18"/>
  <c r="B233" i="18"/>
  <c r="B275" i="18"/>
  <c r="C20" i="18"/>
  <c r="C52" i="18"/>
  <c r="C84" i="18"/>
  <c r="C116" i="18"/>
  <c r="C180" i="18"/>
  <c r="C212" i="18"/>
  <c r="C244" i="18"/>
  <c r="C276" i="18"/>
  <c r="C17" i="18"/>
  <c r="C49" i="18"/>
  <c r="C81" i="18"/>
  <c r="C113" i="18"/>
  <c r="C177" i="18"/>
  <c r="C209" i="18"/>
  <c r="C35" i="18"/>
  <c r="C99" i="18"/>
  <c r="C227" i="18"/>
  <c r="C270" i="18"/>
  <c r="C30" i="18"/>
  <c r="C94" i="18"/>
  <c r="C222" i="18"/>
  <c r="C266" i="18"/>
  <c r="C23" i="18"/>
  <c r="C87" i="18"/>
  <c r="B17" i="13"/>
  <c r="C81" i="15"/>
  <c r="C99" i="16"/>
  <c r="C218" i="16"/>
  <c r="C132" i="16"/>
  <c r="C85" i="16"/>
  <c r="B91" i="16"/>
  <c r="B56" i="16"/>
  <c r="B181" i="16"/>
  <c r="B174" i="16"/>
  <c r="B65" i="16"/>
  <c r="B230" i="16"/>
  <c r="B90" i="16"/>
  <c r="B242" i="16"/>
  <c r="C48" i="17"/>
  <c r="C220" i="17"/>
  <c r="C222" i="14"/>
  <c r="C233" i="15"/>
  <c r="C250" i="16"/>
  <c r="C184" i="16"/>
  <c r="C212" i="16"/>
  <c r="B123" i="16"/>
  <c r="B88" i="16"/>
  <c r="B238" i="16"/>
  <c r="B198" i="16"/>
  <c r="B97" i="16"/>
  <c r="B246" i="16"/>
  <c r="B98" i="16"/>
  <c r="B264" i="16"/>
  <c r="C60" i="17"/>
  <c r="C236" i="17"/>
  <c r="C109" i="17"/>
  <c r="C201" i="17"/>
  <c r="C115" i="17"/>
  <c r="C265" i="17"/>
  <c r="C255" i="17"/>
  <c r="C71" i="17"/>
  <c r="C199" i="17"/>
  <c r="C294" i="17"/>
  <c r="C90" i="17"/>
  <c r="C290" i="17"/>
  <c r="B31" i="17"/>
  <c r="B95" i="17"/>
  <c r="B191" i="17"/>
  <c r="B231" i="17"/>
  <c r="B275" i="17"/>
  <c r="B16" i="17"/>
  <c r="B48" i="17"/>
  <c r="B80" i="17"/>
  <c r="B112" i="17"/>
  <c r="B176" i="17"/>
  <c r="B208" i="17"/>
  <c r="B37" i="17"/>
  <c r="B101" i="17"/>
  <c r="B228" i="17"/>
  <c r="B270" i="17"/>
  <c r="B57" i="17"/>
  <c r="B177" i="17"/>
  <c r="B273" i="17"/>
  <c r="B74" i="17"/>
  <c r="B218" i="17"/>
  <c r="B22" i="17"/>
  <c r="B86" i="17"/>
  <c r="B214" i="17"/>
  <c r="B261" i="17"/>
  <c r="B25" i="17"/>
  <c r="B262" i="17"/>
  <c r="B114" i="17"/>
  <c r="B226" i="17"/>
  <c r="B10" i="17"/>
  <c r="B40" i="18"/>
  <c r="B72" i="18"/>
  <c r="B104" i="18"/>
  <c r="B136" i="18"/>
  <c r="B200" i="18"/>
  <c r="B232" i="18"/>
  <c r="B264" i="18"/>
  <c r="B296" i="18"/>
  <c r="B37" i="18"/>
  <c r="B69" i="18"/>
  <c r="B101" i="18"/>
  <c r="B133" i="18"/>
  <c r="B197" i="18"/>
  <c r="B14" i="18"/>
  <c r="B78" i="18"/>
  <c r="B206" i="18"/>
  <c r="B255" i="18"/>
  <c r="B298" i="18"/>
  <c r="B71" i="18"/>
  <c r="B135" i="18"/>
  <c r="B199" i="18"/>
  <c r="B251" i="18"/>
  <c r="B294" i="18"/>
  <c r="B66" i="18"/>
  <c r="B130" i="18"/>
  <c r="B194" i="18"/>
  <c r="B247" i="18"/>
  <c r="B290" i="18"/>
  <c r="B59" i="18"/>
  <c r="B123" i="18"/>
  <c r="B187" i="18"/>
  <c r="B243" i="18"/>
  <c r="B286" i="18"/>
  <c r="C28" i="18"/>
  <c r="C60" i="18"/>
  <c r="C92" i="18"/>
  <c r="C124" i="18"/>
  <c r="C188" i="18"/>
  <c r="C220" i="18"/>
  <c r="C252" i="18"/>
  <c r="C284" i="18"/>
  <c r="C57" i="18"/>
  <c r="C89" i="18"/>
  <c r="C121" i="18"/>
  <c r="C185" i="18"/>
  <c r="C217" i="18"/>
  <c r="C51" i="18"/>
  <c r="C115" i="18"/>
  <c r="C179" i="18"/>
  <c r="C238" i="18"/>
  <c r="C281" i="18"/>
  <c r="B197" i="14"/>
  <c r="C72" i="16"/>
  <c r="C282" i="16"/>
  <c r="C77" i="16"/>
  <c r="C276" i="16"/>
  <c r="B120" i="16"/>
  <c r="B281" i="16"/>
  <c r="B234" i="16"/>
  <c r="B105" i="16"/>
  <c r="B268" i="16"/>
  <c r="B122" i="16"/>
  <c r="B269" i="16"/>
  <c r="C76" i="17"/>
  <c r="C240" i="17"/>
  <c r="C41" i="17"/>
  <c r="C121" i="17"/>
  <c r="C205" i="17"/>
  <c r="C281" i="17"/>
  <c r="C261" i="17"/>
  <c r="C79" i="17"/>
  <c r="C207" i="17"/>
  <c r="C299" i="17"/>
  <c r="C122" i="17"/>
  <c r="C74" i="17"/>
  <c r="B35" i="17"/>
  <c r="B99" i="17"/>
  <c r="B195" i="17"/>
  <c r="B239" i="17"/>
  <c r="B279" i="17"/>
  <c r="B20" i="17"/>
  <c r="B52" i="17"/>
  <c r="B84" i="17"/>
  <c r="B116" i="17"/>
  <c r="B180" i="17"/>
  <c r="B212" i="17"/>
  <c r="B45" i="17"/>
  <c r="B109" i="17"/>
  <c r="B173" i="17"/>
  <c r="B233" i="17"/>
  <c r="B276" i="17"/>
  <c r="B73" i="17"/>
  <c r="B193" i="17"/>
  <c r="B284" i="17"/>
  <c r="B90" i="17"/>
  <c r="B232" i="17"/>
  <c r="B30" i="17"/>
  <c r="B94" i="17"/>
  <c r="B222" i="17"/>
  <c r="B266" i="17"/>
  <c r="B33" i="17"/>
  <c r="B278" i="17"/>
  <c r="B130" i="17"/>
  <c r="B237" i="17"/>
  <c r="B12" i="18"/>
  <c r="B44" i="18"/>
  <c r="B76" i="18"/>
  <c r="B108" i="18"/>
  <c r="B222" i="14"/>
  <c r="B109" i="15"/>
  <c r="C22" i="16"/>
  <c r="C191" i="16"/>
  <c r="C205" i="16"/>
  <c r="C89" i="16"/>
  <c r="B187" i="16"/>
  <c r="B297" i="16"/>
  <c r="B250" i="16"/>
  <c r="B129" i="16"/>
  <c r="B273" i="16"/>
  <c r="B285" i="16"/>
  <c r="C80" i="17"/>
  <c r="C252" i="17"/>
  <c r="C45" i="17"/>
  <c r="C137" i="17"/>
  <c r="C217" i="17"/>
  <c r="C14" i="17"/>
  <c r="C174" i="17"/>
  <c r="C277" i="17"/>
  <c r="C103" i="17"/>
  <c r="C230" i="17"/>
  <c r="C34" i="17"/>
  <c r="C218" i="17"/>
  <c r="B47" i="17"/>
  <c r="B103" i="17"/>
  <c r="B199" i="17"/>
  <c r="B243" i="17"/>
  <c r="B283" i="17"/>
  <c r="B24" i="17"/>
  <c r="B56" i="17"/>
  <c r="B88" i="17"/>
  <c r="B120" i="17"/>
  <c r="B184" i="17"/>
  <c r="B216" i="17"/>
  <c r="B53" i="17"/>
  <c r="B117" i="17"/>
  <c r="B181" i="17"/>
  <c r="B238" i="17"/>
  <c r="B281" i="17"/>
  <c r="B89" i="17"/>
  <c r="B209" i="17"/>
  <c r="B294" i="17"/>
  <c r="B106" i="17"/>
  <c r="B242" i="17"/>
  <c r="B38" i="17"/>
  <c r="B102" i="17"/>
  <c r="B229" i="17"/>
  <c r="B272" i="17"/>
  <c r="B49" i="17"/>
  <c r="B185" i="17"/>
  <c r="B289" i="17"/>
  <c r="B248" i="17"/>
  <c r="B16" i="18"/>
  <c r="B48" i="18"/>
  <c r="B80" i="18"/>
  <c r="B112" i="18"/>
  <c r="B176" i="18"/>
  <c r="B208" i="18"/>
  <c r="B240" i="18"/>
  <c r="B272" i="18"/>
  <c r="B13" i="18"/>
  <c r="B45" i="18"/>
  <c r="B77" i="18"/>
  <c r="B109" i="18"/>
  <c r="B173" i="18"/>
  <c r="B205" i="18"/>
  <c r="B30" i="18"/>
  <c r="B94" i="18"/>
  <c r="B222" i="18"/>
  <c r="B266" i="18"/>
  <c r="B23" i="18"/>
  <c r="B87" i="18"/>
  <c r="B215" i="18"/>
  <c r="B262" i="18"/>
  <c r="B18" i="18"/>
  <c r="B82" i="18"/>
  <c r="B210" i="18"/>
  <c r="B258" i="18"/>
  <c r="B11" i="18"/>
  <c r="B75" i="18"/>
  <c r="B203" i="18"/>
  <c r="B254" i="18"/>
  <c r="B297" i="18"/>
  <c r="C36" i="18"/>
  <c r="C68" i="18"/>
  <c r="C100" i="18"/>
  <c r="C132" i="18"/>
  <c r="C196" i="18"/>
  <c r="C228" i="18"/>
  <c r="C260" i="18"/>
  <c r="C292" i="18"/>
  <c r="B82" i="14"/>
  <c r="B22" i="15"/>
  <c r="C86" i="16"/>
  <c r="C239" i="16"/>
  <c r="C272" i="16"/>
  <c r="C213" i="16"/>
  <c r="B219" i="16"/>
  <c r="B184" i="16"/>
  <c r="B46" i="16"/>
  <c r="B277" i="16"/>
  <c r="B289" i="16"/>
  <c r="C12" i="17"/>
  <c r="C92" i="17"/>
  <c r="C176" i="17"/>
  <c r="C268" i="17"/>
  <c r="C57" i="17"/>
  <c r="C19" i="17"/>
  <c r="C179" i="17"/>
  <c r="C22" i="17"/>
  <c r="C198" i="17"/>
  <c r="C293" i="17"/>
  <c r="C127" i="17"/>
  <c r="C246" i="17"/>
  <c r="C82" i="17"/>
  <c r="C285" i="17"/>
  <c r="C253" i="17"/>
  <c r="B59" i="17"/>
  <c r="B111" i="17"/>
  <c r="B207" i="17"/>
  <c r="B251" i="17"/>
  <c r="B287" i="17"/>
  <c r="B28" i="17"/>
  <c r="B60" i="17"/>
  <c r="B92" i="17"/>
  <c r="B124" i="17"/>
  <c r="B188" i="17"/>
  <c r="B220" i="17"/>
  <c r="B61" i="17"/>
  <c r="B125" i="17"/>
  <c r="B189" i="17"/>
  <c r="B244" i="17"/>
  <c r="B286" i="17"/>
  <c r="B105" i="17"/>
  <c r="B225" i="17"/>
  <c r="B26" i="17"/>
  <c r="B122" i="17"/>
  <c r="B253" i="17"/>
  <c r="B46" i="17"/>
  <c r="B110" i="17"/>
  <c r="B174" i="17"/>
  <c r="B234" i="17"/>
  <c r="B277" i="17"/>
  <c r="B65" i="17"/>
  <c r="B201" i="17"/>
  <c r="B300" i="17"/>
  <c r="B258" i="17"/>
  <c r="B20" i="18"/>
  <c r="B52" i="18"/>
  <c r="B84" i="18"/>
  <c r="B116" i="18"/>
  <c r="B180" i="18"/>
  <c r="B212" i="18"/>
  <c r="B244" i="18"/>
  <c r="B276" i="18"/>
  <c r="B17" i="18"/>
  <c r="B49" i="18"/>
  <c r="B81" i="18"/>
  <c r="B113" i="18"/>
  <c r="B177" i="18"/>
  <c r="B209" i="18"/>
  <c r="B38" i="18"/>
  <c r="B102" i="18"/>
  <c r="B229" i="18"/>
  <c r="B271" i="18"/>
  <c r="B31" i="18"/>
  <c r="B95" i="18"/>
  <c r="B223" i="18"/>
  <c r="B267" i="18"/>
  <c r="B26" i="18"/>
  <c r="B90" i="18"/>
  <c r="B218" i="18"/>
  <c r="B263" i="18"/>
  <c r="B19" i="18"/>
  <c r="B83" i="18"/>
  <c r="B211" i="18"/>
  <c r="B259" i="18"/>
  <c r="B10" i="18"/>
  <c r="C40" i="18"/>
  <c r="C72" i="18"/>
  <c r="C104" i="18"/>
  <c r="C136" i="18"/>
  <c r="C200" i="18"/>
  <c r="C232" i="18"/>
  <c r="C264" i="18"/>
  <c r="C296" i="18"/>
  <c r="C37" i="18"/>
  <c r="C69" i="18"/>
  <c r="C101" i="18"/>
  <c r="C133" i="18"/>
  <c r="C197" i="18"/>
  <c r="C11" i="18"/>
  <c r="C75" i="18"/>
  <c r="C203" i="18"/>
  <c r="C254" i="18"/>
  <c r="C297" i="18"/>
  <c r="C70" i="18"/>
  <c r="C134" i="18"/>
  <c r="C198" i="18"/>
  <c r="C250" i="18"/>
  <c r="C293" i="18"/>
  <c r="C63" i="18"/>
  <c r="C127" i="18"/>
  <c r="C135" i="15"/>
  <c r="B207" i="15"/>
  <c r="C122" i="16"/>
  <c r="C283" i="16"/>
  <c r="C81" i="16"/>
  <c r="C277" i="16"/>
  <c r="B251" i="16"/>
  <c r="B216" i="16"/>
  <c r="B70" i="16"/>
  <c r="B293" i="16"/>
  <c r="B26" i="16"/>
  <c r="B186" i="16"/>
  <c r="C16" i="17"/>
  <c r="C108" i="17"/>
  <c r="C188" i="17"/>
  <c r="C272" i="17"/>
  <c r="C73" i="17"/>
  <c r="C27" i="17"/>
  <c r="C211" i="17"/>
  <c r="C46" i="17"/>
  <c r="C206" i="17"/>
  <c r="C298" i="17"/>
  <c r="C135" i="17"/>
  <c r="C251" i="17"/>
  <c r="C114" i="17"/>
  <c r="C66" i="17"/>
  <c r="C274" i="17"/>
  <c r="B63" i="17"/>
  <c r="B123" i="17"/>
  <c r="B211" i="17"/>
  <c r="B255" i="17"/>
  <c r="B291" i="17"/>
  <c r="B32" i="17"/>
  <c r="B64" i="17"/>
  <c r="B96" i="17"/>
  <c r="B128" i="17"/>
  <c r="B192" i="17"/>
  <c r="B224" i="17"/>
  <c r="B69" i="17"/>
  <c r="B133" i="17"/>
  <c r="B197" i="17"/>
  <c r="B30" i="15"/>
  <c r="C32" i="16"/>
  <c r="C209" i="16"/>
  <c r="B27" i="16"/>
  <c r="B283" i="16"/>
  <c r="B53" i="16"/>
  <c r="B110" i="16"/>
  <c r="B33" i="16"/>
  <c r="B193" i="16"/>
  <c r="B34" i="16"/>
  <c r="B218" i="16"/>
  <c r="C28" i="17"/>
  <c r="C112" i="17"/>
  <c r="C204" i="17"/>
  <c r="C284" i="17"/>
  <c r="C77" i="17"/>
  <c r="C51" i="17"/>
  <c r="C219" i="17"/>
  <c r="C78" i="17"/>
  <c r="C214" i="17"/>
  <c r="C15" i="17"/>
  <c r="C257" i="17"/>
  <c r="C98" i="17"/>
  <c r="C295" i="17"/>
  <c r="B67" i="17"/>
  <c r="B127" i="17"/>
  <c r="B175" i="17"/>
  <c r="B219" i="17"/>
  <c r="B259" i="17"/>
  <c r="B295" i="17"/>
  <c r="B36" i="17"/>
  <c r="B68" i="17"/>
  <c r="B100" i="17"/>
  <c r="B132" i="17"/>
  <c r="B196" i="17"/>
  <c r="B13" i="17"/>
  <c r="B77" i="17"/>
  <c r="B205" i="17"/>
  <c r="B254" i="17"/>
  <c r="B297" i="17"/>
  <c r="B129" i="17"/>
  <c r="B246" i="17"/>
  <c r="B42" i="17"/>
  <c r="B274" i="17"/>
  <c r="B62" i="17"/>
  <c r="B126" i="17"/>
  <c r="B190" i="17"/>
  <c r="B245" i="17"/>
  <c r="B288" i="17"/>
  <c r="B97" i="17"/>
  <c r="B230" i="17"/>
  <c r="B58" i="17"/>
  <c r="B186" i="17"/>
  <c r="B280" i="17"/>
  <c r="B28" i="18"/>
  <c r="B60" i="18"/>
  <c r="B92" i="18"/>
  <c r="B124" i="18"/>
  <c r="B188" i="18"/>
  <c r="B220" i="18"/>
  <c r="B252" i="18"/>
  <c r="B284" i="18"/>
  <c r="B25" i="18"/>
  <c r="B57" i="18"/>
  <c r="B89" i="18"/>
  <c r="B121" i="18"/>
  <c r="B185" i="18"/>
  <c r="B217" i="18"/>
  <c r="B54" i="18"/>
  <c r="B118" i="18"/>
  <c r="B182" i="18"/>
  <c r="B239" i="18"/>
  <c r="B282" i="18"/>
  <c r="B47" i="18"/>
  <c r="B111" i="18"/>
  <c r="B175" i="18"/>
  <c r="B235" i="18"/>
  <c r="B278" i="18"/>
  <c r="B42" i="18"/>
  <c r="B106" i="18"/>
  <c r="B231" i="18"/>
  <c r="B274" i="18"/>
  <c r="B35" i="18"/>
  <c r="B99" i="18"/>
  <c r="B227" i="18"/>
  <c r="B270" i="18"/>
  <c r="C16" i="18"/>
  <c r="C48" i="18"/>
  <c r="C80" i="18"/>
  <c r="C112" i="18"/>
  <c r="C176" i="18"/>
  <c r="C208" i="18"/>
  <c r="C240" i="18"/>
  <c r="C272" i="18"/>
  <c r="C13" i="17"/>
  <c r="C191" i="17"/>
  <c r="B227" i="17"/>
  <c r="B204" i="17"/>
  <c r="B41" i="17"/>
  <c r="B194" i="17"/>
  <c r="B206" i="17"/>
  <c r="B252" i="17"/>
  <c r="B36" i="18"/>
  <c r="B236" i="18"/>
  <c r="B33" i="18"/>
  <c r="B117" i="18"/>
  <c r="B201" i="18"/>
  <c r="B134" i="18"/>
  <c r="B277" i="18"/>
  <c r="B289" i="18"/>
  <c r="B295" i="18"/>
  <c r="B179" i="18"/>
  <c r="C12" i="18"/>
  <c r="C96" i="18"/>
  <c r="C184" i="18"/>
  <c r="C268" i="18"/>
  <c r="C41" i="18"/>
  <c r="C93" i="18"/>
  <c r="C193" i="18"/>
  <c r="C43" i="18"/>
  <c r="C243" i="18"/>
  <c r="C22" i="18"/>
  <c r="C110" i="18"/>
  <c r="C190" i="18"/>
  <c r="C261" i="18"/>
  <c r="C39" i="18"/>
  <c r="C119" i="18"/>
  <c r="C199" i="18"/>
  <c r="C251" i="18"/>
  <c r="C294" i="18"/>
  <c r="C105" i="17"/>
  <c r="C289" i="17"/>
  <c r="B271" i="17"/>
  <c r="B29" i="17"/>
  <c r="B113" i="17"/>
  <c r="B264" i="17"/>
  <c r="B240" i="17"/>
  <c r="B18" i="17"/>
  <c r="B56" i="18"/>
  <c r="B248" i="18"/>
  <c r="B41" i="18"/>
  <c r="B129" i="18"/>
  <c r="B213" i="18"/>
  <c r="B293" i="18"/>
  <c r="B299" i="18"/>
  <c r="B186" i="18"/>
  <c r="B27" i="18"/>
  <c r="B195" i="18"/>
  <c r="C24" i="18"/>
  <c r="C108" i="18"/>
  <c r="C192" i="18"/>
  <c r="C280" i="18"/>
  <c r="C45" i="18"/>
  <c r="C97" i="18"/>
  <c r="C201" i="18"/>
  <c r="C59" i="18"/>
  <c r="C249" i="18"/>
  <c r="C38" i="18"/>
  <c r="C118" i="18"/>
  <c r="C206" i="18"/>
  <c r="C271" i="18"/>
  <c r="C135" i="18"/>
  <c r="C207" i="18"/>
  <c r="C257" i="18"/>
  <c r="C299" i="18"/>
  <c r="C122" i="18"/>
  <c r="C98" i="18"/>
  <c r="C74" i="18"/>
  <c r="C295" i="18"/>
  <c r="C186" i="18"/>
  <c r="B196" i="18"/>
  <c r="B230" i="18"/>
  <c r="B249" i="18"/>
  <c r="C65" i="18"/>
  <c r="C195" i="18"/>
  <c r="C79" i="18"/>
  <c r="C273" i="18"/>
  <c r="C218" i="18"/>
  <c r="B103" i="18"/>
  <c r="C248" i="18"/>
  <c r="C129" i="18"/>
  <c r="C291" i="18"/>
  <c r="C103" i="18"/>
  <c r="C279" i="18"/>
  <c r="C58" i="18"/>
  <c r="C90" i="18"/>
  <c r="C185" i="17"/>
  <c r="C58" i="17"/>
  <c r="B12" i="17"/>
  <c r="B93" i="17"/>
  <c r="B14" i="17"/>
  <c r="B256" i="17"/>
  <c r="B98" i="17"/>
  <c r="B68" i="18"/>
  <c r="B260" i="18"/>
  <c r="B53" i="18"/>
  <c r="B137" i="18"/>
  <c r="B225" i="18"/>
  <c r="B174" i="18"/>
  <c r="B15" i="18"/>
  <c r="B191" i="18"/>
  <c r="B34" i="18"/>
  <c r="B202" i="18"/>
  <c r="B51" i="18"/>
  <c r="B219" i="18"/>
  <c r="C32" i="18"/>
  <c r="C120" i="18"/>
  <c r="C204" i="18"/>
  <c r="C288" i="18"/>
  <c r="C53" i="18"/>
  <c r="C105" i="18"/>
  <c r="C205" i="18"/>
  <c r="C67" i="18"/>
  <c r="C259" i="18"/>
  <c r="C46" i="18"/>
  <c r="C126" i="18"/>
  <c r="C214" i="18"/>
  <c r="C277" i="18"/>
  <c r="C55" i="18"/>
  <c r="C215" i="18"/>
  <c r="C262" i="18"/>
  <c r="C18" i="18"/>
  <c r="C178" i="18"/>
  <c r="C130" i="18"/>
  <c r="C106" i="18"/>
  <c r="C10" i="18"/>
  <c r="C210" i="18"/>
  <c r="B280" i="18"/>
  <c r="B214" i="18"/>
  <c r="B74" i="18"/>
  <c r="B91" i="18"/>
  <c r="C56" i="18"/>
  <c r="C13" i="18"/>
  <c r="C117" i="18"/>
  <c r="C91" i="18"/>
  <c r="C62" i="18"/>
  <c r="C234" i="18"/>
  <c r="C230" i="18"/>
  <c r="C237" i="18"/>
  <c r="B122" i="18"/>
  <c r="C77" i="18"/>
  <c r="C123" i="18"/>
  <c r="C245" i="18"/>
  <c r="C50" i="18"/>
  <c r="C82" i="18"/>
  <c r="C66" i="18"/>
  <c r="C91" i="17"/>
  <c r="C269" i="17"/>
  <c r="B44" i="17"/>
  <c r="B236" i="17"/>
  <c r="B54" i="17"/>
  <c r="B282" i="17"/>
  <c r="B88" i="18"/>
  <c r="B184" i="18"/>
  <c r="B268" i="18"/>
  <c r="B65" i="18"/>
  <c r="B22" i="18"/>
  <c r="B198" i="18"/>
  <c r="B39" i="18"/>
  <c r="B207" i="18"/>
  <c r="B58" i="18"/>
  <c r="B226" i="18"/>
  <c r="B67" i="18"/>
  <c r="B238" i="18"/>
  <c r="C44" i="18"/>
  <c r="C128" i="18"/>
  <c r="C216" i="18"/>
  <c r="C300" i="18"/>
  <c r="C61" i="18"/>
  <c r="C109" i="18"/>
  <c r="C213" i="18"/>
  <c r="C83" i="18"/>
  <c r="C187" i="18"/>
  <c r="C265" i="18"/>
  <c r="C54" i="18"/>
  <c r="C229" i="18"/>
  <c r="C282" i="18"/>
  <c r="C71" i="18"/>
  <c r="C223" i="18"/>
  <c r="C267" i="18"/>
  <c r="B281" i="18"/>
  <c r="C241" i="18"/>
  <c r="C259" i="17"/>
  <c r="B27" i="17"/>
  <c r="B76" i="17"/>
  <c r="B221" i="17"/>
  <c r="B268" i="17"/>
  <c r="B78" i="17"/>
  <c r="B298" i="17"/>
  <c r="B210" i="17"/>
  <c r="B100" i="18"/>
  <c r="B73" i="18"/>
  <c r="B46" i="18"/>
  <c r="B63" i="18"/>
  <c r="B242" i="18"/>
  <c r="C224" i="18"/>
  <c r="C221" i="18"/>
  <c r="C275" i="18"/>
  <c r="C287" i="18"/>
  <c r="C34" i="18"/>
  <c r="C194" i="18"/>
  <c r="B269" i="18"/>
  <c r="C181" i="18"/>
  <c r="C86" i="18"/>
  <c r="C183" i="18"/>
  <c r="C247" i="18"/>
  <c r="C285" i="18"/>
  <c r="C290" i="18"/>
  <c r="C110" i="17"/>
  <c r="B91" i="17"/>
  <c r="B108" i="17"/>
  <c r="B249" i="17"/>
  <c r="B34" i="17"/>
  <c r="B118" i="17"/>
  <c r="B81" i="17"/>
  <c r="B269" i="17"/>
  <c r="B120" i="18"/>
  <c r="B204" i="18"/>
  <c r="B292" i="18"/>
  <c r="B85" i="18"/>
  <c r="B70" i="18"/>
  <c r="B234" i="18"/>
  <c r="B79" i="18"/>
  <c r="B246" i="18"/>
  <c r="B98" i="18"/>
  <c r="B253" i="18"/>
  <c r="B115" i="18"/>
  <c r="B265" i="18"/>
  <c r="C64" i="18"/>
  <c r="C236" i="18"/>
  <c r="C21" i="18"/>
  <c r="C73" i="18"/>
  <c r="C125" i="18"/>
  <c r="C173" i="18"/>
  <c r="C225" i="18"/>
  <c r="C107" i="18"/>
  <c r="C211" i="18"/>
  <c r="C286" i="18"/>
  <c r="C78" i="18"/>
  <c r="C239" i="18"/>
  <c r="C298" i="18"/>
  <c r="C95" i="18"/>
  <c r="C175" i="18"/>
  <c r="C235" i="18"/>
  <c r="C278" i="18"/>
  <c r="C42" i="18"/>
  <c r="C258" i="18"/>
  <c r="C242" i="18"/>
  <c r="C226" i="18"/>
  <c r="C202" i="18"/>
  <c r="C250" i="17"/>
  <c r="B135" i="17"/>
  <c r="B265" i="17"/>
  <c r="B66" i="17"/>
  <c r="B137" i="17"/>
  <c r="B296" i="17"/>
  <c r="B132" i="18"/>
  <c r="B216" i="18"/>
  <c r="B97" i="18"/>
  <c r="B181" i="18"/>
  <c r="B86" i="18"/>
  <c r="B250" i="18"/>
  <c r="B257" i="18"/>
  <c r="B131" i="18"/>
  <c r="C29" i="18"/>
  <c r="C19" i="18"/>
  <c r="C174" i="18"/>
  <c r="C283" i="18"/>
  <c r="C231" i="18"/>
  <c r="C253" i="18"/>
  <c r="C274" i="18"/>
  <c r="B300" i="18"/>
  <c r="C76" i="18"/>
  <c r="C219" i="18"/>
  <c r="C15" i="18"/>
  <c r="C263" i="18"/>
  <c r="C269" i="18"/>
  <c r="C63" i="17"/>
  <c r="B187" i="17"/>
  <c r="B292" i="17"/>
  <c r="B182" i="17"/>
  <c r="B217" i="17"/>
  <c r="B24" i="18"/>
  <c r="B228" i="18"/>
  <c r="B21" i="18"/>
  <c r="B105" i="18"/>
  <c r="B193" i="18"/>
  <c r="B110" i="18"/>
  <c r="B261" i="18"/>
  <c r="B127" i="18"/>
  <c r="B273" i="18"/>
  <c r="B285" i="18"/>
  <c r="B291" i="18"/>
  <c r="C88" i="18"/>
  <c r="C256" i="18"/>
  <c r="C33" i="18"/>
  <c r="C85" i="18"/>
  <c r="C137" i="18"/>
  <c r="C189" i="18"/>
  <c r="C27" i="18"/>
  <c r="C131" i="18"/>
  <c r="C233" i="18"/>
  <c r="C14" i="18"/>
  <c r="C102" i="18"/>
  <c r="C182" i="18"/>
  <c r="C255" i="18"/>
  <c r="C31" i="18"/>
  <c r="C111" i="18"/>
  <c r="C191" i="18"/>
  <c r="C246" i="18"/>
  <c r="C289" i="18"/>
  <c r="C114" i="18"/>
  <c r="C47" i="18"/>
  <c r="C47" i="16"/>
  <c r="C47" i="14"/>
  <c r="C47" i="13"/>
  <c r="C47" i="15"/>
  <c r="C47" i="17"/>
  <c r="B138" i="17"/>
  <c r="B138" i="14"/>
  <c r="B138" i="16"/>
  <c r="B138" i="15"/>
  <c r="B138" i="18"/>
  <c r="B138" i="13"/>
  <c r="B144" i="13"/>
  <c r="B156" i="14"/>
  <c r="C139" i="13"/>
  <c r="B152" i="13"/>
  <c r="B164" i="14"/>
  <c r="C154" i="13"/>
  <c r="B163" i="13"/>
  <c r="B140" i="14"/>
  <c r="C163" i="13"/>
  <c r="B164" i="13"/>
  <c r="B158" i="13"/>
  <c r="B145" i="13"/>
  <c r="C162" i="14"/>
  <c r="C143" i="15"/>
  <c r="B152" i="15"/>
  <c r="B167" i="15"/>
  <c r="C152" i="13"/>
  <c r="B170" i="14"/>
  <c r="B153" i="15"/>
  <c r="B158" i="15"/>
  <c r="C140" i="15"/>
  <c r="B159" i="15"/>
  <c r="B148" i="14"/>
  <c r="B154" i="15"/>
  <c r="B160" i="14"/>
  <c r="C153" i="15"/>
  <c r="B168" i="13"/>
  <c r="B141" i="14"/>
  <c r="B166" i="14"/>
  <c r="B146" i="15"/>
  <c r="C162" i="16"/>
  <c r="C152" i="17"/>
  <c r="C159" i="17"/>
  <c r="C166" i="16"/>
  <c r="B151" i="14"/>
  <c r="C153" i="16"/>
  <c r="B168" i="16"/>
  <c r="B157" i="16"/>
  <c r="C161" i="17"/>
  <c r="C143" i="16"/>
  <c r="C172" i="16"/>
  <c r="B170" i="15"/>
  <c r="C158" i="16"/>
  <c r="C148" i="17"/>
  <c r="C151" i="17"/>
  <c r="B141" i="18"/>
  <c r="B163" i="17"/>
  <c r="B156" i="17"/>
  <c r="B147" i="18"/>
  <c r="C168" i="18"/>
  <c r="B141" i="17"/>
  <c r="B153" i="18"/>
  <c r="B143" i="18"/>
  <c r="C143" i="18"/>
  <c r="C142" i="18"/>
  <c r="C162" i="18"/>
  <c r="C166" i="18"/>
  <c r="C172" i="18"/>
  <c r="B145" i="17"/>
  <c r="C145" i="18"/>
  <c r="B143" i="17"/>
  <c r="B155" i="17"/>
  <c r="B169" i="16"/>
  <c r="B162" i="18"/>
  <c r="C146" i="18"/>
  <c r="C161" i="18"/>
  <c r="B140" i="18"/>
  <c r="C167" i="16"/>
  <c r="C139" i="18"/>
  <c r="C152" i="18"/>
  <c r="B151" i="13"/>
  <c r="C156" i="13"/>
  <c r="C159" i="15"/>
  <c r="B172" i="15"/>
  <c r="C168" i="17"/>
  <c r="C163" i="17"/>
  <c r="B170" i="17"/>
  <c r="B146" i="17"/>
  <c r="C170" i="13"/>
  <c r="C170" i="14"/>
  <c r="B153" i="14"/>
  <c r="B169" i="13"/>
  <c r="C141" i="14"/>
  <c r="C153" i="14"/>
  <c r="B161" i="14"/>
  <c r="C140" i="13"/>
  <c r="C157" i="14"/>
  <c r="C155" i="13"/>
  <c r="B160" i="13"/>
  <c r="B172" i="14"/>
  <c r="B162" i="14"/>
  <c r="B149" i="15"/>
  <c r="B150" i="15"/>
  <c r="C151" i="16"/>
  <c r="B150" i="13"/>
  <c r="C169" i="15"/>
  <c r="C166" i="13"/>
  <c r="C146" i="15"/>
  <c r="B143" i="14"/>
  <c r="C150" i="15"/>
  <c r="C139" i="15"/>
  <c r="B148" i="15"/>
  <c r="C149" i="17"/>
  <c r="B141" i="16"/>
  <c r="B142" i="16"/>
  <c r="C139" i="16"/>
  <c r="C168" i="16"/>
  <c r="C165" i="16"/>
  <c r="B147" i="16"/>
  <c r="B153" i="16"/>
  <c r="B170" i="16"/>
  <c r="C145" i="17"/>
  <c r="C148" i="18"/>
  <c r="C151" i="18"/>
  <c r="C140" i="17"/>
  <c r="C142" i="17"/>
  <c r="B150" i="17"/>
  <c r="B155" i="16"/>
  <c r="C150" i="17"/>
  <c r="B158" i="17"/>
  <c r="B154" i="16"/>
  <c r="C155" i="17"/>
  <c r="C170" i="17"/>
  <c r="B166" i="18"/>
  <c r="C165" i="18"/>
  <c r="B152" i="18"/>
  <c r="B167" i="18"/>
  <c r="C171" i="18"/>
  <c r="B161" i="18"/>
  <c r="B142" i="17"/>
  <c r="B171" i="18"/>
  <c r="B144" i="17"/>
  <c r="C156" i="17"/>
  <c r="B151" i="18"/>
  <c r="C153" i="17"/>
  <c r="B164" i="18"/>
  <c r="B157" i="17"/>
  <c r="C167" i="18"/>
  <c r="B156" i="16"/>
  <c r="B153" i="17"/>
  <c r="B169" i="17"/>
  <c r="C143" i="17"/>
  <c r="C154" i="18"/>
  <c r="B159" i="13"/>
  <c r="C150" i="14"/>
  <c r="C163" i="15"/>
  <c r="C171" i="17"/>
  <c r="B139" i="16"/>
  <c r="B146" i="16"/>
  <c r="C147" i="18"/>
  <c r="B140" i="17"/>
  <c r="B161" i="13"/>
  <c r="C145" i="14"/>
  <c r="C164" i="13"/>
  <c r="C139" i="14"/>
  <c r="C152" i="14"/>
  <c r="C149" i="14"/>
  <c r="C161" i="14"/>
  <c r="C172" i="13"/>
  <c r="C147" i="14"/>
  <c r="C160" i="14"/>
  <c r="B169" i="14"/>
  <c r="C148" i="13"/>
  <c r="C151" i="13"/>
  <c r="B143" i="13"/>
  <c r="B146" i="13"/>
  <c r="B165" i="14"/>
  <c r="C155" i="15"/>
  <c r="C161" i="15"/>
  <c r="B164" i="15"/>
  <c r="C164" i="15"/>
  <c r="C164" i="16"/>
  <c r="C168" i="15"/>
  <c r="B139" i="15"/>
  <c r="B154" i="14"/>
  <c r="C171" i="15"/>
  <c r="B145" i="15"/>
  <c r="B142" i="15"/>
  <c r="C147" i="16"/>
  <c r="C149" i="15"/>
  <c r="C148" i="16"/>
  <c r="C152" i="16"/>
  <c r="C145" i="16"/>
  <c r="B143" i="16"/>
  <c r="B145" i="16"/>
  <c r="B144" i="16"/>
  <c r="C159" i="16"/>
  <c r="C140" i="16"/>
  <c r="B168" i="17"/>
  <c r="C160" i="13"/>
  <c r="C148" i="14"/>
  <c r="C161" i="13"/>
  <c r="C171" i="14"/>
  <c r="C168" i="13"/>
  <c r="C143" i="14"/>
  <c r="C156" i="14"/>
  <c r="C169" i="13"/>
  <c r="C144" i="13"/>
  <c r="C143" i="13"/>
  <c r="C169" i="14"/>
  <c r="C145" i="13"/>
  <c r="C155" i="14"/>
  <c r="C168" i="14"/>
  <c r="B140" i="13"/>
  <c r="B152" i="14"/>
  <c r="C159" i="13"/>
  <c r="C140" i="14"/>
  <c r="C166" i="15"/>
  <c r="C144" i="15"/>
  <c r="C157" i="15"/>
  <c r="C151" i="15"/>
  <c r="C145" i="15"/>
  <c r="B160" i="15"/>
  <c r="B139" i="14"/>
  <c r="B161" i="15"/>
  <c r="C160" i="15"/>
  <c r="B139" i="13"/>
  <c r="C172" i="15"/>
  <c r="B171" i="14"/>
  <c r="C166" i="17"/>
  <c r="B168" i="14"/>
  <c r="C154" i="15"/>
  <c r="C170" i="16"/>
  <c r="C160" i="17"/>
  <c r="C155" i="16"/>
  <c r="C157" i="16"/>
  <c r="B140" i="16"/>
  <c r="B151" i="17"/>
  <c r="C139" i="17"/>
  <c r="B151" i="16"/>
  <c r="C158" i="17"/>
  <c r="C167" i="17"/>
  <c r="B142" i="18"/>
  <c r="C153" i="18"/>
  <c r="B166" i="17"/>
  <c r="B161" i="16"/>
  <c r="C141" i="17"/>
  <c r="B148" i="18"/>
  <c r="B154" i="18"/>
  <c r="C144" i="18"/>
  <c r="C141" i="18"/>
  <c r="C140" i="18"/>
  <c r="B149" i="18"/>
  <c r="B169" i="18"/>
  <c r="B141" i="13"/>
  <c r="C158" i="13"/>
  <c r="C162" i="13"/>
  <c r="B163" i="15"/>
  <c r="C149" i="13"/>
  <c r="C158" i="14"/>
  <c r="B159" i="14"/>
  <c r="C158" i="15"/>
  <c r="B171" i="17"/>
  <c r="B164" i="16"/>
  <c r="C149" i="16"/>
  <c r="B141" i="15"/>
  <c r="B160" i="18"/>
  <c r="B158" i="18"/>
  <c r="C169" i="18"/>
  <c r="C144" i="14"/>
  <c r="C156" i="15"/>
  <c r="B157" i="18"/>
  <c r="B168" i="18"/>
  <c r="C157" i="13"/>
  <c r="B157" i="13"/>
  <c r="C167" i="14"/>
  <c r="B165" i="13"/>
  <c r="C165" i="13"/>
  <c r="C142" i="13"/>
  <c r="C141" i="13"/>
  <c r="C151" i="14"/>
  <c r="C164" i="14"/>
  <c r="B142" i="13"/>
  <c r="B172" i="13"/>
  <c r="C154" i="14"/>
  <c r="B149" i="14"/>
  <c r="B167" i="14"/>
  <c r="C162" i="15"/>
  <c r="C141" i="15"/>
  <c r="B171" i="15"/>
  <c r="B151" i="15"/>
  <c r="B157" i="15"/>
  <c r="B166" i="15"/>
  <c r="C163" i="16"/>
  <c r="B144" i="14"/>
  <c r="C166" i="14"/>
  <c r="B142" i="14"/>
  <c r="B150" i="14"/>
  <c r="C171" i="13"/>
  <c r="B163" i="14"/>
  <c r="B163" i="16"/>
  <c r="B139" i="17"/>
  <c r="B167" i="16"/>
  <c r="B149" i="16"/>
  <c r="C157" i="17"/>
  <c r="B147" i="15"/>
  <c r="C169" i="16"/>
  <c r="B172" i="16"/>
  <c r="B158" i="16"/>
  <c r="B158" i="14"/>
  <c r="B148" i="16"/>
  <c r="B159" i="16"/>
  <c r="C158" i="18"/>
  <c r="B144" i="15"/>
  <c r="B152" i="16"/>
  <c r="C172" i="17"/>
  <c r="B159" i="17"/>
  <c r="B152" i="17"/>
  <c r="B139" i="18"/>
  <c r="C164" i="18"/>
  <c r="B145" i="18"/>
  <c r="B164" i="17"/>
  <c r="B163" i="18"/>
  <c r="C149" i="18"/>
  <c r="B172" i="18"/>
  <c r="C159" i="18"/>
  <c r="C160" i="18"/>
  <c r="B172" i="17"/>
  <c r="B166" i="13"/>
  <c r="B153" i="13"/>
  <c r="B143" i="15"/>
  <c r="C159" i="14"/>
  <c r="C142" i="15"/>
  <c r="B140" i="15"/>
  <c r="B160" i="16"/>
  <c r="C160" i="16"/>
  <c r="B150" i="16"/>
  <c r="C146" i="16"/>
  <c r="C154" i="17"/>
  <c r="B162" i="16"/>
  <c r="B154" i="17"/>
  <c r="C150" i="13"/>
  <c r="C167" i="13"/>
  <c r="B149" i="13"/>
  <c r="B157" i="14"/>
  <c r="B155" i="15"/>
  <c r="C162" i="17"/>
  <c r="C142" i="16"/>
  <c r="B146" i="14"/>
  <c r="C157" i="18"/>
  <c r="B147" i="13"/>
  <c r="B154" i="13"/>
  <c r="B148" i="13"/>
  <c r="B155" i="13"/>
  <c r="B170" i="13"/>
  <c r="C147" i="13"/>
  <c r="B156" i="13"/>
  <c r="C146" i="13"/>
  <c r="C142" i="14"/>
  <c r="B167" i="13"/>
  <c r="C153" i="13"/>
  <c r="C163" i="14"/>
  <c r="B145" i="14"/>
  <c r="B162" i="15"/>
  <c r="C147" i="15"/>
  <c r="B156" i="15"/>
  <c r="C172" i="14"/>
  <c r="C170" i="15"/>
  <c r="C152" i="15"/>
  <c r="C144" i="16"/>
  <c r="C165" i="14"/>
  <c r="C148" i="15"/>
  <c r="B147" i="14"/>
  <c r="B165" i="15"/>
  <c r="C171" i="16"/>
  <c r="B155" i="14"/>
  <c r="B169" i="15"/>
  <c r="C156" i="16"/>
  <c r="C141" i="16"/>
  <c r="B171" i="16"/>
  <c r="B147" i="17"/>
  <c r="C164" i="17"/>
  <c r="B171" i="13"/>
  <c r="B165" i="16"/>
  <c r="C165" i="17"/>
  <c r="C150" i="16"/>
  <c r="C167" i="15"/>
  <c r="C163" i="18"/>
  <c r="B165" i="17"/>
  <c r="B165" i="18"/>
  <c r="C147" i="17"/>
  <c r="B144" i="18"/>
  <c r="B146" i="18"/>
  <c r="B167" i="17"/>
  <c r="B160" i="17"/>
  <c r="C154" i="16"/>
  <c r="C169" i="17"/>
  <c r="C146" i="17"/>
  <c r="B162" i="17"/>
  <c r="B156" i="18"/>
  <c r="B170" i="18"/>
  <c r="B150" i="18"/>
  <c r="C155" i="18"/>
  <c r="C150" i="18"/>
  <c r="B161" i="17"/>
  <c r="C170" i="18"/>
  <c r="C144" i="17"/>
  <c r="C156" i="18"/>
  <c r="B148" i="17"/>
  <c r="B155" i="18"/>
  <c r="B162" i="13"/>
  <c r="C146" i="14"/>
  <c r="C165" i="15"/>
  <c r="B168" i="15"/>
  <c r="C161" i="16"/>
  <c r="B166" i="16"/>
  <c r="B149" i="17"/>
  <c r="B159" i="18"/>
  <c r="C138" i="15"/>
  <c r="C138" i="17"/>
  <c r="C138" i="16"/>
  <c r="C138" i="18"/>
  <c r="C138" i="13"/>
  <c r="C26" i="16"/>
  <c r="C26" i="15"/>
  <c r="C26" i="18"/>
  <c r="C26" i="17"/>
  <c r="C26" i="14"/>
  <c r="C26" i="13"/>
  <c r="C25" i="17"/>
  <c r="C25" i="16"/>
  <c r="C25" i="15"/>
  <c r="C25" i="18"/>
  <c r="C25" i="14"/>
  <c r="C25" i="13"/>
  <c r="E67" i="2" l="1"/>
  <c r="F65" i="2"/>
  <c r="G66" i="2"/>
  <c r="G68" i="2"/>
  <c r="H64" i="2"/>
  <c r="D4" i="17"/>
  <c r="D4" i="18"/>
  <c r="D4" i="15"/>
  <c r="D4" i="16"/>
  <c r="D4" i="13"/>
  <c r="D4" i="14"/>
  <c r="D4" i="2"/>
  <c r="B7" i="6"/>
  <c r="B8" i="6"/>
  <c r="G65" i="2" l="1"/>
  <c r="F67" i="2"/>
  <c r="I64" i="2"/>
  <c r="H66" i="2"/>
  <c r="H68" i="2"/>
  <c r="D5" i="17"/>
  <c r="D5" i="18"/>
  <c r="D5" i="15"/>
  <c r="D5" i="16"/>
  <c r="D5" i="13"/>
  <c r="D5" i="14"/>
  <c r="D5" i="2"/>
  <c r="D10" i="2" s="1"/>
  <c r="J64" i="2" l="1"/>
  <c r="I66" i="2"/>
  <c r="I68" i="2"/>
  <c r="G67" i="2"/>
  <c r="H65" i="2"/>
  <c r="I65" i="2" l="1"/>
  <c r="H67" i="2"/>
  <c r="J66" i="2"/>
  <c r="J68" i="2"/>
  <c r="K64" i="2"/>
  <c r="K66" i="2" l="1"/>
  <c r="K68" i="2"/>
  <c r="L64" i="2"/>
  <c r="I67" i="2"/>
  <c r="J65" i="2"/>
  <c r="M64" i="2" l="1"/>
  <c r="L66" i="2"/>
  <c r="L68" i="2"/>
  <c r="J67" i="2"/>
  <c r="K65" i="2"/>
  <c r="K67" i="2" l="1"/>
  <c r="L65" i="2"/>
  <c r="M68" i="2"/>
  <c r="M66" i="2"/>
  <c r="M65" i="2" l="1"/>
  <c r="M67" i="2" s="1"/>
  <c r="L67" i="2"/>
</calcChain>
</file>

<file path=xl/sharedStrings.xml><?xml version="1.0" encoding="utf-8"?>
<sst xmlns="http://schemas.openxmlformats.org/spreadsheetml/2006/main" count="526" uniqueCount="248">
  <si>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</si>
  <si>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</si>
  <si>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</si>
  <si>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</si>
  <si>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</si>
  <si>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</si>
  <si>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</si>
  <si>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</si>
  <si>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</si>
  <si>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</si>
  <si>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</si>
  <si>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</si>
  <si>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</si>
  <si>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</si>
  <si>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</si>
  <si>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</si>
  <si>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</si>
  <si>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</si>
  <si>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</si>
  <si>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</si>
  <si>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</si>
  <si>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</si>
  <si>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</si>
  <si>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</si>
  <si>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</si>
  <si>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</si>
  <si>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</si>
  <si>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</si>
  <si>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</si>
  <si>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</si>
  <si>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</si>
  <si>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</si>
  <si>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</si>
  <si>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</si>
  <si>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</si>
  <si>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</si>
  <si>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</si>
  <si>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</si>
  <si>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</si>
  <si>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</si>
  <si>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</si>
  <si>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</si>
  <si>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</si>
  <si>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</si>
  <si>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</si>
  <si>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</si>
  <si>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</si>
  <si>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</si>
  <si>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</si>
  <si>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</si>
  <si>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</si>
  <si>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</si>
  <si>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</si>
  <si>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</si>
  <si>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</si>
  <si>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</si>
  <si>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</si>
  <si>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</si>
  <si>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</si>
  <si>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</si>
  <si>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</si>
  <si>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</si>
  <si>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</si>
  <si>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</si>
  <si>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</si>
  <si>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</si>
  <si>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</si>
  <si>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</si>
  <si>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</si>
  <si>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</si>
  <si>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</si>
  <si>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</si>
  <si>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</si>
  <si>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</si>
  <si>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</si>
  <si>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</si>
  <si>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</si>
  <si>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</si>
  <si>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</si>
  <si>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</si>
  <si>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</si>
  <si>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</si>
  <si>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</si>
  <si>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</si>
  <si>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</si>
  <si>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</si>
  <si>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</si>
  <si>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</si>
  <si>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</si>
  <si>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</si>
  <si>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</si>
  <si>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</si>
  <si>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</si>
  <si>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</si>
  <si>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</si>
  <si>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</si>
  <si>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</si>
  <si>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</si>
  <si>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</si>
  <si>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</si>
  <si>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</si>
  <si>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</si>
  <si>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</si>
  <si>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</si>
  <si>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</si>
  <si>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</si>
  <si>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</si>
  <si>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</si>
  <si>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</si>
  <si>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</si>
  <si>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</si>
  <si>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</si>
  <si>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</si>
  <si>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</si>
  <si>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</si>
  <si>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</si>
  <si>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</si>
  <si>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</si>
  <si>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</si>
  <si>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</si>
  <si>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</si>
  <si>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</si>
  <si>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</si>
  <si>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</si>
  <si>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</si>
  <si>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</si>
  <si>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</si>
  <si>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</si>
  <si>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</si>
  <si>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</si>
  <si>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</si>
  <si>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</si>
  <si>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</si>
  <si>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</si>
  <si>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</si>
  <si>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</si>
  <si>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</si>
  <si>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</si>
  <si>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</si>
  <si>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</si>
  <si>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</si>
  <si>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</si>
  <si>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</si>
  <si>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</si>
  <si>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</si>
  <si>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</si>
  <si>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</si>
  <si>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</si>
  <si>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</si>
  <si>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</si>
  <si>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</si>
  <si>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</si>
  <si>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</si>
  <si>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</si>
  <si>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</si>
  <si>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</si>
  <si>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</si>
  <si>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</si>
  <si>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</si>
  <si>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</si>
  <si>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</si>
  <si>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</si>
  <si>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</si>
  <si>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</si>
  <si>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</si>
  <si>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</si>
  <si>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</si>
  <si>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</si>
  <si>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</si>
  <si>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</si>
  <si>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</si>
  <si>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</si>
  <si>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</si>
  <si>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</si>
  <si>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</si>
  <si>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</si>
  <si>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</si>
  <si>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</si>
  <si>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</si>
  <si>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</si>
  <si>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</si>
  <si>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</si>
  <si>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</si>
  <si>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</si>
  <si>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</si>
  <si>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</si>
  <si>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</si>
  <si>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</si>
  <si>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</si>
  <si>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</si>
  <si>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</si>
  <si>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</si>
  <si>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</si>
  <si>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</si>
  <si>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</si>
  <si>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</si>
  <si>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</si>
  <si>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</si>
  <si>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</si>
  <si>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</si>
  <si>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</si>
  <si>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</si>
  <si>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</si>
  <si>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</si>
  <si>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</si>
  <si>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</si>
  <si>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</si>
  <si>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</si>
  <si>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</si>
  <si>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</si>
  <si>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</si>
  <si>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</si>
  <si>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</si>
  <si>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</si>
  <si>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</si>
  <si>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</si>
  <si>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</si>
  <si>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</si>
  <si>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</si>
  <si>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</si>
  <si>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</si>
  <si>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</si>
  <si>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</si>
  <si>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</si>
  <si>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</si>
  <si>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</si>
  <si>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</si>
  <si>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</si>
  <si>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</si>
  <si>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</si>
  <si>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</si>
  <si>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</si>
  <si>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</si>
  <si>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</si>
  <si>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</si>
  <si>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</si>
  <si>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</si>
  <si>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</si>
  <si>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</si>
  <si>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</si>
  <si>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</si>
  <si>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</si>
  <si>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</si>
  <si>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G1 F3000 Z20 ; Move Z Axis up 20 mm to allow filament ooze freely
G90 ; Set coordinates to absolute
G1 X0 Y235 F1000 ; Move Heat Bed to the front for easy print removal
M84 ; Disable stepper motors
; End of custom end GCode</t>
  </si>
  <si>
    <t>Cura AppData folder</t>
  </si>
  <si>
    <t>adhesion_z_offset_adjust</t>
  </si>
  <si>
    <t>; Ender 3 Custom Start G-code
; begin heating bed
M140 S{material_bed_temperature}
G28 ; Home all axes
; begin heating nozzle
M104 S{material_print_temperature_layer_0}
; Wait for bed temp
M190 S{material_bed_temperature}
; Wait for nozzle temp
M109 S{material_print_temperature_layer_0}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G1 E-4.00000 F1500.00000 ; retract
G1 X50 Y20 Z0.3 F1500.0 ; Slight side move
G92 E0 ; Reset Extruder
G1 X100 Y20 Z0.4 F1500.0 ; Slight side move
; End of custom start GCode</t>
  </si>
  <si>
    <t>placeholder_skip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</si>
</sst>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19"/>
  <sheetViews>
    <sheetView tabSelected="1" workbookViewId="0">
      <selection activeCell="B33" sqref="B33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8" max="8" width="17.28515625" bestFit="1" customWidth="1"/>
  </cols>
  <sheetData>
    <row r="1" spans="1:3" ht="15.75" thickBot="1" x14ac:dyDescent="0.3">
      <c r="A1" s="21" t="s">
        <v>8</v>
      </c>
      <c r="B1" s="22" t="s">
        <v>9</v>
      </c>
      <c r="C1" s="22" t="s">
        <v>14</v>
      </c>
    </row>
    <row r="2" spans="1:3" ht="15.75" thickTop="1" x14ac:dyDescent="0.25">
      <c r="A2" s="23" t="s">
        <v>7</v>
      </c>
      <c r="B2" s="24">
        <v>0.5</v>
      </c>
      <c r="C2" s="3"/>
    </row>
    <row r="3" spans="1:3" x14ac:dyDescent="0.25">
      <c r="A3" s="4" t="s">
        <v>10</v>
      </c>
      <c r="B3" s="5" t="s">
        <v>40</v>
      </c>
      <c r="C3" s="5"/>
    </row>
    <row r="4" spans="1:3" x14ac:dyDescent="0.25">
      <c r="A4" s="4" t="s">
        <v>39</v>
      </c>
      <c r="B4" s="5" t="s">
        <v>25</v>
      </c>
      <c r="C4" s="5"/>
    </row>
    <row r="5" spans="1:3" x14ac:dyDescent="0.25">
      <c r="A5" s="7" t="s">
        <v>13</v>
      </c>
      <c r="B5" s="25" t="str">
        <f>B3 &amp;" " &amp; B4 &amp; " " &amp; Nozzle_Diameter &amp; "mm Nozzle"</f>
        <v>Ender3 Speed 0.5mm Nozzle</v>
      </c>
      <c r="C5" s="2"/>
    </row>
    <row r="6" spans="1:3" x14ac:dyDescent="0.25">
      <c r="A6" s="7" t="s">
        <v>38</v>
      </c>
      <c r="B6" s="25" t="str">
        <f>LOWER(SUBSTITUTE(SUBSTITUTE(Printer_Name," ","_"),".","_"))</f>
        <v>ender3_speed_0_5mm_nozzle</v>
      </c>
      <c r="C6" s="2"/>
    </row>
    <row r="7" spans="1:3" x14ac:dyDescent="0.25">
      <c r="A7" s="4" t="s">
        <v>11</v>
      </c>
      <c r="B7" s="5">
        <f>Nozzle_Diameter*0.2</f>
        <v>0.1</v>
      </c>
      <c r="C7" s="5"/>
    </row>
    <row r="8" spans="1:3" x14ac:dyDescent="0.25">
      <c r="A8" s="7" t="s">
        <v>12</v>
      </c>
      <c r="B8" s="2">
        <f>Nozzle_Diameter*0.8</f>
        <v>0.4</v>
      </c>
      <c r="C8" s="2"/>
    </row>
    <row r="9" spans="1:3" x14ac:dyDescent="0.25">
      <c r="A9" s="7" t="s">
        <v>35</v>
      </c>
      <c r="B9" s="2" t="s">
        <v>5</v>
      </c>
      <c r="C9" s="2"/>
    </row>
    <row r="10" spans="1:3" x14ac:dyDescent="0.25">
      <c r="A10" s="7" t="s">
        <v>37</v>
      </c>
      <c r="B10" s="2">
        <v>500</v>
      </c>
      <c r="C10" s="2"/>
    </row>
    <row r="11" spans="1:3" x14ac:dyDescent="0.25">
      <c r="A11" s="4" t="s">
        <v>244</v>
      </c>
      <c r="B11" s="5"/>
      <c r="C11" s="5"/>
    </row>
    <row r="12" spans="1:3" x14ac:dyDescent="0.25">
      <c r="A12" s="7"/>
      <c r="B12" s="2"/>
      <c r="C12" s="2"/>
    </row>
    <row r="13" spans="1:3" x14ac:dyDescent="0.25">
      <c r="A13" s="4"/>
      <c r="B13" s="5"/>
      <c r="C13" s="5"/>
    </row>
    <row r="14" spans="1:3" x14ac:dyDescent="0.25">
      <c r="A14" s="7"/>
      <c r="B14" s="2"/>
      <c r="C14" s="2"/>
    </row>
    <row r="15" spans="1:3" x14ac:dyDescent="0.25">
      <c r="A15" s="4"/>
      <c r="B15" s="5"/>
      <c r="C15" s="5"/>
    </row>
    <row r="16" spans="1:3" x14ac:dyDescent="0.25">
      <c r="A16" s="7"/>
      <c r="B16" s="2"/>
      <c r="C16" s="2"/>
    </row>
    <row r="17" spans="1:3" x14ac:dyDescent="0.25">
      <c r="A17" s="4"/>
      <c r="B17" s="5"/>
      <c r="C17" s="5"/>
    </row>
    <row r="18" spans="1:3" x14ac:dyDescent="0.25">
      <c r="A18" s="7"/>
      <c r="B18" s="2"/>
      <c r="C18" s="2"/>
    </row>
    <row r="19" spans="1:3" x14ac:dyDescent="0.25">
      <c r="A19" s="4"/>
      <c r="B19" s="5"/>
      <c r="C19" s="5"/>
    </row>
  </sheetData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topLeftCell="A2" workbookViewId="0">
      <selection activeCell="B3" sqref="B3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75" x14ac:dyDescent="0.25">
      <c r="A2" t="s">
        <v>241</v>
      </c>
      <c r="B2" s="47" t="s">
        <v>246</v>
      </c>
      <c r="C2" s="47"/>
    </row>
    <row r="3" spans="1:3" ht="165" x14ac:dyDescent="0.25">
      <c r="A3" t="s">
        <v>242</v>
      </c>
      <c r="B3" s="47" t="s">
        <v>243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workbookViewId="0">
      <pane ySplit="1" topLeftCell="A86" activePane="bottomLeft" state="frozen"/>
      <selection pane="bottomLeft" activeCell="C91" sqref="C91"/>
    </sheetView>
  </sheetViews>
  <sheetFormatPr defaultRowHeight="15" x14ac:dyDescent="0.25"/>
  <cols>
    <col min="1" max="1" width="10.140625" customWidth="1"/>
    <col min="2" max="2" width="17.7109375" bestFit="1" customWidth="1"/>
    <col min="3" max="3" width="32.7109375" bestFit="1" customWidth="1"/>
    <col min="4" max="4" width="38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183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184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185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247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186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187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188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189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177</v>
      </c>
      <c r="D32" s="13" t="s">
        <v>178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190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191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192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193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194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>
        <v>210</v>
      </c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>
        <v>60</v>
      </c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>
        <v>100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>
        <v>4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>
        <v>25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>
        <v>0</v>
      </c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195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196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9"/>
      <c r="B62" s="12" t="s">
        <v>25</v>
      </c>
      <c r="C62" s="12" t="s">
        <v>74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  <c r="O62" s="26"/>
    </row>
    <row r="63" spans="1:15" x14ac:dyDescent="0.25">
      <c r="A63" s="38"/>
      <c r="B63" s="15"/>
      <c r="C63" s="15" t="s">
        <v>75</v>
      </c>
      <c r="D63" s="16">
        <f>D62</f>
        <v>0</v>
      </c>
      <c r="E63" s="15">
        <f t="shared" ref="E63" si="1">E62</f>
        <v>60</v>
      </c>
      <c r="F63" s="15">
        <f t="shared" ref="F63" si="2">F62</f>
        <v>55</v>
      </c>
      <c r="G63" s="15">
        <f t="shared" ref="G63" si="3">G62</f>
        <v>50</v>
      </c>
      <c r="H63" s="15">
        <f t="shared" ref="H63" si="4">H62</f>
        <v>45</v>
      </c>
      <c r="I63" s="15">
        <f t="shared" ref="I63" si="5">I62</f>
        <v>40</v>
      </c>
      <c r="J63" s="15">
        <f t="shared" ref="J63" si="6">J62</f>
        <v>35</v>
      </c>
      <c r="K63" s="15">
        <f t="shared" ref="K63" si="7">K62</f>
        <v>30</v>
      </c>
      <c r="L63" s="15">
        <f t="shared" ref="L63" si="8">L62</f>
        <v>30</v>
      </c>
      <c r="M63" s="15">
        <f t="shared" ref="M63" si="9">M62</f>
        <v>25</v>
      </c>
      <c r="N63" s="17"/>
      <c r="O63" s="26"/>
    </row>
    <row r="64" spans="1:15" x14ac:dyDescent="0.25">
      <c r="A64" s="39"/>
      <c r="B64" s="12"/>
      <c r="C64" s="12" t="s">
        <v>76</v>
      </c>
      <c r="D64" s="13">
        <v>45</v>
      </c>
      <c r="E64" s="12">
        <f>MIN(D64,E63)</f>
        <v>45</v>
      </c>
      <c r="F64" s="12">
        <f t="shared" ref="F64:F65" si="10">MIN(E64,F63)</f>
        <v>45</v>
      </c>
      <c r="G64" s="12">
        <f t="shared" ref="G64:G65" si="11">MIN(F64,G63)</f>
        <v>45</v>
      </c>
      <c r="H64" s="12">
        <f t="shared" ref="H64:H65" si="12">MIN(G64,H63)</f>
        <v>45</v>
      </c>
      <c r="I64" s="12">
        <f t="shared" ref="I64:I65" si="13">MIN(H64,I63)</f>
        <v>40</v>
      </c>
      <c r="J64" s="12">
        <f t="shared" ref="J64:J65" si="14">MIN(I64,J63)</f>
        <v>35</v>
      </c>
      <c r="K64" s="12">
        <f t="shared" ref="K64:K65" si="15">MIN(J64,K63)</f>
        <v>30</v>
      </c>
      <c r="L64" s="12">
        <f t="shared" ref="L64:L65" si="16">MIN(K64,L63)</f>
        <v>30</v>
      </c>
      <c r="M64" s="12">
        <f t="shared" ref="M64:M65" si="17">MIN(L64,M63)</f>
        <v>25</v>
      </c>
      <c r="N64" s="14"/>
      <c r="O64" s="26"/>
    </row>
    <row r="65" spans="1:15" x14ac:dyDescent="0.25">
      <c r="A65" s="38"/>
      <c r="B65" s="15"/>
      <c r="C65" s="15" t="s">
        <v>77</v>
      </c>
      <c r="D65" s="16">
        <v>35</v>
      </c>
      <c r="E65" s="15">
        <f>MIN(D65,E64)</f>
        <v>35</v>
      </c>
      <c r="F65" s="15">
        <f t="shared" si="10"/>
        <v>35</v>
      </c>
      <c r="G65" s="15">
        <f t="shared" si="11"/>
        <v>35</v>
      </c>
      <c r="H65" s="15">
        <f t="shared" si="12"/>
        <v>35</v>
      </c>
      <c r="I65" s="15">
        <f t="shared" si="13"/>
        <v>35</v>
      </c>
      <c r="J65" s="15">
        <f t="shared" si="14"/>
        <v>35</v>
      </c>
      <c r="K65" s="15">
        <f t="shared" si="15"/>
        <v>30</v>
      </c>
      <c r="L65" s="15">
        <f t="shared" si="16"/>
        <v>30</v>
      </c>
      <c r="M65" s="15">
        <f t="shared" si="17"/>
        <v>25</v>
      </c>
      <c r="N65" s="17"/>
      <c r="O65" s="26"/>
    </row>
    <row r="66" spans="1:15" x14ac:dyDescent="0.25">
      <c r="A66" s="39"/>
      <c r="B66" s="28"/>
      <c r="C66" s="28" t="s">
        <v>78</v>
      </c>
      <c r="D66" s="13">
        <f>D64</f>
        <v>45</v>
      </c>
      <c r="E66" s="12">
        <f t="shared" ref="E66:M66" si="18">E64</f>
        <v>45</v>
      </c>
      <c r="F66" s="12">
        <f t="shared" si="18"/>
        <v>45</v>
      </c>
      <c r="G66" s="12">
        <f t="shared" si="18"/>
        <v>45</v>
      </c>
      <c r="H66" s="12">
        <f t="shared" si="18"/>
        <v>45</v>
      </c>
      <c r="I66" s="12">
        <f t="shared" si="18"/>
        <v>40</v>
      </c>
      <c r="J66" s="12">
        <f t="shared" si="18"/>
        <v>35</v>
      </c>
      <c r="K66" s="12">
        <f t="shared" si="18"/>
        <v>30</v>
      </c>
      <c r="L66" s="12">
        <f t="shared" si="18"/>
        <v>30</v>
      </c>
      <c r="M66" s="12">
        <f t="shared" si="18"/>
        <v>25</v>
      </c>
      <c r="N66" s="14"/>
      <c r="O66" s="26"/>
    </row>
    <row r="67" spans="1:15" x14ac:dyDescent="0.25">
      <c r="A67" s="38"/>
      <c r="B67" s="15"/>
      <c r="C67" s="15" t="s">
        <v>79</v>
      </c>
      <c r="D67" s="16">
        <f>D65</f>
        <v>35</v>
      </c>
      <c r="E67" s="15">
        <f t="shared" ref="E67:M67" si="19">E65</f>
        <v>35</v>
      </c>
      <c r="F67" s="15">
        <f t="shared" si="19"/>
        <v>35</v>
      </c>
      <c r="G67" s="15">
        <f t="shared" si="19"/>
        <v>35</v>
      </c>
      <c r="H67" s="15">
        <f t="shared" si="19"/>
        <v>35</v>
      </c>
      <c r="I67" s="15">
        <f t="shared" si="19"/>
        <v>35</v>
      </c>
      <c r="J67" s="15">
        <f t="shared" si="19"/>
        <v>35</v>
      </c>
      <c r="K67" s="15">
        <f t="shared" si="19"/>
        <v>30</v>
      </c>
      <c r="L67" s="15">
        <f t="shared" si="19"/>
        <v>30</v>
      </c>
      <c r="M67" s="15">
        <f t="shared" si="19"/>
        <v>25</v>
      </c>
      <c r="N67" s="17"/>
      <c r="O67" s="26"/>
    </row>
    <row r="68" spans="1:15" x14ac:dyDescent="0.25">
      <c r="A68" s="39"/>
      <c r="B68" s="12"/>
      <c r="C68" s="12" t="s">
        <v>80</v>
      </c>
      <c r="D68" s="13">
        <f>D64</f>
        <v>45</v>
      </c>
      <c r="E68" s="12">
        <f t="shared" ref="E68:M68" si="20">E64</f>
        <v>45</v>
      </c>
      <c r="F68" s="12">
        <f t="shared" si="20"/>
        <v>45</v>
      </c>
      <c r="G68" s="12">
        <f t="shared" si="20"/>
        <v>45</v>
      </c>
      <c r="H68" s="12">
        <f t="shared" si="20"/>
        <v>45</v>
      </c>
      <c r="I68" s="12">
        <f t="shared" si="20"/>
        <v>40</v>
      </c>
      <c r="J68" s="12">
        <f t="shared" si="20"/>
        <v>35</v>
      </c>
      <c r="K68" s="12">
        <f t="shared" si="20"/>
        <v>30</v>
      </c>
      <c r="L68" s="12">
        <f t="shared" si="20"/>
        <v>30</v>
      </c>
      <c r="M68" s="12">
        <f t="shared" si="20"/>
        <v>25</v>
      </c>
      <c r="N68" s="40"/>
      <c r="O68" s="26"/>
    </row>
    <row r="69" spans="1:15" x14ac:dyDescent="0.25">
      <c r="A69" s="38"/>
      <c r="B69" s="15"/>
      <c r="C69" s="15" t="s">
        <v>81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25">
      <c r="A70" s="39"/>
      <c r="B70" s="12"/>
      <c r="C70" s="12" t="s">
        <v>82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25">
      <c r="A71" s="38"/>
      <c r="B71" s="15"/>
      <c r="C71" s="15" t="s">
        <v>197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28" t="s">
        <v>198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83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125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84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12" t="s">
        <v>85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86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87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88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89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199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200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 t="s">
        <v>90</v>
      </c>
      <c r="C83" s="15" t="s">
        <v>91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92</v>
      </c>
      <c r="D84" s="13">
        <v>0</v>
      </c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/>
      <c r="C85" s="15" t="s">
        <v>93</v>
      </c>
      <c r="D85" s="16" t="str">
        <f>"True"</f>
        <v>True</v>
      </c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201</v>
      </c>
      <c r="D86" s="13" t="str">
        <f>"True"</f>
        <v>True</v>
      </c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202</v>
      </c>
      <c r="D87" s="16" t="str">
        <f>"False"</f>
        <v>False</v>
      </c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203</v>
      </c>
      <c r="D88" s="13" t="str">
        <f>"False"</f>
        <v>False</v>
      </c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94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204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95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 t="s">
        <v>36</v>
      </c>
      <c r="C92" s="12" t="s">
        <v>96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97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/>
      <c r="C94" s="12" t="s">
        <v>98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99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100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205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101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126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102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103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104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 t="s">
        <v>105</v>
      </c>
      <c r="C103" s="15" t="s">
        <v>106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107</v>
      </c>
      <c r="D104" s="13" t="s">
        <v>108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/>
      <c r="C105" s="15" t="s">
        <v>109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206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207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208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5"/>
      <c r="C109" s="5" t="s">
        <v>110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25">
      <c r="A110" s="39"/>
      <c r="B110" s="2"/>
      <c r="C110" s="2" t="s">
        <v>111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25">
      <c r="A111" s="38"/>
      <c r="B111" s="5"/>
      <c r="C111" s="5" t="s">
        <v>112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116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117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118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209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210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211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212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119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213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120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121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122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214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215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216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217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218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114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 t="s">
        <v>127</v>
      </c>
      <c r="C130" s="2" t="s">
        <v>128</v>
      </c>
      <c r="D130" s="8" t="s">
        <v>135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129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/>
      <c r="C132" s="2" t="s">
        <v>130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219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176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220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131</v>
      </c>
      <c r="D137" s="6" t="s">
        <v>179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245</v>
      </c>
      <c r="D138" s="8">
        <v>0</v>
      </c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 t="s">
        <v>132</v>
      </c>
      <c r="C139" s="5" t="s">
        <v>123</v>
      </c>
      <c r="D139" s="6" t="s">
        <v>179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 t="s">
        <v>133</v>
      </c>
      <c r="C140" s="2" t="s">
        <v>115</v>
      </c>
      <c r="D140" s="8" t="s">
        <v>180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/>
      <c r="C141" s="5" t="s">
        <v>113</v>
      </c>
      <c r="D141" s="6">
        <v>0.2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/>
      <c r="C142" s="2" t="s">
        <v>221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222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223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134</v>
      </c>
      <c r="D145" s="6" t="s">
        <v>179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124</v>
      </c>
      <c r="D146" s="8" t="s">
        <v>179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224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225</v>
      </c>
      <c r="D148" s="8" t="str">
        <f>"False"</f>
        <v>False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136</v>
      </c>
      <c r="D149" s="6" t="s">
        <v>180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137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138</v>
      </c>
      <c r="D151" s="6" t="s">
        <v>181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139</v>
      </c>
      <c r="D152" s="8" t="s">
        <v>179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226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227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228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229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140</v>
      </c>
      <c r="D157" s="6" t="s">
        <v>180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141</v>
      </c>
      <c r="D158" s="8">
        <v>0.08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142</v>
      </c>
      <c r="D159" s="6">
        <v>0.04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230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231</v>
      </c>
      <c r="D161" s="6"/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143</v>
      </c>
      <c r="D162" s="8" t="s">
        <v>179</v>
      </c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232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233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234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235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236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237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238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239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240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/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25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25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25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25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25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38.425781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33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33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25">
      <c r="A9" s="31"/>
      <c r="B9" s="29"/>
      <c r="C9" s="29" t="s">
        <v>169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workbookViewId="0">
      <pane ySplit="1" topLeftCell="A14" activePane="bottomLeft" state="frozen"/>
      <selection pane="bottomLeft" activeCell="C27" sqref="C2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4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>
        <v>50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>
        <v>30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>
        <v>0.08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workbookViewId="0">
      <pane ySplit="1" topLeftCell="A11" activePane="bottomLeft" state="frozen"/>
      <selection pane="bottomLeft" activeCell="D22" sqref="D22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26.28515625" style="1" bestFit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25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25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25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adhesion_z_offset_adjust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>Special Modes</v>
      </c>
      <c r="C139" s="29" t="str">
        <f>Fill_Value(quality!C139)</f>
        <v>relative_extrusion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>Experimental</v>
      </c>
      <c r="C140" s="29" t="str">
        <f>Fill_Value(quality!C140)</f>
        <v>support_tree_enable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/>
      </c>
      <c r="C141" s="29" t="str">
        <f>Fill_Value(quality!C141)</f>
        <v>support_tree_branch_distance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/>
      </c>
      <c r="C142" s="29" t="str">
        <f>Fill_Value(quality!C142)</f>
        <v>roofing_line_width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roofing_pattern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roofing_angles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infill_enable_travel_optimization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support_skip_some_zags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draft_shield_enabled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conical_overhang_enabled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coasting_enable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coasting_volume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coasting_min_volume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skin_alternate_rotation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spaghetti_infill_enabled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support_conical_enabled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magic_fuzzy_skin_enabled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wireframe_enabled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adaptive_layer_height_enabled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adaptive_layer_height_variation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adaptive_layer_height_variation_step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wall_overhang_angle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wall_overhang_speed_factor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bridge_settings_enabled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bridge_wall_min_length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bridge_skin_support_threshold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bridge_wall_coast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bridge_wall_speed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bridge_wall_material_flow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bridge_skin_speed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bridge_skin_material_flow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bridge_skin_density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bridge_fan_speed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bridge_enable_more_layers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spec</vt:lpstr>
      <vt:lpstr>printer</vt:lpstr>
      <vt:lpstr>quality</vt:lpstr>
      <vt:lpstr>filament_TPU</vt:lpstr>
      <vt:lpstr>filament_PP</vt:lpstr>
      <vt:lpstr>filament_Nylon</vt:lpstr>
      <vt:lpstr>filament_ABS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2019-04-17T05:03:50Z</dcterms:modified>
</cp:coreProperties>
</file>