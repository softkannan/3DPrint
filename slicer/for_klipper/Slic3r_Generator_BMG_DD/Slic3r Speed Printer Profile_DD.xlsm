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56909992b2604a19"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01" codeName="{009DFEA7-8C9C-09C3-8CAF-802165E75F88}"/>
  <workbookPr codeName="ThisWorkbook" defaultThemeVersion="166925"/>
  <mc:AlternateContent xmlns:mc="http://schemas.openxmlformats.org/markup-compatibility/2006">
    <mc:Choice Requires="x15">
      <x15ac:absPath xmlns:x15ac="http://schemas.microsoft.com/office/spreadsheetml/2010/11/ac" url="C:\GitHub\3DPrint\slicer\for_klipper\Slic3r_Generator_BMG_DD\"/>
    </mc:Choice>
  </mc:AlternateContent>
  <xr:revisionPtr revIDLastSave="0" documentId="13_ncr:1_{0E4E6A3B-093D-4BCD-B201-CEC8BD4A67A8}" xr6:coauthVersionLast="43" xr6:coauthVersionMax="43" xr10:uidLastSave="{00000000-0000-0000-0000-000000000000}"/>
  <bookViews>
    <workbookView xWindow="-108" yWindow="-108" windowWidth="30936" windowHeight="16920" xr2:uid="{E8DF9499-C68D-4AF3-B2AA-BB8266EB0F5B}"/>
  </bookViews>
  <sheets>
    <sheet name="spec" sheetId="6" r:id="rId1"/>
    <sheet name="print" sheetId="2" r:id="rId2"/>
    <sheet name="print_PLA" sheetId="10" r:id="rId3"/>
    <sheet name="print_PET" sheetId="11" r:id="rId4"/>
    <sheet name="filament" sheetId="3" r:id="rId5"/>
    <sheet name="printer" sheetId="5" r:id="rId6"/>
  </sheets>
  <functionGroups builtInGroupCount="19"/>
  <definedNames>
    <definedName name="APPDATA_FOLDER">spec!$B$15</definedName>
    <definedName name="FILAMENT_NAME">spec!$B$7</definedName>
    <definedName name="Generate_Filament_Specific" localSheetId="3">spec!#REF!</definedName>
    <definedName name="Generate_Filament_Specific" localSheetId="2">spec!#REF!</definedName>
    <definedName name="Generate_Filament_Specific">spec!#REF!</definedName>
    <definedName name="MAX_ACCELERATION">spec!$B$8</definedName>
    <definedName name="Max_Layer_Height">spec!$B$6</definedName>
    <definedName name="MIN_BOTTOM_THICKNESS">spec!$B$11</definedName>
    <definedName name="Min_Layer_Height">spec!$B$5</definedName>
    <definedName name="MIN_TOP_THICKNESS">spec!$B$10</definedName>
    <definedName name="MIN_WALL_THICKNESS">spec!$B$9</definedName>
    <definedName name="Nozzle_Diameter">spec!$B$2</definedName>
    <definedName name="pressure_advance_klipper">printer!$C$24</definedName>
    <definedName name="Printer_Name">spec!$B$4</definedName>
    <definedName name="Printer_Prefix" localSheetId="3">spec!#REF!</definedName>
    <definedName name="Printer_Prefix" localSheetId="2">spec!#REF!</definedName>
    <definedName name="Printer_Prefix">spec!#REF!</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5" i="6" l="1"/>
  <c r="J15" i="6"/>
  <c r="K15" i="6"/>
  <c r="L15" i="6"/>
  <c r="L26" i="6" s="1"/>
  <c r="M15" i="6"/>
  <c r="N15" i="6"/>
  <c r="N26" i="6" s="1"/>
  <c r="O15" i="6"/>
  <c r="O26" i="6" s="1"/>
  <c r="P15" i="6"/>
  <c r="H15" i="6"/>
  <c r="H26" i="6" s="1"/>
  <c r="G79" i="11"/>
  <c r="P26" i="6"/>
  <c r="I26" i="6"/>
  <c r="J26" i="6"/>
  <c r="K26" i="6"/>
  <c r="M26" i="6"/>
  <c r="P27" i="6"/>
  <c r="P28" i="6"/>
  <c r="O27" i="6"/>
  <c r="O28" i="6"/>
  <c r="N27" i="6"/>
  <c r="N28" i="6"/>
  <c r="M27" i="6"/>
  <c r="M28" i="6"/>
  <c r="L27" i="6"/>
  <c r="L28" i="6"/>
  <c r="K27" i="6"/>
  <c r="K28" i="6"/>
  <c r="J27" i="6"/>
  <c r="J28" i="6"/>
  <c r="I27" i="6"/>
  <c r="I28" i="6"/>
  <c r="H27" i="6"/>
  <c r="H28" i="6"/>
  <c r="P16" i="6"/>
  <c r="P17" i="6"/>
  <c r="O16" i="6"/>
  <c r="O17" i="6"/>
  <c r="N16" i="6"/>
  <c r="N17" i="6"/>
  <c r="M16" i="6"/>
  <c r="M17" i="6"/>
  <c r="L16" i="6"/>
  <c r="L17" i="6"/>
  <c r="K16" i="6"/>
  <c r="K17" i="6"/>
  <c r="J16" i="6"/>
  <c r="J17" i="6"/>
  <c r="I16" i="6"/>
  <c r="I17" i="6"/>
  <c r="H16" i="6"/>
  <c r="H17" i="6"/>
  <c r="C135" i="11" l="1"/>
  <c r="C98" i="11"/>
  <c r="C97" i="11"/>
  <c r="C96" i="11"/>
  <c r="C95" i="11"/>
  <c r="C94" i="11"/>
  <c r="C86" i="11"/>
  <c r="L85" i="11"/>
  <c r="K85" i="11"/>
  <c r="J85" i="11"/>
  <c r="I85" i="11"/>
  <c r="H85" i="11"/>
  <c r="G85" i="11"/>
  <c r="F85" i="11"/>
  <c r="E85" i="11"/>
  <c r="D85" i="11"/>
  <c r="F84" i="11"/>
  <c r="L82" i="11"/>
  <c r="K82" i="11"/>
  <c r="J82" i="11"/>
  <c r="I82" i="11"/>
  <c r="H82" i="11"/>
  <c r="G82" i="11"/>
  <c r="F82" i="11"/>
  <c r="E82" i="11"/>
  <c r="D82" i="11"/>
  <c r="L79" i="11"/>
  <c r="L87" i="11" s="1"/>
  <c r="K79" i="11"/>
  <c r="K84" i="11" s="1"/>
  <c r="J79" i="11"/>
  <c r="J81" i="11" s="1"/>
  <c r="J80" i="11" s="1"/>
  <c r="J88" i="11" s="1"/>
  <c r="I79" i="11"/>
  <c r="I84" i="11" s="1"/>
  <c r="H79" i="11"/>
  <c r="H87" i="11" s="1"/>
  <c r="G84" i="11"/>
  <c r="F79" i="11"/>
  <c r="F81" i="11" s="1"/>
  <c r="F80" i="11" s="1"/>
  <c r="F88" i="11" s="1"/>
  <c r="E79" i="11"/>
  <c r="E84" i="11" s="1"/>
  <c r="D79" i="11"/>
  <c r="D87" i="11" s="1"/>
  <c r="C50" i="11"/>
  <c r="C40" i="11"/>
  <c r="C28" i="11"/>
  <c r="C126" i="2"/>
  <c r="B10" i="6"/>
  <c r="B11" i="6"/>
  <c r="B9" i="6"/>
  <c r="I81" i="11" l="1"/>
  <c r="I80" i="11" s="1"/>
  <c r="I88" i="11" s="1"/>
  <c r="H84" i="11"/>
  <c r="J84" i="11"/>
  <c r="D84" i="11"/>
  <c r="L84" i="11"/>
  <c r="E81" i="11"/>
  <c r="E80" i="11" s="1"/>
  <c r="E88" i="11" s="1"/>
  <c r="G81" i="11"/>
  <c r="G80" i="11" s="1"/>
  <c r="G88" i="11" s="1"/>
  <c r="K81" i="11"/>
  <c r="K80" i="11" s="1"/>
  <c r="K88" i="11" s="1"/>
  <c r="E87" i="11"/>
  <c r="I87" i="11"/>
  <c r="D81" i="11"/>
  <c r="D80" i="11" s="1"/>
  <c r="D88" i="11" s="1"/>
  <c r="H81" i="11"/>
  <c r="H80" i="11" s="1"/>
  <c r="H88" i="11" s="1"/>
  <c r="L81" i="11"/>
  <c r="L80" i="11" s="1"/>
  <c r="L88" i="11" s="1"/>
  <c r="F87" i="11"/>
  <c r="J87" i="11"/>
  <c r="G87" i="11"/>
  <c r="K87" i="11"/>
  <c r="D83" i="11"/>
  <c r="E83" i="11" s="1"/>
  <c r="F83" i="11" s="1"/>
  <c r="G83" i="11" s="1"/>
  <c r="H83" i="11" s="1"/>
  <c r="I83" i="11" s="1"/>
  <c r="J83" i="11" s="1"/>
  <c r="K83" i="11" s="1"/>
  <c r="L83" i="11" s="1"/>
  <c r="C135" i="2"/>
  <c r="C28" i="2"/>
  <c r="C28" i="10"/>
  <c r="C86" i="10"/>
  <c r="C135" i="10"/>
  <c r="C86" i="2"/>
  <c r="I8" i="6" l="1"/>
  <c r="J8" i="6"/>
  <c r="K8" i="6"/>
  <c r="L8" i="6"/>
  <c r="M8" i="6"/>
  <c r="N8" i="6"/>
  <c r="O8" i="6"/>
  <c r="P8" i="6"/>
  <c r="I7" i="6"/>
  <c r="J7" i="6"/>
  <c r="K7" i="6"/>
  <c r="L7" i="6"/>
  <c r="M7" i="6"/>
  <c r="N7" i="6"/>
  <c r="O7" i="6"/>
  <c r="P7" i="6"/>
  <c r="I6" i="6"/>
  <c r="J6" i="6"/>
  <c r="K6" i="6"/>
  <c r="L6" i="6"/>
  <c r="M6" i="6"/>
  <c r="N6" i="6"/>
  <c r="O6" i="6"/>
  <c r="P6" i="6"/>
  <c r="I5" i="6"/>
  <c r="J5" i="6"/>
  <c r="K5" i="6"/>
  <c r="L5" i="6"/>
  <c r="M5" i="6"/>
  <c r="N5" i="6"/>
  <c r="O5" i="6"/>
  <c r="P5" i="6"/>
  <c r="I4" i="6"/>
  <c r="J4" i="6"/>
  <c r="K4" i="6"/>
  <c r="L4" i="6"/>
  <c r="M4" i="6"/>
  <c r="N4" i="6"/>
  <c r="O4" i="6"/>
  <c r="P4" i="6"/>
  <c r="I3" i="6"/>
  <c r="J3" i="6"/>
  <c r="K3" i="6"/>
  <c r="L3" i="6"/>
  <c r="M3" i="6"/>
  <c r="N3" i="6"/>
  <c r="O3" i="6"/>
  <c r="P3" i="6"/>
  <c r="H4" i="6"/>
  <c r="H5" i="6"/>
  <c r="H6" i="6"/>
  <c r="H7" i="6"/>
  <c r="H8" i="6"/>
  <c r="H3" i="6"/>
  <c r="C89" i="5"/>
  <c r="C98" i="10" l="1"/>
  <c r="C97" i="10"/>
  <c r="C96" i="10"/>
  <c r="C95" i="10"/>
  <c r="C94" i="10"/>
  <c r="L85" i="10"/>
  <c r="K85" i="10"/>
  <c r="J85" i="10"/>
  <c r="I85" i="10"/>
  <c r="H85" i="10"/>
  <c r="G85" i="10"/>
  <c r="F85" i="10"/>
  <c r="E85" i="10"/>
  <c r="D85" i="10"/>
  <c r="L82" i="10"/>
  <c r="K82" i="10"/>
  <c r="J82" i="10"/>
  <c r="I82" i="10"/>
  <c r="H82" i="10"/>
  <c r="G82" i="10"/>
  <c r="F82" i="10"/>
  <c r="E82" i="10"/>
  <c r="D82" i="10"/>
  <c r="L79" i="10"/>
  <c r="L83" i="10" s="1"/>
  <c r="K79" i="10"/>
  <c r="K81" i="10" s="1"/>
  <c r="J79" i="10"/>
  <c r="J81" i="10" s="1"/>
  <c r="I79" i="10"/>
  <c r="I83" i="10" s="1"/>
  <c r="H79" i="10"/>
  <c r="H83" i="10" s="1"/>
  <c r="G79" i="10"/>
  <c r="G81" i="10" s="1"/>
  <c r="F79" i="10"/>
  <c r="F81" i="10" s="1"/>
  <c r="E79" i="10"/>
  <c r="E83" i="10" s="1"/>
  <c r="D79" i="10"/>
  <c r="D83" i="10" s="1"/>
  <c r="C50" i="10"/>
  <c r="C40" i="10"/>
  <c r="D81" i="10" l="1"/>
  <c r="D84" i="10" s="1"/>
  <c r="E81" i="10"/>
  <c r="H81" i="10"/>
  <c r="H84" i="10" s="1"/>
  <c r="I81" i="10"/>
  <c r="L81" i="10"/>
  <c r="L84" i="10" s="1"/>
  <c r="F87" i="10"/>
  <c r="F84" i="10"/>
  <c r="F80" i="10"/>
  <c r="F88" i="10" s="1"/>
  <c r="J87" i="10"/>
  <c r="J84" i="10"/>
  <c r="J80" i="10"/>
  <c r="J88" i="10" s="1"/>
  <c r="G84" i="10"/>
  <c r="G80" i="10"/>
  <c r="G88" i="10" s="1"/>
  <c r="G87" i="10"/>
  <c r="K84" i="10"/>
  <c r="K80" i="10"/>
  <c r="K88" i="10" s="1"/>
  <c r="K87" i="10"/>
  <c r="F83" i="10"/>
  <c r="J83" i="10"/>
  <c r="G83" i="10"/>
  <c r="K83" i="10"/>
  <c r="D87" i="10"/>
  <c r="H87" i="10"/>
  <c r="D80" i="10"/>
  <c r="D88" i="10" s="1"/>
  <c r="E85" i="2"/>
  <c r="F85" i="2"/>
  <c r="G85" i="2"/>
  <c r="H85" i="2"/>
  <c r="I85" i="2"/>
  <c r="J85" i="2"/>
  <c r="K85" i="2"/>
  <c r="L85" i="2"/>
  <c r="D85" i="2"/>
  <c r="E79" i="2"/>
  <c r="F79" i="2"/>
  <c r="G79" i="2"/>
  <c r="H79" i="2"/>
  <c r="I79" i="2"/>
  <c r="J79" i="2"/>
  <c r="K79" i="2"/>
  <c r="L79" i="2"/>
  <c r="D79" i="2"/>
  <c r="L87" i="10" l="1"/>
  <c r="L80" i="10"/>
  <c r="L88" i="10" s="1"/>
  <c r="H83" i="2"/>
  <c r="H81" i="2"/>
  <c r="I83" i="2"/>
  <c r="I81" i="2"/>
  <c r="F83" i="2"/>
  <c r="F81" i="2"/>
  <c r="D81" i="2"/>
  <c r="D83" i="2"/>
  <c r="E81" i="2"/>
  <c r="E83" i="2"/>
  <c r="G83" i="2"/>
  <c r="G81" i="2"/>
  <c r="L81" i="2"/>
  <c r="L83" i="2"/>
  <c r="I87" i="10"/>
  <c r="I84" i="10"/>
  <c r="I80" i="10"/>
  <c r="I88" i="10" s="1"/>
  <c r="K83" i="2"/>
  <c r="K81" i="2"/>
  <c r="J83" i="2"/>
  <c r="J81" i="2"/>
  <c r="H80" i="10"/>
  <c r="H88" i="10" s="1"/>
  <c r="E87" i="10"/>
  <c r="E84" i="10"/>
  <c r="E80" i="10"/>
  <c r="E88" i="10" s="1"/>
  <c r="B4" i="6"/>
  <c r="C91" i="5"/>
  <c r="C90" i="5"/>
  <c r="C24" i="5"/>
  <c r="C58" i="5"/>
  <c r="C158" i="10" l="1"/>
  <c r="C158" i="11"/>
  <c r="D80" i="2"/>
  <c r="D88" i="2" s="1"/>
  <c r="D84" i="2"/>
  <c r="D87" i="2"/>
  <c r="J87" i="2"/>
  <c r="J84" i="2"/>
  <c r="J80" i="2"/>
  <c r="J88" i="2" s="1"/>
  <c r="L80" i="2"/>
  <c r="L88" i="2" s="1"/>
  <c r="L87" i="2"/>
  <c r="L84" i="2"/>
  <c r="F80" i="2"/>
  <c r="F88" i="2" s="1"/>
  <c r="F84" i="2"/>
  <c r="F87" i="2"/>
  <c r="G84" i="2"/>
  <c r="G87" i="2"/>
  <c r="G80" i="2"/>
  <c r="G88" i="2" s="1"/>
  <c r="I87" i="2"/>
  <c r="I84" i="2"/>
  <c r="I80" i="2"/>
  <c r="I88" i="2" s="1"/>
  <c r="K80" i="2"/>
  <c r="K88" i="2" s="1"/>
  <c r="K87" i="2"/>
  <c r="K84" i="2"/>
  <c r="H80" i="2"/>
  <c r="H88" i="2" s="1"/>
  <c r="H87" i="2"/>
  <c r="H84" i="2"/>
  <c r="E80" i="2"/>
  <c r="E88" i="2" s="1"/>
  <c r="E84" i="2"/>
  <c r="E87" i="2"/>
  <c r="C40" i="5"/>
  <c r="C41" i="5"/>
  <c r="C39" i="5"/>
  <c r="C37" i="5"/>
  <c r="C36" i="5"/>
  <c r="C95" i="2"/>
  <c r="C96" i="2"/>
  <c r="C97" i="2"/>
  <c r="C98" i="2"/>
  <c r="C94" i="2"/>
  <c r="C63" i="5"/>
  <c r="C65" i="5"/>
  <c r="C88" i="5"/>
  <c r="C68" i="5"/>
  <c r="C66" i="5"/>
  <c r="C5" i="5"/>
  <c r="C62" i="5"/>
  <c r="C67" i="5"/>
  <c r="C70" i="5"/>
  <c r="C64" i="5"/>
  <c r="C69" i="5"/>
  <c r="C59" i="5"/>
  <c r="C50" i="2" l="1"/>
  <c r="C14" i="5"/>
  <c r="C51" i="5" l="1"/>
  <c r="C40" i="2"/>
  <c r="C81" i="5" l="1"/>
  <c r="H82" i="2" l="1"/>
  <c r="L82" i="2"/>
  <c r="K82" i="2"/>
  <c r="E82" i="2"/>
  <c r="I82" i="2"/>
  <c r="D82" i="2"/>
  <c r="F82" i="2"/>
  <c r="J82" i="2"/>
  <c r="G82" i="2"/>
  <c r="B5" i="6"/>
  <c r="B6" i="6"/>
  <c r="C54" i="5" s="1"/>
  <c r="C6" i="11" l="1"/>
  <c r="C5" i="11"/>
  <c r="C6" i="10"/>
  <c r="C5" i="10"/>
  <c r="C158" i="2"/>
  <c r="C6" i="2"/>
  <c r="C53" i="5"/>
  <c r="C5" i="2"/>
  <c r="C51" i="3"/>
</calcChain>
</file>

<file path=xl/sharedStrings.xml><?xml version="1.0" encoding="utf-8"?>
<sst xmlns="http://schemas.openxmlformats.org/spreadsheetml/2006/main" count="948" uniqueCount="426">
  <si>
    <t>threads</t>
  </si>
  <si>
    <t>layer_height</t>
  </si>
  <si>
    <t>first_layer_height</t>
  </si>
  <si>
    <t>perimeters</t>
  </si>
  <si>
    <t>spiral_vase</t>
  </si>
  <si>
    <t>top_solid_layers</t>
  </si>
  <si>
    <t>bottom_solid_layers</t>
  </si>
  <si>
    <t>extra_perimeters</t>
  </si>
  <si>
    <t>ensure_vertical_shell_thickness</t>
  </si>
  <si>
    <t>avoid_crossing_perimeters</t>
  </si>
  <si>
    <t>thin_walls</t>
  </si>
  <si>
    <t>dont_support_bridges</t>
  </si>
  <si>
    <t>seam_position</t>
  </si>
  <si>
    <t>nearest</t>
  </si>
  <si>
    <t>external_perimeters_first</t>
  </si>
  <si>
    <t>fill_density</t>
  </si>
  <si>
    <t>fill_pattern</t>
  </si>
  <si>
    <t>rectilinear</t>
  </si>
  <si>
    <t>external_fill_pattern</t>
  </si>
  <si>
    <t>infill_every_layers</t>
  </si>
  <si>
    <t>infill_only_where_needed</t>
  </si>
  <si>
    <t>solid_infill_every_layers</t>
  </si>
  <si>
    <t>fill_angle</t>
  </si>
  <si>
    <t>solid_infill_below_area</t>
  </si>
  <si>
    <t>bridge_angle</t>
  </si>
  <si>
    <t>only_retract_when_crossing_perimeters</t>
  </si>
  <si>
    <t>infill_first</t>
  </si>
  <si>
    <t>skirts</t>
  </si>
  <si>
    <t>skirt_distance</t>
  </si>
  <si>
    <t>skirt_height</t>
  </si>
  <si>
    <t>min_skirt_length</t>
  </si>
  <si>
    <t>brim_width</t>
  </si>
  <si>
    <t>support_material</t>
  </si>
  <si>
    <t>support_material_auto</t>
  </si>
  <si>
    <t>support_material_threshold</t>
  </si>
  <si>
    <t>support_material_enforce_layers</t>
  </si>
  <si>
    <t>raft_layers</t>
  </si>
  <si>
    <t>support_material_contact_distance</t>
  </si>
  <si>
    <t>support_material_pattern</t>
  </si>
  <si>
    <t>support_material_with_sheath</t>
  </si>
  <si>
    <t>support_material_spacing</t>
  </si>
  <si>
    <t>support_material_angle</t>
  </si>
  <si>
    <t>support_material_interface_layers</t>
  </si>
  <si>
    <t>support_material_interface_spacing</t>
  </si>
  <si>
    <t>support_material_interface_contact_loops</t>
  </si>
  <si>
    <t>support_material_buildplate_only</t>
  </si>
  <si>
    <t>support_material_xy_spacing</t>
  </si>
  <si>
    <t>support_material_synchronize_layers</t>
  </si>
  <si>
    <t>perimeter_speed</t>
  </si>
  <si>
    <t>small_perimeter_speed</t>
  </si>
  <si>
    <t>external_perimeter_speed</t>
  </si>
  <si>
    <t>infill_speed</t>
  </si>
  <si>
    <t>solid_infill_speed</t>
  </si>
  <si>
    <t>top_solid_infill_speed</t>
  </si>
  <si>
    <t>support_material_speed</t>
  </si>
  <si>
    <t>support_material_interface_speed</t>
  </si>
  <si>
    <t>bridge_speed</t>
  </si>
  <si>
    <t>gap_fill_speed</t>
  </si>
  <si>
    <t>travel_speed</t>
  </si>
  <si>
    <t>first_layer_speed</t>
  </si>
  <si>
    <t>perimeter_acceleration</t>
  </si>
  <si>
    <t>infill_acceleration</t>
  </si>
  <si>
    <t>bridge_acceleration</t>
  </si>
  <si>
    <t>first_layer_acceleration</t>
  </si>
  <si>
    <t>default_acceleration</t>
  </si>
  <si>
    <t>max_print_speed</t>
  </si>
  <si>
    <t>max_volumetric_speed</t>
  </si>
  <si>
    <t>max_volumetric_extrusion_rate_slope_negative</t>
  </si>
  <si>
    <t>max_volumetric_extrusion_rate_slope_positive</t>
  </si>
  <si>
    <t>perimeter_extruder</t>
  </si>
  <si>
    <t>infill_extruder</t>
  </si>
  <si>
    <t>solid_infill_extruder</t>
  </si>
  <si>
    <t>support_material_extruder</t>
  </si>
  <si>
    <t>support_material_interface_extruder</t>
  </si>
  <si>
    <t>ooze_prevention</t>
  </si>
  <si>
    <t>standby_temperature_delta</t>
  </si>
  <si>
    <t>wipe_tower</t>
  </si>
  <si>
    <t>wipe_tower_x</t>
  </si>
  <si>
    <t>wipe_tower_y</t>
  </si>
  <si>
    <t>wipe_tower_width</t>
  </si>
  <si>
    <t>wipe_tower_rotation_angle</t>
  </si>
  <si>
    <t>wipe_tower_bridging</t>
  </si>
  <si>
    <t>single_extruder_multi_material_priming</t>
  </si>
  <si>
    <t>interface_shells</t>
  </si>
  <si>
    <t>extrusion_width</t>
  </si>
  <si>
    <t>first_layer_extrusion_width</t>
  </si>
  <si>
    <t>perimeter_extrusion_width</t>
  </si>
  <si>
    <t>external_perimeter_extrusion_width</t>
  </si>
  <si>
    <t>infill_extrusion_width</t>
  </si>
  <si>
    <t>solid_infill_extrusion_width</t>
  </si>
  <si>
    <t>top_infill_extrusion_width</t>
  </si>
  <si>
    <t>support_material_extrusion_width</t>
  </si>
  <si>
    <t>infill_overlap</t>
  </si>
  <si>
    <t>bridge_flow_ratio</t>
  </si>
  <si>
    <t>clip_multipart_objects</t>
  </si>
  <si>
    <t>elefant_foot_compensation</t>
  </si>
  <si>
    <t>xy_size_compensation</t>
  </si>
  <si>
    <t>resolution</t>
  </si>
  <si>
    <t>complete_objects</t>
  </si>
  <si>
    <t>extruder_clearance_height</t>
  </si>
  <si>
    <t>extruder_clearance_radius</t>
  </si>
  <si>
    <t>gcode_comments</t>
  </si>
  <si>
    <t>output_filename_format</t>
  </si>
  <si>
    <t>[input_filename_base]_[filament_type][layer_height]mm.gcode</t>
  </si>
  <si>
    <t>#Post Processing Scripts</t>
  </si>
  <si>
    <t>post_process</t>
  </si>
  <si>
    <t>#notes</t>
  </si>
  <si>
    <t>notes</t>
  </si>
  <si>
    <t>#dependencies</t>
  </si>
  <si>
    <t>Common</t>
  </si>
  <si>
    <t>filament_colour</t>
  </si>
  <si>
    <t>#FF3232</t>
  </si>
  <si>
    <t>filament_diameter</t>
  </si>
  <si>
    <t>extrusion_multiplier</t>
  </si>
  <si>
    <t>filament_density</t>
  </si>
  <si>
    <t>filament_cost</t>
  </si>
  <si>
    <t>first_layer_temperature</t>
  </si>
  <si>
    <t>temperature</t>
  </si>
  <si>
    <t>first_layer_bed_temperature</t>
  </si>
  <si>
    <t>bed_temperature</t>
  </si>
  <si>
    <t>fan_always_on</t>
  </si>
  <si>
    <t>cooling</t>
  </si>
  <si>
    <t>#Fan Settings</t>
  </si>
  <si>
    <t>min_fan_speed</t>
  </si>
  <si>
    <t>max_fan_speed</t>
  </si>
  <si>
    <t>bridge_fan_speed</t>
  </si>
  <si>
    <t>disable_fan_first_layers</t>
  </si>
  <si>
    <t>#Cooling thresholds</t>
  </si>
  <si>
    <t>fan_below_layer_time</t>
  </si>
  <si>
    <t>slowdown_below_layer_time</t>
  </si>
  <si>
    <t>min_print_speed</t>
  </si>
  <si>
    <t>filament_type</t>
  </si>
  <si>
    <t>filament_soluble</t>
  </si>
  <si>
    <t>filament_max_volumetric_speed</t>
  </si>
  <si>
    <t>filament_loading_speed_start</t>
  </si>
  <si>
    <t>filament_loading_speed</t>
  </si>
  <si>
    <t>filament_unloading_speed_start</t>
  </si>
  <si>
    <t>filament_unloading_speed</t>
  </si>
  <si>
    <t>filament_load_time</t>
  </si>
  <si>
    <t>filament_unload_time</t>
  </si>
  <si>
    <t>filament_toolchange_delay</t>
  </si>
  <si>
    <t>filament_cooling_moves</t>
  </si>
  <si>
    <t>filament_cooling_initial_speed</t>
  </si>
  <si>
    <t>filament_cooling_final_speed</t>
  </si>
  <si>
    <t>filament_minimal_purge_on_wipe_tower</t>
  </si>
  <si>
    <t>filament_ramming_parameters</t>
  </si>
  <si>
    <t>start_filament_gcode</t>
  </si>
  <si>
    <t>; Filament-specific start gcode</t>
  </si>
  <si>
    <t>end_filament_gcode</t>
  </si>
  <si>
    <t>; Filament-specific end gcode</t>
  </si>
  <si>
    <t>filament_notes</t>
  </si>
  <si>
    <t>compatible_printers</t>
  </si>
  <si>
    <t>compatible_printers_condition</t>
  </si>
  <si>
    <t>PET</t>
  </si>
  <si>
    <t>PLA</t>
  </si>
  <si>
    <t>ABS</t>
  </si>
  <si>
    <t>TPU</t>
  </si>
  <si>
    <t>bed_shape</t>
  </si>
  <si>
    <t>0x0,235x0,235x235,0x235</t>
  </si>
  <si>
    <t>max_print_height</t>
  </si>
  <si>
    <t>z_offset</t>
  </si>
  <si>
    <t>nozzle_diameter</t>
  </si>
  <si>
    <t>single_extruder_multi_material</t>
  </si>
  <si>
    <t>host_type</t>
  </si>
  <si>
    <t>octoprint</t>
  </si>
  <si>
    <t>192.168.0.100</t>
  </si>
  <si>
    <t>9E097510A4414A4EA0C8B10F8B4824A8</t>
  </si>
  <si>
    <t>gcode_flavor</t>
  </si>
  <si>
    <t>marlin</t>
  </si>
  <si>
    <t>silent_mode</t>
  </si>
  <si>
    <t>remaining_times</t>
  </si>
  <si>
    <t>use_relative_e_distances</t>
  </si>
  <si>
    <t>use_firmware_retraction</t>
  </si>
  <si>
    <t>use_volumetric_e</t>
  </si>
  <si>
    <t>variable_layer_height</t>
  </si>
  <si>
    <t>start_gcode</t>
  </si>
  <si>
    <t>end_gcode</t>
  </si>
  <si>
    <t>before_layer_gcode</t>
  </si>
  <si>
    <t>layer_gcode</t>
  </si>
  <si>
    <t>toolchange_gcode</t>
  </si>
  <si>
    <t>machine_max_feedrate_x</t>
  </si>
  <si>
    <t>machine_max_feedrate_y</t>
  </si>
  <si>
    <t>machine_max_feedrate_z</t>
  </si>
  <si>
    <t>machine_max_feedrate_e</t>
  </si>
  <si>
    <t>machine_max_acceleration_x</t>
  </si>
  <si>
    <t>machine_max_acceleration_y</t>
  </si>
  <si>
    <t>machine_max_acceleration_z</t>
  </si>
  <si>
    <t>machine_max_acceleration_e</t>
  </si>
  <si>
    <t>machine_max_acceleration_extruding</t>
  </si>
  <si>
    <t>machine_max_acceleration_retracting</t>
  </si>
  <si>
    <t>machine_max_jerk_x</t>
  </si>
  <si>
    <t>machine_max_jerk_y</t>
  </si>
  <si>
    <t>machine_max_jerk_z</t>
  </si>
  <si>
    <t>machine_max_jerk_e</t>
  </si>
  <si>
    <t>machine_min_extruding_rate</t>
  </si>
  <si>
    <t>machine_min_travel_rate</t>
  </si>
  <si>
    <t>min_layer_height</t>
  </si>
  <si>
    <t>max_layer_height</t>
  </si>
  <si>
    <t>extruder_offset</t>
  </si>
  <si>
    <t>0x0</t>
  </si>
  <si>
    <t>retract_length</t>
  </si>
  <si>
    <t>retract_lift</t>
  </si>
  <si>
    <t>retract_lift_above</t>
  </si>
  <si>
    <t>retract_lift_below</t>
  </si>
  <si>
    <t>retract_speed</t>
  </si>
  <si>
    <t>deretract_speed</t>
  </si>
  <si>
    <t>retract_restart_extra</t>
  </si>
  <si>
    <t>retract_before_travel</t>
  </si>
  <si>
    <t>retract_layer_change</t>
  </si>
  <si>
    <t>wipe</t>
  </si>
  <si>
    <t>retract_before_wipe</t>
  </si>
  <si>
    <t>retract_length_toolchange</t>
  </si>
  <si>
    <t>retract_restart_extra_toolchange</t>
  </si>
  <si>
    <t>extruder_colour</t>
  </si>
  <si>
    <t>#FFFF00</t>
  </si>
  <si>
    <t>printer_settings_id</t>
  </si>
  <si>
    <t>printer_variant</t>
  </si>
  <si>
    <t>default_print_profile</t>
  </si>
  <si>
    <t>default_filament_profile</t>
  </si>
  <si>
    <t>Parameters</t>
  </si>
  <si>
    <t>between_objects_gcode</t>
  </si>
  <si>
    <t>Nozzle Diameter</t>
  </si>
  <si>
    <t>Spec</t>
  </si>
  <si>
    <t>Value</t>
  </si>
  <si>
    <t>Printer Name</t>
  </si>
  <si>
    <t>Ender3 Speed</t>
  </si>
  <si>
    <t>Min Layer Height</t>
  </si>
  <si>
    <t>Max Layer Height</t>
  </si>
  <si>
    <t>Printer Prefix</t>
  </si>
  <si>
    <t>FLEX</t>
  </si>
  <si>
    <t>printer_notes</t>
  </si>
  <si>
    <t>Remarks</t>
  </si>
  <si>
    <t>fine</t>
  </si>
  <si>
    <t>quality</t>
  </si>
  <si>
    <t>draft</t>
  </si>
  <si>
    <t>fast</t>
  </si>
  <si>
    <t>medium</t>
  </si>
  <si>
    <t>rough</t>
  </si>
  <si>
    <t>big</t>
  </si>
  <si>
    <t>large</t>
  </si>
  <si>
    <t>giant</t>
  </si>
  <si>
    <t>Slic3r AppData folder</t>
  </si>
  <si>
    <t>#Layer height</t>
  </si>
  <si>
    <t>#Vertical shells</t>
  </si>
  <si>
    <t>#Horizontal shells</t>
  </si>
  <si>
    <t>#Quality (slower slicing)</t>
  </si>
  <si>
    <t>#Advanced</t>
  </si>
  <si>
    <t>Tree</t>
  </si>
  <si>
    <t>Layers and Perimeters</t>
  </si>
  <si>
    <t>Infill</t>
  </si>
  <si>
    <t>#Infill</t>
  </si>
  <si>
    <t>#Reducing print time</t>
  </si>
  <si>
    <t>Skirt and Brim</t>
  </si>
  <si>
    <t>#Skirt</t>
  </si>
  <si>
    <t>#Brim</t>
  </si>
  <si>
    <t>Support material</t>
  </si>
  <si>
    <t>#Support material</t>
  </si>
  <si>
    <t>#Raft</t>
  </si>
  <si>
    <t>#Options for support material and raft</t>
  </si>
  <si>
    <t>Speed</t>
  </si>
  <si>
    <t>#Speed for print moves</t>
  </si>
  <si>
    <t>#Speed for non-print moves</t>
  </si>
  <si>
    <t>#Modifiers</t>
  </si>
  <si>
    <t>#Acceleration control (advanced)</t>
  </si>
  <si>
    <t>#Autospeed (advanced)</t>
  </si>
  <si>
    <t>Multiple Extruders</t>
  </si>
  <si>
    <t>#Extruders</t>
  </si>
  <si>
    <t>#Ooze prevention</t>
  </si>
  <si>
    <t>#Wiper tower</t>
  </si>
  <si>
    <t>Advanced</t>
  </si>
  <si>
    <t>#Extrusion width</t>
  </si>
  <si>
    <t>#Overlap</t>
  </si>
  <si>
    <t>#Flow</t>
  </si>
  <si>
    <t>#Other</t>
  </si>
  <si>
    <t>Output options</t>
  </si>
  <si>
    <t>Notes</t>
  </si>
  <si>
    <t>Dependencies</t>
  </si>
  <si>
    <t>#Sequential printing</t>
  </si>
  <si>
    <t>#Output file</t>
  </si>
  <si>
    <t>#Profile dependencies</t>
  </si>
  <si>
    <t>Add more parameters on sloping walls</t>
  </si>
  <si>
    <t>Add solid infill near sloping surfaces to ensure wall thickness</t>
  </si>
  <si>
    <t>parts do not fit into 2 extrusion so collapse them to single wall</t>
  </si>
  <si>
    <t>random,nearest,aligned,rear</t>
  </si>
  <si>
    <t>Top/bottom fill pattern</t>
  </si>
  <si>
    <t>Combine infill every</t>
  </si>
  <si>
    <t>Act as internal support meterial</t>
  </si>
  <si>
    <t>force solid infill for reaginas having smaller area than specified threshold</t>
  </si>
  <si>
    <t>0.12</t>
  </si>
  <si>
    <t>0.2</t>
  </si>
  <si>
    <t>0.32</t>
  </si>
  <si>
    <t>0.4</t>
  </si>
  <si>
    <t>0.48</t>
  </si>
  <si>
    <t>0.56</t>
  </si>
  <si>
    <t>0.64</t>
  </si>
  <si>
    <t>0.72</t>
  </si>
  <si>
    <t>0.8</t>
  </si>
  <si>
    <t>Number of loops for skirt</t>
  </si>
  <si>
    <t>Height of skirt expressed in layers, also applies for Brim</t>
  </si>
  <si>
    <t>Brim width in mm</t>
  </si>
  <si>
    <t>Distance form the object in mm</t>
  </si>
  <si>
    <t>minimum skrit length in mm</t>
  </si>
  <si>
    <t>Auto generated supportes, if disabled then supportess generated only insied the support enforcer volume</t>
  </si>
  <si>
    <t>Overhang threshold</t>
  </si>
  <si>
    <t>Pattern spacing in mm</t>
  </si>
  <si>
    <t>vertical distance between object and support interface in mm</t>
  </si>
  <si>
    <t>Num of interface Layers between object and support</t>
  </si>
  <si>
    <t>spacing between interface lines</t>
  </si>
  <si>
    <t>cover top contact layer of support with loops</t>
  </si>
  <si>
    <t>overhangs</t>
  </si>
  <si>
    <t>Detect bridging parameters</t>
  </si>
  <si>
    <t>Don't generate support under bridges</t>
  </si>
  <si>
    <t>#Filament</t>
  </si>
  <si>
    <t>Filament</t>
  </si>
  <si>
    <t>Enable fan if layer print time is below</t>
  </si>
  <si>
    <t>Delay after unloading</t>
  </si>
  <si>
    <t>#Temperature C</t>
  </si>
  <si>
    <t>Cooling</t>
  </si>
  <si>
    <t>#Enable</t>
  </si>
  <si>
    <t>Slow down print speed if layer print time is below</t>
  </si>
  <si>
    <t>#Filament properties</t>
  </si>
  <si>
    <t>#Print speed override</t>
  </si>
  <si>
    <t>Limits overall print speed for this filament</t>
  </si>
  <si>
    <t>#Toolchange parameters</t>
  </si>
  <si>
    <t>Number of cooling moves</t>
  </si>
  <si>
    <t>Speed of first cooling move</t>
  </si>
  <si>
    <t>Speed of last cooling move</t>
  </si>
  <si>
    <t>Minimal purge on wipe tower</t>
  </si>
  <si>
    <t>Ramming parameters</t>
  </si>
  <si>
    <t>Custom G-code</t>
  </si>
  <si>
    <t>#Custom g-code</t>
  </si>
  <si>
    <t>General</t>
  </si>
  <si>
    <t>#Size and coordinates</t>
  </si>
  <si>
    <t>#Capabilities</t>
  </si>
  <si>
    <t>#Printer Host upload</t>
  </si>
  <si>
    <t>#Firmware</t>
  </si>
  <si>
    <t>Machine limits</t>
  </si>
  <si>
    <t>Extruder1</t>
  </si>
  <si>
    <t>#Maximum feedrates</t>
  </si>
  <si>
    <t>#Maximum accelerations</t>
  </si>
  <si>
    <t>#Jerk limits</t>
  </si>
  <si>
    <t>#Minimum feedrates</t>
  </si>
  <si>
    <t>#Size</t>
  </si>
  <si>
    <t>#Layer height limits</t>
  </si>
  <si>
    <t>#Position (for multi-extruder printers)</t>
  </si>
  <si>
    <t>#Retracttion</t>
  </si>
  <si>
    <t>#Retraction when tool is disabled</t>
  </si>
  <si>
    <t>#Preview</t>
  </si>
  <si>
    <t>printhost_apikey</t>
  </si>
  <si>
    <t>print_host</t>
  </si>
  <si>
    <t>printer_vendor</t>
  </si>
  <si>
    <t>printhost_cafile</t>
  </si>
  <si>
    <t>serial_port</t>
  </si>
  <si>
    <t>serial_speed</t>
  </si>
  <si>
    <t>Ender 3</t>
  </si>
  <si>
    <t>Nylon</t>
  </si>
  <si>
    <t>#3DF266</t>
  </si>
  <si>
    <t>PP</t>
  </si>
  <si>
    <t>#ffc924</t>
  </si>
  <si>
    <t>#f3a112</t>
  </si>
  <si>
    <t>#8cb219</t>
  </si>
  <si>
    <t>#85f9de</t>
  </si>
  <si>
    <t>#B22744</t>
  </si>
  <si>
    <t>money per kg</t>
  </si>
  <si>
    <t>E:\CAD\Slic3rPEPortable\Data\AppData_Slic3rPE</t>
  </si>
  <si>
    <t>E:\CAD\Slic3r_PE_BetaPortable\Data\AppData_Slic3rPE</t>
  </si>
  <si>
    <t>E:\CAD\Slic3rPortable\Data\AppData_Slic3r</t>
  </si>
  <si>
    <t>C:\Users\krishnkr\AppData\Roaming\Slic3r</t>
  </si>
  <si>
    <t>has_heatbed</t>
  </si>
  <si>
    <t>octoprint_apikey</t>
  </si>
  <si>
    <t>pressure_advance</t>
  </si>
  <si>
    <t>vibration_limit</t>
  </si>
  <si>
    <t>z_steps_per_mm</t>
  </si>
  <si>
    <t>use_set_and_wait_bed</t>
  </si>
  <si>
    <t>use_set_and_wait_extruder</t>
  </si>
  <si>
    <t>filament_settings_id</t>
  </si>
  <si>
    <t>Overrides</t>
  </si>
  <si>
    <t>#Overrides</t>
  </si>
  <si>
    <t>adaptive_slicing</t>
  </si>
  <si>
    <t>adaptive_slicing_quality</t>
  </si>
  <si>
    <t>match_horizontal_surfaces</t>
  </si>
  <si>
    <t>min_shell_thickness</t>
  </si>
  <si>
    <t>min_top_bottom_shell_thickness</t>
  </si>
  <si>
    <t>bottom_infill_pattern</t>
  </si>
  <si>
    <t>fill_gaps</t>
  </si>
  <si>
    <t>brim_ears</t>
  </si>
  <si>
    <t>brim_ears_max_angle</t>
  </si>
  <si>
    <t>interior_brim_width</t>
  </si>
  <si>
    <t>brim_connections_width</t>
  </si>
  <si>
    <t>top_infill_pattern</t>
  </si>
  <si>
    <t>label_printed_objects</t>
  </si>
  <si>
    <t>print_settings_id</t>
  </si>
  <si>
    <t>shortcuts</t>
  </si>
  <si>
    <t>regions_overlap</t>
  </si>
  <si>
    <t>support_material_max_layers</t>
  </si>
  <si>
    <t>support_material_pillar_size</t>
  </si>
  <si>
    <t>support_material_pillar_spacing</t>
  </si>
  <si>
    <t>support_material_interface_extrusion_width</t>
  </si>
  <si>
    <t>fill_density;brim_width;skirts;support_material;support_material_buildplate_only</t>
  </si>
  <si>
    <t>C:\Users\krishnkr\AppData\Roaming\Slic3rPE</t>
  </si>
  <si>
    <t>C:\Users\krishnkr\AppData\Roaming\Slic3rPE-beta</t>
  </si>
  <si>
    <t>wipe_into_objects</t>
  </si>
  <si>
    <t>wipe_into_infill</t>
  </si>
  <si>
    <t>Max Acceleration</t>
  </si>
  <si>
    <t>pressure_advance_klipper</t>
  </si>
  <si>
    <t>Don't remove the following keywords! These keywords are used in the 'compatible printer' condition of the print and filament profiles to link the particular print and filament profiles to this printer profile.\nPRINTER_VENDOR_CREALITY\nPRINTER_MODEL_ENDER3</t>
  </si>
  <si>
    <t>gcode_label_objects</t>
  </si>
  <si>
    <t>slice_closing_radius</t>
  </si>
  <si>
    <t>compatible_prints</t>
  </si>
  <si>
    <t>compatible_prints_condition</t>
  </si>
  <si>
    <t>#filament_max_volumetric_speed</t>
  </si>
  <si>
    <t>Max Volumetric Speed</t>
  </si>
  <si>
    <t>#label_printed_objects</t>
  </si>
  <si>
    <t>Top Shell Thickness</t>
  </si>
  <si>
    <t>Unit</t>
  </si>
  <si>
    <t>mm</t>
  </si>
  <si>
    <t>Wall Thickness</t>
  </si>
  <si>
    <t>Bottom Shell Thickness</t>
  </si>
  <si>
    <t>Meterial</t>
  </si>
  <si>
    <t>Material Thickness Recommendations</t>
  </si>
  <si>
    <t>Recommended (mm)</t>
  </si>
  <si>
    <t>Thickness Per Layer Height (mm)</t>
  </si>
  <si>
    <t>Max Speed Per Layer Height (mm/s)</t>
  </si>
  <si>
    <t>Absolute Min (mm)</t>
  </si>
  <si>
    <t>Thickness Per Layer Height (line count)</t>
  </si>
  <si>
    <t>Layer Type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</si>
</sst>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name val="Calibri"/>
      <family val="2"/>
      <scheme val="minor"/>
    </font>
    <font>
      <b/>
      <sz val="11"/>
      <color theme="0"/>
      <name val="Calibri"/>
      <family val="2"/>
      <scheme val="minor"/>
    </font>
    <font>
      <b/>
      <sz val="11"/>
      <color theme="1"/>
      <name val="Calibri"/>
      <family val="2"/>
      <scheme val="minor"/>
    </font>
    <font>
      <b/>
      <sz val="11"/>
      <name val="Calibri"/>
      <family val="2"/>
      <scheme val="minor"/>
    </font>
  </fonts>
  <fills count="10">
    <fill>
      <patternFill patternType="none"/>
    </fill>
    <fill>
      <patternFill patternType="gray125"/>
    </fill>
    <fill>
      <patternFill patternType="solid">
        <fgColor theme="9" tint="0.39997558519241921"/>
        <bgColor indexed="64"/>
      </patternFill>
    </fill>
    <fill>
      <patternFill patternType="solid">
        <fgColor theme="0" tint="-0.249977111117893"/>
        <bgColor indexed="64"/>
      </patternFill>
    </fill>
    <fill>
      <patternFill patternType="solid">
        <fgColor rgb="FF92D050"/>
        <bgColor indexed="64"/>
      </patternFill>
    </fill>
    <fill>
      <patternFill patternType="solid">
        <fgColor rgb="FFFFFF0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theme="4" tint="0.59999389629810485"/>
      </patternFill>
    </fill>
    <fill>
      <patternFill patternType="solid">
        <fgColor theme="5" tint="0.39997558519241921"/>
        <bgColor indexed="64"/>
      </patternFill>
    </fill>
  </fills>
  <borders count="15">
    <border>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diagonal/>
    </border>
    <border>
      <left style="thin">
        <color theme="0"/>
      </left>
      <right/>
      <top/>
      <bottom/>
      <diagonal/>
    </border>
    <border>
      <left/>
      <right/>
      <top style="thick">
        <color theme="0"/>
      </top>
      <bottom/>
      <diagonal/>
    </border>
    <border>
      <left style="thin">
        <color theme="0"/>
      </left>
      <right/>
      <top style="thick">
        <color theme="0"/>
      </top>
      <bottom/>
      <diagonal/>
    </border>
    <border>
      <left/>
      <right/>
      <top style="thin">
        <color theme="0"/>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style="thin">
        <color theme="4" tint="0.39997558519241921"/>
      </left>
      <right style="thin">
        <color theme="4" tint="0.39997558519241921"/>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0">
    <xf numFmtId="0" fontId="0" fillId="0" borderId="0" xfId="0"/>
    <xf numFmtId="0" fontId="0" fillId="0" borderId="0" xfId="0" applyAlignment="1">
      <alignment horizontal="right"/>
    </xf>
    <xf numFmtId="0" fontId="0" fillId="7" borderId="1" xfId="0" applyFont="1" applyFill="1" applyBorder="1"/>
    <xf numFmtId="0" fontId="0" fillId="6" borderId="1" xfId="0" applyFont="1" applyFill="1" applyBorder="1"/>
    <xf numFmtId="0" fontId="0" fillId="6" borderId="2" xfId="0" applyFont="1" applyFill="1" applyBorder="1"/>
    <xf numFmtId="0" fontId="4" fillId="2" borderId="0" xfId="0" applyFont="1" applyFill="1" applyBorder="1"/>
    <xf numFmtId="0" fontId="4" fillId="2" borderId="3" xfId="0" applyFont="1" applyFill="1" applyBorder="1"/>
    <xf numFmtId="0" fontId="0" fillId="4" borderId="4" xfId="0" applyFont="1" applyFill="1" applyBorder="1"/>
    <xf numFmtId="0" fontId="0" fillId="4" borderId="5" xfId="0" applyFont="1" applyFill="1" applyBorder="1"/>
    <xf numFmtId="0" fontId="0" fillId="6" borderId="5" xfId="0" applyFont="1" applyFill="1" applyBorder="1"/>
    <xf numFmtId="0" fontId="0" fillId="7" borderId="6" xfId="0" applyFont="1" applyFill="1" applyBorder="1"/>
    <xf numFmtId="0" fontId="0" fillId="7" borderId="2" xfId="0" applyFont="1" applyFill="1" applyBorder="1"/>
    <xf numFmtId="0" fontId="0" fillId="7" borderId="2" xfId="0" applyFont="1" applyFill="1" applyBorder="1" applyAlignment="1">
      <alignment horizontal="right"/>
    </xf>
    <xf numFmtId="0" fontId="0" fillId="6" borderId="6" xfId="0" applyFont="1" applyFill="1" applyBorder="1"/>
    <xf numFmtId="0" fontId="0" fillId="4" borderId="2" xfId="0" applyFont="1" applyFill="1" applyBorder="1"/>
    <xf numFmtId="0" fontId="0" fillId="4" borderId="6" xfId="0" applyFont="1" applyFill="1" applyBorder="1"/>
    <xf numFmtId="9" fontId="0" fillId="7" borderId="2" xfId="0" applyNumberFormat="1" applyFont="1" applyFill="1" applyBorder="1"/>
    <xf numFmtId="0" fontId="0" fillId="7" borderId="2" xfId="0" applyFont="1" applyFill="1" applyBorder="1" applyAlignment="1">
      <alignment wrapText="1"/>
    </xf>
    <xf numFmtId="0" fontId="0" fillId="6" borderId="2" xfId="0" applyFont="1" applyFill="1" applyBorder="1" applyAlignment="1">
      <alignment horizontal="right"/>
    </xf>
    <xf numFmtId="0" fontId="0" fillId="6" borderId="2" xfId="0" applyFont="1" applyFill="1" applyBorder="1" applyAlignment="1">
      <alignment wrapText="1"/>
    </xf>
    <xf numFmtId="0" fontId="4" fillId="2" borderId="3" xfId="0" applyFont="1" applyFill="1" applyBorder="1" applyAlignment="1">
      <alignment horizontal="right"/>
    </xf>
    <xf numFmtId="0" fontId="0" fillId="6" borderId="5" xfId="0" applyFont="1" applyFill="1" applyBorder="1" applyAlignment="1">
      <alignment horizontal="right"/>
    </xf>
    <xf numFmtId="11" fontId="0" fillId="7" borderId="2" xfId="0" applyNumberFormat="1" applyFont="1" applyFill="1" applyBorder="1" applyAlignment="1">
      <alignment horizontal="right"/>
    </xf>
    <xf numFmtId="11" fontId="0" fillId="6" borderId="2" xfId="0" applyNumberFormat="1" applyFont="1" applyFill="1" applyBorder="1" applyAlignment="1">
      <alignment horizontal="right"/>
    </xf>
    <xf numFmtId="9" fontId="0" fillId="6" borderId="2" xfId="0" applyNumberFormat="1" applyFont="1" applyFill="1" applyBorder="1" applyAlignment="1">
      <alignment horizontal="right"/>
    </xf>
    <xf numFmtId="0" fontId="0" fillId="6" borderId="2" xfId="0" applyFont="1" applyFill="1" applyBorder="1" applyAlignment="1">
      <alignment horizontal="right" wrapText="1"/>
    </xf>
    <xf numFmtId="0" fontId="0" fillId="7" borderId="2" xfId="0" applyFont="1" applyFill="1" applyBorder="1" applyAlignment="1">
      <alignment horizontal="left" vertical="top" wrapText="1"/>
    </xf>
    <xf numFmtId="0" fontId="0" fillId="6" borderId="2" xfId="0" applyFont="1" applyFill="1" applyBorder="1" applyAlignment="1">
      <alignment horizontal="left" wrapText="1"/>
    </xf>
    <xf numFmtId="0" fontId="0" fillId="7" borderId="2" xfId="0" applyFont="1" applyFill="1" applyBorder="1" applyAlignment="1">
      <alignment horizontal="left" wrapText="1"/>
    </xf>
    <xf numFmtId="0" fontId="0" fillId="7" borderId="7" xfId="0" applyFont="1" applyFill="1" applyBorder="1"/>
    <xf numFmtId="0" fontId="3" fillId="2" borderId="8" xfId="0" applyFont="1" applyFill="1" applyBorder="1"/>
    <xf numFmtId="0" fontId="3" fillId="2" borderId="8" xfId="0" applyFont="1" applyFill="1" applyBorder="1" applyAlignment="1">
      <alignment horizontal="right"/>
    </xf>
    <xf numFmtId="0" fontId="3" fillId="2" borderId="9" xfId="0" applyFont="1" applyFill="1" applyBorder="1"/>
    <xf numFmtId="0" fontId="0" fillId="6" borderId="8" xfId="0" applyFont="1" applyFill="1" applyBorder="1"/>
    <xf numFmtId="0" fontId="0" fillId="6" borderId="8" xfId="0" applyFont="1" applyFill="1" applyBorder="1" applyAlignment="1">
      <alignment horizontal="right"/>
    </xf>
    <xf numFmtId="0" fontId="0" fillId="6" borderId="9" xfId="0" applyFont="1" applyFill="1" applyBorder="1"/>
    <xf numFmtId="0" fontId="0" fillId="7" borderId="8" xfId="0" applyFont="1" applyFill="1" applyBorder="1"/>
    <xf numFmtId="0" fontId="0" fillId="7" borderId="8" xfId="0" applyFont="1" applyFill="1" applyBorder="1" applyAlignment="1">
      <alignment horizontal="right"/>
    </xf>
    <xf numFmtId="0" fontId="0" fillId="7" borderId="9" xfId="0" applyFont="1" applyFill="1" applyBorder="1"/>
    <xf numFmtId="0" fontId="1" fillId="4" borderId="8" xfId="0" applyFont="1" applyFill="1" applyBorder="1"/>
    <xf numFmtId="0" fontId="0" fillId="4" borderId="8" xfId="0" applyFont="1" applyFill="1" applyBorder="1"/>
    <xf numFmtId="9" fontId="0" fillId="6" borderId="8" xfId="0" applyNumberFormat="1" applyFont="1" applyFill="1" applyBorder="1" applyAlignment="1">
      <alignment horizontal="right"/>
    </xf>
    <xf numFmtId="0" fontId="0" fillId="7" borderId="9" xfId="0" applyFont="1" applyFill="1" applyBorder="1" applyAlignment="1">
      <alignment wrapText="1"/>
    </xf>
    <xf numFmtId="2" fontId="0" fillId="7" borderId="8" xfId="0" applyNumberFormat="1" applyFont="1" applyFill="1" applyBorder="1" applyAlignment="1">
      <alignment horizontal="right"/>
    </xf>
    <xf numFmtId="2" fontId="0" fillId="7" borderId="8" xfId="0" applyNumberFormat="1" applyFont="1" applyFill="1" applyBorder="1"/>
    <xf numFmtId="2" fontId="0" fillId="6" borderId="8" xfId="0" applyNumberFormat="1" applyFont="1" applyFill="1" applyBorder="1" applyAlignment="1">
      <alignment horizontal="right"/>
    </xf>
    <xf numFmtId="2" fontId="0" fillId="6" borderId="8" xfId="0" applyNumberFormat="1" applyFont="1" applyFill="1" applyBorder="1"/>
    <xf numFmtId="9" fontId="0" fillId="7" borderId="8" xfId="0" applyNumberFormat="1" applyFont="1" applyFill="1" applyBorder="1" applyAlignment="1">
      <alignment horizontal="right"/>
    </xf>
    <xf numFmtId="0" fontId="0" fillId="7" borderId="8" xfId="0" applyFont="1" applyFill="1" applyBorder="1" applyAlignment="1">
      <alignment horizontal="right" wrapText="1"/>
    </xf>
    <xf numFmtId="0" fontId="0" fillId="6" borderId="8" xfId="0" applyFont="1" applyFill="1" applyBorder="1" applyAlignment="1">
      <alignment horizontal="right" wrapText="1"/>
    </xf>
    <xf numFmtId="0" fontId="0" fillId="7" borderId="10" xfId="0" applyFont="1" applyFill="1" applyBorder="1"/>
    <xf numFmtId="0" fontId="0" fillId="7" borderId="10" xfId="0" applyFont="1" applyFill="1" applyBorder="1" applyAlignment="1">
      <alignment horizontal="right"/>
    </xf>
    <xf numFmtId="0" fontId="0" fillId="6" borderId="2" xfId="0" applyNumberFormat="1" applyFont="1" applyFill="1" applyBorder="1"/>
    <xf numFmtId="0" fontId="0" fillId="7" borderId="2" xfId="0" applyNumberFormat="1" applyFont="1" applyFill="1" applyBorder="1" applyAlignment="1">
      <alignment horizontal="right"/>
    </xf>
    <xf numFmtId="0" fontId="0" fillId="6" borderId="2" xfId="0" applyFont="1" applyFill="1" applyBorder="1" applyAlignment="1"/>
    <xf numFmtId="0" fontId="2" fillId="2" borderId="11" xfId="0" applyFont="1" applyFill="1" applyBorder="1"/>
    <xf numFmtId="0" fontId="0" fillId="0" borderId="11" xfId="0" applyBorder="1"/>
    <xf numFmtId="1" fontId="0" fillId="0" borderId="11" xfId="0" applyNumberFormat="1" applyBorder="1"/>
    <xf numFmtId="0" fontId="0" fillId="6" borderId="11" xfId="0" applyFont="1" applyFill="1" applyBorder="1"/>
    <xf numFmtId="0" fontId="0" fillId="5" borderId="11" xfId="0" applyFont="1" applyFill="1" applyBorder="1"/>
    <xf numFmtId="0" fontId="0" fillId="7" borderId="11" xfId="0" applyFont="1" applyFill="1" applyBorder="1"/>
    <xf numFmtId="0" fontId="0" fillId="3" borderId="11" xfId="0" applyFont="1" applyFill="1" applyBorder="1"/>
    <xf numFmtId="0" fontId="0" fillId="8" borderId="11" xfId="0" applyFont="1" applyFill="1" applyBorder="1" applyAlignment="1">
      <alignment horizontal="right"/>
    </xf>
    <xf numFmtId="0" fontId="0" fillId="7" borderId="11" xfId="0" applyFont="1" applyFill="1" applyBorder="1" applyAlignment="1">
      <alignment horizontal="right"/>
    </xf>
    <xf numFmtId="0" fontId="0" fillId="3" borderId="11" xfId="0" applyFont="1" applyFill="1" applyBorder="1" applyAlignment="1">
      <alignment horizontal="right"/>
    </xf>
    <xf numFmtId="2" fontId="0" fillId="0" borderId="11" xfId="0" applyNumberFormat="1" applyBorder="1"/>
    <xf numFmtId="0" fontId="0" fillId="9" borderId="12" xfId="0" applyFill="1" applyBorder="1" applyAlignment="1">
      <alignment horizontal="center"/>
    </xf>
    <xf numFmtId="0" fontId="0" fillId="9" borderId="13" xfId="0" applyFill="1" applyBorder="1" applyAlignment="1">
      <alignment horizontal="center"/>
    </xf>
    <xf numFmtId="0" fontId="0" fillId="9" borderId="14" xfId="0" applyFill="1" applyBorder="1" applyAlignment="1">
      <alignment horizontal="center"/>
    </xf>
    <xf numFmtId="0" fontId="0" fillId="9" borderId="11" xfId="0" applyFill="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D364F-F1A3-4F5B-8BE4-C3053DB080D9}">
  <sheetPr codeName="Sheet4"/>
  <dimension ref="A1:T34"/>
  <sheetViews>
    <sheetView tabSelected="1" workbookViewId="0">
      <selection activeCell="B39" sqref="B39"/>
    </sheetView>
  </sheetViews>
  <sheetFormatPr defaultRowHeight="14.4" x14ac:dyDescent="0.3"/>
  <cols>
    <col min="1" max="1" width="23" bestFit="1" customWidth="1"/>
    <col min="2" max="2" width="51" bestFit="1" customWidth="1"/>
    <col min="3" max="4" width="9.88671875" customWidth="1"/>
    <col min="6" max="6" width="21.109375" bestFit="1" customWidth="1"/>
    <col min="7" max="7" width="20.33203125" bestFit="1" customWidth="1"/>
    <col min="8" max="8" width="8.6640625" customWidth="1"/>
    <col min="18" max="18" width="7.88671875" bestFit="1" customWidth="1"/>
    <col min="19" max="19" width="18.109375" bestFit="1" customWidth="1"/>
    <col min="20" max="20" width="21.109375" bestFit="1" customWidth="1"/>
  </cols>
  <sheetData>
    <row r="1" spans="1:20" x14ac:dyDescent="0.3">
      <c r="A1" s="55" t="s">
        <v>222</v>
      </c>
      <c r="B1" s="55" t="s">
        <v>223</v>
      </c>
      <c r="C1" s="55" t="s">
        <v>414</v>
      </c>
      <c r="D1" s="55" t="s">
        <v>231</v>
      </c>
      <c r="F1" s="66" t="s">
        <v>422</v>
      </c>
      <c r="G1" s="67"/>
      <c r="H1" s="67"/>
      <c r="I1" s="67"/>
      <c r="J1" s="67"/>
      <c r="K1" s="67"/>
      <c r="L1" s="67"/>
      <c r="M1" s="67"/>
      <c r="N1" s="67"/>
      <c r="O1" s="67"/>
      <c r="P1" s="68"/>
      <c r="R1" s="69" t="s">
        <v>419</v>
      </c>
      <c r="S1" s="69"/>
      <c r="T1" s="69"/>
    </row>
    <row r="2" spans="1:20" x14ac:dyDescent="0.3">
      <c r="A2" s="58" t="s">
        <v>221</v>
      </c>
      <c r="B2" s="59">
        <v>0.6</v>
      </c>
      <c r="C2" s="58" t="s">
        <v>415</v>
      </c>
      <c r="D2" s="58"/>
      <c r="F2" s="55" t="s">
        <v>313</v>
      </c>
      <c r="G2" s="55" t="s">
        <v>411</v>
      </c>
      <c r="H2" s="55">
        <v>0.12</v>
      </c>
      <c r="I2" s="55">
        <v>0.2</v>
      </c>
      <c r="J2" s="55">
        <v>0.32</v>
      </c>
      <c r="K2" s="55">
        <v>0.4</v>
      </c>
      <c r="L2" s="55">
        <v>0.48</v>
      </c>
      <c r="M2" s="55">
        <v>0.56000000000000005</v>
      </c>
      <c r="N2" s="55">
        <v>0.64</v>
      </c>
      <c r="O2" s="55">
        <v>0.72</v>
      </c>
      <c r="P2" s="55">
        <v>0.8</v>
      </c>
      <c r="R2" s="55" t="s">
        <v>418</v>
      </c>
      <c r="S2" s="55" t="s">
        <v>420</v>
      </c>
      <c r="T2" s="55" t="s">
        <v>423</v>
      </c>
    </row>
    <row r="3" spans="1:20" x14ac:dyDescent="0.3">
      <c r="A3" s="60" t="s">
        <v>224</v>
      </c>
      <c r="B3" s="63" t="s">
        <v>225</v>
      </c>
      <c r="C3" s="60"/>
      <c r="D3" s="60"/>
      <c r="F3" s="56" t="s">
        <v>154</v>
      </c>
      <c r="G3" s="56">
        <v>11.5</v>
      </c>
      <c r="H3" s="57">
        <f>$G3/((Nozzle_Diameter*1.2)*H$2)</f>
        <v>133.10185185185188</v>
      </c>
      <c r="I3" s="57">
        <f>$G3/((Nozzle_Diameter*1.2)*I$2)</f>
        <v>79.861111111111114</v>
      </c>
      <c r="J3" s="57">
        <f>$G3/((Nozzle_Diameter*1.2)*J$2)</f>
        <v>49.913194444444443</v>
      </c>
      <c r="K3" s="57">
        <f>$G3/((Nozzle_Diameter*1.2)*K$2)</f>
        <v>39.930555555555557</v>
      </c>
      <c r="L3" s="57">
        <f>$G3/((Nozzle_Diameter*1.2)*L$2)</f>
        <v>33.275462962962969</v>
      </c>
      <c r="M3" s="57">
        <f>$G3/((Nozzle_Diameter*1.2)*M$2)</f>
        <v>28.521825396825395</v>
      </c>
      <c r="N3" s="57">
        <f>$G3/((Nozzle_Diameter*1.2)*N$2)</f>
        <v>24.956597222222221</v>
      </c>
      <c r="O3" s="57">
        <f>$G3/((Nozzle_Diameter*1.2)*O$2)</f>
        <v>22.183641975308642</v>
      </c>
      <c r="P3" s="57">
        <f>$G3/((Nozzle_Diameter*1.2)*P$2)</f>
        <v>19.965277777777779</v>
      </c>
      <c r="R3" s="56" t="s">
        <v>154</v>
      </c>
      <c r="S3" s="65">
        <v>1.5</v>
      </c>
      <c r="T3" s="65">
        <v>0.8</v>
      </c>
    </row>
    <row r="4" spans="1:20" x14ac:dyDescent="0.3">
      <c r="A4" s="58" t="s">
        <v>228</v>
      </c>
      <c r="B4" s="64" t="str">
        <f>B3 &amp; " " &amp; Nozzle_Diameter &amp; " nozzle " &amp; FILAMENT_NAME</f>
        <v>Ender3 Speed 0.6 nozzle PET</v>
      </c>
      <c r="C4" s="58"/>
      <c r="D4" s="58"/>
      <c r="F4" s="56" t="s">
        <v>153</v>
      </c>
      <c r="G4" s="56">
        <v>8</v>
      </c>
      <c r="H4" s="57">
        <f>$G4/((Nozzle_Diameter*1.2)*H$2)</f>
        <v>92.592592592592609</v>
      </c>
      <c r="I4" s="57">
        <f>$G4/((Nozzle_Diameter*1.2)*I$2)</f>
        <v>55.555555555555557</v>
      </c>
      <c r="J4" s="57">
        <f>$G4/((Nozzle_Diameter*1.2)*J$2)</f>
        <v>34.722222222222221</v>
      </c>
      <c r="K4" s="57">
        <f>$G4/((Nozzle_Diameter*1.2)*K$2)</f>
        <v>27.777777777777779</v>
      </c>
      <c r="L4" s="57">
        <f>$G4/((Nozzle_Diameter*1.2)*L$2)</f>
        <v>23.148148148148152</v>
      </c>
      <c r="M4" s="57">
        <f>$G4/((Nozzle_Diameter*1.2)*M$2)</f>
        <v>19.841269841269842</v>
      </c>
      <c r="N4" s="57">
        <f>$G4/((Nozzle_Diameter*1.2)*N$2)</f>
        <v>17.361111111111111</v>
      </c>
      <c r="O4" s="57">
        <f>$G4/((Nozzle_Diameter*1.2)*O$2)</f>
        <v>15.4320987654321</v>
      </c>
      <c r="P4" s="57">
        <f>$G4/((Nozzle_Diameter*1.2)*P$2)</f>
        <v>13.888888888888889</v>
      </c>
      <c r="R4" s="56" t="s">
        <v>153</v>
      </c>
      <c r="S4" s="65">
        <v>1.5</v>
      </c>
      <c r="T4" s="65">
        <v>0.8</v>
      </c>
    </row>
    <row r="5" spans="1:20" x14ac:dyDescent="0.3">
      <c r="A5" s="60" t="s">
        <v>226</v>
      </c>
      <c r="B5" s="61">
        <f>Nozzle_Diameter*0.2</f>
        <v>0.12</v>
      </c>
      <c r="C5" s="60" t="s">
        <v>415</v>
      </c>
      <c r="D5" s="60"/>
      <c r="F5" s="56" t="s">
        <v>155</v>
      </c>
      <c r="G5" s="56">
        <v>10</v>
      </c>
      <c r="H5" s="57">
        <f>$G5/((Nozzle_Diameter*1.2)*H$2)</f>
        <v>115.74074074074075</v>
      </c>
      <c r="I5" s="57">
        <f>$G5/((Nozzle_Diameter*1.2)*I$2)</f>
        <v>69.444444444444443</v>
      </c>
      <c r="J5" s="57">
        <f>$G5/((Nozzle_Diameter*1.2)*J$2)</f>
        <v>43.402777777777779</v>
      </c>
      <c r="K5" s="57">
        <f>$G5/((Nozzle_Diameter*1.2)*K$2)</f>
        <v>34.722222222222221</v>
      </c>
      <c r="L5" s="57">
        <f>$G5/((Nozzle_Diameter*1.2)*L$2)</f>
        <v>28.935185185185187</v>
      </c>
      <c r="M5" s="57">
        <f>$G5/((Nozzle_Diameter*1.2)*M$2)</f>
        <v>24.801587301587301</v>
      </c>
      <c r="N5" s="57">
        <f>$G5/((Nozzle_Diameter*1.2)*N$2)</f>
        <v>21.701388888888889</v>
      </c>
      <c r="O5" s="57">
        <f>$G5/((Nozzle_Diameter*1.2)*O$2)</f>
        <v>19.290123456790123</v>
      </c>
      <c r="P5" s="57">
        <f>$G5/((Nozzle_Diameter*1.2)*P$2)</f>
        <v>17.361111111111111</v>
      </c>
      <c r="R5" s="56" t="s">
        <v>155</v>
      </c>
      <c r="S5" s="65">
        <v>1.5</v>
      </c>
      <c r="T5" s="65">
        <v>0.8</v>
      </c>
    </row>
    <row r="6" spans="1:20" x14ac:dyDescent="0.3">
      <c r="A6" s="58" t="s">
        <v>227</v>
      </c>
      <c r="B6" s="61">
        <f>Nozzle_Diameter*0.8</f>
        <v>0.48</v>
      </c>
      <c r="C6" s="58" t="s">
        <v>415</v>
      </c>
      <c r="D6" s="58"/>
      <c r="F6" s="56" t="s">
        <v>355</v>
      </c>
      <c r="G6" s="56">
        <v>6</v>
      </c>
      <c r="H6" s="57">
        <f>$G6/((Nozzle_Diameter*1.2)*H$2)</f>
        <v>69.444444444444457</v>
      </c>
      <c r="I6" s="57">
        <f>$G6/((Nozzle_Diameter*1.2)*I$2)</f>
        <v>41.666666666666671</v>
      </c>
      <c r="J6" s="57">
        <f>$G6/((Nozzle_Diameter*1.2)*J$2)</f>
        <v>26.041666666666668</v>
      </c>
      <c r="K6" s="57">
        <f>$G6/((Nozzle_Diameter*1.2)*K$2)</f>
        <v>20.833333333333336</v>
      </c>
      <c r="L6" s="57">
        <f>$G6/((Nozzle_Diameter*1.2)*L$2)</f>
        <v>17.361111111111114</v>
      </c>
      <c r="M6" s="57">
        <f>$G6/((Nozzle_Diameter*1.2)*M$2)</f>
        <v>14.880952380952381</v>
      </c>
      <c r="N6" s="57">
        <f>$G6/((Nozzle_Diameter*1.2)*N$2)</f>
        <v>13.020833333333334</v>
      </c>
      <c r="O6" s="57">
        <f>$G6/((Nozzle_Diameter*1.2)*O$2)</f>
        <v>11.574074074074074</v>
      </c>
      <c r="P6" s="57">
        <f>$G6/((Nozzle_Diameter*1.2)*P$2)</f>
        <v>10.416666666666668</v>
      </c>
      <c r="R6" s="56" t="s">
        <v>355</v>
      </c>
      <c r="S6" s="65">
        <v>1.5</v>
      </c>
      <c r="T6" s="65">
        <v>0.8</v>
      </c>
    </row>
    <row r="7" spans="1:20" x14ac:dyDescent="0.3">
      <c r="A7" s="58" t="s">
        <v>313</v>
      </c>
      <c r="B7" s="62" t="s">
        <v>153</v>
      </c>
      <c r="C7" s="58"/>
      <c r="D7" s="58"/>
      <c r="F7" s="56" t="s">
        <v>357</v>
      </c>
      <c r="G7" s="56">
        <v>6</v>
      </c>
      <c r="H7" s="57">
        <f>$G7/((Nozzle_Diameter*1.2)*H$2)</f>
        <v>69.444444444444457</v>
      </c>
      <c r="I7" s="57">
        <f>$G7/((Nozzle_Diameter*1.2)*I$2)</f>
        <v>41.666666666666671</v>
      </c>
      <c r="J7" s="57">
        <f>$G7/((Nozzle_Diameter*1.2)*J$2)</f>
        <v>26.041666666666668</v>
      </c>
      <c r="K7" s="57">
        <f>$G7/((Nozzle_Diameter*1.2)*K$2)</f>
        <v>20.833333333333336</v>
      </c>
      <c r="L7" s="57">
        <f>$G7/((Nozzle_Diameter*1.2)*L$2)</f>
        <v>17.361111111111114</v>
      </c>
      <c r="M7" s="57">
        <f>$G7/((Nozzle_Diameter*1.2)*M$2)</f>
        <v>14.880952380952381</v>
      </c>
      <c r="N7" s="57">
        <f>$G7/((Nozzle_Diameter*1.2)*N$2)</f>
        <v>13.020833333333334</v>
      </c>
      <c r="O7" s="57">
        <f>$G7/((Nozzle_Diameter*1.2)*O$2)</f>
        <v>11.574074074074074</v>
      </c>
      <c r="P7" s="57">
        <f>$G7/((Nozzle_Diameter*1.2)*P$2)</f>
        <v>10.416666666666668</v>
      </c>
      <c r="R7" s="56" t="s">
        <v>357</v>
      </c>
      <c r="S7" s="65">
        <v>1.5</v>
      </c>
      <c r="T7" s="65">
        <v>0.8</v>
      </c>
    </row>
    <row r="8" spans="1:20" x14ac:dyDescent="0.3">
      <c r="A8" s="58" t="s">
        <v>403</v>
      </c>
      <c r="B8" s="58">
        <v>500</v>
      </c>
      <c r="C8" s="58" t="s">
        <v>415</v>
      </c>
      <c r="D8" s="58"/>
      <c r="F8" s="56" t="s">
        <v>156</v>
      </c>
      <c r="G8" s="56">
        <v>6</v>
      </c>
      <c r="H8" s="57">
        <f>$G8/((Nozzle_Diameter*1.2)*H$2)</f>
        <v>69.444444444444457</v>
      </c>
      <c r="I8" s="57">
        <f>$G8/((Nozzle_Diameter*1.2)*I$2)</f>
        <v>41.666666666666671</v>
      </c>
      <c r="J8" s="57">
        <f>$G8/((Nozzle_Diameter*1.2)*J$2)</f>
        <v>26.041666666666668</v>
      </c>
      <c r="K8" s="57">
        <f>$G8/((Nozzle_Diameter*1.2)*K$2)</f>
        <v>20.833333333333336</v>
      </c>
      <c r="L8" s="57">
        <f>$G8/((Nozzle_Diameter*1.2)*L$2)</f>
        <v>17.361111111111114</v>
      </c>
      <c r="M8" s="57">
        <f>$G8/((Nozzle_Diameter*1.2)*M$2)</f>
        <v>14.880952380952381</v>
      </c>
      <c r="N8" s="57">
        <f>$G8/((Nozzle_Diameter*1.2)*N$2)</f>
        <v>13.020833333333334</v>
      </c>
      <c r="O8" s="57">
        <f>$G8/((Nozzle_Diameter*1.2)*O$2)</f>
        <v>11.574074074074074</v>
      </c>
      <c r="P8" s="57">
        <f>$G8/((Nozzle_Diameter*1.2)*P$2)</f>
        <v>10.416666666666668</v>
      </c>
      <c r="R8" s="56" t="s">
        <v>156</v>
      </c>
      <c r="S8" s="65">
        <v>1.5</v>
      </c>
      <c r="T8" s="65">
        <v>0.8</v>
      </c>
    </row>
    <row r="9" spans="1:20" x14ac:dyDescent="0.3">
      <c r="A9" s="58" t="s">
        <v>416</v>
      </c>
      <c r="B9" s="58" t="e">
        <f>HLOOKUP(FILAMENT_NAME,$G$25:$P$27,2,FALSE)</f>
        <v>#N/A</v>
      </c>
      <c r="C9" s="58" t="s">
        <v>415</v>
      </c>
      <c r="D9" s="58"/>
      <c r="F9" s="56"/>
      <c r="G9" s="56"/>
      <c r="H9" s="57"/>
      <c r="I9" s="57"/>
      <c r="J9" s="57"/>
      <c r="K9" s="57"/>
      <c r="L9" s="57"/>
      <c r="M9" s="57"/>
      <c r="N9" s="57"/>
      <c r="O9" s="57"/>
      <c r="P9" s="57"/>
      <c r="R9" s="56"/>
      <c r="S9" s="56"/>
      <c r="T9" s="56"/>
    </row>
    <row r="10" spans="1:20" x14ac:dyDescent="0.3">
      <c r="A10" s="58" t="s">
        <v>413</v>
      </c>
      <c r="B10" s="58" t="e">
        <f>HLOOKUP(FILAMENT_NAME,$G$25:$P$27,2,FALSE)</f>
        <v>#N/A</v>
      </c>
      <c r="C10" s="58" t="s">
        <v>415</v>
      </c>
      <c r="D10" s="58"/>
      <c r="F10" s="56"/>
      <c r="G10" s="56"/>
      <c r="H10" s="57"/>
      <c r="I10" s="57"/>
      <c r="J10" s="57"/>
      <c r="K10" s="57"/>
      <c r="L10" s="57"/>
      <c r="M10" s="57"/>
      <c r="N10" s="57"/>
      <c r="O10" s="57"/>
      <c r="P10" s="57"/>
      <c r="R10" s="56"/>
      <c r="S10" s="56"/>
      <c r="T10" s="56"/>
    </row>
    <row r="11" spans="1:20" x14ac:dyDescent="0.3">
      <c r="A11" s="58" t="s">
        <v>417</v>
      </c>
      <c r="B11" s="58" t="e">
        <f>HLOOKUP(FILAMENT_NAME,$G$25:$P$27,2,FALSE)</f>
        <v>#N/A</v>
      </c>
      <c r="C11" s="58" t="s">
        <v>415</v>
      </c>
      <c r="D11" s="58"/>
      <c r="F11" s="56"/>
      <c r="G11" s="56"/>
      <c r="H11" s="57"/>
      <c r="I11" s="57"/>
      <c r="J11" s="57"/>
      <c r="K11" s="57"/>
      <c r="L11" s="57"/>
      <c r="M11" s="57"/>
      <c r="N11" s="57"/>
      <c r="O11" s="57"/>
      <c r="P11" s="57"/>
      <c r="R11" s="56"/>
      <c r="S11" s="56"/>
      <c r="T11" s="56"/>
    </row>
    <row r="12" spans="1:20" x14ac:dyDescent="0.3">
      <c r="A12" s="58"/>
      <c r="B12" s="58"/>
      <c r="C12" s="58"/>
      <c r="D12" s="58"/>
      <c r="F12" s="56"/>
      <c r="G12" s="56"/>
      <c r="H12" s="57"/>
      <c r="I12" s="57"/>
      <c r="J12" s="57"/>
      <c r="K12" s="57"/>
      <c r="L12" s="57"/>
      <c r="M12" s="57"/>
      <c r="N12" s="57"/>
      <c r="O12" s="57"/>
      <c r="P12" s="57"/>
      <c r="R12" s="56"/>
      <c r="S12" s="56"/>
      <c r="T12" s="56"/>
    </row>
    <row r="13" spans="1:20" x14ac:dyDescent="0.3">
      <c r="A13" s="58"/>
      <c r="B13" s="58"/>
      <c r="C13" s="58"/>
      <c r="D13" s="58"/>
      <c r="F13" s="66" t="s">
        <v>421</v>
      </c>
      <c r="G13" s="67"/>
      <c r="H13" s="67"/>
      <c r="I13" s="67"/>
      <c r="J13" s="67"/>
      <c r="K13" s="67"/>
      <c r="L13" s="67"/>
      <c r="M13" s="67"/>
      <c r="N13" s="67"/>
      <c r="O13" s="67"/>
      <c r="P13" s="68"/>
      <c r="R13" s="56"/>
      <c r="S13" s="56"/>
      <c r="T13" s="56"/>
    </row>
    <row r="14" spans="1:20" x14ac:dyDescent="0.3">
      <c r="A14" s="58"/>
      <c r="B14" s="58"/>
      <c r="C14" s="58"/>
      <c r="D14" s="58"/>
      <c r="F14" s="55" t="s">
        <v>425</v>
      </c>
      <c r="G14" s="55"/>
      <c r="H14" s="55">
        <v>0.12</v>
      </c>
      <c r="I14" s="55">
        <v>0.2</v>
      </c>
      <c r="J14" s="55">
        <v>0.32</v>
      </c>
      <c r="K14" s="55">
        <v>0.4</v>
      </c>
      <c r="L14" s="55">
        <v>0.48</v>
      </c>
      <c r="M14" s="55">
        <v>0.56000000000000005</v>
      </c>
      <c r="N14" s="55">
        <v>0.64</v>
      </c>
      <c r="O14" s="55">
        <v>0.72</v>
      </c>
      <c r="P14" s="55">
        <v>0.8</v>
      </c>
      <c r="R14" s="56"/>
      <c r="S14" s="56"/>
      <c r="T14" s="56"/>
    </row>
    <row r="15" spans="1:20" x14ac:dyDescent="0.3">
      <c r="A15" s="60" t="s">
        <v>241</v>
      </c>
      <c r="B15" s="60" t="s">
        <v>366</v>
      </c>
      <c r="C15" s="60"/>
      <c r="D15" s="60"/>
      <c r="F15" s="56" t="s">
        <v>3</v>
      </c>
      <c r="G15" s="56"/>
      <c r="H15" s="65">
        <f>Nozzle_Diameter*3</f>
        <v>1.7999999999999998</v>
      </c>
      <c r="I15" s="65">
        <f>Nozzle_Diameter*3</f>
        <v>1.7999999999999998</v>
      </c>
      <c r="J15" s="65">
        <f>Nozzle_Diameter*3</f>
        <v>1.7999999999999998</v>
      </c>
      <c r="K15" s="65">
        <f>Nozzle_Diameter*3</f>
        <v>1.7999999999999998</v>
      </c>
      <c r="L15" s="65">
        <f>Nozzle_Diameter*3</f>
        <v>1.7999999999999998</v>
      </c>
      <c r="M15" s="65">
        <f>Nozzle_Diameter*3</f>
        <v>1.7999999999999998</v>
      </c>
      <c r="N15" s="65">
        <f>Nozzle_Diameter*3</f>
        <v>1.7999999999999998</v>
      </c>
      <c r="O15" s="65">
        <f>Nozzle_Diameter*3</f>
        <v>1.7999999999999998</v>
      </c>
      <c r="P15" s="65">
        <f>Nozzle_Diameter*3</f>
        <v>1.7999999999999998</v>
      </c>
      <c r="R15" s="56"/>
      <c r="S15" s="56"/>
      <c r="T15" s="56"/>
    </row>
    <row r="16" spans="1:20" x14ac:dyDescent="0.3">
      <c r="A16" s="58"/>
      <c r="B16" s="58" t="s">
        <v>364</v>
      </c>
      <c r="C16" s="58"/>
      <c r="D16" s="58"/>
      <c r="F16" s="56" t="s">
        <v>5</v>
      </c>
      <c r="G16" s="56"/>
      <c r="H16" s="65">
        <f t="shared" ref="H16:H17" si="0">$H$14*7</f>
        <v>0.84</v>
      </c>
      <c r="I16" s="65">
        <f t="shared" ref="I16:I17" si="1">$I$14*4</f>
        <v>0.8</v>
      </c>
      <c r="J16" s="65">
        <f t="shared" ref="J16:J17" si="2">$J$14*3</f>
        <v>0.96</v>
      </c>
      <c r="K16" s="65">
        <f t="shared" ref="K16:K17" si="3">$K$14*3</f>
        <v>1.2000000000000002</v>
      </c>
      <c r="L16" s="65">
        <f t="shared" ref="L16:L17" si="4">$L$14*3</f>
        <v>1.44</v>
      </c>
      <c r="M16" s="65">
        <f t="shared" ref="M16:M17" si="5">$M$14*3</f>
        <v>1.6800000000000002</v>
      </c>
      <c r="N16" s="65">
        <f t="shared" ref="N16:N17" si="6">$N$14*3</f>
        <v>1.92</v>
      </c>
      <c r="O16" s="65">
        <f t="shared" ref="O16:O17" si="7">$O$14*3</f>
        <v>2.16</v>
      </c>
      <c r="P16" s="65">
        <f t="shared" ref="P16:P17" si="8">P$14*3</f>
        <v>2.4000000000000004</v>
      </c>
      <c r="R16" s="56"/>
      <c r="S16" s="56"/>
      <c r="T16" s="56"/>
    </row>
    <row r="17" spans="1:20" x14ac:dyDescent="0.3">
      <c r="A17" s="60"/>
      <c r="B17" s="60" t="s">
        <v>365</v>
      </c>
      <c r="C17" s="60"/>
      <c r="D17" s="60"/>
      <c r="F17" s="56" t="s">
        <v>6</v>
      </c>
      <c r="G17" s="56"/>
      <c r="H17" s="65">
        <f t="shared" si="0"/>
        <v>0.84</v>
      </c>
      <c r="I17" s="65">
        <f t="shared" si="1"/>
        <v>0.8</v>
      </c>
      <c r="J17" s="65">
        <f t="shared" si="2"/>
        <v>0.96</v>
      </c>
      <c r="K17" s="65">
        <f t="shared" si="3"/>
        <v>1.2000000000000002</v>
      </c>
      <c r="L17" s="65">
        <f t="shared" si="4"/>
        <v>1.44</v>
      </c>
      <c r="M17" s="65">
        <f t="shared" si="5"/>
        <v>1.6800000000000002</v>
      </c>
      <c r="N17" s="65">
        <f t="shared" si="6"/>
        <v>1.92</v>
      </c>
      <c r="O17" s="65">
        <f t="shared" si="7"/>
        <v>2.16</v>
      </c>
      <c r="P17" s="65">
        <f t="shared" si="8"/>
        <v>2.4000000000000004</v>
      </c>
      <c r="R17" s="56"/>
      <c r="S17" s="56"/>
      <c r="T17" s="56"/>
    </row>
    <row r="18" spans="1:20" x14ac:dyDescent="0.3">
      <c r="A18" s="58"/>
      <c r="B18" s="58"/>
      <c r="C18" s="58"/>
      <c r="D18" s="58"/>
      <c r="F18" s="56"/>
      <c r="G18" s="56"/>
      <c r="H18" s="57"/>
      <c r="I18" s="57"/>
      <c r="J18" s="57"/>
      <c r="K18" s="57"/>
      <c r="L18" s="57"/>
      <c r="M18" s="57"/>
      <c r="N18" s="57"/>
      <c r="O18" s="57"/>
      <c r="P18" s="57"/>
    </row>
    <row r="19" spans="1:20" x14ac:dyDescent="0.3">
      <c r="A19" s="60"/>
      <c r="B19" s="60"/>
      <c r="C19" s="60"/>
      <c r="D19" s="60"/>
      <c r="F19" s="56"/>
      <c r="G19" s="56"/>
      <c r="H19" s="56"/>
      <c r="I19" s="56"/>
      <c r="J19" s="56"/>
      <c r="K19" s="56"/>
      <c r="L19" s="56"/>
      <c r="M19" s="56"/>
      <c r="N19" s="56"/>
      <c r="O19" s="56"/>
      <c r="P19" s="56"/>
    </row>
    <row r="20" spans="1:20" x14ac:dyDescent="0.3">
      <c r="A20" s="58"/>
      <c r="B20" s="58"/>
      <c r="C20" s="58"/>
      <c r="D20" s="58"/>
      <c r="F20" s="56"/>
      <c r="G20" s="56"/>
      <c r="H20" s="56"/>
      <c r="I20" s="56"/>
      <c r="J20" s="56"/>
      <c r="K20" s="56"/>
      <c r="L20" s="56"/>
      <c r="M20" s="56"/>
      <c r="N20" s="56"/>
      <c r="O20" s="56"/>
      <c r="P20" s="56"/>
    </row>
    <row r="21" spans="1:20" x14ac:dyDescent="0.3">
      <c r="A21" s="60"/>
      <c r="B21" s="60"/>
      <c r="C21" s="60"/>
      <c r="D21" s="60"/>
      <c r="F21" s="56"/>
      <c r="G21" s="56"/>
      <c r="H21" s="56"/>
      <c r="I21" s="56"/>
      <c r="J21" s="56"/>
      <c r="K21" s="56"/>
      <c r="L21" s="56"/>
      <c r="M21" s="56"/>
      <c r="N21" s="56"/>
      <c r="O21" s="56"/>
      <c r="P21" s="56"/>
    </row>
    <row r="22" spans="1:20" x14ac:dyDescent="0.3">
      <c r="A22" s="58"/>
      <c r="B22" s="58"/>
      <c r="C22" s="58"/>
      <c r="D22" s="58"/>
      <c r="F22" s="56"/>
      <c r="G22" s="56"/>
      <c r="H22" s="56"/>
      <c r="I22" s="56"/>
      <c r="J22" s="56"/>
      <c r="K22" s="56"/>
      <c r="L22" s="56"/>
      <c r="M22" s="56"/>
      <c r="N22" s="56"/>
      <c r="O22" s="56"/>
      <c r="P22" s="56"/>
    </row>
    <row r="23" spans="1:20" x14ac:dyDescent="0.3">
      <c r="A23" s="60"/>
      <c r="B23" s="60"/>
      <c r="C23" s="60"/>
      <c r="D23" s="60"/>
      <c r="F23" s="56"/>
      <c r="G23" s="56"/>
      <c r="H23" s="56"/>
      <c r="I23" s="56"/>
      <c r="J23" s="56"/>
      <c r="K23" s="56"/>
      <c r="L23" s="56"/>
      <c r="M23" s="56"/>
      <c r="N23" s="56"/>
      <c r="O23" s="56"/>
      <c r="P23" s="56"/>
    </row>
    <row r="24" spans="1:20" x14ac:dyDescent="0.3">
      <c r="F24" s="66" t="s">
        <v>424</v>
      </c>
      <c r="G24" s="67"/>
      <c r="H24" s="67"/>
      <c r="I24" s="67"/>
      <c r="J24" s="67"/>
      <c r="K24" s="67"/>
      <c r="L24" s="67"/>
      <c r="M24" s="67"/>
      <c r="N24" s="67"/>
      <c r="O24" s="67"/>
      <c r="P24" s="68"/>
    </row>
    <row r="25" spans="1:20" x14ac:dyDescent="0.3">
      <c r="F25" s="55" t="s">
        <v>425</v>
      </c>
      <c r="G25" s="55"/>
      <c r="H25" s="55">
        <v>0.12</v>
      </c>
      <c r="I25" s="55">
        <v>0.2</v>
      </c>
      <c r="J25" s="55">
        <v>0.32</v>
      </c>
      <c r="K25" s="55">
        <v>0.4</v>
      </c>
      <c r="L25" s="55">
        <v>0.48</v>
      </c>
      <c r="M25" s="55">
        <v>0.56000000000000005</v>
      </c>
      <c r="N25" s="55">
        <v>0.64</v>
      </c>
      <c r="O25" s="55">
        <v>0.72</v>
      </c>
      <c r="P25" s="55">
        <v>0.8</v>
      </c>
    </row>
    <row r="26" spans="1:20" x14ac:dyDescent="0.3">
      <c r="F26" s="56" t="s">
        <v>3</v>
      </c>
      <c r="G26" s="56"/>
      <c r="H26" s="65">
        <f>H15/Nozzle_Diameter</f>
        <v>3</v>
      </c>
      <c r="I26" s="65">
        <f>I15/Nozzle_Diameter</f>
        <v>3</v>
      </c>
      <c r="J26" s="65">
        <f>J15/Nozzle_Diameter</f>
        <v>3</v>
      </c>
      <c r="K26" s="65">
        <f>K15/Nozzle_Diameter</f>
        <v>3</v>
      </c>
      <c r="L26" s="65">
        <f>L15/Nozzle_Diameter</f>
        <v>3</v>
      </c>
      <c r="M26" s="65">
        <f>M15/Nozzle_Diameter</f>
        <v>3</v>
      </c>
      <c r="N26" s="65">
        <f>N15/Nozzle_Diameter</f>
        <v>3</v>
      </c>
      <c r="O26" s="65">
        <f>O15/Nozzle_Diameter</f>
        <v>3</v>
      </c>
      <c r="P26" s="65">
        <f>P15/Nozzle_Diameter</f>
        <v>3</v>
      </c>
    </row>
    <row r="27" spans="1:20" x14ac:dyDescent="0.3">
      <c r="B27" s="3" t="s">
        <v>367</v>
      </c>
      <c r="F27" s="56" t="s">
        <v>5</v>
      </c>
      <c r="G27" s="56"/>
      <c r="H27" s="65">
        <f t="shared" ref="H27:P28" si="9">H16/H$25</f>
        <v>7</v>
      </c>
      <c r="I27" s="65">
        <f t="shared" si="9"/>
        <v>4</v>
      </c>
      <c r="J27" s="65">
        <f t="shared" si="9"/>
        <v>3</v>
      </c>
      <c r="K27" s="65">
        <f t="shared" si="9"/>
        <v>3.0000000000000004</v>
      </c>
      <c r="L27" s="65">
        <f t="shared" si="9"/>
        <v>3</v>
      </c>
      <c r="M27" s="65">
        <f t="shared" si="9"/>
        <v>3</v>
      </c>
      <c r="N27" s="65">
        <f t="shared" si="9"/>
        <v>3</v>
      </c>
      <c r="O27" s="65">
        <f t="shared" si="9"/>
        <v>3.0000000000000004</v>
      </c>
      <c r="P27" s="65">
        <f t="shared" si="9"/>
        <v>3.0000000000000004</v>
      </c>
    </row>
    <row r="28" spans="1:20" x14ac:dyDescent="0.3">
      <c r="B28" s="2" t="s">
        <v>399</v>
      </c>
      <c r="F28" s="56" t="s">
        <v>6</v>
      </c>
      <c r="G28" s="56"/>
      <c r="H28" s="65">
        <f t="shared" si="9"/>
        <v>7</v>
      </c>
      <c r="I28" s="65">
        <f t="shared" si="9"/>
        <v>4</v>
      </c>
      <c r="J28" s="65">
        <f t="shared" si="9"/>
        <v>3</v>
      </c>
      <c r="K28" s="65">
        <f t="shared" si="9"/>
        <v>3.0000000000000004</v>
      </c>
      <c r="L28" s="65">
        <f t="shared" si="9"/>
        <v>3</v>
      </c>
      <c r="M28" s="65">
        <f t="shared" si="9"/>
        <v>3</v>
      </c>
      <c r="N28" s="65">
        <f t="shared" si="9"/>
        <v>3</v>
      </c>
      <c r="O28" s="65">
        <f t="shared" si="9"/>
        <v>3.0000000000000004</v>
      </c>
      <c r="P28" s="65">
        <f t="shared" si="9"/>
        <v>3.0000000000000004</v>
      </c>
    </row>
    <row r="29" spans="1:20" x14ac:dyDescent="0.3">
      <c r="B29" s="3" t="s">
        <v>400</v>
      </c>
      <c r="F29" s="56"/>
      <c r="G29" s="56"/>
      <c r="H29" s="57"/>
      <c r="I29" s="57"/>
      <c r="J29" s="57"/>
      <c r="K29" s="57"/>
      <c r="L29" s="57"/>
      <c r="M29" s="57"/>
      <c r="N29" s="57"/>
      <c r="O29" s="57"/>
      <c r="P29" s="57"/>
    </row>
    <row r="30" spans="1:20" x14ac:dyDescent="0.3">
      <c r="F30" s="56"/>
      <c r="G30" s="56"/>
      <c r="H30" s="56"/>
      <c r="I30" s="56"/>
      <c r="J30" s="56"/>
      <c r="K30" s="56"/>
      <c r="L30" s="56"/>
      <c r="M30" s="56"/>
      <c r="N30" s="56"/>
      <c r="O30" s="56"/>
      <c r="P30" s="56"/>
    </row>
    <row r="31" spans="1:20" x14ac:dyDescent="0.3">
      <c r="B31" s="11" t="s">
        <v>366</v>
      </c>
      <c r="F31" s="56"/>
      <c r="G31" s="56"/>
      <c r="H31" s="56"/>
      <c r="I31" s="56"/>
      <c r="J31" s="56"/>
      <c r="K31" s="56"/>
      <c r="L31" s="56"/>
      <c r="M31" s="56"/>
      <c r="N31" s="56"/>
      <c r="O31" s="56"/>
      <c r="P31" s="56"/>
    </row>
    <row r="32" spans="1:20" x14ac:dyDescent="0.3">
      <c r="B32" s="4" t="s">
        <v>364</v>
      </c>
      <c r="F32" s="56"/>
      <c r="G32" s="56"/>
      <c r="H32" s="56"/>
      <c r="I32" s="56"/>
      <c r="J32" s="56"/>
      <c r="K32" s="56"/>
      <c r="L32" s="56"/>
      <c r="M32" s="56"/>
      <c r="N32" s="56"/>
      <c r="O32" s="56"/>
      <c r="P32" s="56"/>
    </row>
    <row r="33" spans="2:16" x14ac:dyDescent="0.3">
      <c r="B33" s="11" t="s">
        <v>365</v>
      </c>
      <c r="F33" s="56"/>
      <c r="G33" s="56"/>
      <c r="H33" s="56"/>
      <c r="I33" s="56"/>
      <c r="J33" s="56"/>
      <c r="K33" s="56"/>
      <c r="L33" s="56"/>
      <c r="M33" s="56"/>
      <c r="N33" s="56"/>
      <c r="O33" s="56"/>
      <c r="P33" s="56"/>
    </row>
    <row r="34" spans="2:16" x14ac:dyDescent="0.3">
      <c r="F34" s="56"/>
      <c r="G34" s="56"/>
      <c r="H34" s="56"/>
      <c r="I34" s="56"/>
      <c r="J34" s="56"/>
      <c r="K34" s="56"/>
      <c r="L34" s="56"/>
      <c r="M34" s="56"/>
      <c r="N34" s="56"/>
      <c r="O34" s="56"/>
      <c r="P34" s="56"/>
    </row>
  </sheetData>
  <mergeCells count="4">
    <mergeCell ref="F24:P24"/>
    <mergeCell ref="F13:P13"/>
    <mergeCell ref="F1:P1"/>
    <mergeCell ref="R1:T1"/>
  </mergeCells>
  <dataValidations count="1">
    <dataValidation type="list" allowBlank="1" showInputMessage="1" showErrorMessage="1" sqref="B2" xr:uid="{E3E925ED-0E0D-40C2-A029-5018B37F33A7}">
      <formula1>"0.4,0.5,0.6,0.8,1.0"</formula1>
    </dataValidation>
  </dataValidations>
  <pageMargins left="0.7" right="0.7" top="0.75" bottom="0.75" header="0.3" footer="0.3"/>
  <pageSetup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r:uid="{E771CCEE-C8BF-41E2-A90A-D5016F2B1FB3}">
          <x14:formula1>
            <xm:f>filament!$D$1:$I$1</xm:f>
          </x14:formula1>
          <xm:sqref>B7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31EEB-60A0-46D1-B0FF-3003E1C761AA}">
  <sheetPr codeName="Sheet1"/>
  <dimension ref="A1:M162"/>
  <sheetViews>
    <sheetView workbookViewId="0">
      <pane ySplit="1" topLeftCell="A2" activePane="bottomLeft" state="frozen"/>
      <selection pane="bottomLeft" activeCell="E21" sqref="E21"/>
    </sheetView>
  </sheetViews>
  <sheetFormatPr defaultRowHeight="14.4" x14ac:dyDescent="0.3"/>
  <cols>
    <col min="1" max="1" width="19.109375" bestFit="1" customWidth="1"/>
    <col min="2" max="2" width="39.6640625" customWidth="1"/>
    <col min="3" max="3" width="38.44140625" style="1" bestFit="1" customWidth="1"/>
    <col min="4" max="4" width="11.6640625" bestFit="1" customWidth="1"/>
    <col min="5" max="5" width="13.44140625" bestFit="1" customWidth="1"/>
    <col min="6" max="6" width="12.6640625" bestFit="1" customWidth="1"/>
    <col min="7" max="7" width="10.44140625" bestFit="1" customWidth="1"/>
    <col min="8" max="8" width="14.6640625" bestFit="1" customWidth="1"/>
    <col min="9" max="9" width="12.6640625" bestFit="1" customWidth="1"/>
    <col min="10" max="10" width="10.44140625" bestFit="1" customWidth="1"/>
    <col min="11" max="11" width="12.109375" bestFit="1" customWidth="1"/>
    <col min="12" max="12" width="11.109375" bestFit="1" customWidth="1"/>
    <col min="13" max="13" width="59.88671875" customWidth="1"/>
    <col min="14" max="14" width="17.33203125" bestFit="1" customWidth="1"/>
  </cols>
  <sheetData>
    <row r="1" spans="1:13" x14ac:dyDescent="0.3">
      <c r="A1" s="30" t="s">
        <v>247</v>
      </c>
      <c r="B1" s="30" t="s">
        <v>219</v>
      </c>
      <c r="C1" s="31" t="s">
        <v>109</v>
      </c>
      <c r="D1" s="30" t="s">
        <v>288</v>
      </c>
      <c r="E1" s="30" t="s">
        <v>289</v>
      </c>
      <c r="F1" s="30" t="s">
        <v>290</v>
      </c>
      <c r="G1" s="30" t="s">
        <v>291</v>
      </c>
      <c r="H1" s="30" t="s">
        <v>292</v>
      </c>
      <c r="I1" s="30" t="s">
        <v>293</v>
      </c>
      <c r="J1" s="30" t="s">
        <v>294</v>
      </c>
      <c r="K1" s="30" t="s">
        <v>295</v>
      </c>
      <c r="L1" s="30" t="s">
        <v>296</v>
      </c>
      <c r="M1" s="32" t="s">
        <v>231</v>
      </c>
    </row>
    <row r="2" spans="1:13" x14ac:dyDescent="0.3">
      <c r="A2" s="33"/>
      <c r="B2" s="33"/>
      <c r="C2" s="34"/>
      <c r="D2" s="33" t="s">
        <v>232</v>
      </c>
      <c r="E2" s="33" t="s">
        <v>233</v>
      </c>
      <c r="F2" s="33" t="s">
        <v>234</v>
      </c>
      <c r="G2" s="33" t="s">
        <v>235</v>
      </c>
      <c r="H2" s="33" t="s">
        <v>236</v>
      </c>
      <c r="I2" s="33" t="s">
        <v>237</v>
      </c>
      <c r="J2" s="33" t="s">
        <v>238</v>
      </c>
      <c r="K2" s="33" t="s">
        <v>239</v>
      </c>
      <c r="L2" s="33" t="s">
        <v>240</v>
      </c>
      <c r="M2" s="35"/>
    </row>
    <row r="3" spans="1:13" x14ac:dyDescent="0.3">
      <c r="A3" s="36"/>
      <c r="B3" s="36" t="s">
        <v>0</v>
      </c>
      <c r="C3" s="37">
        <v>4</v>
      </c>
      <c r="D3" s="36"/>
      <c r="E3" s="36"/>
      <c r="F3" s="36"/>
      <c r="G3" s="36"/>
      <c r="H3" s="36"/>
      <c r="I3" s="36"/>
      <c r="J3" s="36"/>
      <c r="K3" s="36"/>
      <c r="L3" s="36"/>
      <c r="M3" s="38"/>
    </row>
    <row r="4" spans="1:13" x14ac:dyDescent="0.3">
      <c r="A4" s="39" t="s">
        <v>248</v>
      </c>
      <c r="B4" s="40" t="s">
        <v>242</v>
      </c>
      <c r="C4" s="34"/>
      <c r="D4" s="33"/>
      <c r="E4" s="33"/>
      <c r="F4" s="33"/>
      <c r="G4" s="33"/>
      <c r="H4" s="33"/>
      <c r="I4" s="33"/>
      <c r="J4" s="33"/>
      <c r="K4" s="33"/>
      <c r="L4" s="33"/>
      <c r="M4" s="35"/>
    </row>
    <row r="5" spans="1:13" x14ac:dyDescent="0.3">
      <c r="A5" s="36"/>
      <c r="B5" s="36" t="s">
        <v>1</v>
      </c>
      <c r="C5" s="37">
        <f>MAX(0.2,Min_Layer_Height)</f>
        <v>0.2</v>
      </c>
      <c r="D5" s="36">
        <v>0.12</v>
      </c>
      <c r="E5" s="36">
        <v>0.2</v>
      </c>
      <c r="F5" s="36">
        <v>0.32</v>
      </c>
      <c r="G5" s="36">
        <v>0.4</v>
      </c>
      <c r="H5" s="36">
        <v>0.48</v>
      </c>
      <c r="I5" s="36">
        <v>0.56000000000000005</v>
      </c>
      <c r="J5" s="36">
        <v>0.64</v>
      </c>
      <c r="K5" s="36">
        <v>0.72</v>
      </c>
      <c r="L5" s="36">
        <v>0.8</v>
      </c>
      <c r="M5" s="38"/>
    </row>
    <row r="6" spans="1:13" x14ac:dyDescent="0.3">
      <c r="A6" s="33"/>
      <c r="B6" s="33" t="s">
        <v>2</v>
      </c>
      <c r="C6" s="34">
        <f>MAX(0.2,Min_Layer_Height)</f>
        <v>0.2</v>
      </c>
      <c r="D6" s="33"/>
      <c r="E6" s="33"/>
      <c r="F6" s="33"/>
      <c r="G6" s="33"/>
      <c r="H6" s="33"/>
      <c r="I6" s="33"/>
      <c r="J6" s="33"/>
      <c r="K6" s="33"/>
      <c r="L6" s="33"/>
      <c r="M6" s="35"/>
    </row>
    <row r="7" spans="1:13" x14ac:dyDescent="0.3">
      <c r="A7" s="36"/>
      <c r="B7" s="36" t="s">
        <v>378</v>
      </c>
      <c r="C7" s="37">
        <v>0</v>
      </c>
      <c r="D7" s="36"/>
      <c r="E7" s="36"/>
      <c r="F7" s="36"/>
      <c r="G7" s="36"/>
      <c r="H7" s="36"/>
      <c r="I7" s="36"/>
      <c r="J7" s="36"/>
      <c r="K7" s="36"/>
      <c r="L7" s="36"/>
      <c r="M7" s="38"/>
    </row>
    <row r="8" spans="1:13" x14ac:dyDescent="0.3">
      <c r="A8" s="33"/>
      <c r="B8" s="33" t="s">
        <v>379</v>
      </c>
      <c r="C8" s="34">
        <v>75</v>
      </c>
      <c r="D8" s="33"/>
      <c r="E8" s="33"/>
      <c r="F8" s="33"/>
      <c r="G8" s="33"/>
      <c r="H8" s="33"/>
      <c r="I8" s="33"/>
      <c r="J8" s="33"/>
      <c r="K8" s="33"/>
      <c r="L8" s="33"/>
      <c r="M8" s="35"/>
    </row>
    <row r="9" spans="1:13" x14ac:dyDescent="0.3">
      <c r="A9" s="36"/>
      <c r="B9" s="36" t="s">
        <v>380</v>
      </c>
      <c r="C9" s="37">
        <v>0</v>
      </c>
      <c r="D9" s="36"/>
      <c r="E9" s="36"/>
      <c r="F9" s="36"/>
      <c r="G9" s="36"/>
      <c r="H9" s="36"/>
      <c r="I9" s="36"/>
      <c r="J9" s="36"/>
      <c r="K9" s="36"/>
      <c r="L9" s="36"/>
      <c r="M9" s="38"/>
    </row>
    <row r="10" spans="1:13" x14ac:dyDescent="0.3">
      <c r="A10" s="33"/>
      <c r="B10" s="40" t="s">
        <v>243</v>
      </c>
      <c r="C10" s="34"/>
      <c r="D10" s="33"/>
      <c r="E10" s="33"/>
      <c r="F10" s="33"/>
      <c r="G10" s="33"/>
      <c r="H10" s="33"/>
      <c r="I10" s="33"/>
      <c r="J10" s="33"/>
      <c r="K10" s="33"/>
      <c r="L10" s="33"/>
      <c r="M10" s="35"/>
    </row>
    <row r="11" spans="1:13" x14ac:dyDescent="0.3">
      <c r="A11" s="36"/>
      <c r="B11" s="36" t="s">
        <v>3</v>
      </c>
      <c r="C11" s="37">
        <v>3</v>
      </c>
      <c r="D11" s="36"/>
      <c r="E11" s="36"/>
      <c r="F11" s="36"/>
      <c r="G11" s="36"/>
      <c r="H11" s="36"/>
      <c r="I11" s="36"/>
      <c r="J11" s="36"/>
      <c r="K11" s="36"/>
      <c r="L11" s="36"/>
      <c r="M11" s="38"/>
    </row>
    <row r="12" spans="1:13" x14ac:dyDescent="0.3">
      <c r="A12" s="33"/>
      <c r="B12" s="33" t="s">
        <v>381</v>
      </c>
      <c r="C12" s="34">
        <v>0</v>
      </c>
      <c r="D12" s="33"/>
      <c r="E12" s="33"/>
      <c r="F12" s="33"/>
      <c r="G12" s="33"/>
      <c r="H12" s="33"/>
      <c r="I12" s="33"/>
      <c r="J12" s="33"/>
      <c r="K12" s="33"/>
      <c r="L12" s="33"/>
      <c r="M12" s="35"/>
    </row>
    <row r="13" spans="1:13" x14ac:dyDescent="0.3">
      <c r="A13" s="36"/>
      <c r="B13" s="36" t="s">
        <v>4</v>
      </c>
      <c r="C13" s="37">
        <v>0</v>
      </c>
      <c r="D13" s="36"/>
      <c r="E13" s="36"/>
      <c r="F13" s="36"/>
      <c r="G13" s="36"/>
      <c r="H13" s="36"/>
      <c r="I13" s="36"/>
      <c r="J13" s="36"/>
      <c r="K13" s="36"/>
      <c r="L13" s="36"/>
      <c r="M13" s="38"/>
    </row>
    <row r="14" spans="1:13" x14ac:dyDescent="0.3">
      <c r="A14" s="33"/>
      <c r="B14" s="40" t="s">
        <v>244</v>
      </c>
      <c r="C14" s="34"/>
      <c r="D14" s="33"/>
      <c r="E14" s="33"/>
      <c r="F14" s="33"/>
      <c r="G14" s="33"/>
      <c r="H14" s="33"/>
      <c r="I14" s="33"/>
      <c r="J14" s="33"/>
      <c r="K14" s="33"/>
      <c r="L14" s="33"/>
      <c r="M14" s="35"/>
    </row>
    <row r="15" spans="1:13" x14ac:dyDescent="0.3">
      <c r="A15" s="36"/>
      <c r="B15" s="36" t="s">
        <v>5</v>
      </c>
      <c r="C15" s="37">
        <v>3</v>
      </c>
      <c r="D15" s="36">
        <v>6</v>
      </c>
      <c r="E15" s="36">
        <v>4</v>
      </c>
      <c r="F15" s="36"/>
      <c r="G15" s="36"/>
      <c r="H15" s="36"/>
      <c r="I15" s="36"/>
      <c r="J15" s="36"/>
      <c r="K15" s="36"/>
      <c r="L15" s="36"/>
      <c r="M15" s="38"/>
    </row>
    <row r="16" spans="1:13" x14ac:dyDescent="0.3">
      <c r="A16" s="33"/>
      <c r="B16" s="33" t="s">
        <v>6</v>
      </c>
      <c r="C16" s="34">
        <v>3</v>
      </c>
      <c r="D16" s="33">
        <v>5</v>
      </c>
      <c r="E16" s="33">
        <v>4</v>
      </c>
      <c r="F16" s="33"/>
      <c r="G16" s="33"/>
      <c r="H16" s="33"/>
      <c r="I16" s="33"/>
      <c r="J16" s="33"/>
      <c r="K16" s="33"/>
      <c r="L16" s="33"/>
      <c r="M16" s="35"/>
    </row>
    <row r="17" spans="1:13" x14ac:dyDescent="0.3">
      <c r="A17" s="36"/>
      <c r="B17" s="36" t="s">
        <v>382</v>
      </c>
      <c r="C17" s="37">
        <v>0</v>
      </c>
      <c r="D17" s="36"/>
      <c r="E17" s="36"/>
      <c r="F17" s="36"/>
      <c r="G17" s="36"/>
      <c r="H17" s="36"/>
      <c r="I17" s="36"/>
      <c r="J17" s="36"/>
      <c r="K17" s="36"/>
      <c r="L17" s="36"/>
      <c r="M17" s="38"/>
    </row>
    <row r="18" spans="1:13" x14ac:dyDescent="0.3">
      <c r="A18" s="33"/>
      <c r="B18" s="40" t="s">
        <v>245</v>
      </c>
      <c r="C18" s="34"/>
      <c r="D18" s="33"/>
      <c r="E18" s="33"/>
      <c r="F18" s="33"/>
      <c r="G18" s="33"/>
      <c r="H18" s="33"/>
      <c r="I18" s="33"/>
      <c r="J18" s="33"/>
      <c r="K18" s="33"/>
      <c r="L18" s="33"/>
      <c r="M18" s="35"/>
    </row>
    <row r="19" spans="1:13" x14ac:dyDescent="0.3">
      <c r="A19" s="36"/>
      <c r="B19" s="36" t="s">
        <v>7</v>
      </c>
      <c r="C19" s="37">
        <v>1</v>
      </c>
      <c r="D19" s="36"/>
      <c r="E19" s="36"/>
      <c r="F19" s="36"/>
      <c r="G19" s="36"/>
      <c r="H19" s="36"/>
      <c r="I19" s="36"/>
      <c r="J19" s="36"/>
      <c r="K19" s="36"/>
      <c r="L19" s="36"/>
      <c r="M19" s="38" t="s">
        <v>280</v>
      </c>
    </row>
    <row r="20" spans="1:13" x14ac:dyDescent="0.3">
      <c r="A20" s="33"/>
      <c r="B20" s="33" t="s">
        <v>8</v>
      </c>
      <c r="C20" s="34">
        <v>1</v>
      </c>
      <c r="D20" s="33"/>
      <c r="E20" s="33"/>
      <c r="F20" s="33"/>
      <c r="G20" s="33"/>
      <c r="H20" s="33"/>
      <c r="I20" s="33"/>
      <c r="J20" s="33"/>
      <c r="K20" s="33"/>
      <c r="L20" s="33"/>
      <c r="M20" s="35" t="s">
        <v>281</v>
      </c>
    </row>
    <row r="21" spans="1:13" x14ac:dyDescent="0.3">
      <c r="A21" s="36"/>
      <c r="B21" s="36" t="s">
        <v>9</v>
      </c>
      <c r="C21" s="37">
        <v>0</v>
      </c>
      <c r="D21" s="36"/>
      <c r="E21" s="36"/>
      <c r="F21" s="36"/>
      <c r="G21" s="36"/>
      <c r="H21" s="36"/>
      <c r="I21" s="36"/>
      <c r="J21" s="36"/>
      <c r="K21" s="36"/>
      <c r="L21" s="36"/>
      <c r="M21" s="38"/>
    </row>
    <row r="22" spans="1:13" x14ac:dyDescent="0.3">
      <c r="A22" s="33"/>
      <c r="B22" s="33" t="s">
        <v>10</v>
      </c>
      <c r="C22" s="34">
        <v>1</v>
      </c>
      <c r="D22" s="33"/>
      <c r="E22" s="33"/>
      <c r="F22" s="33"/>
      <c r="G22" s="33"/>
      <c r="H22" s="33"/>
      <c r="I22" s="33"/>
      <c r="J22" s="33"/>
      <c r="K22" s="33"/>
      <c r="L22" s="33"/>
      <c r="M22" s="35" t="s">
        <v>282</v>
      </c>
    </row>
    <row r="23" spans="1:13" x14ac:dyDescent="0.3">
      <c r="A23" s="36"/>
      <c r="B23" s="36" t="s">
        <v>309</v>
      </c>
      <c r="C23" s="37">
        <v>1</v>
      </c>
      <c r="D23" s="36"/>
      <c r="E23" s="36"/>
      <c r="F23" s="36"/>
      <c r="G23" s="36"/>
      <c r="H23" s="36"/>
      <c r="I23" s="36"/>
      <c r="J23" s="36"/>
      <c r="K23" s="36"/>
      <c r="L23" s="36"/>
      <c r="M23" s="38" t="s">
        <v>310</v>
      </c>
    </row>
    <row r="24" spans="1:13" x14ac:dyDescent="0.3">
      <c r="A24" s="33"/>
      <c r="B24" s="40" t="s">
        <v>246</v>
      </c>
      <c r="C24" s="34"/>
      <c r="D24" s="33"/>
      <c r="E24" s="33"/>
      <c r="F24" s="33"/>
      <c r="G24" s="33"/>
      <c r="H24" s="33"/>
      <c r="I24" s="33"/>
      <c r="J24" s="33"/>
      <c r="K24" s="33"/>
      <c r="L24" s="33"/>
      <c r="M24" s="35" t="s">
        <v>283</v>
      </c>
    </row>
    <row r="25" spans="1:13" x14ac:dyDescent="0.3">
      <c r="A25" s="36"/>
      <c r="B25" s="36" t="s">
        <v>12</v>
      </c>
      <c r="C25" s="37" t="s">
        <v>13</v>
      </c>
      <c r="D25" s="36"/>
      <c r="E25" s="36"/>
      <c r="F25" s="36"/>
      <c r="G25" s="36"/>
      <c r="H25" s="36"/>
      <c r="I25" s="36"/>
      <c r="J25" s="36"/>
      <c r="K25" s="36"/>
      <c r="L25" s="36"/>
      <c r="M25" s="38"/>
    </row>
    <row r="26" spans="1:13" x14ac:dyDescent="0.3">
      <c r="A26" s="33"/>
      <c r="B26" s="33" t="s">
        <v>14</v>
      </c>
      <c r="C26" s="34">
        <v>0</v>
      </c>
      <c r="D26" s="33"/>
      <c r="E26" s="33"/>
      <c r="F26" s="33"/>
      <c r="G26" s="33"/>
      <c r="H26" s="33"/>
      <c r="I26" s="33"/>
      <c r="J26" s="33"/>
      <c r="K26" s="33"/>
      <c r="L26" s="33"/>
      <c r="M26" s="35"/>
    </row>
    <row r="27" spans="1:13" x14ac:dyDescent="0.3">
      <c r="A27" s="40" t="s">
        <v>249</v>
      </c>
      <c r="B27" s="40" t="s">
        <v>250</v>
      </c>
      <c r="C27" s="37"/>
      <c r="D27" s="36"/>
      <c r="E27" s="36"/>
      <c r="F27" s="36"/>
      <c r="G27" s="36"/>
      <c r="H27" s="36"/>
      <c r="I27" s="36"/>
      <c r="J27" s="36"/>
      <c r="K27" s="36"/>
      <c r="L27" s="36"/>
      <c r="M27" s="38"/>
    </row>
    <row r="28" spans="1:13" x14ac:dyDescent="0.3">
      <c r="A28" s="33"/>
      <c r="B28" s="33" t="s">
        <v>15</v>
      </c>
      <c r="C28" s="41" t="str">
        <f>"20%"</f>
        <v>20%</v>
      </c>
      <c r="D28" s="33"/>
      <c r="E28" s="33"/>
      <c r="F28" s="33"/>
      <c r="G28" s="33"/>
      <c r="H28" s="33"/>
      <c r="I28" s="33"/>
      <c r="J28" s="33"/>
      <c r="K28" s="33"/>
      <c r="L28" s="33"/>
      <c r="M28" s="35"/>
    </row>
    <row r="29" spans="1:13" x14ac:dyDescent="0.3">
      <c r="A29" s="36"/>
      <c r="B29" s="36" t="s">
        <v>16</v>
      </c>
      <c r="C29" s="37" t="s">
        <v>17</v>
      </c>
      <c r="D29" s="36"/>
      <c r="E29" s="36"/>
      <c r="F29" s="36"/>
      <c r="G29" s="36"/>
      <c r="H29" s="36"/>
      <c r="I29" s="36"/>
      <c r="J29" s="36"/>
      <c r="K29" s="36"/>
      <c r="L29" s="36"/>
      <c r="M29" s="38" t="s">
        <v>284</v>
      </c>
    </row>
    <row r="30" spans="1:13" x14ac:dyDescent="0.3">
      <c r="A30" s="33"/>
      <c r="B30" s="33" t="s">
        <v>18</v>
      </c>
      <c r="C30" s="34" t="s">
        <v>17</v>
      </c>
      <c r="D30" s="33"/>
      <c r="E30" s="33"/>
      <c r="F30" s="33"/>
      <c r="G30" s="33"/>
      <c r="H30" s="33"/>
      <c r="I30" s="33"/>
      <c r="J30" s="33"/>
      <c r="K30" s="33"/>
      <c r="L30" s="33"/>
      <c r="M30" s="35"/>
    </row>
    <row r="31" spans="1:13" x14ac:dyDescent="0.3">
      <c r="A31" s="36"/>
      <c r="B31" s="36" t="s">
        <v>383</v>
      </c>
      <c r="C31" s="37" t="s">
        <v>17</v>
      </c>
      <c r="D31" s="36"/>
      <c r="E31" s="36"/>
      <c r="F31" s="36"/>
      <c r="G31" s="36"/>
      <c r="H31" s="36"/>
      <c r="I31" s="36"/>
      <c r="J31" s="36"/>
      <c r="K31" s="36"/>
      <c r="L31" s="36"/>
      <c r="M31" s="38"/>
    </row>
    <row r="32" spans="1:13" x14ac:dyDescent="0.3">
      <c r="A32" s="33"/>
      <c r="B32" s="33" t="s">
        <v>389</v>
      </c>
      <c r="C32" s="34" t="s">
        <v>17</v>
      </c>
      <c r="D32" s="33"/>
      <c r="E32" s="33"/>
      <c r="F32" s="33"/>
      <c r="G32" s="33"/>
      <c r="H32" s="33"/>
      <c r="I32" s="33"/>
      <c r="J32" s="33"/>
      <c r="K32" s="33"/>
      <c r="L32" s="33"/>
      <c r="M32" s="35"/>
    </row>
    <row r="33" spans="1:13" x14ac:dyDescent="0.3">
      <c r="A33" s="36"/>
      <c r="B33" s="40" t="s">
        <v>251</v>
      </c>
      <c r="C33" s="37"/>
      <c r="D33" s="36"/>
      <c r="E33" s="36"/>
      <c r="F33" s="36"/>
      <c r="G33" s="36"/>
      <c r="H33" s="36"/>
      <c r="I33" s="36"/>
      <c r="J33" s="36"/>
      <c r="K33" s="36"/>
      <c r="L33" s="36"/>
      <c r="M33" s="38" t="s">
        <v>285</v>
      </c>
    </row>
    <row r="34" spans="1:13" x14ac:dyDescent="0.3">
      <c r="A34" s="33"/>
      <c r="B34" s="33" t="s">
        <v>19</v>
      </c>
      <c r="C34" s="34">
        <v>1</v>
      </c>
      <c r="D34" s="33"/>
      <c r="E34" s="33"/>
      <c r="F34" s="33"/>
      <c r="G34" s="33"/>
      <c r="H34" s="33"/>
      <c r="I34" s="33"/>
      <c r="J34" s="33"/>
      <c r="K34" s="33"/>
      <c r="L34" s="33"/>
      <c r="M34" s="35" t="s">
        <v>286</v>
      </c>
    </row>
    <row r="35" spans="1:13" x14ac:dyDescent="0.3">
      <c r="A35" s="36"/>
      <c r="B35" s="36" t="s">
        <v>20</v>
      </c>
      <c r="C35" s="37">
        <v>0</v>
      </c>
      <c r="D35" s="36"/>
      <c r="E35" s="36"/>
      <c r="F35" s="36"/>
      <c r="G35" s="36"/>
      <c r="H35" s="36"/>
      <c r="I35" s="36"/>
      <c r="J35" s="36"/>
      <c r="K35" s="36"/>
      <c r="L35" s="36"/>
      <c r="M35" s="38"/>
    </row>
    <row r="36" spans="1:13" x14ac:dyDescent="0.3">
      <c r="A36" s="33"/>
      <c r="B36" s="40" t="s">
        <v>246</v>
      </c>
      <c r="C36" s="34"/>
      <c r="D36" s="33"/>
      <c r="E36" s="33"/>
      <c r="F36" s="33"/>
      <c r="G36" s="33"/>
      <c r="H36" s="33"/>
      <c r="I36" s="33"/>
      <c r="J36" s="33"/>
      <c r="K36" s="33"/>
      <c r="L36" s="33"/>
      <c r="M36" s="35"/>
    </row>
    <row r="37" spans="1:13" x14ac:dyDescent="0.3">
      <c r="A37" s="36"/>
      <c r="B37" s="36" t="s">
        <v>384</v>
      </c>
      <c r="C37" s="37">
        <v>1</v>
      </c>
      <c r="D37" s="36"/>
      <c r="E37" s="36"/>
      <c r="F37" s="36"/>
      <c r="G37" s="36"/>
      <c r="H37" s="36"/>
      <c r="I37" s="36"/>
      <c r="J37" s="36"/>
      <c r="K37" s="36"/>
      <c r="L37" s="36"/>
      <c r="M37" s="38"/>
    </row>
    <row r="38" spans="1:13" x14ac:dyDescent="0.3">
      <c r="A38" s="33"/>
      <c r="B38" s="33" t="s">
        <v>21</v>
      </c>
      <c r="C38" s="34">
        <v>0</v>
      </c>
      <c r="D38" s="33"/>
      <c r="E38" s="33"/>
      <c r="F38" s="33"/>
      <c r="G38" s="33"/>
      <c r="H38" s="33"/>
      <c r="I38" s="33"/>
      <c r="J38" s="33"/>
      <c r="K38" s="33"/>
      <c r="L38" s="33"/>
      <c r="M38" s="35"/>
    </row>
    <row r="39" spans="1:13" x14ac:dyDescent="0.3">
      <c r="A39" s="36"/>
      <c r="B39" s="36" t="s">
        <v>22</v>
      </c>
      <c r="C39" s="37">
        <v>45</v>
      </c>
      <c r="D39" s="36"/>
      <c r="E39" s="36"/>
      <c r="F39" s="36"/>
      <c r="G39" s="36"/>
      <c r="H39" s="36"/>
      <c r="I39" s="36"/>
      <c r="J39" s="36"/>
      <c r="K39" s="36"/>
      <c r="L39" s="36"/>
      <c r="M39" s="38"/>
    </row>
    <row r="40" spans="1:13" x14ac:dyDescent="0.3">
      <c r="A40" s="33"/>
      <c r="B40" s="33" t="s">
        <v>23</v>
      </c>
      <c r="C40" s="34">
        <f>(Nozzle_Diameter*Nozzle_Diameter)*100</f>
        <v>36</v>
      </c>
      <c r="D40" s="33"/>
      <c r="E40" s="33"/>
      <c r="F40" s="33"/>
      <c r="G40" s="33"/>
      <c r="H40" s="33"/>
      <c r="I40" s="33"/>
      <c r="J40" s="33"/>
      <c r="K40" s="33"/>
      <c r="L40" s="33"/>
      <c r="M40" s="35" t="s">
        <v>287</v>
      </c>
    </row>
    <row r="41" spans="1:13" x14ac:dyDescent="0.3">
      <c r="A41" s="36"/>
      <c r="B41" s="36" t="s">
        <v>24</v>
      </c>
      <c r="C41" s="37">
        <v>0</v>
      </c>
      <c r="D41" s="36"/>
      <c r="E41" s="36"/>
      <c r="F41" s="36"/>
      <c r="G41" s="36"/>
      <c r="H41" s="36"/>
      <c r="I41" s="36"/>
      <c r="J41" s="36"/>
      <c r="K41" s="36"/>
      <c r="L41" s="36"/>
      <c r="M41" s="38"/>
    </row>
    <row r="42" spans="1:13" x14ac:dyDescent="0.3">
      <c r="A42" s="33"/>
      <c r="B42" s="33" t="s">
        <v>25</v>
      </c>
      <c r="C42" s="34">
        <v>0</v>
      </c>
      <c r="D42" s="33"/>
      <c r="E42" s="33"/>
      <c r="F42" s="33"/>
      <c r="G42" s="33"/>
      <c r="H42" s="33"/>
      <c r="I42" s="33"/>
      <c r="J42" s="33"/>
      <c r="K42" s="33"/>
      <c r="L42" s="33"/>
      <c r="M42" s="35"/>
    </row>
    <row r="43" spans="1:13" x14ac:dyDescent="0.3">
      <c r="A43" s="36"/>
      <c r="B43" s="36" t="s">
        <v>26</v>
      </c>
      <c r="C43" s="37">
        <v>0</v>
      </c>
      <c r="D43" s="36"/>
      <c r="E43" s="36"/>
      <c r="F43" s="36"/>
      <c r="G43" s="36"/>
      <c r="H43" s="36"/>
      <c r="I43" s="36"/>
      <c r="J43" s="36"/>
      <c r="K43" s="36"/>
      <c r="L43" s="36"/>
      <c r="M43" s="38"/>
    </row>
    <row r="44" spans="1:13" x14ac:dyDescent="0.3">
      <c r="A44" s="40" t="s">
        <v>252</v>
      </c>
      <c r="B44" s="40" t="s">
        <v>253</v>
      </c>
      <c r="C44" s="34"/>
      <c r="D44" s="33"/>
      <c r="E44" s="33"/>
      <c r="F44" s="33"/>
      <c r="G44" s="33"/>
      <c r="H44" s="33"/>
      <c r="I44" s="33"/>
      <c r="J44" s="33"/>
      <c r="K44" s="33"/>
      <c r="L44" s="33"/>
      <c r="M44" s="35"/>
    </row>
    <row r="45" spans="1:13" x14ac:dyDescent="0.3">
      <c r="A45" s="36"/>
      <c r="B45" s="36" t="s">
        <v>27</v>
      </c>
      <c r="C45" s="37">
        <v>0</v>
      </c>
      <c r="D45" s="36"/>
      <c r="E45" s="36"/>
      <c r="F45" s="36"/>
      <c r="G45" s="36"/>
      <c r="H45" s="36"/>
      <c r="I45" s="36"/>
      <c r="J45" s="36"/>
      <c r="K45" s="36"/>
      <c r="L45" s="36"/>
      <c r="M45" s="38" t="s">
        <v>297</v>
      </c>
    </row>
    <row r="46" spans="1:13" x14ac:dyDescent="0.3">
      <c r="A46" s="33"/>
      <c r="B46" s="33" t="s">
        <v>28</v>
      </c>
      <c r="C46" s="34">
        <v>2</v>
      </c>
      <c r="D46" s="33"/>
      <c r="E46" s="33"/>
      <c r="F46" s="33"/>
      <c r="G46" s="33"/>
      <c r="H46" s="33"/>
      <c r="I46" s="33"/>
      <c r="J46" s="33"/>
      <c r="K46" s="33"/>
      <c r="L46" s="33"/>
      <c r="M46" s="35" t="s">
        <v>300</v>
      </c>
    </row>
    <row r="47" spans="1:13" x14ac:dyDescent="0.3">
      <c r="A47" s="36"/>
      <c r="B47" s="36" t="s">
        <v>29</v>
      </c>
      <c r="C47" s="37">
        <v>1</v>
      </c>
      <c r="D47" s="36"/>
      <c r="E47" s="36"/>
      <c r="F47" s="36"/>
      <c r="G47" s="36"/>
      <c r="H47" s="36"/>
      <c r="I47" s="36"/>
      <c r="J47" s="36"/>
      <c r="K47" s="36"/>
      <c r="L47" s="36"/>
      <c r="M47" s="38" t="s">
        <v>298</v>
      </c>
    </row>
    <row r="48" spans="1:13" x14ac:dyDescent="0.3">
      <c r="A48" s="33"/>
      <c r="B48" s="33" t="s">
        <v>30</v>
      </c>
      <c r="C48" s="34">
        <v>4</v>
      </c>
      <c r="D48" s="33"/>
      <c r="E48" s="33"/>
      <c r="F48" s="33"/>
      <c r="G48" s="33"/>
      <c r="H48" s="33"/>
      <c r="I48" s="33"/>
      <c r="J48" s="33"/>
      <c r="K48" s="33"/>
      <c r="L48" s="33"/>
      <c r="M48" s="35" t="s">
        <v>301</v>
      </c>
    </row>
    <row r="49" spans="1:13" x14ac:dyDescent="0.3">
      <c r="A49" s="36"/>
      <c r="B49" s="40" t="s">
        <v>254</v>
      </c>
      <c r="C49" s="37"/>
      <c r="D49" s="36"/>
      <c r="E49" s="36"/>
      <c r="F49" s="36"/>
      <c r="G49" s="36"/>
      <c r="H49" s="36"/>
      <c r="I49" s="36"/>
      <c r="J49" s="36"/>
      <c r="K49" s="36"/>
      <c r="L49" s="36"/>
      <c r="M49" s="38" t="s">
        <v>299</v>
      </c>
    </row>
    <row r="50" spans="1:13" x14ac:dyDescent="0.3">
      <c r="A50" s="33"/>
      <c r="B50" s="33" t="s">
        <v>31</v>
      </c>
      <c r="C50" s="34">
        <f>Nozzle_Diameter*4</f>
        <v>2.4</v>
      </c>
      <c r="D50" s="33"/>
      <c r="E50" s="33"/>
      <c r="F50" s="33"/>
      <c r="G50" s="33"/>
      <c r="H50" s="33"/>
      <c r="I50" s="33"/>
      <c r="J50" s="33"/>
      <c r="K50" s="33"/>
      <c r="L50" s="33"/>
      <c r="M50" s="35"/>
    </row>
    <row r="51" spans="1:13" x14ac:dyDescent="0.3">
      <c r="A51" s="36"/>
      <c r="B51" s="36" t="s">
        <v>385</v>
      </c>
      <c r="C51" s="37">
        <v>0</v>
      </c>
      <c r="D51" s="36"/>
      <c r="E51" s="36"/>
      <c r="F51" s="36"/>
      <c r="G51" s="36"/>
      <c r="H51" s="36"/>
      <c r="I51" s="36"/>
      <c r="J51" s="36"/>
      <c r="K51" s="36"/>
      <c r="L51" s="36"/>
      <c r="M51" s="38"/>
    </row>
    <row r="52" spans="1:13" x14ac:dyDescent="0.3">
      <c r="A52" s="33"/>
      <c r="B52" s="33" t="s">
        <v>386</v>
      </c>
      <c r="C52" s="34">
        <v>125</v>
      </c>
      <c r="D52" s="33"/>
      <c r="E52" s="33"/>
      <c r="F52" s="33"/>
      <c r="G52" s="33"/>
      <c r="H52" s="33"/>
      <c r="I52" s="33"/>
      <c r="J52" s="33"/>
      <c r="K52" s="33"/>
      <c r="L52" s="33"/>
      <c r="M52" s="35"/>
    </row>
    <row r="53" spans="1:13" x14ac:dyDescent="0.3">
      <c r="A53" s="36"/>
      <c r="B53" s="36" t="s">
        <v>387</v>
      </c>
      <c r="C53" s="37">
        <v>0</v>
      </c>
      <c r="D53" s="36"/>
      <c r="E53" s="36"/>
      <c r="F53" s="36"/>
      <c r="G53" s="36"/>
      <c r="H53" s="36"/>
      <c r="I53" s="36"/>
      <c r="J53" s="36"/>
      <c r="K53" s="36"/>
      <c r="L53" s="36"/>
      <c r="M53" s="38"/>
    </row>
    <row r="54" spans="1:13" x14ac:dyDescent="0.3">
      <c r="A54" s="33"/>
      <c r="B54" s="33" t="s">
        <v>388</v>
      </c>
      <c r="C54" s="34">
        <v>0</v>
      </c>
      <c r="D54" s="33"/>
      <c r="E54" s="33"/>
      <c r="F54" s="33"/>
      <c r="G54" s="33"/>
      <c r="H54" s="33"/>
      <c r="I54" s="33"/>
      <c r="J54" s="33"/>
      <c r="K54" s="33"/>
      <c r="L54" s="33"/>
      <c r="M54" s="35"/>
    </row>
    <row r="55" spans="1:13" x14ac:dyDescent="0.3">
      <c r="A55" s="40" t="s">
        <v>255</v>
      </c>
      <c r="B55" s="40" t="s">
        <v>256</v>
      </c>
      <c r="C55" s="37"/>
      <c r="D55" s="36"/>
      <c r="E55" s="36"/>
      <c r="F55" s="36"/>
      <c r="G55" s="36"/>
      <c r="H55" s="36"/>
      <c r="I55" s="36"/>
      <c r="J55" s="36"/>
      <c r="K55" s="36"/>
      <c r="L55" s="36"/>
      <c r="M55" s="38"/>
    </row>
    <row r="56" spans="1:13" x14ac:dyDescent="0.3">
      <c r="A56" s="33"/>
      <c r="B56" s="33" t="s">
        <v>32</v>
      </c>
      <c r="C56" s="34">
        <v>0</v>
      </c>
      <c r="D56" s="33"/>
      <c r="E56" s="33"/>
      <c r="F56" s="33"/>
      <c r="G56" s="33"/>
      <c r="H56" s="33"/>
      <c r="I56" s="33"/>
      <c r="J56" s="33"/>
      <c r="K56" s="33"/>
      <c r="L56" s="33"/>
      <c r="M56" s="35"/>
    </row>
    <row r="57" spans="1:13" ht="28.8" x14ac:dyDescent="0.3">
      <c r="A57" s="36"/>
      <c r="B57" s="36" t="s">
        <v>33</v>
      </c>
      <c r="C57" s="37">
        <v>1</v>
      </c>
      <c r="D57" s="36"/>
      <c r="E57" s="36"/>
      <c r="F57" s="36"/>
      <c r="G57" s="36"/>
      <c r="H57" s="36"/>
      <c r="I57" s="36"/>
      <c r="J57" s="36"/>
      <c r="K57" s="36"/>
      <c r="L57" s="36"/>
      <c r="M57" s="42" t="s">
        <v>302</v>
      </c>
    </row>
    <row r="58" spans="1:13" x14ac:dyDescent="0.3">
      <c r="A58" s="33"/>
      <c r="B58" s="33" t="s">
        <v>34</v>
      </c>
      <c r="C58" s="34">
        <v>0</v>
      </c>
      <c r="D58" s="33"/>
      <c r="E58" s="33"/>
      <c r="F58" s="33"/>
      <c r="G58" s="33"/>
      <c r="H58" s="33"/>
      <c r="I58" s="33"/>
      <c r="J58" s="33"/>
      <c r="K58" s="33"/>
      <c r="L58" s="33"/>
      <c r="M58" s="35" t="s">
        <v>303</v>
      </c>
    </row>
    <row r="59" spans="1:13" x14ac:dyDescent="0.3">
      <c r="A59" s="36"/>
      <c r="B59" s="36" t="s">
        <v>394</v>
      </c>
      <c r="C59" s="37">
        <v>0</v>
      </c>
      <c r="D59" s="36"/>
      <c r="E59" s="36"/>
      <c r="F59" s="36"/>
      <c r="G59" s="36"/>
      <c r="H59" s="36"/>
      <c r="I59" s="36"/>
      <c r="J59" s="36"/>
      <c r="K59" s="36"/>
      <c r="L59" s="36"/>
      <c r="M59" s="38"/>
    </row>
    <row r="60" spans="1:13" x14ac:dyDescent="0.3">
      <c r="A60" s="33"/>
      <c r="B60" s="33" t="s">
        <v>35</v>
      </c>
      <c r="C60" s="34">
        <v>1</v>
      </c>
      <c r="D60" s="33"/>
      <c r="E60" s="33"/>
      <c r="F60" s="33"/>
      <c r="G60" s="33"/>
      <c r="H60" s="33"/>
      <c r="I60" s="33"/>
      <c r="J60" s="33"/>
      <c r="K60" s="33"/>
      <c r="L60" s="33"/>
      <c r="M60" s="35"/>
    </row>
    <row r="61" spans="1:13" x14ac:dyDescent="0.3">
      <c r="A61" s="36"/>
      <c r="B61" s="40" t="s">
        <v>257</v>
      </c>
      <c r="C61" s="37"/>
      <c r="D61" s="36"/>
      <c r="E61" s="36"/>
      <c r="F61" s="36"/>
      <c r="G61" s="36"/>
      <c r="H61" s="36"/>
      <c r="I61" s="36"/>
      <c r="J61" s="36"/>
      <c r="K61" s="36"/>
      <c r="L61" s="36"/>
      <c r="M61" s="38"/>
    </row>
    <row r="62" spans="1:13" x14ac:dyDescent="0.3">
      <c r="A62" s="33"/>
      <c r="B62" s="33" t="s">
        <v>36</v>
      </c>
      <c r="C62" s="34">
        <v>0</v>
      </c>
      <c r="D62" s="33"/>
      <c r="E62" s="33"/>
      <c r="F62" s="33"/>
      <c r="G62" s="33"/>
      <c r="H62" s="33"/>
      <c r="I62" s="33"/>
      <c r="J62" s="33"/>
      <c r="K62" s="33"/>
      <c r="L62" s="33"/>
      <c r="M62" s="35"/>
    </row>
    <row r="63" spans="1:13" x14ac:dyDescent="0.3">
      <c r="A63" s="36"/>
      <c r="B63" s="40" t="s">
        <v>258</v>
      </c>
      <c r="C63" s="37"/>
      <c r="D63" s="36"/>
      <c r="E63" s="36"/>
      <c r="F63" s="36"/>
      <c r="G63" s="36"/>
      <c r="H63" s="36"/>
      <c r="I63" s="36"/>
      <c r="J63" s="36"/>
      <c r="K63" s="36"/>
      <c r="L63" s="36"/>
      <c r="M63" s="38"/>
    </row>
    <row r="64" spans="1:13" x14ac:dyDescent="0.3">
      <c r="A64" s="33"/>
      <c r="B64" s="33" t="s">
        <v>37</v>
      </c>
      <c r="C64" s="34">
        <v>0.2</v>
      </c>
      <c r="D64" s="33"/>
      <c r="E64" s="33"/>
      <c r="F64" s="33"/>
      <c r="G64" s="33"/>
      <c r="H64" s="33"/>
      <c r="I64" s="33"/>
      <c r="J64" s="33"/>
      <c r="K64" s="33"/>
      <c r="L64" s="33"/>
      <c r="M64" s="35" t="s">
        <v>305</v>
      </c>
    </row>
    <row r="65" spans="1:13" x14ac:dyDescent="0.3">
      <c r="A65" s="36"/>
      <c r="B65" s="36" t="s">
        <v>38</v>
      </c>
      <c r="C65" s="37" t="s">
        <v>17</v>
      </c>
      <c r="D65" s="36"/>
      <c r="E65" s="36"/>
      <c r="F65" s="36"/>
      <c r="G65" s="36"/>
      <c r="H65" s="36"/>
      <c r="I65" s="36"/>
      <c r="J65" s="36"/>
      <c r="K65" s="36"/>
      <c r="L65" s="36"/>
      <c r="M65" s="38"/>
    </row>
    <row r="66" spans="1:13" x14ac:dyDescent="0.3">
      <c r="A66" s="33"/>
      <c r="B66" s="33" t="s">
        <v>39</v>
      </c>
      <c r="C66" s="34">
        <v>1</v>
      </c>
      <c r="D66" s="33"/>
      <c r="E66" s="33"/>
      <c r="F66" s="33"/>
      <c r="G66" s="33"/>
      <c r="H66" s="33"/>
      <c r="I66" s="33"/>
      <c r="J66" s="33"/>
      <c r="K66" s="33"/>
      <c r="L66" s="33"/>
      <c r="M66" s="35"/>
    </row>
    <row r="67" spans="1:13" x14ac:dyDescent="0.3">
      <c r="A67" s="36"/>
      <c r="B67" s="36" t="s">
        <v>40</v>
      </c>
      <c r="C67" s="37">
        <v>2</v>
      </c>
      <c r="D67" s="36"/>
      <c r="E67" s="36"/>
      <c r="F67" s="36"/>
      <c r="G67" s="36"/>
      <c r="H67" s="36"/>
      <c r="I67" s="36"/>
      <c r="J67" s="36"/>
      <c r="K67" s="36"/>
      <c r="L67" s="36"/>
      <c r="M67" s="38" t="s">
        <v>304</v>
      </c>
    </row>
    <row r="68" spans="1:13" x14ac:dyDescent="0.3">
      <c r="A68" s="33"/>
      <c r="B68" s="33" t="s">
        <v>41</v>
      </c>
      <c r="C68" s="34">
        <v>0</v>
      </c>
      <c r="D68" s="33"/>
      <c r="E68" s="33"/>
      <c r="F68" s="33"/>
      <c r="G68" s="33"/>
      <c r="H68" s="33"/>
      <c r="I68" s="33"/>
      <c r="J68" s="33"/>
      <c r="K68" s="33"/>
      <c r="L68" s="33"/>
      <c r="M68" s="35"/>
    </row>
    <row r="69" spans="1:13" x14ac:dyDescent="0.3">
      <c r="A69" s="36"/>
      <c r="B69" s="36" t="s">
        <v>395</v>
      </c>
      <c r="C69" s="37">
        <v>2.5</v>
      </c>
      <c r="D69" s="36"/>
      <c r="E69" s="36"/>
      <c r="F69" s="36"/>
      <c r="G69" s="36"/>
      <c r="H69" s="36"/>
      <c r="I69" s="36"/>
      <c r="J69" s="36"/>
      <c r="K69" s="36"/>
      <c r="L69" s="36"/>
      <c r="M69" s="38"/>
    </row>
    <row r="70" spans="1:13" x14ac:dyDescent="0.3">
      <c r="A70" s="33"/>
      <c r="B70" s="33" t="s">
        <v>396</v>
      </c>
      <c r="C70" s="34">
        <v>10</v>
      </c>
      <c r="D70" s="33"/>
      <c r="E70" s="33"/>
      <c r="F70" s="33"/>
      <c r="G70" s="33"/>
      <c r="H70" s="33"/>
      <c r="I70" s="33"/>
      <c r="J70" s="33"/>
      <c r="K70" s="33"/>
      <c r="L70" s="33"/>
      <c r="M70" s="35"/>
    </row>
    <row r="71" spans="1:13" x14ac:dyDescent="0.3">
      <c r="A71" s="36"/>
      <c r="B71" s="36" t="s">
        <v>42</v>
      </c>
      <c r="C71" s="37">
        <v>2</v>
      </c>
      <c r="D71" s="36"/>
      <c r="E71" s="36"/>
      <c r="F71" s="36"/>
      <c r="G71" s="36"/>
      <c r="H71" s="36"/>
      <c r="I71" s="36"/>
      <c r="J71" s="36"/>
      <c r="K71" s="36"/>
      <c r="L71" s="36"/>
      <c r="M71" s="38" t="s">
        <v>306</v>
      </c>
    </row>
    <row r="72" spans="1:13" x14ac:dyDescent="0.3">
      <c r="A72" s="33"/>
      <c r="B72" s="33" t="s">
        <v>43</v>
      </c>
      <c r="C72" s="34">
        <v>0.2</v>
      </c>
      <c r="D72" s="33"/>
      <c r="E72" s="33"/>
      <c r="F72" s="33"/>
      <c r="G72" s="33"/>
      <c r="H72" s="33"/>
      <c r="I72" s="33"/>
      <c r="J72" s="33"/>
      <c r="K72" s="33"/>
      <c r="L72" s="33"/>
      <c r="M72" s="35" t="s">
        <v>307</v>
      </c>
    </row>
    <row r="73" spans="1:13" x14ac:dyDescent="0.3">
      <c r="A73" s="36"/>
      <c r="B73" s="36" t="s">
        <v>44</v>
      </c>
      <c r="C73" s="37">
        <v>0</v>
      </c>
      <c r="D73" s="36"/>
      <c r="E73" s="36"/>
      <c r="F73" s="36"/>
      <c r="G73" s="36"/>
      <c r="H73" s="36"/>
      <c r="I73" s="36"/>
      <c r="J73" s="36"/>
      <c r="K73" s="36"/>
      <c r="L73" s="36"/>
      <c r="M73" s="38" t="s">
        <v>308</v>
      </c>
    </row>
    <row r="74" spans="1:13" x14ac:dyDescent="0.3">
      <c r="A74" s="33"/>
      <c r="B74" s="33" t="s">
        <v>45</v>
      </c>
      <c r="C74" s="34">
        <v>1</v>
      </c>
      <c r="D74" s="33"/>
      <c r="E74" s="33"/>
      <c r="F74" s="33"/>
      <c r="G74" s="33"/>
      <c r="H74" s="33"/>
      <c r="I74" s="33"/>
      <c r="J74" s="33"/>
      <c r="K74" s="33"/>
      <c r="L74" s="33"/>
      <c r="M74" s="35"/>
    </row>
    <row r="75" spans="1:13" x14ac:dyDescent="0.3">
      <c r="A75" s="36"/>
      <c r="B75" s="36" t="s">
        <v>46</v>
      </c>
      <c r="C75" s="37">
        <v>0.8</v>
      </c>
      <c r="D75" s="36"/>
      <c r="E75" s="36"/>
      <c r="F75" s="36"/>
      <c r="G75" s="36"/>
      <c r="H75" s="36"/>
      <c r="I75" s="36"/>
      <c r="J75" s="36"/>
      <c r="K75" s="36"/>
      <c r="L75" s="36"/>
      <c r="M75" s="38"/>
    </row>
    <row r="76" spans="1:13" x14ac:dyDescent="0.3">
      <c r="A76" s="33"/>
      <c r="B76" s="33" t="s">
        <v>11</v>
      </c>
      <c r="C76" s="34">
        <v>1</v>
      </c>
      <c r="D76" s="33"/>
      <c r="E76" s="33"/>
      <c r="F76" s="33"/>
      <c r="G76" s="33"/>
      <c r="H76" s="33"/>
      <c r="I76" s="33"/>
      <c r="J76" s="33"/>
      <c r="K76" s="33"/>
      <c r="L76" s="33"/>
      <c r="M76" s="35" t="s">
        <v>311</v>
      </c>
    </row>
    <row r="77" spans="1:13" x14ac:dyDescent="0.3">
      <c r="A77" s="36"/>
      <c r="B77" s="36" t="s">
        <v>47</v>
      </c>
      <c r="C77" s="37">
        <v>0</v>
      </c>
      <c r="D77" s="36"/>
      <c r="E77" s="36"/>
      <c r="F77" s="36"/>
      <c r="G77" s="36"/>
      <c r="H77" s="36"/>
      <c r="I77" s="36"/>
      <c r="J77" s="36"/>
      <c r="K77" s="36"/>
      <c r="L77" s="36"/>
      <c r="M77" s="38"/>
    </row>
    <row r="78" spans="1:13" x14ac:dyDescent="0.3">
      <c r="A78" s="40" t="s">
        <v>259</v>
      </c>
      <c r="B78" s="40" t="s">
        <v>260</v>
      </c>
      <c r="C78" s="34"/>
      <c r="D78" s="33"/>
      <c r="E78" s="33"/>
      <c r="F78" s="33"/>
      <c r="G78" s="33"/>
      <c r="H78" s="33"/>
      <c r="I78" s="33"/>
      <c r="J78" s="33"/>
      <c r="K78" s="33"/>
      <c r="L78" s="33"/>
      <c r="M78" s="35"/>
    </row>
    <row r="79" spans="1:13" x14ac:dyDescent="0.3">
      <c r="A79" s="36"/>
      <c r="B79" s="36" t="s">
        <v>48</v>
      </c>
      <c r="C79" s="37">
        <v>45</v>
      </c>
      <c r="D79" s="36">
        <f>MIN($C$79,D100)</f>
        <v>45</v>
      </c>
      <c r="E79" s="36">
        <f t="shared" ref="E79:L79" si="0">MIN($C$79,E100)</f>
        <v>45</v>
      </c>
      <c r="F79" s="36">
        <f t="shared" si="0"/>
        <v>45</v>
      </c>
      <c r="G79" s="36">
        <f t="shared" si="0"/>
        <v>45</v>
      </c>
      <c r="H79" s="36">
        <f t="shared" si="0"/>
        <v>45</v>
      </c>
      <c r="I79" s="36">
        <f t="shared" si="0"/>
        <v>40</v>
      </c>
      <c r="J79" s="36">
        <f t="shared" si="0"/>
        <v>35</v>
      </c>
      <c r="K79" s="36">
        <f t="shared" si="0"/>
        <v>30</v>
      </c>
      <c r="L79" s="36">
        <f t="shared" si="0"/>
        <v>25</v>
      </c>
      <c r="M79" s="38"/>
    </row>
    <row r="80" spans="1:13" x14ac:dyDescent="0.3">
      <c r="A80" s="33"/>
      <c r="B80" s="33" t="s">
        <v>49</v>
      </c>
      <c r="C80" s="34">
        <v>25</v>
      </c>
      <c r="D80" s="33">
        <f>MIN($C$80,D81)</f>
        <v>25</v>
      </c>
      <c r="E80" s="33">
        <f t="shared" ref="E80:L80" si="1">MIN($C$80,E81)</f>
        <v>25</v>
      </c>
      <c r="F80" s="33">
        <f t="shared" si="1"/>
        <v>25</v>
      </c>
      <c r="G80" s="33">
        <f t="shared" si="1"/>
        <v>25</v>
      </c>
      <c r="H80" s="33">
        <f t="shared" si="1"/>
        <v>25</v>
      </c>
      <c r="I80" s="33">
        <f t="shared" si="1"/>
        <v>25</v>
      </c>
      <c r="J80" s="33">
        <f t="shared" si="1"/>
        <v>25</v>
      </c>
      <c r="K80" s="33">
        <f t="shared" si="1"/>
        <v>25</v>
      </c>
      <c r="L80" s="33">
        <f t="shared" si="1"/>
        <v>25</v>
      </c>
      <c r="M80" s="35"/>
    </row>
    <row r="81" spans="1:13" x14ac:dyDescent="0.3">
      <c r="A81" s="36"/>
      <c r="B81" s="36" t="s">
        <v>50</v>
      </c>
      <c r="C81" s="37">
        <v>35</v>
      </c>
      <c r="D81" s="36">
        <f>MIN($C$81,D79)</f>
        <v>35</v>
      </c>
      <c r="E81" s="36">
        <f t="shared" ref="E81:L81" si="2">MIN($C$81,E79)</f>
        <v>35</v>
      </c>
      <c r="F81" s="36">
        <f t="shared" si="2"/>
        <v>35</v>
      </c>
      <c r="G81" s="36">
        <f t="shared" si="2"/>
        <v>35</v>
      </c>
      <c r="H81" s="36">
        <f t="shared" si="2"/>
        <v>35</v>
      </c>
      <c r="I81" s="36">
        <f t="shared" si="2"/>
        <v>35</v>
      </c>
      <c r="J81" s="36">
        <f t="shared" si="2"/>
        <v>35</v>
      </c>
      <c r="K81" s="36">
        <f t="shared" si="2"/>
        <v>30</v>
      </c>
      <c r="L81" s="36">
        <f t="shared" si="2"/>
        <v>25</v>
      </c>
      <c r="M81" s="38"/>
    </row>
    <row r="82" spans="1:13" x14ac:dyDescent="0.3">
      <c r="A82" s="33"/>
      <c r="B82" s="33" t="s">
        <v>51</v>
      </c>
      <c r="C82" s="34">
        <v>65</v>
      </c>
      <c r="D82" s="34">
        <f>MIN($C$82,D100)</f>
        <v>65</v>
      </c>
      <c r="E82" s="34">
        <f t="shared" ref="E82:L82" si="3">MIN($C$82,E100)</f>
        <v>60</v>
      </c>
      <c r="F82" s="34">
        <f t="shared" si="3"/>
        <v>55</v>
      </c>
      <c r="G82" s="34">
        <f t="shared" si="3"/>
        <v>50</v>
      </c>
      <c r="H82" s="34">
        <f t="shared" si="3"/>
        <v>45</v>
      </c>
      <c r="I82" s="34">
        <f t="shared" si="3"/>
        <v>40</v>
      </c>
      <c r="J82" s="34">
        <f t="shared" si="3"/>
        <v>35</v>
      </c>
      <c r="K82" s="34">
        <f t="shared" si="3"/>
        <v>30</v>
      </c>
      <c r="L82" s="34">
        <f t="shared" si="3"/>
        <v>25</v>
      </c>
      <c r="M82" s="35"/>
    </row>
    <row r="83" spans="1:13" x14ac:dyDescent="0.3">
      <c r="A83" s="36"/>
      <c r="B83" s="36" t="s">
        <v>52</v>
      </c>
      <c r="C83" s="37">
        <v>45</v>
      </c>
      <c r="D83" s="36">
        <f>MIN($C$83,D79)</f>
        <v>45</v>
      </c>
      <c r="E83" s="36">
        <f t="shared" ref="E83:L83" si="4">MIN($C$83,E79)</f>
        <v>45</v>
      </c>
      <c r="F83" s="36">
        <f t="shared" si="4"/>
        <v>45</v>
      </c>
      <c r="G83" s="36">
        <f t="shared" si="4"/>
        <v>45</v>
      </c>
      <c r="H83" s="36">
        <f t="shared" si="4"/>
        <v>45</v>
      </c>
      <c r="I83" s="36">
        <f t="shared" si="4"/>
        <v>40</v>
      </c>
      <c r="J83" s="36">
        <f t="shared" si="4"/>
        <v>35</v>
      </c>
      <c r="K83" s="36">
        <f t="shared" si="4"/>
        <v>30</v>
      </c>
      <c r="L83" s="36">
        <f t="shared" si="4"/>
        <v>25</v>
      </c>
      <c r="M83" s="38"/>
    </row>
    <row r="84" spans="1:13" x14ac:dyDescent="0.3">
      <c r="A84" s="33"/>
      <c r="B84" s="33" t="s">
        <v>53</v>
      </c>
      <c r="C84" s="34">
        <v>35</v>
      </c>
      <c r="D84" s="33">
        <f>MIN($C$84,D81)</f>
        <v>35</v>
      </c>
      <c r="E84" s="33">
        <f t="shared" ref="E84:L84" si="5">MIN($C$84,E81)</f>
        <v>35</v>
      </c>
      <c r="F84" s="33">
        <f t="shared" si="5"/>
        <v>35</v>
      </c>
      <c r="G84" s="33">
        <f t="shared" si="5"/>
        <v>35</v>
      </c>
      <c r="H84" s="33">
        <f t="shared" si="5"/>
        <v>35</v>
      </c>
      <c r="I84" s="33">
        <f t="shared" si="5"/>
        <v>35</v>
      </c>
      <c r="J84" s="33">
        <f t="shared" si="5"/>
        <v>35</v>
      </c>
      <c r="K84" s="33">
        <f t="shared" si="5"/>
        <v>30</v>
      </c>
      <c r="L84" s="33">
        <f t="shared" si="5"/>
        <v>25</v>
      </c>
      <c r="M84" s="35"/>
    </row>
    <row r="85" spans="1:13" x14ac:dyDescent="0.3">
      <c r="A85" s="36"/>
      <c r="B85" s="36" t="s">
        <v>54</v>
      </c>
      <c r="C85" s="37">
        <v>45</v>
      </c>
      <c r="D85" s="36">
        <f>MIN($C$85,D100)</f>
        <v>45</v>
      </c>
      <c r="E85" s="36">
        <f t="shared" ref="E85:L85" si="6">MIN($C$85,E100)</f>
        <v>45</v>
      </c>
      <c r="F85" s="36">
        <f t="shared" si="6"/>
        <v>45</v>
      </c>
      <c r="G85" s="36">
        <f t="shared" si="6"/>
        <v>45</v>
      </c>
      <c r="H85" s="36">
        <f t="shared" si="6"/>
        <v>45</v>
      </c>
      <c r="I85" s="36">
        <f t="shared" si="6"/>
        <v>40</v>
      </c>
      <c r="J85" s="36">
        <f t="shared" si="6"/>
        <v>35</v>
      </c>
      <c r="K85" s="36">
        <f t="shared" si="6"/>
        <v>30</v>
      </c>
      <c r="L85" s="36">
        <f t="shared" si="6"/>
        <v>25</v>
      </c>
      <c r="M85" s="38"/>
    </row>
    <row r="86" spans="1:13" x14ac:dyDescent="0.3">
      <c r="A86" s="33"/>
      <c r="B86" s="33" t="s">
        <v>55</v>
      </c>
      <c r="C86" s="41" t="str">
        <f>"100%"</f>
        <v>100%</v>
      </c>
      <c r="D86" s="33"/>
      <c r="E86" s="33"/>
      <c r="F86" s="33"/>
      <c r="G86" s="33"/>
      <c r="H86" s="33"/>
      <c r="I86" s="33"/>
      <c r="J86" s="33"/>
      <c r="K86" s="33"/>
      <c r="L86" s="33"/>
      <c r="M86" s="35"/>
    </row>
    <row r="87" spans="1:13" x14ac:dyDescent="0.3">
      <c r="A87" s="36"/>
      <c r="B87" s="36" t="s">
        <v>56</v>
      </c>
      <c r="C87" s="37">
        <v>30</v>
      </c>
      <c r="D87" s="36">
        <f>MIN($C$87,D81)</f>
        <v>30</v>
      </c>
      <c r="E87" s="36">
        <f t="shared" ref="E87:L87" si="7">MIN($C$87,E81)</f>
        <v>30</v>
      </c>
      <c r="F87" s="36">
        <f t="shared" si="7"/>
        <v>30</v>
      </c>
      <c r="G87" s="36">
        <f t="shared" si="7"/>
        <v>30</v>
      </c>
      <c r="H87" s="36">
        <f t="shared" si="7"/>
        <v>30</v>
      </c>
      <c r="I87" s="36">
        <f t="shared" si="7"/>
        <v>30</v>
      </c>
      <c r="J87" s="36">
        <f t="shared" si="7"/>
        <v>30</v>
      </c>
      <c r="K87" s="36">
        <f t="shared" si="7"/>
        <v>30</v>
      </c>
      <c r="L87" s="36">
        <f t="shared" si="7"/>
        <v>25</v>
      </c>
      <c r="M87" s="38"/>
    </row>
    <row r="88" spans="1:13" x14ac:dyDescent="0.3">
      <c r="A88" s="33"/>
      <c r="B88" s="33" t="s">
        <v>57</v>
      </c>
      <c r="C88" s="34">
        <v>20</v>
      </c>
      <c r="D88" s="33">
        <f>MIN($C$88,D80)</f>
        <v>20</v>
      </c>
      <c r="E88" s="33">
        <f t="shared" ref="E88:L88" si="8">MIN($C$88,E80)</f>
        <v>20</v>
      </c>
      <c r="F88" s="33">
        <f t="shared" si="8"/>
        <v>20</v>
      </c>
      <c r="G88" s="33">
        <f t="shared" si="8"/>
        <v>20</v>
      </c>
      <c r="H88" s="33">
        <f t="shared" si="8"/>
        <v>20</v>
      </c>
      <c r="I88" s="33">
        <f t="shared" si="8"/>
        <v>20</v>
      </c>
      <c r="J88" s="33">
        <f t="shared" si="8"/>
        <v>20</v>
      </c>
      <c r="K88" s="33">
        <f t="shared" si="8"/>
        <v>20</v>
      </c>
      <c r="L88" s="33">
        <f t="shared" si="8"/>
        <v>20</v>
      </c>
      <c r="M88" s="35"/>
    </row>
    <row r="89" spans="1:13" x14ac:dyDescent="0.3">
      <c r="A89" s="36"/>
      <c r="B89" s="40" t="s">
        <v>261</v>
      </c>
      <c r="C89" s="37"/>
      <c r="D89" s="36"/>
      <c r="E89" s="36"/>
      <c r="F89" s="36"/>
      <c r="G89" s="36"/>
      <c r="H89" s="36"/>
      <c r="I89" s="36"/>
      <c r="J89" s="36"/>
      <c r="K89" s="36"/>
      <c r="L89" s="36"/>
      <c r="M89" s="38"/>
    </row>
    <row r="90" spans="1:13" x14ac:dyDescent="0.3">
      <c r="A90" s="33"/>
      <c r="B90" s="33" t="s">
        <v>58</v>
      </c>
      <c r="C90" s="34">
        <v>120</v>
      </c>
      <c r="D90" s="33"/>
      <c r="E90" s="33"/>
      <c r="F90" s="33"/>
      <c r="G90" s="33"/>
      <c r="H90" s="33"/>
      <c r="I90" s="33"/>
      <c r="J90" s="33"/>
      <c r="K90" s="33"/>
      <c r="L90" s="33"/>
      <c r="M90" s="35"/>
    </row>
    <row r="91" spans="1:13" x14ac:dyDescent="0.3">
      <c r="A91" s="36"/>
      <c r="B91" s="40" t="s">
        <v>262</v>
      </c>
      <c r="C91" s="37"/>
      <c r="D91" s="36"/>
      <c r="E91" s="36"/>
      <c r="F91" s="36"/>
      <c r="G91" s="36"/>
      <c r="H91" s="36"/>
      <c r="I91" s="36"/>
      <c r="J91" s="36"/>
      <c r="K91" s="36"/>
      <c r="L91" s="36"/>
      <c r="M91" s="38"/>
    </row>
    <row r="92" spans="1:13" x14ac:dyDescent="0.3">
      <c r="A92" s="33"/>
      <c r="B92" s="33" t="s">
        <v>59</v>
      </c>
      <c r="C92" s="34">
        <v>30</v>
      </c>
      <c r="D92" s="33"/>
      <c r="E92" s="33"/>
      <c r="F92" s="33"/>
      <c r="G92" s="33"/>
      <c r="H92" s="33"/>
      <c r="I92" s="33"/>
      <c r="J92" s="33"/>
      <c r="K92" s="33"/>
      <c r="L92" s="33"/>
      <c r="M92" s="35"/>
    </row>
    <row r="93" spans="1:13" x14ac:dyDescent="0.3">
      <c r="A93" s="36"/>
      <c r="B93" s="40" t="s">
        <v>263</v>
      </c>
      <c r="C93" s="37"/>
      <c r="D93" s="36"/>
      <c r="E93" s="36"/>
      <c r="F93" s="36"/>
      <c r="G93" s="36"/>
      <c r="H93" s="36"/>
      <c r="I93" s="36"/>
      <c r="J93" s="36"/>
      <c r="K93" s="36"/>
      <c r="L93" s="36"/>
      <c r="M93" s="38"/>
    </row>
    <row r="94" spans="1:13" x14ac:dyDescent="0.3">
      <c r="A94" s="33"/>
      <c r="B94" s="33" t="s">
        <v>60</v>
      </c>
      <c r="C94" s="34">
        <f>MAX_ACCELERATION</f>
        <v>500</v>
      </c>
      <c r="D94" s="33"/>
      <c r="E94" s="33"/>
      <c r="F94" s="33"/>
      <c r="G94" s="33"/>
      <c r="H94" s="33"/>
      <c r="I94" s="33"/>
      <c r="J94" s="33"/>
      <c r="K94" s="33"/>
      <c r="L94" s="33"/>
      <c r="M94" s="35"/>
    </row>
    <row r="95" spans="1:13" x14ac:dyDescent="0.3">
      <c r="A95" s="36"/>
      <c r="B95" s="36" t="s">
        <v>61</v>
      </c>
      <c r="C95" s="34">
        <f>MAX_ACCELERATION</f>
        <v>500</v>
      </c>
      <c r="D95" s="36"/>
      <c r="E95" s="36"/>
      <c r="F95" s="36"/>
      <c r="G95" s="36"/>
      <c r="H95" s="36"/>
      <c r="I95" s="36"/>
      <c r="J95" s="36"/>
      <c r="K95" s="36"/>
      <c r="L95" s="36"/>
      <c r="M95" s="38"/>
    </row>
    <row r="96" spans="1:13" x14ac:dyDescent="0.3">
      <c r="A96" s="33"/>
      <c r="B96" s="33" t="s">
        <v>62</v>
      </c>
      <c r="C96" s="34">
        <f>MAX_ACCELERATION</f>
        <v>500</v>
      </c>
      <c r="D96" s="33"/>
      <c r="E96" s="33"/>
      <c r="F96" s="33"/>
      <c r="G96" s="33"/>
      <c r="H96" s="33"/>
      <c r="I96" s="33"/>
      <c r="J96" s="33"/>
      <c r="K96" s="33"/>
      <c r="L96" s="33"/>
      <c r="M96" s="35"/>
    </row>
    <row r="97" spans="1:13" x14ac:dyDescent="0.3">
      <c r="A97" s="36"/>
      <c r="B97" s="36" t="s">
        <v>63</v>
      </c>
      <c r="C97" s="34">
        <f>MAX_ACCELERATION</f>
        <v>500</v>
      </c>
      <c r="D97" s="36"/>
      <c r="E97" s="36"/>
      <c r="F97" s="36"/>
      <c r="G97" s="36"/>
      <c r="H97" s="36"/>
      <c r="I97" s="36"/>
      <c r="J97" s="36"/>
      <c r="K97" s="36"/>
      <c r="L97" s="36"/>
      <c r="M97" s="38"/>
    </row>
    <row r="98" spans="1:13" x14ac:dyDescent="0.3">
      <c r="A98" s="33"/>
      <c r="B98" s="33" t="s">
        <v>64</v>
      </c>
      <c r="C98" s="34">
        <f>MAX_ACCELERATION</f>
        <v>500</v>
      </c>
      <c r="D98" s="33"/>
      <c r="E98" s="33"/>
      <c r="F98" s="33"/>
      <c r="G98" s="33"/>
      <c r="H98" s="33"/>
      <c r="I98" s="33"/>
      <c r="J98" s="33"/>
      <c r="K98" s="33"/>
      <c r="L98" s="33"/>
      <c r="M98" s="35"/>
    </row>
    <row r="99" spans="1:13" x14ac:dyDescent="0.3">
      <c r="A99" s="36"/>
      <c r="B99" s="40" t="s">
        <v>264</v>
      </c>
      <c r="C99" s="37"/>
      <c r="D99" s="36"/>
      <c r="E99" s="36"/>
      <c r="F99" s="36"/>
      <c r="G99" s="36"/>
      <c r="H99" s="36"/>
      <c r="I99" s="36"/>
      <c r="J99" s="36"/>
      <c r="K99" s="36"/>
      <c r="L99" s="36"/>
      <c r="M99" s="38"/>
    </row>
    <row r="100" spans="1:13" x14ac:dyDescent="0.3">
      <c r="A100" s="33"/>
      <c r="B100" s="33" t="s">
        <v>65</v>
      </c>
      <c r="C100" s="34">
        <v>65</v>
      </c>
      <c r="D100" s="33">
        <v>65</v>
      </c>
      <c r="E100" s="33">
        <v>60</v>
      </c>
      <c r="F100" s="33">
        <v>55</v>
      </c>
      <c r="G100" s="33">
        <v>50</v>
      </c>
      <c r="H100" s="33">
        <v>45</v>
      </c>
      <c r="I100" s="33">
        <v>40</v>
      </c>
      <c r="J100" s="33">
        <v>35</v>
      </c>
      <c r="K100" s="33">
        <v>30</v>
      </c>
      <c r="L100" s="33">
        <v>25</v>
      </c>
      <c r="M100" s="35"/>
    </row>
    <row r="101" spans="1:13" x14ac:dyDescent="0.3">
      <c r="A101" s="36"/>
      <c r="B101" s="36" t="s">
        <v>66</v>
      </c>
      <c r="C101" s="37"/>
      <c r="D101" s="36"/>
      <c r="E101" s="36"/>
      <c r="F101" s="36"/>
      <c r="G101" s="36"/>
      <c r="H101" s="36"/>
      <c r="I101" s="36"/>
      <c r="J101" s="36"/>
      <c r="K101" s="36"/>
      <c r="L101" s="36"/>
      <c r="M101" s="38"/>
    </row>
    <row r="102" spans="1:13" x14ac:dyDescent="0.3">
      <c r="A102" s="33"/>
      <c r="B102" s="33" t="s">
        <v>67</v>
      </c>
      <c r="C102" s="34"/>
      <c r="D102" s="33"/>
      <c r="E102" s="33"/>
      <c r="F102" s="33"/>
      <c r="G102" s="33"/>
      <c r="H102" s="33"/>
      <c r="I102" s="33"/>
      <c r="J102" s="33"/>
      <c r="K102" s="33"/>
      <c r="L102" s="33"/>
      <c r="M102" s="35"/>
    </row>
    <row r="103" spans="1:13" x14ac:dyDescent="0.3">
      <c r="A103" s="36"/>
      <c r="B103" s="36" t="s">
        <v>68</v>
      </c>
      <c r="C103" s="37"/>
      <c r="D103" s="36"/>
      <c r="E103" s="36"/>
      <c r="F103" s="36"/>
      <c r="G103" s="36"/>
      <c r="H103" s="36"/>
      <c r="I103" s="36"/>
      <c r="J103" s="36"/>
      <c r="K103" s="36"/>
      <c r="L103" s="36"/>
      <c r="M103" s="38"/>
    </row>
    <row r="104" spans="1:13" x14ac:dyDescent="0.3">
      <c r="A104" s="40" t="s">
        <v>265</v>
      </c>
      <c r="B104" s="40" t="s">
        <v>266</v>
      </c>
      <c r="C104" s="34"/>
      <c r="D104" s="33"/>
      <c r="E104" s="33"/>
      <c r="F104" s="33"/>
      <c r="G104" s="33"/>
      <c r="H104" s="33"/>
      <c r="I104" s="33"/>
      <c r="J104" s="33"/>
      <c r="K104" s="33"/>
      <c r="L104" s="33"/>
      <c r="M104" s="35"/>
    </row>
    <row r="105" spans="1:13" x14ac:dyDescent="0.3">
      <c r="A105" s="36"/>
      <c r="B105" s="36" t="s">
        <v>69</v>
      </c>
      <c r="C105" s="37">
        <v>1</v>
      </c>
      <c r="D105" s="36"/>
      <c r="E105" s="36"/>
      <c r="F105" s="36"/>
      <c r="G105" s="36"/>
      <c r="H105" s="36"/>
      <c r="I105" s="36"/>
      <c r="J105" s="36"/>
      <c r="K105" s="36"/>
      <c r="L105" s="36"/>
      <c r="M105" s="38"/>
    </row>
    <row r="106" spans="1:13" x14ac:dyDescent="0.3">
      <c r="A106" s="33"/>
      <c r="B106" s="33" t="s">
        <v>70</v>
      </c>
      <c r="C106" s="34">
        <v>1</v>
      </c>
      <c r="D106" s="33"/>
      <c r="E106" s="33"/>
      <c r="F106" s="33"/>
      <c r="G106" s="33"/>
      <c r="H106" s="33"/>
      <c r="I106" s="33"/>
      <c r="J106" s="33"/>
      <c r="K106" s="33"/>
      <c r="L106" s="33"/>
      <c r="M106" s="35"/>
    </row>
    <row r="107" spans="1:13" x14ac:dyDescent="0.3">
      <c r="A107" s="36"/>
      <c r="B107" s="36" t="s">
        <v>71</v>
      </c>
      <c r="C107" s="37">
        <v>1</v>
      </c>
      <c r="D107" s="36"/>
      <c r="E107" s="36"/>
      <c r="F107" s="36"/>
      <c r="G107" s="36"/>
      <c r="H107" s="36"/>
      <c r="I107" s="36"/>
      <c r="J107" s="36"/>
      <c r="K107" s="36"/>
      <c r="L107" s="36"/>
      <c r="M107" s="38"/>
    </row>
    <row r="108" spans="1:13" x14ac:dyDescent="0.3">
      <c r="A108" s="33"/>
      <c r="B108" s="33" t="s">
        <v>72</v>
      </c>
      <c r="C108" s="34">
        <v>1</v>
      </c>
      <c r="D108" s="33"/>
      <c r="E108" s="33"/>
      <c r="F108" s="33"/>
      <c r="G108" s="33"/>
      <c r="H108" s="33"/>
      <c r="I108" s="33"/>
      <c r="J108" s="33"/>
      <c r="K108" s="33"/>
      <c r="L108" s="33"/>
      <c r="M108" s="35"/>
    </row>
    <row r="109" spans="1:13" x14ac:dyDescent="0.3">
      <c r="A109" s="36"/>
      <c r="B109" s="36" t="s">
        <v>73</v>
      </c>
      <c r="C109" s="37">
        <v>1</v>
      </c>
      <c r="D109" s="36"/>
      <c r="E109" s="36"/>
      <c r="F109" s="36"/>
      <c r="G109" s="36"/>
      <c r="H109" s="36"/>
      <c r="I109" s="36"/>
      <c r="J109" s="36"/>
      <c r="K109" s="36"/>
      <c r="L109" s="36"/>
      <c r="M109" s="38"/>
    </row>
    <row r="110" spans="1:13" x14ac:dyDescent="0.3">
      <c r="A110" s="33"/>
      <c r="B110" s="40" t="s">
        <v>267</v>
      </c>
      <c r="C110" s="34"/>
      <c r="D110" s="33"/>
      <c r="E110" s="33"/>
      <c r="F110" s="33"/>
      <c r="G110" s="33"/>
      <c r="H110" s="33"/>
      <c r="I110" s="33"/>
      <c r="J110" s="33"/>
      <c r="K110" s="33"/>
      <c r="L110" s="33"/>
      <c r="M110" s="35"/>
    </row>
    <row r="111" spans="1:13" x14ac:dyDescent="0.3">
      <c r="A111" s="36"/>
      <c r="B111" s="36" t="s">
        <v>74</v>
      </c>
      <c r="C111" s="37">
        <v>0</v>
      </c>
      <c r="D111" s="36"/>
      <c r="E111" s="36"/>
      <c r="F111" s="36"/>
      <c r="G111" s="36"/>
      <c r="H111" s="36"/>
      <c r="I111" s="36"/>
      <c r="J111" s="36"/>
      <c r="K111" s="36"/>
      <c r="L111" s="36"/>
      <c r="M111" s="38"/>
    </row>
    <row r="112" spans="1:13" x14ac:dyDescent="0.3">
      <c r="A112" s="33"/>
      <c r="B112" s="33" t="s">
        <v>75</v>
      </c>
      <c r="C112" s="34">
        <v>-5</v>
      </c>
      <c r="D112" s="33"/>
      <c r="E112" s="33"/>
      <c r="F112" s="33"/>
      <c r="G112" s="33"/>
      <c r="H112" s="33"/>
      <c r="I112" s="33"/>
      <c r="J112" s="33"/>
      <c r="K112" s="33"/>
      <c r="L112" s="33"/>
      <c r="M112" s="35"/>
    </row>
    <row r="113" spans="1:13" x14ac:dyDescent="0.3">
      <c r="A113" s="36"/>
      <c r="B113" s="40" t="s">
        <v>268</v>
      </c>
      <c r="C113" s="37"/>
      <c r="D113" s="36"/>
      <c r="E113" s="36"/>
      <c r="F113" s="36"/>
      <c r="G113" s="36"/>
      <c r="H113" s="36"/>
      <c r="I113" s="36"/>
      <c r="J113" s="36"/>
      <c r="K113" s="36"/>
      <c r="L113" s="36"/>
      <c r="M113" s="38"/>
    </row>
    <row r="114" spans="1:13" x14ac:dyDescent="0.3">
      <c r="A114" s="33"/>
      <c r="B114" s="33" t="s">
        <v>76</v>
      </c>
      <c r="C114" s="34">
        <v>0</v>
      </c>
      <c r="D114" s="33"/>
      <c r="E114" s="33"/>
      <c r="F114" s="33"/>
      <c r="G114" s="33"/>
      <c r="H114" s="33"/>
      <c r="I114" s="33"/>
      <c r="J114" s="33"/>
      <c r="K114" s="33"/>
      <c r="L114" s="33"/>
      <c r="M114" s="35"/>
    </row>
    <row r="115" spans="1:13" x14ac:dyDescent="0.3">
      <c r="A115" s="36"/>
      <c r="B115" s="36" t="s">
        <v>77</v>
      </c>
      <c r="C115" s="37">
        <v>180</v>
      </c>
      <c r="D115" s="36"/>
      <c r="E115" s="36"/>
      <c r="F115" s="36"/>
      <c r="G115" s="36"/>
      <c r="H115" s="36"/>
      <c r="I115" s="36"/>
      <c r="J115" s="36"/>
      <c r="K115" s="36"/>
      <c r="L115" s="36"/>
      <c r="M115" s="38"/>
    </row>
    <row r="116" spans="1:13" x14ac:dyDescent="0.3">
      <c r="A116" s="33"/>
      <c r="B116" s="33" t="s">
        <v>78</v>
      </c>
      <c r="C116" s="34">
        <v>140</v>
      </c>
      <c r="D116" s="33"/>
      <c r="E116" s="33"/>
      <c r="F116" s="33"/>
      <c r="G116" s="33"/>
      <c r="H116" s="33"/>
      <c r="I116" s="33"/>
      <c r="J116" s="33"/>
      <c r="K116" s="33"/>
      <c r="L116" s="33"/>
      <c r="M116" s="35"/>
    </row>
    <row r="117" spans="1:13" x14ac:dyDescent="0.3">
      <c r="A117" s="36"/>
      <c r="B117" s="36" t="s">
        <v>79</v>
      </c>
      <c r="C117" s="37">
        <v>60</v>
      </c>
      <c r="D117" s="36"/>
      <c r="E117" s="36"/>
      <c r="F117" s="36"/>
      <c r="G117" s="36"/>
      <c r="H117" s="36"/>
      <c r="I117" s="36"/>
      <c r="J117" s="36"/>
      <c r="K117" s="36"/>
      <c r="L117" s="36"/>
      <c r="M117" s="38"/>
    </row>
    <row r="118" spans="1:13" x14ac:dyDescent="0.3">
      <c r="A118" s="33"/>
      <c r="B118" s="33" t="s">
        <v>80</v>
      </c>
      <c r="C118" s="34">
        <v>0</v>
      </c>
      <c r="D118" s="33"/>
      <c r="E118" s="33"/>
      <c r="F118" s="33"/>
      <c r="G118" s="33"/>
      <c r="H118" s="33"/>
      <c r="I118" s="33"/>
      <c r="J118" s="33"/>
      <c r="K118" s="33"/>
      <c r="L118" s="33"/>
      <c r="M118" s="35"/>
    </row>
    <row r="119" spans="1:13" x14ac:dyDescent="0.3">
      <c r="A119" s="36"/>
      <c r="B119" s="36" t="s">
        <v>81</v>
      </c>
      <c r="C119" s="37">
        <v>10</v>
      </c>
      <c r="D119" s="36"/>
      <c r="E119" s="36"/>
      <c r="F119" s="36"/>
      <c r="G119" s="36"/>
      <c r="H119" s="36"/>
      <c r="I119" s="36"/>
      <c r="J119" s="36"/>
      <c r="K119" s="36"/>
      <c r="L119" s="36"/>
      <c r="M119" s="38"/>
    </row>
    <row r="120" spans="1:13" x14ac:dyDescent="0.3">
      <c r="A120" s="33"/>
      <c r="B120" s="33" t="s">
        <v>82</v>
      </c>
      <c r="C120" s="34">
        <v>0</v>
      </c>
      <c r="D120" s="33"/>
      <c r="E120" s="33"/>
      <c r="F120" s="33"/>
      <c r="G120" s="33"/>
      <c r="H120" s="33"/>
      <c r="I120" s="33"/>
      <c r="J120" s="33"/>
      <c r="K120" s="33"/>
      <c r="L120" s="33"/>
      <c r="M120" s="35"/>
    </row>
    <row r="121" spans="1:13" x14ac:dyDescent="0.3">
      <c r="A121" s="36"/>
      <c r="B121" s="40" t="s">
        <v>246</v>
      </c>
      <c r="C121" s="37"/>
      <c r="D121" s="36"/>
      <c r="E121" s="36"/>
      <c r="F121" s="36"/>
      <c r="G121" s="36"/>
      <c r="H121" s="36"/>
      <c r="I121" s="36"/>
      <c r="J121" s="36"/>
      <c r="K121" s="36"/>
      <c r="L121" s="36"/>
      <c r="M121" s="38"/>
    </row>
    <row r="122" spans="1:13" x14ac:dyDescent="0.3">
      <c r="A122" s="33"/>
      <c r="B122" s="33" t="s">
        <v>83</v>
      </c>
      <c r="C122" s="34">
        <v>0</v>
      </c>
      <c r="D122" s="33"/>
      <c r="E122" s="33"/>
      <c r="F122" s="33"/>
      <c r="G122" s="33"/>
      <c r="H122" s="33"/>
      <c r="I122" s="33"/>
      <c r="J122" s="33"/>
      <c r="K122" s="33"/>
      <c r="L122" s="33"/>
      <c r="M122" s="35"/>
    </row>
    <row r="123" spans="1:13" x14ac:dyDescent="0.3">
      <c r="A123" s="36"/>
      <c r="B123" s="36" t="s">
        <v>393</v>
      </c>
      <c r="C123" s="37">
        <v>0</v>
      </c>
      <c r="D123" s="36"/>
      <c r="E123" s="36"/>
      <c r="F123" s="36"/>
      <c r="G123" s="36"/>
      <c r="H123" s="36"/>
      <c r="I123" s="36"/>
      <c r="J123" s="36"/>
      <c r="K123" s="36"/>
      <c r="L123" s="36"/>
      <c r="M123" s="38"/>
    </row>
    <row r="124" spans="1:13" x14ac:dyDescent="0.3">
      <c r="A124" s="40" t="s">
        <v>269</v>
      </c>
      <c r="B124" s="40" t="s">
        <v>270</v>
      </c>
      <c r="C124" s="34"/>
      <c r="D124" s="33"/>
      <c r="E124" s="33"/>
      <c r="F124" s="33"/>
      <c r="G124" s="33"/>
      <c r="H124" s="33"/>
      <c r="I124" s="33"/>
      <c r="J124" s="33"/>
      <c r="K124" s="33"/>
      <c r="L124" s="33"/>
      <c r="M124" s="35"/>
    </row>
    <row r="125" spans="1:13" x14ac:dyDescent="0.3">
      <c r="A125" s="36"/>
      <c r="B125" s="36" t="s">
        <v>84</v>
      </c>
      <c r="C125" s="43">
        <v>0</v>
      </c>
      <c r="D125" s="44"/>
      <c r="E125" s="44"/>
      <c r="F125" s="44"/>
      <c r="G125" s="44"/>
      <c r="H125" s="44"/>
      <c r="I125" s="44"/>
      <c r="J125" s="44"/>
      <c r="K125" s="44"/>
      <c r="L125" s="44"/>
      <c r="M125" s="38"/>
    </row>
    <row r="126" spans="1:13" x14ac:dyDescent="0.3">
      <c r="A126" s="33"/>
      <c r="B126" s="33" t="s">
        <v>85</v>
      </c>
      <c r="C126" s="45" t="str">
        <f>"200%"</f>
        <v>200%</v>
      </c>
      <c r="D126" s="46"/>
      <c r="E126" s="46"/>
      <c r="F126" s="46"/>
      <c r="G126" s="46"/>
      <c r="H126" s="46"/>
      <c r="I126" s="46"/>
      <c r="J126" s="46"/>
      <c r="K126" s="46"/>
      <c r="L126" s="46"/>
      <c r="M126" s="35"/>
    </row>
    <row r="127" spans="1:13" x14ac:dyDescent="0.3">
      <c r="A127" s="36"/>
      <c r="B127" s="36" t="s">
        <v>86</v>
      </c>
      <c r="C127" s="43">
        <v>0</v>
      </c>
      <c r="D127" s="44"/>
      <c r="E127" s="44"/>
      <c r="F127" s="44"/>
      <c r="G127" s="44"/>
      <c r="H127" s="44"/>
      <c r="I127" s="44"/>
      <c r="J127" s="44"/>
      <c r="K127" s="44"/>
      <c r="L127" s="44"/>
      <c r="M127" s="38"/>
    </row>
    <row r="128" spans="1:13" x14ac:dyDescent="0.3">
      <c r="A128" s="33"/>
      <c r="B128" s="33" t="s">
        <v>87</v>
      </c>
      <c r="C128" s="45">
        <v>0</v>
      </c>
      <c r="D128" s="46"/>
      <c r="E128" s="46"/>
      <c r="F128" s="46"/>
      <c r="G128" s="46"/>
      <c r="H128" s="46"/>
      <c r="I128" s="46"/>
      <c r="J128" s="46"/>
      <c r="K128" s="46"/>
      <c r="L128" s="46"/>
      <c r="M128" s="35"/>
    </row>
    <row r="129" spans="1:13" x14ac:dyDescent="0.3">
      <c r="A129" s="36"/>
      <c r="B129" s="36" t="s">
        <v>88</v>
      </c>
      <c r="C129" s="43">
        <v>0</v>
      </c>
      <c r="D129" s="44"/>
      <c r="E129" s="44"/>
      <c r="F129" s="44"/>
      <c r="G129" s="44"/>
      <c r="H129" s="44"/>
      <c r="I129" s="44"/>
      <c r="J129" s="44"/>
      <c r="K129" s="44"/>
      <c r="L129" s="44"/>
      <c r="M129" s="38"/>
    </row>
    <row r="130" spans="1:13" x14ac:dyDescent="0.3">
      <c r="A130" s="33"/>
      <c r="B130" s="33" t="s">
        <v>89</v>
      </c>
      <c r="C130" s="45">
        <v>0</v>
      </c>
      <c r="D130" s="46"/>
      <c r="E130" s="46"/>
      <c r="F130" s="46"/>
      <c r="G130" s="46"/>
      <c r="H130" s="46"/>
      <c r="I130" s="46"/>
      <c r="J130" s="46"/>
      <c r="K130" s="46"/>
      <c r="L130" s="46"/>
      <c r="M130" s="35"/>
    </row>
    <row r="131" spans="1:13" x14ac:dyDescent="0.3">
      <c r="A131" s="36"/>
      <c r="B131" s="36" t="s">
        <v>90</v>
      </c>
      <c r="C131" s="43">
        <v>0</v>
      </c>
      <c r="D131" s="44"/>
      <c r="E131" s="44"/>
      <c r="F131" s="44"/>
      <c r="G131" s="44"/>
      <c r="H131" s="44"/>
      <c r="I131" s="44"/>
      <c r="J131" s="44"/>
      <c r="K131" s="44"/>
      <c r="L131" s="44"/>
      <c r="M131" s="38"/>
    </row>
    <row r="132" spans="1:13" x14ac:dyDescent="0.3">
      <c r="A132" s="33"/>
      <c r="B132" s="33" t="s">
        <v>91</v>
      </c>
      <c r="C132" s="45">
        <v>0</v>
      </c>
      <c r="D132" s="46"/>
      <c r="E132" s="46"/>
      <c r="F132" s="46"/>
      <c r="G132" s="46"/>
      <c r="H132" s="46"/>
      <c r="I132" s="46"/>
      <c r="J132" s="46"/>
      <c r="K132" s="46"/>
      <c r="L132" s="46"/>
      <c r="M132" s="35"/>
    </row>
    <row r="133" spans="1:13" x14ac:dyDescent="0.3">
      <c r="A133" s="36"/>
      <c r="B133" s="36" t="s">
        <v>397</v>
      </c>
      <c r="C133" s="43">
        <v>0</v>
      </c>
      <c r="D133" s="44"/>
      <c r="E133" s="44"/>
      <c r="F133" s="44"/>
      <c r="G133" s="44"/>
      <c r="H133" s="44"/>
      <c r="I133" s="44"/>
      <c r="J133" s="44"/>
      <c r="K133" s="44"/>
      <c r="L133" s="44"/>
      <c r="M133" s="38"/>
    </row>
    <row r="134" spans="1:13" x14ac:dyDescent="0.3">
      <c r="A134" s="33"/>
      <c r="B134" s="40" t="s">
        <v>271</v>
      </c>
      <c r="C134" s="34"/>
      <c r="D134" s="33"/>
      <c r="E134" s="33"/>
      <c r="F134" s="33"/>
      <c r="G134" s="33"/>
      <c r="H134" s="33"/>
      <c r="I134" s="33"/>
      <c r="J134" s="33"/>
      <c r="K134" s="33"/>
      <c r="L134" s="33"/>
      <c r="M134" s="35"/>
    </row>
    <row r="135" spans="1:13" x14ac:dyDescent="0.3">
      <c r="A135" s="36"/>
      <c r="B135" s="36" t="s">
        <v>92</v>
      </c>
      <c r="C135" s="47" t="str">
        <f>"10%"</f>
        <v>10%</v>
      </c>
      <c r="D135" s="36"/>
      <c r="E135" s="36"/>
      <c r="F135" s="36"/>
      <c r="G135" s="36"/>
      <c r="H135" s="36"/>
      <c r="I135" s="36"/>
      <c r="J135" s="36"/>
      <c r="K135" s="36"/>
      <c r="L135" s="36"/>
      <c r="M135" s="38"/>
    </row>
    <row r="136" spans="1:13" x14ac:dyDescent="0.3">
      <c r="A136" s="33"/>
      <c r="B136" s="40" t="s">
        <v>272</v>
      </c>
      <c r="C136" s="34"/>
      <c r="D136" s="33"/>
      <c r="E136" s="33"/>
      <c r="F136" s="33"/>
      <c r="G136" s="33"/>
      <c r="H136" s="33"/>
      <c r="I136" s="33"/>
      <c r="J136" s="33"/>
      <c r="K136" s="33"/>
      <c r="L136" s="33"/>
      <c r="M136" s="35"/>
    </row>
    <row r="137" spans="1:13" x14ac:dyDescent="0.3">
      <c r="A137" s="36"/>
      <c r="B137" s="36" t="s">
        <v>93</v>
      </c>
      <c r="C137" s="37">
        <v>0.8</v>
      </c>
      <c r="D137" s="36"/>
      <c r="E137" s="36"/>
      <c r="F137" s="36"/>
      <c r="G137" s="36"/>
      <c r="H137" s="36"/>
      <c r="I137" s="36"/>
      <c r="J137" s="36"/>
      <c r="K137" s="36"/>
      <c r="L137" s="36"/>
      <c r="M137" s="38"/>
    </row>
    <row r="138" spans="1:13" x14ac:dyDescent="0.3">
      <c r="A138" s="33"/>
      <c r="B138" s="40" t="s">
        <v>273</v>
      </c>
      <c r="C138" s="34"/>
      <c r="D138" s="33"/>
      <c r="E138" s="33"/>
      <c r="F138" s="33"/>
      <c r="G138" s="33"/>
      <c r="H138" s="33"/>
      <c r="I138" s="33"/>
      <c r="J138" s="33"/>
      <c r="K138" s="33"/>
      <c r="L138" s="33"/>
      <c r="M138" s="35"/>
    </row>
    <row r="139" spans="1:13" x14ac:dyDescent="0.3">
      <c r="A139" s="36"/>
      <c r="B139" s="36" t="s">
        <v>94</v>
      </c>
      <c r="C139" s="37">
        <v>1</v>
      </c>
      <c r="D139" s="36"/>
      <c r="E139" s="36"/>
      <c r="F139" s="36"/>
      <c r="G139" s="36"/>
      <c r="H139" s="36"/>
      <c r="I139" s="36"/>
      <c r="J139" s="36"/>
      <c r="K139" s="36"/>
      <c r="L139" s="36"/>
      <c r="M139" s="38"/>
    </row>
    <row r="140" spans="1:13" x14ac:dyDescent="0.3">
      <c r="A140" s="33"/>
      <c r="B140" s="33" t="s">
        <v>95</v>
      </c>
      <c r="C140" s="34">
        <v>0</v>
      </c>
      <c r="D140" s="33"/>
      <c r="E140" s="33"/>
      <c r="F140" s="33"/>
      <c r="G140" s="33"/>
      <c r="H140" s="33"/>
      <c r="I140" s="33"/>
      <c r="J140" s="33"/>
      <c r="K140" s="33"/>
      <c r="L140" s="33"/>
      <c r="M140" s="35"/>
    </row>
    <row r="141" spans="1:13" x14ac:dyDescent="0.3">
      <c r="A141" s="36"/>
      <c r="B141" s="36" t="s">
        <v>96</v>
      </c>
      <c r="C141" s="37">
        <v>0</v>
      </c>
      <c r="D141" s="36"/>
      <c r="E141" s="36"/>
      <c r="F141" s="36"/>
      <c r="G141" s="36"/>
      <c r="H141" s="36"/>
      <c r="I141" s="36"/>
      <c r="J141" s="36"/>
      <c r="K141" s="36"/>
      <c r="L141" s="36"/>
      <c r="M141" s="38"/>
    </row>
    <row r="142" spans="1:13" x14ac:dyDescent="0.3">
      <c r="A142" s="36"/>
      <c r="B142" s="36" t="s">
        <v>407</v>
      </c>
      <c r="C142" s="37"/>
      <c r="D142" s="36"/>
      <c r="E142" s="36"/>
      <c r="F142" s="36"/>
      <c r="G142" s="36"/>
      <c r="H142" s="36"/>
      <c r="I142" s="36"/>
      <c r="J142" s="36"/>
      <c r="K142" s="36"/>
      <c r="L142" s="36"/>
      <c r="M142" s="38"/>
    </row>
    <row r="143" spans="1:13" x14ac:dyDescent="0.3">
      <c r="A143" s="33"/>
      <c r="B143" s="33" t="s">
        <v>97</v>
      </c>
      <c r="C143" s="34">
        <v>0</v>
      </c>
      <c r="D143" s="33"/>
      <c r="E143" s="33"/>
      <c r="F143" s="33"/>
      <c r="G143" s="33"/>
      <c r="H143" s="33"/>
      <c r="I143" s="33"/>
      <c r="J143" s="33"/>
      <c r="K143" s="33"/>
      <c r="L143" s="33"/>
      <c r="M143" s="35"/>
    </row>
    <row r="144" spans="1:13" x14ac:dyDescent="0.3">
      <c r="A144" s="40" t="s">
        <v>274</v>
      </c>
      <c r="B144" s="40" t="s">
        <v>277</v>
      </c>
      <c r="C144" s="37"/>
      <c r="D144" s="36"/>
      <c r="E144" s="36"/>
      <c r="F144" s="36"/>
      <c r="G144" s="36"/>
      <c r="H144" s="36"/>
      <c r="I144" s="36"/>
      <c r="J144" s="36"/>
      <c r="K144" s="36"/>
      <c r="L144" s="36"/>
      <c r="M144" s="38"/>
    </row>
    <row r="145" spans="1:13" x14ac:dyDescent="0.3">
      <c r="A145" s="33"/>
      <c r="B145" s="33" t="s">
        <v>98</v>
      </c>
      <c r="C145" s="34">
        <v>0</v>
      </c>
      <c r="D145" s="33"/>
      <c r="E145" s="33"/>
      <c r="F145" s="33"/>
      <c r="G145" s="33"/>
      <c r="H145" s="33"/>
      <c r="I145" s="33"/>
      <c r="J145" s="33"/>
      <c r="K145" s="33"/>
      <c r="L145" s="33"/>
      <c r="M145" s="35"/>
    </row>
    <row r="146" spans="1:13" x14ac:dyDescent="0.3">
      <c r="A146" s="36"/>
      <c r="B146" s="36" t="s">
        <v>99</v>
      </c>
      <c r="C146" s="37">
        <v>20</v>
      </c>
      <c r="D146" s="36"/>
      <c r="E146" s="36"/>
      <c r="F146" s="36"/>
      <c r="G146" s="36"/>
      <c r="H146" s="36"/>
      <c r="I146" s="36"/>
      <c r="J146" s="36"/>
      <c r="K146" s="36"/>
      <c r="L146" s="36"/>
      <c r="M146" s="38"/>
    </row>
    <row r="147" spans="1:13" x14ac:dyDescent="0.3">
      <c r="A147" s="33"/>
      <c r="B147" s="33" t="s">
        <v>100</v>
      </c>
      <c r="C147" s="34">
        <v>20</v>
      </c>
      <c r="D147" s="33"/>
      <c r="E147" s="33"/>
      <c r="F147" s="33"/>
      <c r="G147" s="33"/>
      <c r="H147" s="33"/>
      <c r="I147" s="33"/>
      <c r="J147" s="33"/>
      <c r="K147" s="33"/>
      <c r="L147" s="33"/>
      <c r="M147" s="35"/>
    </row>
    <row r="148" spans="1:13" x14ac:dyDescent="0.3">
      <c r="A148" s="36"/>
      <c r="B148" s="40" t="s">
        <v>278</v>
      </c>
      <c r="C148" s="37"/>
      <c r="D148" s="36"/>
      <c r="E148" s="36"/>
      <c r="F148" s="36"/>
      <c r="G148" s="36"/>
      <c r="H148" s="36"/>
      <c r="I148" s="36"/>
      <c r="J148" s="36"/>
      <c r="K148" s="36"/>
      <c r="L148" s="36"/>
      <c r="M148" s="38"/>
    </row>
    <row r="149" spans="1:13" x14ac:dyDescent="0.3">
      <c r="A149" s="33"/>
      <c r="B149" s="33" t="s">
        <v>101</v>
      </c>
      <c r="C149" s="34">
        <v>1</v>
      </c>
      <c r="D149" s="33"/>
      <c r="E149" s="33"/>
      <c r="F149" s="33"/>
      <c r="G149" s="33"/>
      <c r="H149" s="33"/>
      <c r="I149" s="33"/>
      <c r="J149" s="33"/>
      <c r="K149" s="33"/>
      <c r="L149" s="33"/>
      <c r="M149" s="35"/>
    </row>
    <row r="150" spans="1:13" x14ac:dyDescent="0.3">
      <c r="A150" s="33"/>
      <c r="B150" s="33" t="s">
        <v>406</v>
      </c>
      <c r="C150" s="34">
        <v>1</v>
      </c>
      <c r="D150" s="33"/>
      <c r="E150" s="33"/>
      <c r="F150" s="33"/>
      <c r="G150" s="33"/>
      <c r="H150" s="33"/>
      <c r="I150" s="33"/>
      <c r="J150" s="33"/>
      <c r="K150" s="33"/>
      <c r="L150" s="33"/>
      <c r="M150" s="35"/>
    </row>
    <row r="151" spans="1:13" x14ac:dyDescent="0.3">
      <c r="A151" s="33"/>
      <c r="B151" s="33" t="s">
        <v>412</v>
      </c>
      <c r="C151" s="34">
        <v>1</v>
      </c>
      <c r="D151" s="33"/>
      <c r="E151" s="33"/>
      <c r="F151" s="33"/>
      <c r="G151" s="33"/>
      <c r="H151" s="33"/>
      <c r="I151" s="33"/>
      <c r="J151" s="33"/>
      <c r="K151" s="33"/>
      <c r="L151" s="33"/>
      <c r="M151" s="35"/>
    </row>
    <row r="152" spans="1:13" ht="28.8" x14ac:dyDescent="0.3">
      <c r="A152" s="36"/>
      <c r="B152" s="36" t="s">
        <v>102</v>
      </c>
      <c r="C152" s="48" t="s">
        <v>103</v>
      </c>
      <c r="D152" s="36"/>
      <c r="E152" s="36"/>
      <c r="F152" s="36"/>
      <c r="G152" s="36"/>
      <c r="H152" s="36"/>
      <c r="I152" s="36"/>
      <c r="J152" s="36"/>
      <c r="K152" s="36"/>
      <c r="L152" s="36"/>
      <c r="M152" s="38"/>
    </row>
    <row r="153" spans="1:13" x14ac:dyDescent="0.3">
      <c r="A153" s="33"/>
      <c r="B153" s="40" t="s">
        <v>104</v>
      </c>
      <c r="C153" s="34"/>
      <c r="D153" s="33"/>
      <c r="E153" s="33"/>
      <c r="F153" s="33"/>
      <c r="G153" s="33"/>
      <c r="H153" s="33"/>
      <c r="I153" s="33"/>
      <c r="J153" s="33"/>
      <c r="K153" s="33"/>
      <c r="L153" s="33"/>
      <c r="M153" s="35"/>
    </row>
    <row r="154" spans="1:13" x14ac:dyDescent="0.3">
      <c r="A154" s="36"/>
      <c r="B154" s="36" t="s">
        <v>105</v>
      </c>
      <c r="C154" s="37"/>
      <c r="D154" s="36"/>
      <c r="E154" s="36"/>
      <c r="F154" s="36"/>
      <c r="G154" s="36"/>
      <c r="H154" s="36"/>
      <c r="I154" s="36"/>
      <c r="J154" s="36"/>
      <c r="K154" s="36"/>
      <c r="L154" s="36"/>
      <c r="M154" s="38"/>
    </row>
    <row r="155" spans="1:13" x14ac:dyDescent="0.3">
      <c r="A155" s="40" t="s">
        <v>275</v>
      </c>
      <c r="B155" s="40" t="s">
        <v>106</v>
      </c>
      <c r="C155" s="34"/>
      <c r="D155" s="33"/>
      <c r="E155" s="33"/>
      <c r="F155" s="33"/>
      <c r="G155" s="33"/>
      <c r="H155" s="33"/>
      <c r="I155" s="33"/>
      <c r="J155" s="33"/>
      <c r="K155" s="33"/>
      <c r="L155" s="33"/>
      <c r="M155" s="35"/>
    </row>
    <row r="156" spans="1:13" x14ac:dyDescent="0.3">
      <c r="A156" s="36"/>
      <c r="B156" s="36" t="s">
        <v>107</v>
      </c>
      <c r="C156" s="37"/>
      <c r="D156" s="36"/>
      <c r="E156" s="36"/>
      <c r="F156" s="36"/>
      <c r="G156" s="36"/>
      <c r="H156" s="36"/>
      <c r="I156" s="36"/>
      <c r="J156" s="36"/>
      <c r="K156" s="36"/>
      <c r="L156" s="36"/>
      <c r="M156" s="38"/>
    </row>
    <row r="157" spans="1:13" x14ac:dyDescent="0.3">
      <c r="A157" s="40" t="s">
        <v>276</v>
      </c>
      <c r="B157" s="40" t="s">
        <v>279</v>
      </c>
      <c r="C157" s="34"/>
      <c r="D157" s="33"/>
      <c r="E157" s="33"/>
      <c r="F157" s="33"/>
      <c r="G157" s="33"/>
      <c r="H157" s="33"/>
      <c r="I157" s="33"/>
      <c r="J157" s="33"/>
      <c r="K157" s="33"/>
      <c r="L157" s="33"/>
      <c r="M157" s="35"/>
    </row>
    <row r="158" spans="1:13" x14ac:dyDescent="0.3">
      <c r="A158" s="36"/>
      <c r="B158" s="36" t="s">
        <v>151</v>
      </c>
      <c r="C158" s="37" t="str">
        <f>Printer_Name</f>
        <v>Ender3 Speed 0.6 nozzle PET</v>
      </c>
      <c r="D158" s="36"/>
      <c r="E158" s="36"/>
      <c r="F158" s="36"/>
      <c r="G158" s="36"/>
      <c r="H158" s="36"/>
      <c r="I158" s="36"/>
      <c r="J158" s="36"/>
      <c r="K158" s="36"/>
      <c r="L158" s="36"/>
      <c r="M158" s="38"/>
    </row>
    <row r="159" spans="1:13" x14ac:dyDescent="0.3">
      <c r="A159" s="33"/>
      <c r="B159" s="33" t="s">
        <v>152</v>
      </c>
      <c r="C159" s="34"/>
      <c r="D159" s="33"/>
      <c r="E159" s="33"/>
      <c r="F159" s="33"/>
      <c r="G159" s="33"/>
      <c r="H159" s="33"/>
      <c r="I159" s="33"/>
      <c r="J159" s="33"/>
      <c r="K159" s="33"/>
      <c r="L159" s="33"/>
      <c r="M159" s="35"/>
    </row>
    <row r="160" spans="1:13" x14ac:dyDescent="0.3">
      <c r="A160" s="36"/>
      <c r="B160" s="36" t="s">
        <v>390</v>
      </c>
      <c r="C160" s="37">
        <v>0</v>
      </c>
      <c r="D160" s="36"/>
      <c r="E160" s="36"/>
      <c r="F160" s="36"/>
      <c r="G160" s="36"/>
      <c r="H160" s="36"/>
      <c r="I160" s="36"/>
      <c r="J160" s="36"/>
      <c r="K160" s="36"/>
      <c r="L160" s="36"/>
      <c r="M160" s="38"/>
    </row>
    <row r="161" spans="1:13" ht="28.8" x14ac:dyDescent="0.3">
      <c r="A161" s="33"/>
      <c r="B161" s="33" t="s">
        <v>392</v>
      </c>
      <c r="C161" s="49" t="s">
        <v>398</v>
      </c>
      <c r="D161" s="33"/>
      <c r="E161" s="33"/>
      <c r="F161" s="33"/>
      <c r="G161" s="33"/>
      <c r="H161" s="33"/>
      <c r="I161" s="33"/>
      <c r="J161" s="33"/>
      <c r="K161" s="33"/>
      <c r="L161" s="33"/>
      <c r="M161" s="35"/>
    </row>
    <row r="162" spans="1:13" x14ac:dyDescent="0.3">
      <c r="A162" s="50"/>
      <c r="B162" s="50" t="s">
        <v>391</v>
      </c>
      <c r="C162" s="51"/>
      <c r="D162" s="50"/>
      <c r="E162" s="50"/>
      <c r="F162" s="50"/>
      <c r="G162" s="50"/>
      <c r="H162" s="50"/>
      <c r="I162" s="50"/>
      <c r="J162" s="50"/>
      <c r="K162" s="50"/>
      <c r="L162" s="50"/>
      <c r="M162" s="29"/>
    </row>
  </sheetData>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BDBEB4-2D3C-427E-8127-A5F344BA5C17}">
  <sheetPr codeName="Sheet6"/>
  <dimension ref="A1:M162"/>
  <sheetViews>
    <sheetView workbookViewId="0">
      <pane ySplit="1" topLeftCell="A2" activePane="bottomLeft" state="frozen"/>
      <selection pane="bottomLeft" activeCell="D11" sqref="D11"/>
    </sheetView>
  </sheetViews>
  <sheetFormatPr defaultRowHeight="14.4" x14ac:dyDescent="0.3"/>
  <cols>
    <col min="1" max="1" width="19.109375" bestFit="1" customWidth="1"/>
    <col min="2" max="2" width="39.6640625" customWidth="1"/>
    <col min="3" max="3" width="38.44140625" style="1" bestFit="1" customWidth="1"/>
    <col min="4" max="4" width="11.6640625" bestFit="1" customWidth="1"/>
    <col min="5" max="5" width="13.44140625" bestFit="1" customWidth="1"/>
    <col min="6" max="6" width="12.6640625" bestFit="1" customWidth="1"/>
    <col min="7" max="7" width="10.44140625" bestFit="1" customWidth="1"/>
    <col min="8" max="8" width="14.6640625" bestFit="1" customWidth="1"/>
    <col min="9" max="9" width="12.6640625" bestFit="1" customWidth="1"/>
    <col min="10" max="10" width="10.44140625" bestFit="1" customWidth="1"/>
    <col min="11" max="11" width="12.109375" bestFit="1" customWidth="1"/>
    <col min="12" max="12" width="11.109375" bestFit="1" customWidth="1"/>
    <col min="13" max="13" width="59.88671875" customWidth="1"/>
    <col min="14" max="14" width="17.33203125" bestFit="1" customWidth="1"/>
  </cols>
  <sheetData>
    <row r="1" spans="1:13" x14ac:dyDescent="0.3">
      <c r="A1" s="30" t="s">
        <v>247</v>
      </c>
      <c r="B1" s="30" t="s">
        <v>219</v>
      </c>
      <c r="C1" s="31" t="s">
        <v>109</v>
      </c>
      <c r="D1" s="30" t="s">
        <v>288</v>
      </c>
      <c r="E1" s="30" t="s">
        <v>289</v>
      </c>
      <c r="F1" s="30" t="s">
        <v>290</v>
      </c>
      <c r="G1" s="30" t="s">
        <v>291</v>
      </c>
      <c r="H1" s="30" t="s">
        <v>292</v>
      </c>
      <c r="I1" s="30" t="s">
        <v>293</v>
      </c>
      <c r="J1" s="30" t="s">
        <v>294</v>
      </c>
      <c r="K1" s="30" t="s">
        <v>295</v>
      </c>
      <c r="L1" s="30" t="s">
        <v>296</v>
      </c>
      <c r="M1" s="32" t="s">
        <v>231</v>
      </c>
    </row>
    <row r="2" spans="1:13" x14ac:dyDescent="0.3">
      <c r="A2" s="33"/>
      <c r="B2" s="33"/>
      <c r="C2" s="34"/>
      <c r="D2" s="33" t="s">
        <v>232</v>
      </c>
      <c r="E2" s="33" t="s">
        <v>233</v>
      </c>
      <c r="F2" s="33" t="s">
        <v>234</v>
      </c>
      <c r="G2" s="33" t="s">
        <v>235</v>
      </c>
      <c r="H2" s="33" t="s">
        <v>236</v>
      </c>
      <c r="I2" s="33" t="s">
        <v>237</v>
      </c>
      <c r="J2" s="33" t="s">
        <v>238</v>
      </c>
      <c r="K2" s="33" t="s">
        <v>239</v>
      </c>
      <c r="L2" s="33" t="s">
        <v>240</v>
      </c>
      <c r="M2" s="35"/>
    </row>
    <row r="3" spans="1:13" x14ac:dyDescent="0.3">
      <c r="A3" s="36"/>
      <c r="B3" s="36" t="s">
        <v>0</v>
      </c>
      <c r="C3" s="37">
        <v>4</v>
      </c>
      <c r="D3" s="36"/>
      <c r="E3" s="36"/>
      <c r="F3" s="36"/>
      <c r="G3" s="36"/>
      <c r="H3" s="36"/>
      <c r="I3" s="36"/>
      <c r="J3" s="36"/>
      <c r="K3" s="36"/>
      <c r="L3" s="36"/>
      <c r="M3" s="38"/>
    </row>
    <row r="4" spans="1:13" x14ac:dyDescent="0.3">
      <c r="A4" s="39" t="s">
        <v>248</v>
      </c>
      <c r="B4" s="40" t="s">
        <v>242</v>
      </c>
      <c r="C4" s="34"/>
      <c r="D4" s="33"/>
      <c r="E4" s="33"/>
      <c r="F4" s="33"/>
      <c r="G4" s="33"/>
      <c r="H4" s="33"/>
      <c r="I4" s="33"/>
      <c r="J4" s="33"/>
      <c r="K4" s="33"/>
      <c r="L4" s="33"/>
      <c r="M4" s="35"/>
    </row>
    <row r="5" spans="1:13" x14ac:dyDescent="0.3">
      <c r="A5" s="36"/>
      <c r="B5" s="36" t="s">
        <v>1</v>
      </c>
      <c r="C5" s="37">
        <f>MAX(0.2,Min_Layer_Height)</f>
        <v>0.2</v>
      </c>
      <c r="D5" s="36">
        <v>0.12</v>
      </c>
      <c r="E5" s="36">
        <v>0.2</v>
      </c>
      <c r="F5" s="36">
        <v>0.32</v>
      </c>
      <c r="G5" s="36">
        <v>0.4</v>
      </c>
      <c r="H5" s="36">
        <v>0.48</v>
      </c>
      <c r="I5" s="36">
        <v>0.56000000000000005</v>
      </c>
      <c r="J5" s="36">
        <v>0.64</v>
      </c>
      <c r="K5" s="36">
        <v>0.72</v>
      </c>
      <c r="L5" s="36">
        <v>0.8</v>
      </c>
      <c r="M5" s="38"/>
    </row>
    <row r="6" spans="1:13" x14ac:dyDescent="0.3">
      <c r="A6" s="33"/>
      <c r="B6" s="33" t="s">
        <v>2</v>
      </c>
      <c r="C6" s="34">
        <f>MAX(0.2,Min_Layer_Height)</f>
        <v>0.2</v>
      </c>
      <c r="D6" s="33"/>
      <c r="E6" s="33"/>
      <c r="F6" s="33"/>
      <c r="G6" s="33"/>
      <c r="H6" s="33"/>
      <c r="I6" s="33"/>
      <c r="J6" s="33"/>
      <c r="K6" s="33"/>
      <c r="L6" s="33"/>
      <c r="M6" s="35"/>
    </row>
    <row r="7" spans="1:13" x14ac:dyDescent="0.3">
      <c r="A7" s="36"/>
      <c r="B7" s="36" t="s">
        <v>378</v>
      </c>
      <c r="C7" s="37">
        <v>0</v>
      </c>
      <c r="D7" s="36"/>
      <c r="E7" s="36"/>
      <c r="F7" s="36"/>
      <c r="G7" s="36"/>
      <c r="H7" s="36"/>
      <c r="I7" s="36"/>
      <c r="J7" s="36"/>
      <c r="K7" s="36"/>
      <c r="L7" s="36"/>
      <c r="M7" s="38"/>
    </row>
    <row r="8" spans="1:13" x14ac:dyDescent="0.3">
      <c r="A8" s="33"/>
      <c r="B8" s="33" t="s">
        <v>379</v>
      </c>
      <c r="C8" s="34">
        <v>75</v>
      </c>
      <c r="D8" s="33"/>
      <c r="E8" s="33"/>
      <c r="F8" s="33"/>
      <c r="G8" s="33"/>
      <c r="H8" s="33"/>
      <c r="I8" s="33"/>
      <c r="J8" s="33"/>
      <c r="K8" s="33"/>
      <c r="L8" s="33"/>
      <c r="M8" s="35"/>
    </row>
    <row r="9" spans="1:13" x14ac:dyDescent="0.3">
      <c r="A9" s="36"/>
      <c r="B9" s="36" t="s">
        <v>380</v>
      </c>
      <c r="C9" s="37">
        <v>0</v>
      </c>
      <c r="D9" s="36"/>
      <c r="E9" s="36"/>
      <c r="F9" s="36"/>
      <c r="G9" s="36"/>
      <c r="H9" s="36"/>
      <c r="I9" s="36"/>
      <c r="J9" s="36"/>
      <c r="K9" s="36"/>
      <c r="L9" s="36"/>
      <c r="M9" s="38"/>
    </row>
    <row r="10" spans="1:13" x14ac:dyDescent="0.3">
      <c r="A10" s="33"/>
      <c r="B10" s="40" t="s">
        <v>243</v>
      </c>
      <c r="C10" s="34"/>
      <c r="D10" s="33"/>
      <c r="E10" s="33"/>
      <c r="F10" s="33"/>
      <c r="G10" s="33"/>
      <c r="H10" s="33"/>
      <c r="I10" s="33"/>
      <c r="J10" s="33"/>
      <c r="K10" s="33"/>
      <c r="L10" s="33"/>
      <c r="M10" s="35"/>
    </row>
    <row r="11" spans="1:13" x14ac:dyDescent="0.3">
      <c r="A11" s="36"/>
      <c r="B11" s="36" t="s">
        <v>3</v>
      </c>
      <c r="C11" s="37">
        <v>3</v>
      </c>
      <c r="D11" s="36"/>
      <c r="E11" s="36"/>
      <c r="F11" s="36"/>
      <c r="G11" s="36"/>
      <c r="H11" s="36"/>
      <c r="I11" s="36"/>
      <c r="J11" s="36"/>
      <c r="K11" s="36"/>
      <c r="L11" s="36"/>
      <c r="M11" s="38"/>
    </row>
    <row r="12" spans="1:13" x14ac:dyDescent="0.3">
      <c r="A12" s="33"/>
      <c r="B12" s="33" t="s">
        <v>381</v>
      </c>
      <c r="C12" s="34">
        <v>0</v>
      </c>
      <c r="D12" s="33"/>
      <c r="E12" s="33"/>
      <c r="F12" s="33"/>
      <c r="G12" s="33"/>
      <c r="H12" s="33"/>
      <c r="I12" s="33"/>
      <c r="J12" s="33"/>
      <c r="K12" s="33"/>
      <c r="L12" s="33"/>
      <c r="M12" s="35"/>
    </row>
    <row r="13" spans="1:13" x14ac:dyDescent="0.3">
      <c r="A13" s="36"/>
      <c r="B13" s="36" t="s">
        <v>4</v>
      </c>
      <c r="C13" s="37">
        <v>0</v>
      </c>
      <c r="D13" s="36"/>
      <c r="E13" s="36"/>
      <c r="F13" s="36"/>
      <c r="G13" s="36"/>
      <c r="H13" s="36"/>
      <c r="I13" s="36"/>
      <c r="J13" s="36"/>
      <c r="K13" s="36"/>
      <c r="L13" s="36"/>
      <c r="M13" s="38"/>
    </row>
    <row r="14" spans="1:13" x14ac:dyDescent="0.3">
      <c r="A14" s="33"/>
      <c r="B14" s="40" t="s">
        <v>244</v>
      </c>
      <c r="C14" s="34"/>
      <c r="D14" s="33"/>
      <c r="E14" s="33"/>
      <c r="F14" s="33"/>
      <c r="G14" s="33"/>
      <c r="H14" s="33"/>
      <c r="I14" s="33"/>
      <c r="J14" s="33"/>
      <c r="K14" s="33"/>
      <c r="L14" s="33"/>
      <c r="M14" s="35"/>
    </row>
    <row r="15" spans="1:13" x14ac:dyDescent="0.3">
      <c r="A15" s="36"/>
      <c r="B15" s="36" t="s">
        <v>5</v>
      </c>
      <c r="C15" s="37">
        <v>3</v>
      </c>
      <c r="D15" s="36">
        <v>6</v>
      </c>
      <c r="E15" s="36">
        <v>4</v>
      </c>
      <c r="F15" s="36"/>
      <c r="G15" s="36"/>
      <c r="H15" s="36"/>
      <c r="I15" s="36"/>
      <c r="J15" s="36"/>
      <c r="K15" s="36"/>
      <c r="L15" s="36"/>
      <c r="M15" s="38"/>
    </row>
    <row r="16" spans="1:13" x14ac:dyDescent="0.3">
      <c r="A16" s="33"/>
      <c r="B16" s="33" t="s">
        <v>6</v>
      </c>
      <c r="C16" s="34">
        <v>3</v>
      </c>
      <c r="D16" s="33">
        <v>5</v>
      </c>
      <c r="E16" s="33">
        <v>4</v>
      </c>
      <c r="F16" s="33"/>
      <c r="G16" s="33"/>
      <c r="H16" s="33"/>
      <c r="I16" s="33"/>
      <c r="J16" s="33"/>
      <c r="K16" s="33"/>
      <c r="L16" s="33"/>
      <c r="M16" s="35"/>
    </row>
    <row r="17" spans="1:13" x14ac:dyDescent="0.3">
      <c r="A17" s="36"/>
      <c r="B17" s="36" t="s">
        <v>382</v>
      </c>
      <c r="C17" s="37">
        <v>0</v>
      </c>
      <c r="D17" s="36"/>
      <c r="E17" s="36"/>
      <c r="F17" s="36"/>
      <c r="G17" s="36"/>
      <c r="H17" s="36"/>
      <c r="I17" s="36"/>
      <c r="J17" s="36"/>
      <c r="K17" s="36"/>
      <c r="L17" s="36"/>
      <c r="M17" s="38"/>
    </row>
    <row r="18" spans="1:13" x14ac:dyDescent="0.3">
      <c r="A18" s="33"/>
      <c r="B18" s="40" t="s">
        <v>245</v>
      </c>
      <c r="C18" s="34"/>
      <c r="D18" s="33"/>
      <c r="E18" s="33"/>
      <c r="F18" s="33"/>
      <c r="G18" s="33"/>
      <c r="H18" s="33"/>
      <c r="I18" s="33"/>
      <c r="J18" s="33"/>
      <c r="K18" s="33"/>
      <c r="L18" s="33"/>
      <c r="M18" s="35"/>
    </row>
    <row r="19" spans="1:13" x14ac:dyDescent="0.3">
      <c r="A19" s="36"/>
      <c r="B19" s="36" t="s">
        <v>7</v>
      </c>
      <c r="C19" s="37">
        <v>1</v>
      </c>
      <c r="D19" s="36"/>
      <c r="E19" s="36"/>
      <c r="F19" s="36"/>
      <c r="G19" s="36"/>
      <c r="H19" s="36"/>
      <c r="I19" s="36"/>
      <c r="J19" s="36"/>
      <c r="K19" s="36"/>
      <c r="L19" s="36"/>
      <c r="M19" s="38" t="s">
        <v>280</v>
      </c>
    </row>
    <row r="20" spans="1:13" x14ac:dyDescent="0.3">
      <c r="A20" s="33"/>
      <c r="B20" s="33" t="s">
        <v>8</v>
      </c>
      <c r="C20" s="34">
        <v>1</v>
      </c>
      <c r="D20" s="33"/>
      <c r="E20" s="33"/>
      <c r="F20" s="33"/>
      <c r="G20" s="33"/>
      <c r="H20" s="33"/>
      <c r="I20" s="33"/>
      <c r="J20" s="33"/>
      <c r="K20" s="33"/>
      <c r="L20" s="33"/>
      <c r="M20" s="35" t="s">
        <v>281</v>
      </c>
    </row>
    <row r="21" spans="1:13" x14ac:dyDescent="0.3">
      <c r="A21" s="36"/>
      <c r="B21" s="36" t="s">
        <v>9</v>
      </c>
      <c r="C21" s="37">
        <v>0</v>
      </c>
      <c r="D21" s="36"/>
      <c r="E21" s="36"/>
      <c r="F21" s="36"/>
      <c r="G21" s="36"/>
      <c r="H21" s="36"/>
      <c r="I21" s="36"/>
      <c r="J21" s="36"/>
      <c r="K21" s="36"/>
      <c r="L21" s="36"/>
      <c r="M21" s="38"/>
    </row>
    <row r="22" spans="1:13" x14ac:dyDescent="0.3">
      <c r="A22" s="33"/>
      <c r="B22" s="33" t="s">
        <v>10</v>
      </c>
      <c r="C22" s="34">
        <v>1</v>
      </c>
      <c r="D22" s="33"/>
      <c r="E22" s="33"/>
      <c r="F22" s="33"/>
      <c r="G22" s="33"/>
      <c r="H22" s="33"/>
      <c r="I22" s="33"/>
      <c r="J22" s="33"/>
      <c r="K22" s="33"/>
      <c r="L22" s="33"/>
      <c r="M22" s="35" t="s">
        <v>282</v>
      </c>
    </row>
    <row r="23" spans="1:13" x14ac:dyDescent="0.3">
      <c r="A23" s="36"/>
      <c r="B23" s="36" t="s">
        <v>309</v>
      </c>
      <c r="C23" s="37">
        <v>1</v>
      </c>
      <c r="D23" s="36"/>
      <c r="E23" s="36"/>
      <c r="F23" s="36"/>
      <c r="G23" s="36"/>
      <c r="H23" s="36"/>
      <c r="I23" s="36"/>
      <c r="J23" s="36"/>
      <c r="K23" s="36"/>
      <c r="L23" s="36"/>
      <c r="M23" s="38" t="s">
        <v>310</v>
      </c>
    </row>
    <row r="24" spans="1:13" x14ac:dyDescent="0.3">
      <c r="A24" s="33"/>
      <c r="B24" s="40" t="s">
        <v>246</v>
      </c>
      <c r="C24" s="34"/>
      <c r="D24" s="33"/>
      <c r="E24" s="33"/>
      <c r="F24" s="33"/>
      <c r="G24" s="33"/>
      <c r="H24" s="33"/>
      <c r="I24" s="33"/>
      <c r="J24" s="33"/>
      <c r="K24" s="33"/>
      <c r="L24" s="33"/>
      <c r="M24" s="35" t="s">
        <v>283</v>
      </c>
    </row>
    <row r="25" spans="1:13" x14ac:dyDescent="0.3">
      <c r="A25" s="36"/>
      <c r="B25" s="36" t="s">
        <v>12</v>
      </c>
      <c r="C25" s="37" t="s">
        <v>13</v>
      </c>
      <c r="D25" s="36"/>
      <c r="E25" s="36"/>
      <c r="F25" s="36"/>
      <c r="G25" s="36"/>
      <c r="H25" s="36"/>
      <c r="I25" s="36"/>
      <c r="J25" s="36"/>
      <c r="K25" s="36"/>
      <c r="L25" s="36"/>
      <c r="M25" s="38"/>
    </row>
    <row r="26" spans="1:13" x14ac:dyDescent="0.3">
      <c r="A26" s="33"/>
      <c r="B26" s="33" t="s">
        <v>14</v>
      </c>
      <c r="C26" s="34">
        <v>0</v>
      </c>
      <c r="D26" s="33"/>
      <c r="E26" s="33"/>
      <c r="F26" s="33"/>
      <c r="G26" s="33"/>
      <c r="H26" s="33"/>
      <c r="I26" s="33"/>
      <c r="J26" s="33"/>
      <c r="K26" s="33"/>
      <c r="L26" s="33"/>
      <c r="M26" s="35"/>
    </row>
    <row r="27" spans="1:13" x14ac:dyDescent="0.3">
      <c r="A27" s="40" t="s">
        <v>249</v>
      </c>
      <c r="B27" s="40" t="s">
        <v>250</v>
      </c>
      <c r="C27" s="37"/>
      <c r="D27" s="36"/>
      <c r="E27" s="36"/>
      <c r="F27" s="36"/>
      <c r="G27" s="36"/>
      <c r="H27" s="36"/>
      <c r="I27" s="36"/>
      <c r="J27" s="36"/>
      <c r="K27" s="36"/>
      <c r="L27" s="36"/>
      <c r="M27" s="38"/>
    </row>
    <row r="28" spans="1:13" x14ac:dyDescent="0.3">
      <c r="A28" s="33"/>
      <c r="B28" s="33" t="s">
        <v>15</v>
      </c>
      <c r="C28" s="41" t="str">
        <f>"20%"</f>
        <v>20%</v>
      </c>
      <c r="D28" s="33"/>
      <c r="E28" s="33"/>
      <c r="F28" s="33"/>
      <c r="G28" s="33"/>
      <c r="H28" s="33"/>
      <c r="I28" s="33"/>
      <c r="J28" s="33"/>
      <c r="K28" s="33"/>
      <c r="L28" s="33"/>
      <c r="M28" s="35"/>
    </row>
    <row r="29" spans="1:13" x14ac:dyDescent="0.3">
      <c r="A29" s="36"/>
      <c r="B29" s="36" t="s">
        <v>16</v>
      </c>
      <c r="C29" s="37" t="s">
        <v>17</v>
      </c>
      <c r="D29" s="36"/>
      <c r="E29" s="36"/>
      <c r="F29" s="36"/>
      <c r="G29" s="36"/>
      <c r="H29" s="36"/>
      <c r="I29" s="36"/>
      <c r="J29" s="36"/>
      <c r="K29" s="36"/>
      <c r="L29" s="36"/>
      <c r="M29" s="38" t="s">
        <v>284</v>
      </c>
    </row>
    <row r="30" spans="1:13" x14ac:dyDescent="0.3">
      <c r="A30" s="33"/>
      <c r="B30" s="33" t="s">
        <v>18</v>
      </c>
      <c r="C30" s="34" t="s">
        <v>17</v>
      </c>
      <c r="D30" s="33"/>
      <c r="E30" s="33"/>
      <c r="F30" s="33"/>
      <c r="G30" s="33"/>
      <c r="H30" s="33"/>
      <c r="I30" s="33"/>
      <c r="J30" s="33"/>
      <c r="K30" s="33"/>
      <c r="L30" s="33"/>
      <c r="M30" s="35"/>
    </row>
    <row r="31" spans="1:13" x14ac:dyDescent="0.3">
      <c r="A31" s="36"/>
      <c r="B31" s="36" t="s">
        <v>383</v>
      </c>
      <c r="C31" s="37" t="s">
        <v>17</v>
      </c>
      <c r="D31" s="36"/>
      <c r="E31" s="36"/>
      <c r="F31" s="36"/>
      <c r="G31" s="36"/>
      <c r="H31" s="36"/>
      <c r="I31" s="36"/>
      <c r="J31" s="36"/>
      <c r="K31" s="36"/>
      <c r="L31" s="36"/>
      <c r="M31" s="38"/>
    </row>
    <row r="32" spans="1:13" x14ac:dyDescent="0.3">
      <c r="A32" s="33"/>
      <c r="B32" s="33" t="s">
        <v>389</v>
      </c>
      <c r="C32" s="34" t="s">
        <v>17</v>
      </c>
      <c r="D32" s="33"/>
      <c r="E32" s="33"/>
      <c r="F32" s="33"/>
      <c r="G32" s="33"/>
      <c r="H32" s="33"/>
      <c r="I32" s="33"/>
      <c r="J32" s="33"/>
      <c r="K32" s="33"/>
      <c r="L32" s="33"/>
      <c r="M32" s="35"/>
    </row>
    <row r="33" spans="1:13" x14ac:dyDescent="0.3">
      <c r="A33" s="36"/>
      <c r="B33" s="40" t="s">
        <v>251</v>
      </c>
      <c r="C33" s="37"/>
      <c r="D33" s="36"/>
      <c r="E33" s="36"/>
      <c r="F33" s="36"/>
      <c r="G33" s="36"/>
      <c r="H33" s="36"/>
      <c r="I33" s="36"/>
      <c r="J33" s="36"/>
      <c r="K33" s="36"/>
      <c r="L33" s="36"/>
      <c r="M33" s="38" t="s">
        <v>285</v>
      </c>
    </row>
    <row r="34" spans="1:13" x14ac:dyDescent="0.3">
      <c r="A34" s="33"/>
      <c r="B34" s="33" t="s">
        <v>19</v>
      </c>
      <c r="C34" s="34">
        <v>1</v>
      </c>
      <c r="D34" s="33"/>
      <c r="E34" s="33"/>
      <c r="F34" s="33"/>
      <c r="G34" s="33"/>
      <c r="H34" s="33"/>
      <c r="I34" s="33"/>
      <c r="J34" s="33"/>
      <c r="K34" s="33"/>
      <c r="L34" s="33"/>
      <c r="M34" s="35" t="s">
        <v>286</v>
      </c>
    </row>
    <row r="35" spans="1:13" x14ac:dyDescent="0.3">
      <c r="A35" s="36"/>
      <c r="B35" s="36" t="s">
        <v>20</v>
      </c>
      <c r="C35" s="37">
        <v>0</v>
      </c>
      <c r="D35" s="36"/>
      <c r="E35" s="36"/>
      <c r="F35" s="36"/>
      <c r="G35" s="36"/>
      <c r="H35" s="36"/>
      <c r="I35" s="36"/>
      <c r="J35" s="36"/>
      <c r="K35" s="36"/>
      <c r="L35" s="36"/>
      <c r="M35" s="38"/>
    </row>
    <row r="36" spans="1:13" x14ac:dyDescent="0.3">
      <c r="A36" s="33"/>
      <c r="B36" s="40" t="s">
        <v>246</v>
      </c>
      <c r="C36" s="34"/>
      <c r="D36" s="33"/>
      <c r="E36" s="33"/>
      <c r="F36" s="33"/>
      <c r="G36" s="33"/>
      <c r="H36" s="33"/>
      <c r="I36" s="33"/>
      <c r="J36" s="33"/>
      <c r="K36" s="33"/>
      <c r="L36" s="33"/>
      <c r="M36" s="35"/>
    </row>
    <row r="37" spans="1:13" x14ac:dyDescent="0.3">
      <c r="A37" s="36"/>
      <c r="B37" s="36" t="s">
        <v>384</v>
      </c>
      <c r="C37" s="37">
        <v>1</v>
      </c>
      <c r="D37" s="36"/>
      <c r="E37" s="36"/>
      <c r="F37" s="36"/>
      <c r="G37" s="36"/>
      <c r="H37" s="36"/>
      <c r="I37" s="36"/>
      <c r="J37" s="36"/>
      <c r="K37" s="36"/>
      <c r="L37" s="36"/>
      <c r="M37" s="38"/>
    </row>
    <row r="38" spans="1:13" x14ac:dyDescent="0.3">
      <c r="A38" s="33"/>
      <c r="B38" s="33" t="s">
        <v>21</v>
      </c>
      <c r="C38" s="34">
        <v>0</v>
      </c>
      <c r="D38" s="33"/>
      <c r="E38" s="33"/>
      <c r="F38" s="33"/>
      <c r="G38" s="33"/>
      <c r="H38" s="33"/>
      <c r="I38" s="33"/>
      <c r="J38" s="33"/>
      <c r="K38" s="33"/>
      <c r="L38" s="33"/>
      <c r="M38" s="35"/>
    </row>
    <row r="39" spans="1:13" x14ac:dyDescent="0.3">
      <c r="A39" s="36"/>
      <c r="B39" s="36" t="s">
        <v>22</v>
      </c>
      <c r="C39" s="37">
        <v>45</v>
      </c>
      <c r="D39" s="36"/>
      <c r="E39" s="36"/>
      <c r="F39" s="36"/>
      <c r="G39" s="36"/>
      <c r="H39" s="36"/>
      <c r="I39" s="36"/>
      <c r="J39" s="36"/>
      <c r="K39" s="36"/>
      <c r="L39" s="36"/>
      <c r="M39" s="38"/>
    </row>
    <row r="40" spans="1:13" x14ac:dyDescent="0.3">
      <c r="A40" s="33"/>
      <c r="B40" s="33" t="s">
        <v>23</v>
      </c>
      <c r="C40" s="34">
        <f>(Nozzle_Diameter*Nozzle_Diameter)*100</f>
        <v>36</v>
      </c>
      <c r="D40" s="33"/>
      <c r="E40" s="33"/>
      <c r="F40" s="33"/>
      <c r="G40" s="33"/>
      <c r="H40" s="33"/>
      <c r="I40" s="33"/>
      <c r="J40" s="33"/>
      <c r="K40" s="33"/>
      <c r="L40" s="33"/>
      <c r="M40" s="35" t="s">
        <v>287</v>
      </c>
    </row>
    <row r="41" spans="1:13" x14ac:dyDescent="0.3">
      <c r="A41" s="36"/>
      <c r="B41" s="36" t="s">
        <v>24</v>
      </c>
      <c r="C41" s="37">
        <v>0</v>
      </c>
      <c r="D41" s="36"/>
      <c r="E41" s="36"/>
      <c r="F41" s="36"/>
      <c r="G41" s="36"/>
      <c r="H41" s="36"/>
      <c r="I41" s="36"/>
      <c r="J41" s="36"/>
      <c r="K41" s="36"/>
      <c r="L41" s="36"/>
      <c r="M41" s="38"/>
    </row>
    <row r="42" spans="1:13" x14ac:dyDescent="0.3">
      <c r="A42" s="33"/>
      <c r="B42" s="33" t="s">
        <v>25</v>
      </c>
      <c r="C42" s="34">
        <v>0</v>
      </c>
      <c r="D42" s="33"/>
      <c r="E42" s="33"/>
      <c r="F42" s="33"/>
      <c r="G42" s="33"/>
      <c r="H42" s="33"/>
      <c r="I42" s="33"/>
      <c r="J42" s="33"/>
      <c r="K42" s="33"/>
      <c r="L42" s="33"/>
      <c r="M42" s="35"/>
    </row>
    <row r="43" spans="1:13" x14ac:dyDescent="0.3">
      <c r="A43" s="36"/>
      <c r="B43" s="36" t="s">
        <v>26</v>
      </c>
      <c r="C43" s="37">
        <v>0</v>
      </c>
      <c r="D43" s="36"/>
      <c r="E43" s="36"/>
      <c r="F43" s="36"/>
      <c r="G43" s="36"/>
      <c r="H43" s="36"/>
      <c r="I43" s="36"/>
      <c r="J43" s="36"/>
      <c r="K43" s="36"/>
      <c r="L43" s="36"/>
      <c r="M43" s="38"/>
    </row>
    <row r="44" spans="1:13" x14ac:dyDescent="0.3">
      <c r="A44" s="40" t="s">
        <v>252</v>
      </c>
      <c r="B44" s="40" t="s">
        <v>253</v>
      </c>
      <c r="C44" s="34"/>
      <c r="D44" s="33"/>
      <c r="E44" s="33"/>
      <c r="F44" s="33"/>
      <c r="G44" s="33"/>
      <c r="H44" s="33"/>
      <c r="I44" s="33"/>
      <c r="J44" s="33"/>
      <c r="K44" s="33"/>
      <c r="L44" s="33"/>
      <c r="M44" s="35"/>
    </row>
    <row r="45" spans="1:13" x14ac:dyDescent="0.3">
      <c r="A45" s="36"/>
      <c r="B45" s="36" t="s">
        <v>27</v>
      </c>
      <c r="C45" s="37">
        <v>0</v>
      </c>
      <c r="D45" s="36"/>
      <c r="E45" s="36"/>
      <c r="F45" s="36"/>
      <c r="G45" s="36"/>
      <c r="H45" s="36"/>
      <c r="I45" s="36"/>
      <c r="J45" s="36"/>
      <c r="K45" s="36"/>
      <c r="L45" s="36"/>
      <c r="M45" s="38" t="s">
        <v>297</v>
      </c>
    </row>
    <row r="46" spans="1:13" x14ac:dyDescent="0.3">
      <c r="A46" s="33"/>
      <c r="B46" s="33" t="s">
        <v>28</v>
      </c>
      <c r="C46" s="34">
        <v>2</v>
      </c>
      <c r="D46" s="33"/>
      <c r="E46" s="33"/>
      <c r="F46" s="33"/>
      <c r="G46" s="33"/>
      <c r="H46" s="33"/>
      <c r="I46" s="33"/>
      <c r="J46" s="33"/>
      <c r="K46" s="33"/>
      <c r="L46" s="33"/>
      <c r="M46" s="35" t="s">
        <v>300</v>
      </c>
    </row>
    <row r="47" spans="1:13" x14ac:dyDescent="0.3">
      <c r="A47" s="36"/>
      <c r="B47" s="36" t="s">
        <v>29</v>
      </c>
      <c r="C47" s="37">
        <v>1</v>
      </c>
      <c r="D47" s="36"/>
      <c r="E47" s="36"/>
      <c r="F47" s="36"/>
      <c r="G47" s="36"/>
      <c r="H47" s="36"/>
      <c r="I47" s="36"/>
      <c r="J47" s="36"/>
      <c r="K47" s="36"/>
      <c r="L47" s="36"/>
      <c r="M47" s="38" t="s">
        <v>298</v>
      </c>
    </row>
    <row r="48" spans="1:13" x14ac:dyDescent="0.3">
      <c r="A48" s="33"/>
      <c r="B48" s="33" t="s">
        <v>30</v>
      </c>
      <c r="C48" s="34">
        <v>4</v>
      </c>
      <c r="D48" s="33"/>
      <c r="E48" s="33"/>
      <c r="F48" s="33"/>
      <c r="G48" s="33"/>
      <c r="H48" s="33"/>
      <c r="I48" s="33"/>
      <c r="J48" s="33"/>
      <c r="K48" s="33"/>
      <c r="L48" s="33"/>
      <c r="M48" s="35" t="s">
        <v>301</v>
      </c>
    </row>
    <row r="49" spans="1:13" x14ac:dyDescent="0.3">
      <c r="A49" s="36"/>
      <c r="B49" s="40" t="s">
        <v>254</v>
      </c>
      <c r="C49" s="37"/>
      <c r="D49" s="36"/>
      <c r="E49" s="36"/>
      <c r="F49" s="36"/>
      <c r="G49" s="36"/>
      <c r="H49" s="36"/>
      <c r="I49" s="36"/>
      <c r="J49" s="36"/>
      <c r="K49" s="36"/>
      <c r="L49" s="36"/>
      <c r="M49" s="38" t="s">
        <v>299</v>
      </c>
    </row>
    <row r="50" spans="1:13" x14ac:dyDescent="0.3">
      <c r="A50" s="33"/>
      <c r="B50" s="33" t="s">
        <v>31</v>
      </c>
      <c r="C50" s="34">
        <f>Nozzle_Diameter*4</f>
        <v>2.4</v>
      </c>
      <c r="D50" s="33"/>
      <c r="E50" s="33"/>
      <c r="F50" s="33"/>
      <c r="G50" s="33"/>
      <c r="H50" s="33"/>
      <c r="I50" s="33"/>
      <c r="J50" s="33"/>
      <c r="K50" s="33"/>
      <c r="L50" s="33"/>
      <c r="M50" s="35"/>
    </row>
    <row r="51" spans="1:13" x14ac:dyDescent="0.3">
      <c r="A51" s="36"/>
      <c r="B51" s="36" t="s">
        <v>385</v>
      </c>
      <c r="C51" s="37">
        <v>0</v>
      </c>
      <c r="D51" s="36"/>
      <c r="E51" s="36"/>
      <c r="F51" s="36"/>
      <c r="G51" s="36"/>
      <c r="H51" s="36"/>
      <c r="I51" s="36"/>
      <c r="J51" s="36"/>
      <c r="K51" s="36"/>
      <c r="L51" s="36"/>
      <c r="M51" s="38"/>
    </row>
    <row r="52" spans="1:13" x14ac:dyDescent="0.3">
      <c r="A52" s="33"/>
      <c r="B52" s="33" t="s">
        <v>386</v>
      </c>
      <c r="C52" s="34">
        <v>125</v>
      </c>
      <c r="D52" s="33"/>
      <c r="E52" s="33"/>
      <c r="F52" s="33"/>
      <c r="G52" s="33"/>
      <c r="H52" s="33"/>
      <c r="I52" s="33"/>
      <c r="J52" s="33"/>
      <c r="K52" s="33"/>
      <c r="L52" s="33"/>
      <c r="M52" s="35"/>
    </row>
    <row r="53" spans="1:13" x14ac:dyDescent="0.3">
      <c r="A53" s="36"/>
      <c r="B53" s="36" t="s">
        <v>387</v>
      </c>
      <c r="C53" s="37">
        <v>0</v>
      </c>
      <c r="D53" s="36"/>
      <c r="E53" s="36"/>
      <c r="F53" s="36"/>
      <c r="G53" s="36"/>
      <c r="H53" s="36"/>
      <c r="I53" s="36"/>
      <c r="J53" s="36"/>
      <c r="K53" s="36"/>
      <c r="L53" s="36"/>
      <c r="M53" s="38"/>
    </row>
    <row r="54" spans="1:13" x14ac:dyDescent="0.3">
      <c r="A54" s="33"/>
      <c r="B54" s="33" t="s">
        <v>388</v>
      </c>
      <c r="C54" s="34">
        <v>0</v>
      </c>
      <c r="D54" s="33"/>
      <c r="E54" s="33"/>
      <c r="F54" s="33"/>
      <c r="G54" s="33"/>
      <c r="H54" s="33"/>
      <c r="I54" s="33"/>
      <c r="J54" s="33"/>
      <c r="K54" s="33"/>
      <c r="L54" s="33"/>
      <c r="M54" s="35"/>
    </row>
    <row r="55" spans="1:13" x14ac:dyDescent="0.3">
      <c r="A55" s="40" t="s">
        <v>255</v>
      </c>
      <c r="B55" s="40" t="s">
        <v>256</v>
      </c>
      <c r="C55" s="37"/>
      <c r="D55" s="36"/>
      <c r="E55" s="36"/>
      <c r="F55" s="36"/>
      <c r="G55" s="36"/>
      <c r="H55" s="36"/>
      <c r="I55" s="36"/>
      <c r="J55" s="36"/>
      <c r="K55" s="36"/>
      <c r="L55" s="36"/>
      <c r="M55" s="38"/>
    </row>
    <row r="56" spans="1:13" x14ac:dyDescent="0.3">
      <c r="A56" s="33"/>
      <c r="B56" s="33" t="s">
        <v>32</v>
      </c>
      <c r="C56" s="34">
        <v>0</v>
      </c>
      <c r="D56" s="33"/>
      <c r="E56" s="33"/>
      <c r="F56" s="33"/>
      <c r="G56" s="33"/>
      <c r="H56" s="33"/>
      <c r="I56" s="33"/>
      <c r="J56" s="33"/>
      <c r="K56" s="33"/>
      <c r="L56" s="33"/>
      <c r="M56" s="35"/>
    </row>
    <row r="57" spans="1:13" ht="28.8" x14ac:dyDescent="0.3">
      <c r="A57" s="36"/>
      <c r="B57" s="36" t="s">
        <v>33</v>
      </c>
      <c r="C57" s="37">
        <v>1</v>
      </c>
      <c r="D57" s="36"/>
      <c r="E57" s="36"/>
      <c r="F57" s="36"/>
      <c r="G57" s="36"/>
      <c r="H57" s="36"/>
      <c r="I57" s="36"/>
      <c r="J57" s="36"/>
      <c r="K57" s="36"/>
      <c r="L57" s="36"/>
      <c r="M57" s="42" t="s">
        <v>302</v>
      </c>
    </row>
    <row r="58" spans="1:13" x14ac:dyDescent="0.3">
      <c r="A58" s="33"/>
      <c r="B58" s="33" t="s">
        <v>34</v>
      </c>
      <c r="C58" s="34">
        <v>0</v>
      </c>
      <c r="D58" s="33"/>
      <c r="E58" s="33"/>
      <c r="F58" s="33"/>
      <c r="G58" s="33"/>
      <c r="H58" s="33"/>
      <c r="I58" s="33"/>
      <c r="J58" s="33"/>
      <c r="K58" s="33"/>
      <c r="L58" s="33"/>
      <c r="M58" s="35" t="s">
        <v>303</v>
      </c>
    </row>
    <row r="59" spans="1:13" x14ac:dyDescent="0.3">
      <c r="A59" s="36"/>
      <c r="B59" s="36" t="s">
        <v>394</v>
      </c>
      <c r="C59" s="37">
        <v>0</v>
      </c>
      <c r="D59" s="36"/>
      <c r="E59" s="36"/>
      <c r="F59" s="36"/>
      <c r="G59" s="36"/>
      <c r="H59" s="36"/>
      <c r="I59" s="36"/>
      <c r="J59" s="36"/>
      <c r="K59" s="36"/>
      <c r="L59" s="36"/>
      <c r="M59" s="38"/>
    </row>
    <row r="60" spans="1:13" x14ac:dyDescent="0.3">
      <c r="A60" s="33"/>
      <c r="B60" s="33" t="s">
        <v>35</v>
      </c>
      <c r="C60" s="34">
        <v>1</v>
      </c>
      <c r="D60" s="33"/>
      <c r="E60" s="33"/>
      <c r="F60" s="33"/>
      <c r="G60" s="33"/>
      <c r="H60" s="33"/>
      <c r="I60" s="33"/>
      <c r="J60" s="33"/>
      <c r="K60" s="33"/>
      <c r="L60" s="33"/>
      <c r="M60" s="35"/>
    </row>
    <row r="61" spans="1:13" x14ac:dyDescent="0.3">
      <c r="A61" s="36"/>
      <c r="B61" s="40" t="s">
        <v>257</v>
      </c>
      <c r="C61" s="37"/>
      <c r="D61" s="36"/>
      <c r="E61" s="36"/>
      <c r="F61" s="36"/>
      <c r="G61" s="36"/>
      <c r="H61" s="36"/>
      <c r="I61" s="36"/>
      <c r="J61" s="36"/>
      <c r="K61" s="36"/>
      <c r="L61" s="36"/>
      <c r="M61" s="38"/>
    </row>
    <row r="62" spans="1:13" x14ac:dyDescent="0.3">
      <c r="A62" s="33"/>
      <c r="B62" s="33" t="s">
        <v>36</v>
      </c>
      <c r="C62" s="34">
        <v>0</v>
      </c>
      <c r="D62" s="33"/>
      <c r="E62" s="33"/>
      <c r="F62" s="33"/>
      <c r="G62" s="33"/>
      <c r="H62" s="33"/>
      <c r="I62" s="33"/>
      <c r="J62" s="33"/>
      <c r="K62" s="33"/>
      <c r="L62" s="33"/>
      <c r="M62" s="35"/>
    </row>
    <row r="63" spans="1:13" x14ac:dyDescent="0.3">
      <c r="A63" s="36"/>
      <c r="B63" s="40" t="s">
        <v>258</v>
      </c>
      <c r="C63" s="37"/>
      <c r="D63" s="36"/>
      <c r="E63" s="36"/>
      <c r="F63" s="36"/>
      <c r="G63" s="36"/>
      <c r="H63" s="36"/>
      <c r="I63" s="36"/>
      <c r="J63" s="36"/>
      <c r="K63" s="36"/>
      <c r="L63" s="36"/>
      <c r="M63" s="38"/>
    </row>
    <row r="64" spans="1:13" x14ac:dyDescent="0.3">
      <c r="A64" s="33"/>
      <c r="B64" s="33" t="s">
        <v>37</v>
      </c>
      <c r="C64" s="34">
        <v>0.2</v>
      </c>
      <c r="D64" s="33"/>
      <c r="E64" s="33"/>
      <c r="F64" s="33"/>
      <c r="G64" s="33"/>
      <c r="H64" s="33"/>
      <c r="I64" s="33"/>
      <c r="J64" s="33"/>
      <c r="K64" s="33"/>
      <c r="L64" s="33"/>
      <c r="M64" s="35" t="s">
        <v>305</v>
      </c>
    </row>
    <row r="65" spans="1:13" x14ac:dyDescent="0.3">
      <c r="A65" s="36"/>
      <c r="B65" s="36" t="s">
        <v>38</v>
      </c>
      <c r="C65" s="37" t="s">
        <v>17</v>
      </c>
      <c r="D65" s="36"/>
      <c r="E65" s="36"/>
      <c r="F65" s="36"/>
      <c r="G65" s="36"/>
      <c r="H65" s="36"/>
      <c r="I65" s="36"/>
      <c r="J65" s="36"/>
      <c r="K65" s="36"/>
      <c r="L65" s="36"/>
      <c r="M65" s="38"/>
    </row>
    <row r="66" spans="1:13" x14ac:dyDescent="0.3">
      <c r="A66" s="33"/>
      <c r="B66" s="33" t="s">
        <v>39</v>
      </c>
      <c r="C66" s="34">
        <v>1</v>
      </c>
      <c r="D66" s="33"/>
      <c r="E66" s="33"/>
      <c r="F66" s="33"/>
      <c r="G66" s="33"/>
      <c r="H66" s="33"/>
      <c r="I66" s="33"/>
      <c r="J66" s="33"/>
      <c r="K66" s="33"/>
      <c r="L66" s="33"/>
      <c r="M66" s="35"/>
    </row>
    <row r="67" spans="1:13" x14ac:dyDescent="0.3">
      <c r="A67" s="36"/>
      <c r="B67" s="36" t="s">
        <v>40</v>
      </c>
      <c r="C67" s="37">
        <v>2</v>
      </c>
      <c r="D67" s="36"/>
      <c r="E67" s="36"/>
      <c r="F67" s="36"/>
      <c r="G67" s="36"/>
      <c r="H67" s="36"/>
      <c r="I67" s="36"/>
      <c r="J67" s="36"/>
      <c r="K67" s="36"/>
      <c r="L67" s="36"/>
      <c r="M67" s="38" t="s">
        <v>304</v>
      </c>
    </row>
    <row r="68" spans="1:13" x14ac:dyDescent="0.3">
      <c r="A68" s="33"/>
      <c r="B68" s="33" t="s">
        <v>41</v>
      </c>
      <c r="C68" s="34">
        <v>0</v>
      </c>
      <c r="D68" s="33"/>
      <c r="E68" s="33"/>
      <c r="F68" s="33"/>
      <c r="G68" s="33"/>
      <c r="H68" s="33"/>
      <c r="I68" s="33"/>
      <c r="J68" s="33"/>
      <c r="K68" s="33"/>
      <c r="L68" s="33"/>
      <c r="M68" s="35"/>
    </row>
    <row r="69" spans="1:13" x14ac:dyDescent="0.3">
      <c r="A69" s="36"/>
      <c r="B69" s="36" t="s">
        <v>395</v>
      </c>
      <c r="C69" s="37">
        <v>2.5</v>
      </c>
      <c r="D69" s="36"/>
      <c r="E69" s="36"/>
      <c r="F69" s="36"/>
      <c r="G69" s="36"/>
      <c r="H69" s="36"/>
      <c r="I69" s="36"/>
      <c r="J69" s="36"/>
      <c r="K69" s="36"/>
      <c r="L69" s="36"/>
      <c r="M69" s="38"/>
    </row>
    <row r="70" spans="1:13" x14ac:dyDescent="0.3">
      <c r="A70" s="33"/>
      <c r="B70" s="33" t="s">
        <v>396</v>
      </c>
      <c r="C70" s="34">
        <v>10</v>
      </c>
      <c r="D70" s="33"/>
      <c r="E70" s="33"/>
      <c r="F70" s="33"/>
      <c r="G70" s="33"/>
      <c r="H70" s="33"/>
      <c r="I70" s="33"/>
      <c r="J70" s="33"/>
      <c r="K70" s="33"/>
      <c r="L70" s="33"/>
      <c r="M70" s="35"/>
    </row>
    <row r="71" spans="1:13" x14ac:dyDescent="0.3">
      <c r="A71" s="36"/>
      <c r="B71" s="36" t="s">
        <v>42</v>
      </c>
      <c r="C71" s="37">
        <v>2</v>
      </c>
      <c r="D71" s="36"/>
      <c r="E71" s="36"/>
      <c r="F71" s="36"/>
      <c r="G71" s="36"/>
      <c r="H71" s="36"/>
      <c r="I71" s="36"/>
      <c r="J71" s="36"/>
      <c r="K71" s="36"/>
      <c r="L71" s="36"/>
      <c r="M71" s="38" t="s">
        <v>306</v>
      </c>
    </row>
    <row r="72" spans="1:13" x14ac:dyDescent="0.3">
      <c r="A72" s="33"/>
      <c r="B72" s="33" t="s">
        <v>43</v>
      </c>
      <c r="C72" s="34">
        <v>0.2</v>
      </c>
      <c r="D72" s="33"/>
      <c r="E72" s="33"/>
      <c r="F72" s="33"/>
      <c r="G72" s="33"/>
      <c r="H72" s="33"/>
      <c r="I72" s="33"/>
      <c r="J72" s="33"/>
      <c r="K72" s="33"/>
      <c r="L72" s="33"/>
      <c r="M72" s="35" t="s">
        <v>307</v>
      </c>
    </row>
    <row r="73" spans="1:13" x14ac:dyDescent="0.3">
      <c r="A73" s="36"/>
      <c r="B73" s="36" t="s">
        <v>44</v>
      </c>
      <c r="C73" s="37">
        <v>0</v>
      </c>
      <c r="D73" s="36"/>
      <c r="E73" s="36"/>
      <c r="F73" s="36"/>
      <c r="G73" s="36"/>
      <c r="H73" s="36"/>
      <c r="I73" s="36"/>
      <c r="J73" s="36"/>
      <c r="K73" s="36"/>
      <c r="L73" s="36"/>
      <c r="M73" s="38" t="s">
        <v>308</v>
      </c>
    </row>
    <row r="74" spans="1:13" x14ac:dyDescent="0.3">
      <c r="A74" s="33"/>
      <c r="B74" s="33" t="s">
        <v>45</v>
      </c>
      <c r="C74" s="34">
        <v>1</v>
      </c>
      <c r="D74" s="33"/>
      <c r="E74" s="33"/>
      <c r="F74" s="33"/>
      <c r="G74" s="33"/>
      <c r="H74" s="33"/>
      <c r="I74" s="33"/>
      <c r="J74" s="33"/>
      <c r="K74" s="33"/>
      <c r="L74" s="33"/>
      <c r="M74" s="35"/>
    </row>
    <row r="75" spans="1:13" x14ac:dyDescent="0.3">
      <c r="A75" s="36"/>
      <c r="B75" s="36" t="s">
        <v>46</v>
      </c>
      <c r="C75" s="37">
        <v>0.8</v>
      </c>
      <c r="D75" s="36"/>
      <c r="E75" s="36"/>
      <c r="F75" s="36"/>
      <c r="G75" s="36"/>
      <c r="H75" s="36"/>
      <c r="I75" s="36"/>
      <c r="J75" s="36"/>
      <c r="K75" s="36"/>
      <c r="L75" s="36"/>
      <c r="M75" s="38"/>
    </row>
    <row r="76" spans="1:13" x14ac:dyDescent="0.3">
      <c r="A76" s="33"/>
      <c r="B76" s="33" t="s">
        <v>11</v>
      </c>
      <c r="C76" s="34">
        <v>1</v>
      </c>
      <c r="D76" s="33"/>
      <c r="E76" s="33"/>
      <c r="F76" s="33"/>
      <c r="G76" s="33"/>
      <c r="H76" s="33"/>
      <c r="I76" s="33"/>
      <c r="J76" s="33"/>
      <c r="K76" s="33"/>
      <c r="L76" s="33"/>
      <c r="M76" s="35" t="s">
        <v>311</v>
      </c>
    </row>
    <row r="77" spans="1:13" x14ac:dyDescent="0.3">
      <c r="A77" s="36"/>
      <c r="B77" s="36" t="s">
        <v>47</v>
      </c>
      <c r="C77" s="37">
        <v>0</v>
      </c>
      <c r="D77" s="36"/>
      <c r="E77" s="36"/>
      <c r="F77" s="36"/>
      <c r="G77" s="36"/>
      <c r="H77" s="36"/>
      <c r="I77" s="36"/>
      <c r="J77" s="36"/>
      <c r="K77" s="36"/>
      <c r="L77" s="36"/>
      <c r="M77" s="38"/>
    </row>
    <row r="78" spans="1:13" x14ac:dyDescent="0.3">
      <c r="A78" s="40" t="s">
        <v>259</v>
      </c>
      <c r="B78" s="40" t="s">
        <v>260</v>
      </c>
      <c r="C78" s="34"/>
      <c r="D78" s="33"/>
      <c r="E78" s="33"/>
      <c r="F78" s="33"/>
      <c r="G78" s="33"/>
      <c r="H78" s="33"/>
      <c r="I78" s="33"/>
      <c r="J78" s="33"/>
      <c r="K78" s="33"/>
      <c r="L78" s="33"/>
      <c r="M78" s="35"/>
    </row>
    <row r="79" spans="1:13" x14ac:dyDescent="0.3">
      <c r="A79" s="36"/>
      <c r="B79" s="36" t="s">
        <v>48</v>
      </c>
      <c r="C79" s="37">
        <v>45</v>
      </c>
      <c r="D79" s="36">
        <f>MIN($C$79,D100)</f>
        <v>45</v>
      </c>
      <c r="E79" s="36">
        <f t="shared" ref="E79:L79" si="0">MIN($C$79,E100)</f>
        <v>45</v>
      </c>
      <c r="F79" s="36">
        <f t="shared" si="0"/>
        <v>45</v>
      </c>
      <c r="G79" s="36">
        <f t="shared" si="0"/>
        <v>45</v>
      </c>
      <c r="H79" s="36">
        <f t="shared" si="0"/>
        <v>40</v>
      </c>
      <c r="I79" s="36">
        <f t="shared" si="0"/>
        <v>35</v>
      </c>
      <c r="J79" s="36">
        <f t="shared" si="0"/>
        <v>30</v>
      </c>
      <c r="K79" s="36">
        <f t="shared" si="0"/>
        <v>25</v>
      </c>
      <c r="L79" s="36">
        <f t="shared" si="0"/>
        <v>22</v>
      </c>
      <c r="M79" s="38"/>
    </row>
    <row r="80" spans="1:13" x14ac:dyDescent="0.3">
      <c r="A80" s="33"/>
      <c r="B80" s="33" t="s">
        <v>49</v>
      </c>
      <c r="C80" s="34">
        <v>25</v>
      </c>
      <c r="D80" s="33">
        <f>MIN($C$80,D81)</f>
        <v>25</v>
      </c>
      <c r="E80" s="33">
        <f t="shared" ref="E80:L80" si="1">MIN($C$80,E81)</f>
        <v>25</v>
      </c>
      <c r="F80" s="33">
        <f t="shared" si="1"/>
        <v>25</v>
      </c>
      <c r="G80" s="33">
        <f t="shared" si="1"/>
        <v>25</v>
      </c>
      <c r="H80" s="33">
        <f t="shared" si="1"/>
        <v>25</v>
      </c>
      <c r="I80" s="33">
        <f t="shared" si="1"/>
        <v>25</v>
      </c>
      <c r="J80" s="33">
        <f t="shared" si="1"/>
        <v>25</v>
      </c>
      <c r="K80" s="33">
        <f t="shared" si="1"/>
        <v>25</v>
      </c>
      <c r="L80" s="33">
        <f t="shared" si="1"/>
        <v>22</v>
      </c>
      <c r="M80" s="35"/>
    </row>
    <row r="81" spans="1:13" x14ac:dyDescent="0.3">
      <c r="A81" s="36"/>
      <c r="B81" s="36" t="s">
        <v>50</v>
      </c>
      <c r="C81" s="37">
        <v>35</v>
      </c>
      <c r="D81" s="36">
        <f>MIN($C$81,D79)</f>
        <v>35</v>
      </c>
      <c r="E81" s="36">
        <f t="shared" ref="E81:L81" si="2">MIN($C$81,E79)</f>
        <v>35</v>
      </c>
      <c r="F81" s="36">
        <f t="shared" si="2"/>
        <v>35</v>
      </c>
      <c r="G81" s="36">
        <f t="shared" si="2"/>
        <v>35</v>
      </c>
      <c r="H81" s="36">
        <f t="shared" si="2"/>
        <v>35</v>
      </c>
      <c r="I81" s="36">
        <f t="shared" si="2"/>
        <v>35</v>
      </c>
      <c r="J81" s="36">
        <f t="shared" si="2"/>
        <v>30</v>
      </c>
      <c r="K81" s="36">
        <f t="shared" si="2"/>
        <v>25</v>
      </c>
      <c r="L81" s="36">
        <f t="shared" si="2"/>
        <v>22</v>
      </c>
      <c r="M81" s="38"/>
    </row>
    <row r="82" spans="1:13" x14ac:dyDescent="0.3">
      <c r="A82" s="33"/>
      <c r="B82" s="33" t="s">
        <v>51</v>
      </c>
      <c r="C82" s="34">
        <v>65</v>
      </c>
      <c r="D82" s="34">
        <f>MIN($C$82,D100)</f>
        <v>65</v>
      </c>
      <c r="E82" s="34">
        <f t="shared" ref="E82:L82" si="3">MIN($C$82,E100)</f>
        <v>60</v>
      </c>
      <c r="F82" s="34">
        <f t="shared" si="3"/>
        <v>55</v>
      </c>
      <c r="G82" s="34">
        <f t="shared" si="3"/>
        <v>45</v>
      </c>
      <c r="H82" s="34">
        <f t="shared" si="3"/>
        <v>40</v>
      </c>
      <c r="I82" s="34">
        <f t="shared" si="3"/>
        <v>35</v>
      </c>
      <c r="J82" s="34">
        <f t="shared" si="3"/>
        <v>30</v>
      </c>
      <c r="K82" s="34">
        <f t="shared" si="3"/>
        <v>25</v>
      </c>
      <c r="L82" s="34">
        <f t="shared" si="3"/>
        <v>22</v>
      </c>
      <c r="M82" s="35"/>
    </row>
    <row r="83" spans="1:13" x14ac:dyDescent="0.3">
      <c r="A83" s="36"/>
      <c r="B83" s="36" t="s">
        <v>52</v>
      </c>
      <c r="C83" s="37">
        <v>45</v>
      </c>
      <c r="D83" s="36">
        <f>MIN($C$83,D79)</f>
        <v>45</v>
      </c>
      <c r="E83" s="36">
        <f t="shared" ref="E83:L83" si="4">MIN($C$83,E79)</f>
        <v>45</v>
      </c>
      <c r="F83" s="36">
        <f t="shared" si="4"/>
        <v>45</v>
      </c>
      <c r="G83" s="36">
        <f t="shared" si="4"/>
        <v>45</v>
      </c>
      <c r="H83" s="36">
        <f t="shared" si="4"/>
        <v>40</v>
      </c>
      <c r="I83" s="36">
        <f t="shared" si="4"/>
        <v>35</v>
      </c>
      <c r="J83" s="36">
        <f t="shared" si="4"/>
        <v>30</v>
      </c>
      <c r="K83" s="36">
        <f t="shared" si="4"/>
        <v>25</v>
      </c>
      <c r="L83" s="36">
        <f t="shared" si="4"/>
        <v>22</v>
      </c>
      <c r="M83" s="38"/>
    </row>
    <row r="84" spans="1:13" x14ac:dyDescent="0.3">
      <c r="A84" s="33"/>
      <c r="B84" s="33" t="s">
        <v>53</v>
      </c>
      <c r="C84" s="34">
        <v>35</v>
      </c>
      <c r="D84" s="33">
        <f>MIN($C$84,D81)</f>
        <v>35</v>
      </c>
      <c r="E84" s="33">
        <f t="shared" ref="E84:L84" si="5">MIN($C$84,E81)</f>
        <v>35</v>
      </c>
      <c r="F84" s="33">
        <f t="shared" si="5"/>
        <v>35</v>
      </c>
      <c r="G84" s="33">
        <f t="shared" si="5"/>
        <v>35</v>
      </c>
      <c r="H84" s="33">
        <f t="shared" si="5"/>
        <v>35</v>
      </c>
      <c r="I84" s="33">
        <f t="shared" si="5"/>
        <v>35</v>
      </c>
      <c r="J84" s="33">
        <f t="shared" si="5"/>
        <v>30</v>
      </c>
      <c r="K84" s="33">
        <f t="shared" si="5"/>
        <v>25</v>
      </c>
      <c r="L84" s="33">
        <f t="shared" si="5"/>
        <v>22</v>
      </c>
      <c r="M84" s="35"/>
    </row>
    <row r="85" spans="1:13" x14ac:dyDescent="0.3">
      <c r="A85" s="36"/>
      <c r="B85" s="36" t="s">
        <v>54</v>
      </c>
      <c r="C85" s="37">
        <v>45</v>
      </c>
      <c r="D85" s="36">
        <f>MIN($C$85,D100)</f>
        <v>45</v>
      </c>
      <c r="E85" s="36">
        <f t="shared" ref="E85:L85" si="6">MIN($C$85,E100)</f>
        <v>45</v>
      </c>
      <c r="F85" s="36">
        <f t="shared" si="6"/>
        <v>45</v>
      </c>
      <c r="G85" s="36">
        <f t="shared" si="6"/>
        <v>45</v>
      </c>
      <c r="H85" s="36">
        <f t="shared" si="6"/>
        <v>40</v>
      </c>
      <c r="I85" s="36">
        <f t="shared" si="6"/>
        <v>35</v>
      </c>
      <c r="J85" s="36">
        <f t="shared" si="6"/>
        <v>30</v>
      </c>
      <c r="K85" s="36">
        <f t="shared" si="6"/>
        <v>25</v>
      </c>
      <c r="L85" s="36">
        <f t="shared" si="6"/>
        <v>22</v>
      </c>
      <c r="M85" s="38"/>
    </row>
    <row r="86" spans="1:13" x14ac:dyDescent="0.3">
      <c r="A86" s="33"/>
      <c r="B86" s="33" t="s">
        <v>55</v>
      </c>
      <c r="C86" s="41" t="str">
        <f>"100%"</f>
        <v>100%</v>
      </c>
      <c r="D86" s="33"/>
      <c r="E86" s="33"/>
      <c r="F86" s="33"/>
      <c r="G86" s="33"/>
      <c r="H86" s="33"/>
      <c r="I86" s="33"/>
      <c r="J86" s="33"/>
      <c r="K86" s="33"/>
      <c r="L86" s="33"/>
      <c r="M86" s="35"/>
    </row>
    <row r="87" spans="1:13" x14ac:dyDescent="0.3">
      <c r="A87" s="36"/>
      <c r="B87" s="36" t="s">
        <v>56</v>
      </c>
      <c r="C87" s="37">
        <v>30</v>
      </c>
      <c r="D87" s="36">
        <f>MIN($C$87,D81)</f>
        <v>30</v>
      </c>
      <c r="E87" s="36">
        <f t="shared" ref="E87:L87" si="7">MIN($C$87,E81)</f>
        <v>30</v>
      </c>
      <c r="F87" s="36">
        <f t="shared" si="7"/>
        <v>30</v>
      </c>
      <c r="G87" s="36">
        <f t="shared" si="7"/>
        <v>30</v>
      </c>
      <c r="H87" s="36">
        <f t="shared" si="7"/>
        <v>30</v>
      </c>
      <c r="I87" s="36">
        <f t="shared" si="7"/>
        <v>30</v>
      </c>
      <c r="J87" s="36">
        <f t="shared" si="7"/>
        <v>30</v>
      </c>
      <c r="K87" s="36">
        <f t="shared" si="7"/>
        <v>25</v>
      </c>
      <c r="L87" s="36">
        <f t="shared" si="7"/>
        <v>22</v>
      </c>
      <c r="M87" s="38"/>
    </row>
    <row r="88" spans="1:13" x14ac:dyDescent="0.3">
      <c r="A88" s="33"/>
      <c r="B88" s="33" t="s">
        <v>57</v>
      </c>
      <c r="C88" s="34">
        <v>20</v>
      </c>
      <c r="D88" s="33">
        <f>MIN($C$88,D80)</f>
        <v>20</v>
      </c>
      <c r="E88" s="33">
        <f t="shared" ref="E88:L88" si="8">MIN($C$88,E80)</f>
        <v>20</v>
      </c>
      <c r="F88" s="33">
        <f t="shared" si="8"/>
        <v>20</v>
      </c>
      <c r="G88" s="33">
        <f t="shared" si="8"/>
        <v>20</v>
      </c>
      <c r="H88" s="33">
        <f t="shared" si="8"/>
        <v>20</v>
      </c>
      <c r="I88" s="33">
        <f t="shared" si="8"/>
        <v>20</v>
      </c>
      <c r="J88" s="33">
        <f t="shared" si="8"/>
        <v>20</v>
      </c>
      <c r="K88" s="33">
        <f t="shared" si="8"/>
        <v>20</v>
      </c>
      <c r="L88" s="33">
        <f t="shared" si="8"/>
        <v>20</v>
      </c>
      <c r="M88" s="35"/>
    </row>
    <row r="89" spans="1:13" x14ac:dyDescent="0.3">
      <c r="A89" s="36"/>
      <c r="B89" s="40" t="s">
        <v>261</v>
      </c>
      <c r="C89" s="37"/>
      <c r="D89" s="36"/>
      <c r="E89" s="36"/>
      <c r="F89" s="36"/>
      <c r="G89" s="36"/>
      <c r="H89" s="36"/>
      <c r="I89" s="36"/>
      <c r="J89" s="36"/>
      <c r="K89" s="36"/>
      <c r="L89" s="36"/>
      <c r="M89" s="38"/>
    </row>
    <row r="90" spans="1:13" x14ac:dyDescent="0.3">
      <c r="A90" s="33"/>
      <c r="B90" s="33" t="s">
        <v>58</v>
      </c>
      <c r="C90" s="34">
        <v>120</v>
      </c>
      <c r="D90" s="33"/>
      <c r="E90" s="33"/>
      <c r="F90" s="33"/>
      <c r="G90" s="33"/>
      <c r="H90" s="33"/>
      <c r="I90" s="33"/>
      <c r="J90" s="33"/>
      <c r="K90" s="33"/>
      <c r="L90" s="33"/>
      <c r="M90" s="35"/>
    </row>
    <row r="91" spans="1:13" x14ac:dyDescent="0.3">
      <c r="A91" s="36"/>
      <c r="B91" s="40" t="s">
        <v>262</v>
      </c>
      <c r="C91" s="37"/>
      <c r="D91" s="36"/>
      <c r="E91" s="36"/>
      <c r="F91" s="36"/>
      <c r="G91" s="36"/>
      <c r="H91" s="36"/>
      <c r="I91" s="36"/>
      <c r="J91" s="36"/>
      <c r="K91" s="36"/>
      <c r="L91" s="36"/>
      <c r="M91" s="38"/>
    </row>
    <row r="92" spans="1:13" x14ac:dyDescent="0.3">
      <c r="A92" s="33"/>
      <c r="B92" s="33" t="s">
        <v>59</v>
      </c>
      <c r="C92" s="34">
        <v>30</v>
      </c>
      <c r="D92" s="33"/>
      <c r="E92" s="33"/>
      <c r="F92" s="33"/>
      <c r="G92" s="33"/>
      <c r="H92" s="33"/>
      <c r="I92" s="33"/>
      <c r="J92" s="33"/>
      <c r="K92" s="33"/>
      <c r="L92" s="33"/>
      <c r="M92" s="35"/>
    </row>
    <row r="93" spans="1:13" x14ac:dyDescent="0.3">
      <c r="A93" s="36"/>
      <c r="B93" s="40" t="s">
        <v>263</v>
      </c>
      <c r="C93" s="37"/>
      <c r="D93" s="36"/>
      <c r="E93" s="36"/>
      <c r="F93" s="36"/>
      <c r="G93" s="36"/>
      <c r="H93" s="36"/>
      <c r="I93" s="36"/>
      <c r="J93" s="36"/>
      <c r="K93" s="36"/>
      <c r="L93" s="36"/>
      <c r="M93" s="38"/>
    </row>
    <row r="94" spans="1:13" x14ac:dyDescent="0.3">
      <c r="A94" s="33"/>
      <c r="B94" s="33" t="s">
        <v>60</v>
      </c>
      <c r="C94" s="34">
        <f>MAX_ACCELERATION</f>
        <v>500</v>
      </c>
      <c r="D94" s="33"/>
      <c r="E94" s="33"/>
      <c r="F94" s="33"/>
      <c r="G94" s="33"/>
      <c r="H94" s="33"/>
      <c r="I94" s="33"/>
      <c r="J94" s="33"/>
      <c r="K94" s="33"/>
      <c r="L94" s="33"/>
      <c r="M94" s="35"/>
    </row>
    <row r="95" spans="1:13" x14ac:dyDescent="0.3">
      <c r="A95" s="36"/>
      <c r="B95" s="36" t="s">
        <v>61</v>
      </c>
      <c r="C95" s="34">
        <f>MAX_ACCELERATION</f>
        <v>500</v>
      </c>
      <c r="D95" s="36"/>
      <c r="E95" s="36"/>
      <c r="F95" s="36"/>
      <c r="G95" s="36"/>
      <c r="H95" s="36"/>
      <c r="I95" s="36"/>
      <c r="J95" s="36"/>
      <c r="K95" s="36"/>
      <c r="L95" s="36"/>
      <c r="M95" s="38"/>
    </row>
    <row r="96" spans="1:13" x14ac:dyDescent="0.3">
      <c r="A96" s="33"/>
      <c r="B96" s="33" t="s">
        <v>62</v>
      </c>
      <c r="C96" s="34">
        <f>MAX_ACCELERATION</f>
        <v>500</v>
      </c>
      <c r="D96" s="33"/>
      <c r="E96" s="33"/>
      <c r="F96" s="33"/>
      <c r="G96" s="33"/>
      <c r="H96" s="33"/>
      <c r="I96" s="33"/>
      <c r="J96" s="33"/>
      <c r="K96" s="33"/>
      <c r="L96" s="33"/>
      <c r="M96" s="35"/>
    </row>
    <row r="97" spans="1:13" x14ac:dyDescent="0.3">
      <c r="A97" s="36"/>
      <c r="B97" s="36" t="s">
        <v>63</v>
      </c>
      <c r="C97" s="34">
        <f>MAX_ACCELERATION</f>
        <v>500</v>
      </c>
      <c r="D97" s="36"/>
      <c r="E97" s="36"/>
      <c r="F97" s="36"/>
      <c r="G97" s="36"/>
      <c r="H97" s="36"/>
      <c r="I97" s="36"/>
      <c r="J97" s="36"/>
      <c r="K97" s="36"/>
      <c r="L97" s="36"/>
      <c r="M97" s="38"/>
    </row>
    <row r="98" spans="1:13" x14ac:dyDescent="0.3">
      <c r="A98" s="33"/>
      <c r="B98" s="33" t="s">
        <v>64</v>
      </c>
      <c r="C98" s="34">
        <f>MAX_ACCELERATION</f>
        <v>500</v>
      </c>
      <c r="D98" s="33"/>
      <c r="E98" s="33"/>
      <c r="F98" s="33"/>
      <c r="G98" s="33"/>
      <c r="H98" s="33"/>
      <c r="I98" s="33"/>
      <c r="J98" s="33"/>
      <c r="K98" s="33"/>
      <c r="L98" s="33"/>
      <c r="M98" s="35"/>
    </row>
    <row r="99" spans="1:13" x14ac:dyDescent="0.3">
      <c r="A99" s="36"/>
      <c r="B99" s="40" t="s">
        <v>264</v>
      </c>
      <c r="C99" s="37"/>
      <c r="D99" s="36"/>
      <c r="E99" s="36"/>
      <c r="F99" s="36"/>
      <c r="G99" s="36"/>
      <c r="H99" s="36"/>
      <c r="I99" s="36"/>
      <c r="J99" s="36"/>
      <c r="K99" s="36"/>
      <c r="L99" s="36"/>
      <c r="M99" s="38"/>
    </row>
    <row r="100" spans="1:13" x14ac:dyDescent="0.3">
      <c r="A100" s="33"/>
      <c r="B100" s="33" t="s">
        <v>65</v>
      </c>
      <c r="C100" s="34">
        <v>65</v>
      </c>
      <c r="D100" s="33">
        <v>65</v>
      </c>
      <c r="E100" s="33">
        <v>60</v>
      </c>
      <c r="F100" s="33">
        <v>55</v>
      </c>
      <c r="G100" s="33">
        <v>45</v>
      </c>
      <c r="H100" s="33">
        <v>40</v>
      </c>
      <c r="I100" s="33">
        <v>35</v>
      </c>
      <c r="J100" s="33">
        <v>30</v>
      </c>
      <c r="K100" s="33">
        <v>25</v>
      </c>
      <c r="L100" s="33">
        <v>22</v>
      </c>
      <c r="M100" s="35"/>
    </row>
    <row r="101" spans="1:13" x14ac:dyDescent="0.3">
      <c r="A101" s="36"/>
      <c r="B101" s="36" t="s">
        <v>66</v>
      </c>
      <c r="C101" s="37"/>
      <c r="D101" s="36"/>
      <c r="E101" s="36"/>
      <c r="F101" s="36"/>
      <c r="G101" s="36"/>
      <c r="H101" s="36"/>
      <c r="I101" s="36"/>
      <c r="J101" s="36"/>
      <c r="K101" s="36"/>
      <c r="L101" s="36"/>
      <c r="M101" s="38"/>
    </row>
    <row r="102" spans="1:13" x14ac:dyDescent="0.3">
      <c r="A102" s="33"/>
      <c r="B102" s="33" t="s">
        <v>67</v>
      </c>
      <c r="C102" s="34"/>
      <c r="D102" s="33"/>
      <c r="E102" s="33"/>
      <c r="F102" s="33"/>
      <c r="G102" s="33"/>
      <c r="H102" s="33"/>
      <c r="I102" s="33"/>
      <c r="J102" s="33"/>
      <c r="K102" s="33"/>
      <c r="L102" s="33"/>
      <c r="M102" s="35"/>
    </row>
    <row r="103" spans="1:13" x14ac:dyDescent="0.3">
      <c r="A103" s="36"/>
      <c r="B103" s="36" t="s">
        <v>68</v>
      </c>
      <c r="C103" s="37"/>
      <c r="D103" s="36"/>
      <c r="E103" s="36"/>
      <c r="F103" s="36"/>
      <c r="G103" s="36"/>
      <c r="H103" s="36"/>
      <c r="I103" s="36"/>
      <c r="J103" s="36"/>
      <c r="K103" s="36"/>
      <c r="L103" s="36"/>
      <c r="M103" s="38"/>
    </row>
    <row r="104" spans="1:13" x14ac:dyDescent="0.3">
      <c r="A104" s="40" t="s">
        <v>265</v>
      </c>
      <c r="B104" s="40" t="s">
        <v>266</v>
      </c>
      <c r="C104" s="34"/>
      <c r="D104" s="33"/>
      <c r="E104" s="33"/>
      <c r="F104" s="33"/>
      <c r="G104" s="33"/>
      <c r="H104" s="33"/>
      <c r="I104" s="33"/>
      <c r="J104" s="33"/>
      <c r="K104" s="33"/>
      <c r="L104" s="33"/>
      <c r="M104" s="35"/>
    </row>
    <row r="105" spans="1:13" x14ac:dyDescent="0.3">
      <c r="A105" s="36"/>
      <c r="B105" s="36" t="s">
        <v>69</v>
      </c>
      <c r="C105" s="37">
        <v>1</v>
      </c>
      <c r="D105" s="36"/>
      <c r="E105" s="36"/>
      <c r="F105" s="36"/>
      <c r="G105" s="36"/>
      <c r="H105" s="36"/>
      <c r="I105" s="36"/>
      <c r="J105" s="36"/>
      <c r="K105" s="36"/>
      <c r="L105" s="36"/>
      <c r="M105" s="38"/>
    </row>
    <row r="106" spans="1:13" x14ac:dyDescent="0.3">
      <c r="A106" s="33"/>
      <c r="B106" s="33" t="s">
        <v>70</v>
      </c>
      <c r="C106" s="34">
        <v>1</v>
      </c>
      <c r="D106" s="33"/>
      <c r="E106" s="33"/>
      <c r="F106" s="33"/>
      <c r="G106" s="33"/>
      <c r="H106" s="33"/>
      <c r="I106" s="33"/>
      <c r="J106" s="33"/>
      <c r="K106" s="33"/>
      <c r="L106" s="33"/>
      <c r="M106" s="35"/>
    </row>
    <row r="107" spans="1:13" x14ac:dyDescent="0.3">
      <c r="A107" s="36"/>
      <c r="B107" s="36" t="s">
        <v>71</v>
      </c>
      <c r="C107" s="37">
        <v>1</v>
      </c>
      <c r="D107" s="36"/>
      <c r="E107" s="36"/>
      <c r="F107" s="36"/>
      <c r="G107" s="36"/>
      <c r="H107" s="36"/>
      <c r="I107" s="36"/>
      <c r="J107" s="36"/>
      <c r="K107" s="36"/>
      <c r="L107" s="36"/>
      <c r="M107" s="38"/>
    </row>
    <row r="108" spans="1:13" x14ac:dyDescent="0.3">
      <c r="A108" s="33"/>
      <c r="B108" s="33" t="s">
        <v>72</v>
      </c>
      <c r="C108" s="34">
        <v>1</v>
      </c>
      <c r="D108" s="33"/>
      <c r="E108" s="33"/>
      <c r="F108" s="33"/>
      <c r="G108" s="33"/>
      <c r="H108" s="33"/>
      <c r="I108" s="33"/>
      <c r="J108" s="33"/>
      <c r="K108" s="33"/>
      <c r="L108" s="33"/>
      <c r="M108" s="35"/>
    </row>
    <row r="109" spans="1:13" x14ac:dyDescent="0.3">
      <c r="A109" s="36"/>
      <c r="B109" s="36" t="s">
        <v>73</v>
      </c>
      <c r="C109" s="37">
        <v>1</v>
      </c>
      <c r="D109" s="36"/>
      <c r="E109" s="36"/>
      <c r="F109" s="36"/>
      <c r="G109" s="36"/>
      <c r="H109" s="36"/>
      <c r="I109" s="36"/>
      <c r="J109" s="36"/>
      <c r="K109" s="36"/>
      <c r="L109" s="36"/>
      <c r="M109" s="38"/>
    </row>
    <row r="110" spans="1:13" x14ac:dyDescent="0.3">
      <c r="A110" s="33"/>
      <c r="B110" s="40" t="s">
        <v>267</v>
      </c>
      <c r="C110" s="34"/>
      <c r="D110" s="33"/>
      <c r="E110" s="33"/>
      <c r="F110" s="33"/>
      <c r="G110" s="33"/>
      <c r="H110" s="33"/>
      <c r="I110" s="33"/>
      <c r="J110" s="33"/>
      <c r="K110" s="33"/>
      <c r="L110" s="33"/>
      <c r="M110" s="35"/>
    </row>
    <row r="111" spans="1:13" x14ac:dyDescent="0.3">
      <c r="A111" s="36"/>
      <c r="B111" s="36" t="s">
        <v>74</v>
      </c>
      <c r="C111" s="37">
        <v>0</v>
      </c>
      <c r="D111" s="36"/>
      <c r="E111" s="36"/>
      <c r="F111" s="36"/>
      <c r="G111" s="36"/>
      <c r="H111" s="36"/>
      <c r="I111" s="36"/>
      <c r="J111" s="36"/>
      <c r="K111" s="36"/>
      <c r="L111" s="36"/>
      <c r="M111" s="38"/>
    </row>
    <row r="112" spans="1:13" x14ac:dyDescent="0.3">
      <c r="A112" s="33"/>
      <c r="B112" s="33" t="s">
        <v>75</v>
      </c>
      <c r="C112" s="34">
        <v>-5</v>
      </c>
      <c r="D112" s="33"/>
      <c r="E112" s="33"/>
      <c r="F112" s="33"/>
      <c r="G112" s="33"/>
      <c r="H112" s="33"/>
      <c r="I112" s="33"/>
      <c r="J112" s="33"/>
      <c r="K112" s="33"/>
      <c r="L112" s="33"/>
      <c r="M112" s="35"/>
    </row>
    <row r="113" spans="1:13" x14ac:dyDescent="0.3">
      <c r="A113" s="36"/>
      <c r="B113" s="40" t="s">
        <v>268</v>
      </c>
      <c r="C113" s="37"/>
      <c r="D113" s="36"/>
      <c r="E113" s="36"/>
      <c r="F113" s="36"/>
      <c r="G113" s="36"/>
      <c r="H113" s="36"/>
      <c r="I113" s="36"/>
      <c r="J113" s="36"/>
      <c r="K113" s="36"/>
      <c r="L113" s="36"/>
      <c r="M113" s="38"/>
    </row>
    <row r="114" spans="1:13" x14ac:dyDescent="0.3">
      <c r="A114" s="33"/>
      <c r="B114" s="33" t="s">
        <v>76</v>
      </c>
      <c r="C114" s="34">
        <v>0</v>
      </c>
      <c r="D114" s="33"/>
      <c r="E114" s="33"/>
      <c r="F114" s="33"/>
      <c r="G114" s="33"/>
      <c r="H114" s="33"/>
      <c r="I114" s="33"/>
      <c r="J114" s="33"/>
      <c r="K114" s="33"/>
      <c r="L114" s="33"/>
      <c r="M114" s="35"/>
    </row>
    <row r="115" spans="1:13" x14ac:dyDescent="0.3">
      <c r="A115" s="36"/>
      <c r="B115" s="36" t="s">
        <v>77</v>
      </c>
      <c r="C115" s="37">
        <v>180</v>
      </c>
      <c r="D115" s="36"/>
      <c r="E115" s="36"/>
      <c r="F115" s="36"/>
      <c r="G115" s="36"/>
      <c r="H115" s="36"/>
      <c r="I115" s="36"/>
      <c r="J115" s="36"/>
      <c r="K115" s="36"/>
      <c r="L115" s="36"/>
      <c r="M115" s="38"/>
    </row>
    <row r="116" spans="1:13" x14ac:dyDescent="0.3">
      <c r="A116" s="33"/>
      <c r="B116" s="33" t="s">
        <v>78</v>
      </c>
      <c r="C116" s="34">
        <v>140</v>
      </c>
      <c r="D116" s="33"/>
      <c r="E116" s="33"/>
      <c r="F116" s="33"/>
      <c r="G116" s="33"/>
      <c r="H116" s="33"/>
      <c r="I116" s="33"/>
      <c r="J116" s="33"/>
      <c r="K116" s="33"/>
      <c r="L116" s="33"/>
      <c r="M116" s="35"/>
    </row>
    <row r="117" spans="1:13" x14ac:dyDescent="0.3">
      <c r="A117" s="36"/>
      <c r="B117" s="36" t="s">
        <v>79</v>
      </c>
      <c r="C117" s="37">
        <v>60</v>
      </c>
      <c r="D117" s="36"/>
      <c r="E117" s="36"/>
      <c r="F117" s="36"/>
      <c r="G117" s="36"/>
      <c r="H117" s="36"/>
      <c r="I117" s="36"/>
      <c r="J117" s="36"/>
      <c r="K117" s="36"/>
      <c r="L117" s="36"/>
      <c r="M117" s="38"/>
    </row>
    <row r="118" spans="1:13" x14ac:dyDescent="0.3">
      <c r="A118" s="33"/>
      <c r="B118" s="33" t="s">
        <v>80</v>
      </c>
      <c r="C118" s="34">
        <v>0</v>
      </c>
      <c r="D118" s="33"/>
      <c r="E118" s="33"/>
      <c r="F118" s="33"/>
      <c r="G118" s="33"/>
      <c r="H118" s="33"/>
      <c r="I118" s="33"/>
      <c r="J118" s="33"/>
      <c r="K118" s="33"/>
      <c r="L118" s="33"/>
      <c r="M118" s="35"/>
    </row>
    <row r="119" spans="1:13" x14ac:dyDescent="0.3">
      <c r="A119" s="36"/>
      <c r="B119" s="36" t="s">
        <v>81</v>
      </c>
      <c r="C119" s="37">
        <v>10</v>
      </c>
      <c r="D119" s="36"/>
      <c r="E119" s="36"/>
      <c r="F119" s="36"/>
      <c r="G119" s="36"/>
      <c r="H119" s="36"/>
      <c r="I119" s="36"/>
      <c r="J119" s="36"/>
      <c r="K119" s="36"/>
      <c r="L119" s="36"/>
      <c r="M119" s="38"/>
    </row>
    <row r="120" spans="1:13" x14ac:dyDescent="0.3">
      <c r="A120" s="33"/>
      <c r="B120" s="33" t="s">
        <v>82</v>
      </c>
      <c r="C120" s="34">
        <v>0</v>
      </c>
      <c r="D120" s="33"/>
      <c r="E120" s="33"/>
      <c r="F120" s="33"/>
      <c r="G120" s="33"/>
      <c r="H120" s="33"/>
      <c r="I120" s="33"/>
      <c r="J120" s="33"/>
      <c r="K120" s="33"/>
      <c r="L120" s="33"/>
      <c r="M120" s="35"/>
    </row>
    <row r="121" spans="1:13" x14ac:dyDescent="0.3">
      <c r="A121" s="36"/>
      <c r="B121" s="40" t="s">
        <v>246</v>
      </c>
      <c r="C121" s="37"/>
      <c r="D121" s="36"/>
      <c r="E121" s="36"/>
      <c r="F121" s="36"/>
      <c r="G121" s="36"/>
      <c r="H121" s="36"/>
      <c r="I121" s="36"/>
      <c r="J121" s="36"/>
      <c r="K121" s="36"/>
      <c r="L121" s="36"/>
      <c r="M121" s="38"/>
    </row>
    <row r="122" spans="1:13" x14ac:dyDescent="0.3">
      <c r="A122" s="33"/>
      <c r="B122" s="33" t="s">
        <v>83</v>
      </c>
      <c r="C122" s="34">
        <v>0</v>
      </c>
      <c r="D122" s="33"/>
      <c r="E122" s="33"/>
      <c r="F122" s="33"/>
      <c r="G122" s="33"/>
      <c r="H122" s="33"/>
      <c r="I122" s="33"/>
      <c r="J122" s="33"/>
      <c r="K122" s="33"/>
      <c r="L122" s="33"/>
      <c r="M122" s="35"/>
    </row>
    <row r="123" spans="1:13" x14ac:dyDescent="0.3">
      <c r="A123" s="36"/>
      <c r="B123" s="36" t="s">
        <v>393</v>
      </c>
      <c r="C123" s="37">
        <v>0</v>
      </c>
      <c r="D123" s="36"/>
      <c r="E123" s="36"/>
      <c r="F123" s="36"/>
      <c r="G123" s="36"/>
      <c r="H123" s="36"/>
      <c r="I123" s="36"/>
      <c r="J123" s="36"/>
      <c r="K123" s="36"/>
      <c r="L123" s="36"/>
      <c r="M123" s="38"/>
    </row>
    <row r="124" spans="1:13" x14ac:dyDescent="0.3">
      <c r="A124" s="40" t="s">
        <v>269</v>
      </c>
      <c r="B124" s="40" t="s">
        <v>270</v>
      </c>
      <c r="C124" s="34"/>
      <c r="D124" s="33"/>
      <c r="E124" s="33"/>
      <c r="F124" s="33"/>
      <c r="G124" s="33"/>
      <c r="H124" s="33"/>
      <c r="I124" s="33"/>
      <c r="J124" s="33"/>
      <c r="K124" s="33"/>
      <c r="L124" s="33"/>
      <c r="M124" s="35"/>
    </row>
    <row r="125" spans="1:13" x14ac:dyDescent="0.3">
      <c r="A125" s="36"/>
      <c r="B125" s="36" t="s">
        <v>84</v>
      </c>
      <c r="C125" s="43">
        <v>0.67</v>
      </c>
      <c r="D125" s="44"/>
      <c r="E125" s="44"/>
      <c r="F125" s="44"/>
      <c r="G125" s="44"/>
      <c r="H125" s="44"/>
      <c r="I125" s="44"/>
      <c r="J125" s="44"/>
      <c r="K125" s="44"/>
      <c r="L125" s="44"/>
      <c r="M125" s="38"/>
    </row>
    <row r="126" spans="1:13" x14ac:dyDescent="0.3">
      <c r="A126" s="33"/>
      <c r="B126" s="33" t="s">
        <v>85</v>
      </c>
      <c r="C126" s="45">
        <v>0.65</v>
      </c>
      <c r="D126" s="46"/>
      <c r="E126" s="46"/>
      <c r="F126" s="46">
        <v>0.75</v>
      </c>
      <c r="G126" s="46">
        <v>0.75</v>
      </c>
      <c r="H126" s="46">
        <v>0.75</v>
      </c>
      <c r="I126" s="46"/>
      <c r="J126" s="46"/>
      <c r="K126" s="46"/>
      <c r="L126" s="46"/>
      <c r="M126" s="35"/>
    </row>
    <row r="127" spans="1:13" x14ac:dyDescent="0.3">
      <c r="A127" s="36"/>
      <c r="B127" s="36" t="s">
        <v>86</v>
      </c>
      <c r="C127" s="43">
        <v>0.65</v>
      </c>
      <c r="D127" s="44"/>
      <c r="E127" s="44"/>
      <c r="F127" s="44"/>
      <c r="G127" s="44"/>
      <c r="H127" s="44"/>
      <c r="I127" s="44"/>
      <c r="J127" s="44"/>
      <c r="K127" s="44"/>
      <c r="L127" s="44"/>
      <c r="M127" s="38"/>
    </row>
    <row r="128" spans="1:13" x14ac:dyDescent="0.3">
      <c r="A128" s="33"/>
      <c r="B128" s="33" t="s">
        <v>87</v>
      </c>
      <c r="C128" s="45">
        <v>0.61</v>
      </c>
      <c r="D128" s="46"/>
      <c r="E128" s="46"/>
      <c r="F128" s="46">
        <v>0.6</v>
      </c>
      <c r="G128" s="46">
        <v>0.6</v>
      </c>
      <c r="H128" s="46">
        <v>0.6</v>
      </c>
      <c r="I128" s="46"/>
      <c r="J128" s="46"/>
      <c r="K128" s="46"/>
      <c r="L128" s="46"/>
      <c r="M128" s="35"/>
    </row>
    <row r="129" spans="1:13" x14ac:dyDescent="0.3">
      <c r="A129" s="36"/>
      <c r="B129" s="36" t="s">
        <v>88</v>
      </c>
      <c r="C129" s="43">
        <v>0.7</v>
      </c>
      <c r="D129" s="44"/>
      <c r="E129" s="44"/>
      <c r="F129" s="44"/>
      <c r="G129" s="44"/>
      <c r="H129" s="44"/>
      <c r="I129" s="44"/>
      <c r="J129" s="44"/>
      <c r="K129" s="44"/>
      <c r="L129" s="44"/>
      <c r="M129" s="38"/>
    </row>
    <row r="130" spans="1:13" x14ac:dyDescent="0.3">
      <c r="A130" s="33"/>
      <c r="B130" s="33" t="s">
        <v>89</v>
      </c>
      <c r="C130" s="45">
        <v>0.65</v>
      </c>
      <c r="D130" s="46"/>
      <c r="E130" s="46"/>
      <c r="F130" s="46"/>
      <c r="G130" s="46"/>
      <c r="H130" s="46"/>
      <c r="I130" s="46"/>
      <c r="J130" s="46"/>
      <c r="K130" s="46"/>
      <c r="L130" s="46"/>
      <c r="M130" s="35"/>
    </row>
    <row r="131" spans="1:13" x14ac:dyDescent="0.3">
      <c r="A131" s="36"/>
      <c r="B131" s="36" t="s">
        <v>90</v>
      </c>
      <c r="C131" s="43">
        <v>0.6</v>
      </c>
      <c r="D131" s="44"/>
      <c r="E131" s="44"/>
      <c r="F131" s="44"/>
      <c r="G131" s="44"/>
      <c r="H131" s="44"/>
      <c r="I131" s="44"/>
      <c r="J131" s="44"/>
      <c r="K131" s="44"/>
      <c r="L131" s="44"/>
      <c r="M131" s="38"/>
    </row>
    <row r="132" spans="1:13" x14ac:dyDescent="0.3">
      <c r="A132" s="33"/>
      <c r="B132" s="33" t="s">
        <v>91</v>
      </c>
      <c r="C132" s="45">
        <v>0.55000000000000004</v>
      </c>
      <c r="D132" s="46"/>
      <c r="E132" s="46"/>
      <c r="F132" s="46"/>
      <c r="G132" s="46"/>
      <c r="H132" s="46"/>
      <c r="I132" s="46"/>
      <c r="J132" s="46"/>
      <c r="K132" s="46"/>
      <c r="L132" s="46"/>
      <c r="M132" s="35"/>
    </row>
    <row r="133" spans="1:13" x14ac:dyDescent="0.3">
      <c r="A133" s="36"/>
      <c r="B133" s="36" t="s">
        <v>397</v>
      </c>
      <c r="C133" s="43">
        <v>0</v>
      </c>
      <c r="D133" s="44"/>
      <c r="E133" s="44"/>
      <c r="F133" s="44"/>
      <c r="G133" s="44"/>
      <c r="H133" s="44"/>
      <c r="I133" s="44"/>
      <c r="J133" s="44"/>
      <c r="K133" s="44"/>
      <c r="L133" s="44"/>
      <c r="M133" s="38"/>
    </row>
    <row r="134" spans="1:13" x14ac:dyDescent="0.3">
      <c r="A134" s="33"/>
      <c r="B134" s="40" t="s">
        <v>271</v>
      </c>
      <c r="C134" s="34"/>
      <c r="D134" s="33"/>
      <c r="E134" s="33"/>
      <c r="F134" s="33"/>
      <c r="G134" s="33"/>
      <c r="H134" s="33"/>
      <c r="I134" s="33"/>
      <c r="J134" s="33"/>
      <c r="K134" s="33"/>
      <c r="L134" s="33"/>
      <c r="M134" s="35"/>
    </row>
    <row r="135" spans="1:13" x14ac:dyDescent="0.3">
      <c r="A135" s="36"/>
      <c r="B135" s="36" t="s">
        <v>92</v>
      </c>
      <c r="C135" s="47" t="str">
        <f>"10%"</f>
        <v>10%</v>
      </c>
      <c r="D135" s="36"/>
      <c r="E135" s="36"/>
      <c r="F135" s="36"/>
      <c r="G135" s="36"/>
      <c r="H135" s="36"/>
      <c r="I135" s="36"/>
      <c r="J135" s="36"/>
      <c r="K135" s="36"/>
      <c r="L135" s="36"/>
      <c r="M135" s="38"/>
    </row>
    <row r="136" spans="1:13" x14ac:dyDescent="0.3">
      <c r="A136" s="33"/>
      <c r="B136" s="40" t="s">
        <v>272</v>
      </c>
      <c r="C136" s="34"/>
      <c r="D136" s="33"/>
      <c r="E136" s="33"/>
      <c r="F136" s="33"/>
      <c r="G136" s="33"/>
      <c r="H136" s="33"/>
      <c r="I136" s="33"/>
      <c r="J136" s="33"/>
      <c r="K136" s="33"/>
      <c r="L136" s="33"/>
      <c r="M136" s="35"/>
    </row>
    <row r="137" spans="1:13" x14ac:dyDescent="0.3">
      <c r="A137" s="36"/>
      <c r="B137" s="36" t="s">
        <v>93</v>
      </c>
      <c r="C137" s="37">
        <v>0.8</v>
      </c>
      <c r="D137" s="36"/>
      <c r="E137" s="36"/>
      <c r="F137" s="36"/>
      <c r="G137" s="36"/>
      <c r="H137" s="36"/>
      <c r="I137" s="36"/>
      <c r="J137" s="36"/>
      <c r="K137" s="36"/>
      <c r="L137" s="36"/>
      <c r="M137" s="38"/>
    </row>
    <row r="138" spans="1:13" x14ac:dyDescent="0.3">
      <c r="A138" s="33"/>
      <c r="B138" s="40" t="s">
        <v>273</v>
      </c>
      <c r="C138" s="34"/>
      <c r="D138" s="33"/>
      <c r="E138" s="33"/>
      <c r="F138" s="33"/>
      <c r="G138" s="33"/>
      <c r="H138" s="33"/>
      <c r="I138" s="33"/>
      <c r="J138" s="33"/>
      <c r="K138" s="33"/>
      <c r="L138" s="33"/>
      <c r="M138" s="35"/>
    </row>
    <row r="139" spans="1:13" x14ac:dyDescent="0.3">
      <c r="A139" s="36"/>
      <c r="B139" s="36" t="s">
        <v>94</v>
      </c>
      <c r="C139" s="37">
        <v>1</v>
      </c>
      <c r="D139" s="36"/>
      <c r="E139" s="36"/>
      <c r="F139" s="36"/>
      <c r="G139" s="36"/>
      <c r="H139" s="36"/>
      <c r="I139" s="36"/>
      <c r="J139" s="36"/>
      <c r="K139" s="36"/>
      <c r="L139" s="36"/>
      <c r="M139" s="38"/>
    </row>
    <row r="140" spans="1:13" x14ac:dyDescent="0.3">
      <c r="A140" s="33"/>
      <c r="B140" s="33" t="s">
        <v>95</v>
      </c>
      <c r="C140" s="34">
        <v>0</v>
      </c>
      <c r="D140" s="33"/>
      <c r="E140" s="33"/>
      <c r="F140" s="33"/>
      <c r="G140" s="33"/>
      <c r="H140" s="33"/>
      <c r="I140" s="33"/>
      <c r="J140" s="33"/>
      <c r="K140" s="33"/>
      <c r="L140" s="33"/>
      <c r="M140" s="35"/>
    </row>
    <row r="141" spans="1:13" x14ac:dyDescent="0.3">
      <c r="A141" s="36"/>
      <c r="B141" s="36" t="s">
        <v>96</v>
      </c>
      <c r="C141" s="37">
        <v>0</v>
      </c>
      <c r="D141" s="36"/>
      <c r="E141" s="36"/>
      <c r="F141" s="36"/>
      <c r="G141" s="36"/>
      <c r="H141" s="36"/>
      <c r="I141" s="36"/>
      <c r="J141" s="36"/>
      <c r="K141" s="36"/>
      <c r="L141" s="36"/>
      <c r="M141" s="38"/>
    </row>
    <row r="142" spans="1:13" x14ac:dyDescent="0.3">
      <c r="A142" s="36"/>
      <c r="B142" s="36" t="s">
        <v>407</v>
      </c>
      <c r="C142" s="37"/>
      <c r="D142" s="36"/>
      <c r="E142" s="36"/>
      <c r="F142" s="36"/>
      <c r="G142" s="36"/>
      <c r="H142" s="36"/>
      <c r="I142" s="36"/>
      <c r="J142" s="36"/>
      <c r="K142" s="36"/>
      <c r="L142" s="36"/>
      <c r="M142" s="38"/>
    </row>
    <row r="143" spans="1:13" x14ac:dyDescent="0.3">
      <c r="A143" s="33"/>
      <c r="B143" s="33" t="s">
        <v>97</v>
      </c>
      <c r="C143" s="34">
        <v>0</v>
      </c>
      <c r="D143" s="33"/>
      <c r="E143" s="33"/>
      <c r="F143" s="33"/>
      <c r="G143" s="33"/>
      <c r="H143" s="33"/>
      <c r="I143" s="33"/>
      <c r="J143" s="33"/>
      <c r="K143" s="33"/>
      <c r="L143" s="33"/>
      <c r="M143" s="35"/>
    </row>
    <row r="144" spans="1:13" x14ac:dyDescent="0.3">
      <c r="A144" s="40" t="s">
        <v>274</v>
      </c>
      <c r="B144" s="40" t="s">
        <v>277</v>
      </c>
      <c r="C144" s="37"/>
      <c r="D144" s="36"/>
      <c r="E144" s="36"/>
      <c r="F144" s="36"/>
      <c r="G144" s="36"/>
      <c r="H144" s="36"/>
      <c r="I144" s="36"/>
      <c r="J144" s="36"/>
      <c r="K144" s="36"/>
      <c r="L144" s="36"/>
      <c r="M144" s="38"/>
    </row>
    <row r="145" spans="1:13" x14ac:dyDescent="0.3">
      <c r="A145" s="33"/>
      <c r="B145" s="33" t="s">
        <v>98</v>
      </c>
      <c r="C145" s="34">
        <v>0</v>
      </c>
      <c r="D145" s="33"/>
      <c r="E145" s="33"/>
      <c r="F145" s="33"/>
      <c r="G145" s="33"/>
      <c r="H145" s="33"/>
      <c r="I145" s="33"/>
      <c r="J145" s="33"/>
      <c r="K145" s="33"/>
      <c r="L145" s="33"/>
      <c r="M145" s="35"/>
    </row>
    <row r="146" spans="1:13" x14ac:dyDescent="0.3">
      <c r="A146" s="36"/>
      <c r="B146" s="36" t="s">
        <v>99</v>
      </c>
      <c r="C146" s="37">
        <v>20</v>
      </c>
      <c r="D146" s="36"/>
      <c r="E146" s="36"/>
      <c r="F146" s="36"/>
      <c r="G146" s="36"/>
      <c r="H146" s="36"/>
      <c r="I146" s="36"/>
      <c r="J146" s="36"/>
      <c r="K146" s="36"/>
      <c r="L146" s="36"/>
      <c r="M146" s="38"/>
    </row>
    <row r="147" spans="1:13" x14ac:dyDescent="0.3">
      <c r="A147" s="33"/>
      <c r="B147" s="33" t="s">
        <v>100</v>
      </c>
      <c r="C147" s="34">
        <v>20</v>
      </c>
      <c r="D147" s="33"/>
      <c r="E147" s="33"/>
      <c r="F147" s="33"/>
      <c r="G147" s="33"/>
      <c r="H147" s="33"/>
      <c r="I147" s="33"/>
      <c r="J147" s="33"/>
      <c r="K147" s="33"/>
      <c r="L147" s="33"/>
      <c r="M147" s="35"/>
    </row>
    <row r="148" spans="1:13" x14ac:dyDescent="0.3">
      <c r="A148" s="36"/>
      <c r="B148" s="40" t="s">
        <v>278</v>
      </c>
      <c r="C148" s="37"/>
      <c r="D148" s="36"/>
      <c r="E148" s="36"/>
      <c r="F148" s="36"/>
      <c r="G148" s="36"/>
      <c r="H148" s="36"/>
      <c r="I148" s="36"/>
      <c r="J148" s="36"/>
      <c r="K148" s="36"/>
      <c r="L148" s="36"/>
      <c r="M148" s="38"/>
    </row>
    <row r="149" spans="1:13" x14ac:dyDescent="0.3">
      <c r="A149" s="33"/>
      <c r="B149" s="33" t="s">
        <v>101</v>
      </c>
      <c r="C149" s="34">
        <v>1</v>
      </c>
      <c r="D149" s="33"/>
      <c r="E149" s="33"/>
      <c r="F149" s="33"/>
      <c r="G149" s="33"/>
      <c r="H149" s="33"/>
      <c r="I149" s="33"/>
      <c r="J149" s="33"/>
      <c r="K149" s="33"/>
      <c r="L149" s="33"/>
      <c r="M149" s="35"/>
    </row>
    <row r="150" spans="1:13" x14ac:dyDescent="0.3">
      <c r="A150" s="33"/>
      <c r="B150" s="33" t="s">
        <v>406</v>
      </c>
      <c r="C150" s="34">
        <v>1</v>
      </c>
      <c r="D150" s="33"/>
      <c r="E150" s="33"/>
      <c r="F150" s="33"/>
      <c r="G150" s="33"/>
      <c r="H150" s="33"/>
      <c r="I150" s="33"/>
      <c r="J150" s="33"/>
      <c r="K150" s="33"/>
      <c r="L150" s="33"/>
      <c r="M150" s="35"/>
    </row>
    <row r="151" spans="1:13" x14ac:dyDescent="0.3">
      <c r="A151" s="33"/>
      <c r="B151" s="33" t="s">
        <v>412</v>
      </c>
      <c r="C151" s="34">
        <v>1</v>
      </c>
      <c r="D151" s="33"/>
      <c r="E151" s="33"/>
      <c r="F151" s="33"/>
      <c r="G151" s="33"/>
      <c r="H151" s="33"/>
      <c r="I151" s="33"/>
      <c r="J151" s="33"/>
      <c r="K151" s="33"/>
      <c r="L151" s="33"/>
      <c r="M151" s="35"/>
    </row>
    <row r="152" spans="1:13" ht="28.8" x14ac:dyDescent="0.3">
      <c r="A152" s="36"/>
      <c r="B152" s="36" t="s">
        <v>102</v>
      </c>
      <c r="C152" s="48" t="s">
        <v>103</v>
      </c>
      <c r="D152" s="36"/>
      <c r="E152" s="36"/>
      <c r="F152" s="36"/>
      <c r="G152" s="36"/>
      <c r="H152" s="36"/>
      <c r="I152" s="36"/>
      <c r="J152" s="36"/>
      <c r="K152" s="36"/>
      <c r="L152" s="36"/>
      <c r="M152" s="38"/>
    </row>
    <row r="153" spans="1:13" x14ac:dyDescent="0.3">
      <c r="A153" s="33"/>
      <c r="B153" s="40" t="s">
        <v>104</v>
      </c>
      <c r="C153" s="34"/>
      <c r="D153" s="33"/>
      <c r="E153" s="33"/>
      <c r="F153" s="33"/>
      <c r="G153" s="33"/>
      <c r="H153" s="33"/>
      <c r="I153" s="33"/>
      <c r="J153" s="33"/>
      <c r="K153" s="33"/>
      <c r="L153" s="33"/>
      <c r="M153" s="35"/>
    </row>
    <row r="154" spans="1:13" x14ac:dyDescent="0.3">
      <c r="A154" s="36"/>
      <c r="B154" s="36" t="s">
        <v>105</v>
      </c>
      <c r="C154" s="37"/>
      <c r="D154" s="36"/>
      <c r="E154" s="36"/>
      <c r="F154" s="36"/>
      <c r="G154" s="36"/>
      <c r="H154" s="36"/>
      <c r="I154" s="36"/>
      <c r="J154" s="36"/>
      <c r="K154" s="36"/>
      <c r="L154" s="36"/>
      <c r="M154" s="38"/>
    </row>
    <row r="155" spans="1:13" x14ac:dyDescent="0.3">
      <c r="A155" s="40" t="s">
        <v>275</v>
      </c>
      <c r="B155" s="40" t="s">
        <v>106</v>
      </c>
      <c r="C155" s="34"/>
      <c r="D155" s="33"/>
      <c r="E155" s="33"/>
      <c r="F155" s="33"/>
      <c r="G155" s="33"/>
      <c r="H155" s="33"/>
      <c r="I155" s="33"/>
      <c r="J155" s="33"/>
      <c r="K155" s="33"/>
      <c r="L155" s="33"/>
      <c r="M155" s="35"/>
    </row>
    <row r="156" spans="1:13" x14ac:dyDescent="0.3">
      <c r="A156" s="36"/>
      <c r="B156" s="36" t="s">
        <v>107</v>
      </c>
      <c r="C156" s="37"/>
      <c r="D156" s="36"/>
      <c r="E156" s="36"/>
      <c r="F156" s="36"/>
      <c r="G156" s="36"/>
      <c r="H156" s="36"/>
      <c r="I156" s="36"/>
      <c r="J156" s="36"/>
      <c r="K156" s="36"/>
      <c r="L156" s="36"/>
      <c r="M156" s="38"/>
    </row>
    <row r="157" spans="1:13" x14ac:dyDescent="0.3">
      <c r="A157" s="40" t="s">
        <v>276</v>
      </c>
      <c r="B157" s="40" t="s">
        <v>279</v>
      </c>
      <c r="C157" s="34"/>
      <c r="D157" s="33"/>
      <c r="E157" s="33"/>
      <c r="F157" s="33"/>
      <c r="G157" s="33"/>
      <c r="H157" s="33"/>
      <c r="I157" s="33"/>
      <c r="J157" s="33"/>
      <c r="K157" s="33"/>
      <c r="L157" s="33"/>
      <c r="M157" s="35"/>
    </row>
    <row r="158" spans="1:13" x14ac:dyDescent="0.3">
      <c r="A158" s="36"/>
      <c r="B158" s="36" t="s">
        <v>151</v>
      </c>
      <c r="C158" s="37" t="str">
        <f>Printer_Name</f>
        <v>Ender3 Speed 0.6 nozzle PET</v>
      </c>
      <c r="D158" s="36"/>
      <c r="E158" s="36"/>
      <c r="F158" s="36"/>
      <c r="G158" s="36"/>
      <c r="H158" s="36"/>
      <c r="I158" s="36"/>
      <c r="J158" s="36"/>
      <c r="K158" s="36"/>
      <c r="L158" s="36"/>
      <c r="M158" s="38"/>
    </row>
    <row r="159" spans="1:13" x14ac:dyDescent="0.3">
      <c r="A159" s="33"/>
      <c r="B159" s="33" t="s">
        <v>152</v>
      </c>
      <c r="C159" s="34"/>
      <c r="D159" s="33"/>
      <c r="E159" s="33"/>
      <c r="F159" s="33"/>
      <c r="G159" s="33"/>
      <c r="H159" s="33"/>
      <c r="I159" s="33"/>
      <c r="J159" s="33"/>
      <c r="K159" s="33"/>
      <c r="L159" s="33"/>
      <c r="M159" s="35"/>
    </row>
    <row r="160" spans="1:13" x14ac:dyDescent="0.3">
      <c r="A160" s="36"/>
      <c r="B160" s="36" t="s">
        <v>390</v>
      </c>
      <c r="C160" s="37">
        <v>0</v>
      </c>
      <c r="D160" s="36"/>
      <c r="E160" s="36"/>
      <c r="F160" s="36"/>
      <c r="G160" s="36"/>
      <c r="H160" s="36"/>
      <c r="I160" s="36"/>
      <c r="J160" s="36"/>
      <c r="K160" s="36"/>
      <c r="L160" s="36"/>
      <c r="M160" s="38"/>
    </row>
    <row r="161" spans="1:13" ht="28.8" x14ac:dyDescent="0.3">
      <c r="A161" s="33"/>
      <c r="B161" s="33" t="s">
        <v>392</v>
      </c>
      <c r="C161" s="49" t="s">
        <v>398</v>
      </c>
      <c r="D161" s="33"/>
      <c r="E161" s="33"/>
      <c r="F161" s="33"/>
      <c r="G161" s="33"/>
      <c r="H161" s="33"/>
      <c r="I161" s="33"/>
      <c r="J161" s="33"/>
      <c r="K161" s="33"/>
      <c r="L161" s="33"/>
      <c r="M161" s="35"/>
    </row>
    <row r="162" spans="1:13" x14ac:dyDescent="0.3">
      <c r="A162" s="50"/>
      <c r="B162" s="50" t="s">
        <v>391</v>
      </c>
      <c r="C162" s="51"/>
      <c r="D162" s="50"/>
      <c r="E162" s="50"/>
      <c r="F162" s="50"/>
      <c r="G162" s="50"/>
      <c r="H162" s="50"/>
      <c r="I162" s="50"/>
      <c r="J162" s="50"/>
      <c r="K162" s="50"/>
      <c r="L162" s="50"/>
      <c r="M162" s="29"/>
    </row>
  </sheetData>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A32E58-6A33-4A89-8F33-C6E67FCBB40D}">
  <sheetPr codeName="Sheet7"/>
  <dimension ref="A1:M162"/>
  <sheetViews>
    <sheetView workbookViewId="0">
      <pane ySplit="1" topLeftCell="A2" activePane="bottomLeft" state="frozen"/>
      <selection pane="bottomLeft" activeCell="D11" sqref="D11"/>
    </sheetView>
  </sheetViews>
  <sheetFormatPr defaultRowHeight="14.4" x14ac:dyDescent="0.3"/>
  <cols>
    <col min="1" max="1" width="19.109375" bestFit="1" customWidth="1"/>
    <col min="2" max="2" width="39.6640625" customWidth="1"/>
    <col min="3" max="3" width="38.44140625" style="1" bestFit="1" customWidth="1"/>
    <col min="4" max="4" width="11.6640625" bestFit="1" customWidth="1"/>
    <col min="5" max="5" width="13.44140625" bestFit="1" customWidth="1"/>
    <col min="6" max="6" width="12.6640625" bestFit="1" customWidth="1"/>
    <col min="7" max="7" width="10.44140625" bestFit="1" customWidth="1"/>
    <col min="8" max="8" width="14.6640625" bestFit="1" customWidth="1"/>
    <col min="9" max="9" width="12.6640625" bestFit="1" customWidth="1"/>
    <col min="10" max="10" width="10.44140625" bestFit="1" customWidth="1"/>
    <col min="11" max="11" width="12.109375" bestFit="1" customWidth="1"/>
    <col min="12" max="12" width="11.109375" bestFit="1" customWidth="1"/>
    <col min="13" max="13" width="59.88671875" customWidth="1"/>
    <col min="14" max="14" width="17.33203125" bestFit="1" customWidth="1"/>
  </cols>
  <sheetData>
    <row r="1" spans="1:13" x14ac:dyDescent="0.3">
      <c r="A1" s="30" t="s">
        <v>247</v>
      </c>
      <c r="B1" s="30" t="s">
        <v>219</v>
      </c>
      <c r="C1" s="31" t="s">
        <v>109</v>
      </c>
      <c r="D1" s="30" t="s">
        <v>288</v>
      </c>
      <c r="E1" s="30" t="s">
        <v>289</v>
      </c>
      <c r="F1" s="30" t="s">
        <v>290</v>
      </c>
      <c r="G1" s="30" t="s">
        <v>291</v>
      </c>
      <c r="H1" s="30" t="s">
        <v>292</v>
      </c>
      <c r="I1" s="30" t="s">
        <v>293</v>
      </c>
      <c r="J1" s="30" t="s">
        <v>294</v>
      </c>
      <c r="K1" s="30" t="s">
        <v>295</v>
      </c>
      <c r="L1" s="30" t="s">
        <v>296</v>
      </c>
      <c r="M1" s="32" t="s">
        <v>231</v>
      </c>
    </row>
    <row r="2" spans="1:13" x14ac:dyDescent="0.3">
      <c r="A2" s="33"/>
      <c r="B2" s="33"/>
      <c r="C2" s="34"/>
      <c r="D2" s="33" t="s">
        <v>232</v>
      </c>
      <c r="E2" s="33" t="s">
        <v>233</v>
      </c>
      <c r="F2" s="33" t="s">
        <v>234</v>
      </c>
      <c r="G2" s="33" t="s">
        <v>235</v>
      </c>
      <c r="H2" s="33" t="s">
        <v>236</v>
      </c>
      <c r="I2" s="33" t="s">
        <v>237</v>
      </c>
      <c r="J2" s="33" t="s">
        <v>238</v>
      </c>
      <c r="K2" s="33" t="s">
        <v>239</v>
      </c>
      <c r="L2" s="33" t="s">
        <v>240</v>
      </c>
      <c r="M2" s="35"/>
    </row>
    <row r="3" spans="1:13" x14ac:dyDescent="0.3">
      <c r="A3" s="36"/>
      <c r="B3" s="36" t="s">
        <v>0</v>
      </c>
      <c r="C3" s="37">
        <v>4</v>
      </c>
      <c r="D3" s="36"/>
      <c r="E3" s="36"/>
      <c r="F3" s="36"/>
      <c r="G3" s="36"/>
      <c r="H3" s="36"/>
      <c r="I3" s="36"/>
      <c r="J3" s="36"/>
      <c r="K3" s="36"/>
      <c r="L3" s="36"/>
      <c r="M3" s="38"/>
    </row>
    <row r="4" spans="1:13" x14ac:dyDescent="0.3">
      <c r="A4" s="39" t="s">
        <v>248</v>
      </c>
      <c r="B4" s="40" t="s">
        <v>242</v>
      </c>
      <c r="C4" s="34"/>
      <c r="D4" s="33"/>
      <c r="E4" s="33"/>
      <c r="F4" s="33"/>
      <c r="G4" s="33"/>
      <c r="H4" s="33"/>
      <c r="I4" s="33"/>
      <c r="J4" s="33"/>
      <c r="K4" s="33"/>
      <c r="L4" s="33"/>
      <c r="M4" s="35"/>
    </row>
    <row r="5" spans="1:13" x14ac:dyDescent="0.3">
      <c r="A5" s="36"/>
      <c r="B5" s="36" t="s">
        <v>1</v>
      </c>
      <c r="C5" s="37">
        <f>MAX(0.2,Min_Layer_Height)</f>
        <v>0.2</v>
      </c>
      <c r="D5" s="36">
        <v>0.12</v>
      </c>
      <c r="E5" s="36">
        <v>0.2</v>
      </c>
      <c r="F5" s="36">
        <v>0.32</v>
      </c>
      <c r="G5" s="36">
        <v>0.4</v>
      </c>
      <c r="H5" s="36">
        <v>0.48</v>
      </c>
      <c r="I5" s="36">
        <v>0.56000000000000005</v>
      </c>
      <c r="J5" s="36">
        <v>0.64</v>
      </c>
      <c r="K5" s="36">
        <v>0.72</v>
      </c>
      <c r="L5" s="36">
        <v>0.8</v>
      </c>
      <c r="M5" s="38"/>
    </row>
    <row r="6" spans="1:13" x14ac:dyDescent="0.3">
      <c r="A6" s="33"/>
      <c r="B6" s="33" t="s">
        <v>2</v>
      </c>
      <c r="C6" s="34">
        <f>MAX(0.2,Min_Layer_Height)</f>
        <v>0.2</v>
      </c>
      <c r="D6" s="33"/>
      <c r="E6" s="33"/>
      <c r="F6" s="33"/>
      <c r="G6" s="33"/>
      <c r="H6" s="33"/>
      <c r="I6" s="33"/>
      <c r="J6" s="33"/>
      <c r="K6" s="33"/>
      <c r="L6" s="33"/>
      <c r="M6" s="35"/>
    </row>
    <row r="7" spans="1:13" x14ac:dyDescent="0.3">
      <c r="A7" s="36"/>
      <c r="B7" s="36" t="s">
        <v>378</v>
      </c>
      <c r="C7" s="37">
        <v>0</v>
      </c>
      <c r="D7" s="36"/>
      <c r="E7" s="36"/>
      <c r="F7" s="36"/>
      <c r="G7" s="36"/>
      <c r="H7" s="36"/>
      <c r="I7" s="36"/>
      <c r="J7" s="36"/>
      <c r="K7" s="36"/>
      <c r="L7" s="36"/>
      <c r="M7" s="38"/>
    </row>
    <row r="8" spans="1:13" x14ac:dyDescent="0.3">
      <c r="A8" s="33"/>
      <c r="B8" s="33" t="s">
        <v>379</v>
      </c>
      <c r="C8" s="34">
        <v>75</v>
      </c>
      <c r="D8" s="33"/>
      <c r="E8" s="33"/>
      <c r="F8" s="33"/>
      <c r="G8" s="33"/>
      <c r="H8" s="33"/>
      <c r="I8" s="33"/>
      <c r="J8" s="33"/>
      <c r="K8" s="33"/>
      <c r="L8" s="33"/>
      <c r="M8" s="35"/>
    </row>
    <row r="9" spans="1:13" x14ac:dyDescent="0.3">
      <c r="A9" s="36"/>
      <c r="B9" s="36" t="s">
        <v>380</v>
      </c>
      <c r="C9" s="37">
        <v>0</v>
      </c>
      <c r="D9" s="36"/>
      <c r="E9" s="36"/>
      <c r="F9" s="36"/>
      <c r="G9" s="36"/>
      <c r="H9" s="36"/>
      <c r="I9" s="36"/>
      <c r="J9" s="36"/>
      <c r="K9" s="36"/>
      <c r="L9" s="36"/>
      <c r="M9" s="38"/>
    </row>
    <row r="10" spans="1:13" x14ac:dyDescent="0.3">
      <c r="A10" s="33"/>
      <c r="B10" s="40" t="s">
        <v>243</v>
      </c>
      <c r="C10" s="34"/>
      <c r="D10" s="33"/>
      <c r="E10" s="33"/>
      <c r="F10" s="33"/>
      <c r="G10" s="33"/>
      <c r="H10" s="33"/>
      <c r="I10" s="33"/>
      <c r="J10" s="33"/>
      <c r="K10" s="33"/>
      <c r="L10" s="33"/>
      <c r="M10" s="35"/>
    </row>
    <row r="11" spans="1:13" x14ac:dyDescent="0.3">
      <c r="A11" s="36"/>
      <c r="B11" s="36" t="s">
        <v>3</v>
      </c>
      <c r="C11" s="37">
        <v>3</v>
      </c>
      <c r="D11" s="36"/>
      <c r="E11" s="36"/>
      <c r="F11" s="36"/>
      <c r="G11" s="36"/>
      <c r="H11" s="36"/>
      <c r="I11" s="36"/>
      <c r="J11" s="36"/>
      <c r="K11" s="36"/>
      <c r="L11" s="36"/>
      <c r="M11" s="38"/>
    </row>
    <row r="12" spans="1:13" x14ac:dyDescent="0.3">
      <c r="A12" s="33"/>
      <c r="B12" s="33" t="s">
        <v>381</v>
      </c>
      <c r="C12" s="34">
        <v>0</v>
      </c>
      <c r="D12" s="33"/>
      <c r="E12" s="33"/>
      <c r="F12" s="33"/>
      <c r="G12" s="33"/>
      <c r="H12" s="33"/>
      <c r="I12" s="33"/>
      <c r="J12" s="33"/>
      <c r="K12" s="33"/>
      <c r="L12" s="33"/>
      <c r="M12" s="35"/>
    </row>
    <row r="13" spans="1:13" x14ac:dyDescent="0.3">
      <c r="A13" s="36"/>
      <c r="B13" s="36" t="s">
        <v>4</v>
      </c>
      <c r="C13" s="37">
        <v>0</v>
      </c>
      <c r="D13" s="36"/>
      <c r="E13" s="36"/>
      <c r="F13" s="36"/>
      <c r="G13" s="36"/>
      <c r="H13" s="36"/>
      <c r="I13" s="36"/>
      <c r="J13" s="36"/>
      <c r="K13" s="36"/>
      <c r="L13" s="36"/>
      <c r="M13" s="38"/>
    </row>
    <row r="14" spans="1:13" x14ac:dyDescent="0.3">
      <c r="A14" s="33"/>
      <c r="B14" s="40" t="s">
        <v>244</v>
      </c>
      <c r="C14" s="34"/>
      <c r="D14" s="33"/>
      <c r="E14" s="33"/>
      <c r="F14" s="33"/>
      <c r="G14" s="33"/>
      <c r="H14" s="33"/>
      <c r="I14" s="33"/>
      <c r="J14" s="33"/>
      <c r="K14" s="33"/>
      <c r="L14" s="33"/>
      <c r="M14" s="35"/>
    </row>
    <row r="15" spans="1:13" x14ac:dyDescent="0.3">
      <c r="A15" s="36"/>
      <c r="B15" s="36" t="s">
        <v>5</v>
      </c>
      <c r="C15" s="37">
        <v>3</v>
      </c>
      <c r="D15" s="36">
        <v>6</v>
      </c>
      <c r="E15" s="36">
        <v>4</v>
      </c>
      <c r="F15" s="36"/>
      <c r="G15" s="36"/>
      <c r="H15" s="36"/>
      <c r="I15" s="36"/>
      <c r="J15" s="36"/>
      <c r="K15" s="36"/>
      <c r="L15" s="36"/>
      <c r="M15" s="38"/>
    </row>
    <row r="16" spans="1:13" x14ac:dyDescent="0.3">
      <c r="A16" s="33"/>
      <c r="B16" s="33" t="s">
        <v>6</v>
      </c>
      <c r="C16" s="34">
        <v>3</v>
      </c>
      <c r="D16" s="33">
        <v>5</v>
      </c>
      <c r="E16" s="33">
        <v>4</v>
      </c>
      <c r="F16" s="33"/>
      <c r="G16" s="33"/>
      <c r="H16" s="33"/>
      <c r="I16" s="33"/>
      <c r="J16" s="33"/>
      <c r="K16" s="33"/>
      <c r="L16" s="33"/>
      <c r="M16" s="35"/>
    </row>
    <row r="17" spans="1:13" x14ac:dyDescent="0.3">
      <c r="A17" s="36"/>
      <c r="B17" s="36" t="s">
        <v>382</v>
      </c>
      <c r="C17" s="37">
        <v>0</v>
      </c>
      <c r="D17" s="36"/>
      <c r="E17" s="36"/>
      <c r="F17" s="36"/>
      <c r="G17" s="36"/>
      <c r="H17" s="36"/>
      <c r="I17" s="36"/>
      <c r="J17" s="36"/>
      <c r="K17" s="36"/>
      <c r="L17" s="36"/>
      <c r="M17" s="38"/>
    </row>
    <row r="18" spans="1:13" x14ac:dyDescent="0.3">
      <c r="A18" s="33"/>
      <c r="B18" s="40" t="s">
        <v>245</v>
      </c>
      <c r="C18" s="34"/>
      <c r="D18" s="33"/>
      <c r="E18" s="33"/>
      <c r="F18" s="33"/>
      <c r="G18" s="33"/>
      <c r="H18" s="33"/>
      <c r="I18" s="33"/>
      <c r="J18" s="33"/>
      <c r="K18" s="33"/>
      <c r="L18" s="33"/>
      <c r="M18" s="35"/>
    </row>
    <row r="19" spans="1:13" x14ac:dyDescent="0.3">
      <c r="A19" s="36"/>
      <c r="B19" s="36" t="s">
        <v>7</v>
      </c>
      <c r="C19" s="37">
        <v>1</v>
      </c>
      <c r="D19" s="36"/>
      <c r="E19" s="36"/>
      <c r="F19" s="36"/>
      <c r="G19" s="36"/>
      <c r="H19" s="36"/>
      <c r="I19" s="36"/>
      <c r="J19" s="36"/>
      <c r="K19" s="36"/>
      <c r="L19" s="36"/>
      <c r="M19" s="38" t="s">
        <v>280</v>
      </c>
    </row>
    <row r="20" spans="1:13" x14ac:dyDescent="0.3">
      <c r="A20" s="33"/>
      <c r="B20" s="33" t="s">
        <v>8</v>
      </c>
      <c r="C20" s="34">
        <v>1</v>
      </c>
      <c r="D20" s="33"/>
      <c r="E20" s="33"/>
      <c r="F20" s="33"/>
      <c r="G20" s="33"/>
      <c r="H20" s="33"/>
      <c r="I20" s="33"/>
      <c r="J20" s="33"/>
      <c r="K20" s="33"/>
      <c r="L20" s="33"/>
      <c r="M20" s="35" t="s">
        <v>281</v>
      </c>
    </row>
    <row r="21" spans="1:13" x14ac:dyDescent="0.3">
      <c r="A21" s="36"/>
      <c r="B21" s="36" t="s">
        <v>9</v>
      </c>
      <c r="C21" s="37">
        <v>0</v>
      </c>
      <c r="D21" s="36"/>
      <c r="E21" s="36"/>
      <c r="F21" s="36"/>
      <c r="G21" s="36"/>
      <c r="H21" s="36"/>
      <c r="I21" s="36"/>
      <c r="J21" s="36"/>
      <c r="K21" s="36"/>
      <c r="L21" s="36"/>
      <c r="M21" s="38"/>
    </row>
    <row r="22" spans="1:13" x14ac:dyDescent="0.3">
      <c r="A22" s="33"/>
      <c r="B22" s="33" t="s">
        <v>10</v>
      </c>
      <c r="C22" s="34">
        <v>1</v>
      </c>
      <c r="D22" s="33"/>
      <c r="E22" s="33"/>
      <c r="F22" s="33"/>
      <c r="G22" s="33"/>
      <c r="H22" s="33"/>
      <c r="I22" s="33"/>
      <c r="J22" s="33"/>
      <c r="K22" s="33"/>
      <c r="L22" s="33"/>
      <c r="M22" s="35" t="s">
        <v>282</v>
      </c>
    </row>
    <row r="23" spans="1:13" x14ac:dyDescent="0.3">
      <c r="A23" s="36"/>
      <c r="B23" s="36" t="s">
        <v>309</v>
      </c>
      <c r="C23" s="37">
        <v>1</v>
      </c>
      <c r="D23" s="36"/>
      <c r="E23" s="36"/>
      <c r="F23" s="36"/>
      <c r="G23" s="36"/>
      <c r="H23" s="36"/>
      <c r="I23" s="36"/>
      <c r="J23" s="36"/>
      <c r="K23" s="36"/>
      <c r="L23" s="36"/>
      <c r="M23" s="38" t="s">
        <v>310</v>
      </c>
    </row>
    <row r="24" spans="1:13" x14ac:dyDescent="0.3">
      <c r="A24" s="33"/>
      <c r="B24" s="40" t="s">
        <v>246</v>
      </c>
      <c r="C24" s="34"/>
      <c r="D24" s="33"/>
      <c r="E24" s="33"/>
      <c r="F24" s="33"/>
      <c r="G24" s="33"/>
      <c r="H24" s="33"/>
      <c r="I24" s="33"/>
      <c r="J24" s="33"/>
      <c r="K24" s="33"/>
      <c r="L24" s="33"/>
      <c r="M24" s="35" t="s">
        <v>283</v>
      </c>
    </row>
    <row r="25" spans="1:13" x14ac:dyDescent="0.3">
      <c r="A25" s="36"/>
      <c r="B25" s="36" t="s">
        <v>12</v>
      </c>
      <c r="C25" s="37" t="s">
        <v>13</v>
      </c>
      <c r="D25" s="36"/>
      <c r="E25" s="36"/>
      <c r="F25" s="36"/>
      <c r="G25" s="36"/>
      <c r="H25" s="36"/>
      <c r="I25" s="36"/>
      <c r="J25" s="36"/>
      <c r="K25" s="36"/>
      <c r="L25" s="36"/>
      <c r="M25" s="38"/>
    </row>
    <row r="26" spans="1:13" x14ac:dyDescent="0.3">
      <c r="A26" s="33"/>
      <c r="B26" s="33" t="s">
        <v>14</v>
      </c>
      <c r="C26" s="34">
        <v>0</v>
      </c>
      <c r="D26" s="33"/>
      <c r="E26" s="33"/>
      <c r="F26" s="33"/>
      <c r="G26" s="33"/>
      <c r="H26" s="33"/>
      <c r="I26" s="33"/>
      <c r="J26" s="33"/>
      <c r="K26" s="33"/>
      <c r="L26" s="33"/>
      <c r="M26" s="35"/>
    </row>
    <row r="27" spans="1:13" x14ac:dyDescent="0.3">
      <c r="A27" s="40" t="s">
        <v>249</v>
      </c>
      <c r="B27" s="40" t="s">
        <v>250</v>
      </c>
      <c r="C27" s="37"/>
      <c r="D27" s="36"/>
      <c r="E27" s="36"/>
      <c r="F27" s="36"/>
      <c r="G27" s="36"/>
      <c r="H27" s="36"/>
      <c r="I27" s="36"/>
      <c r="J27" s="36"/>
      <c r="K27" s="36"/>
      <c r="L27" s="36"/>
      <c r="M27" s="38"/>
    </row>
    <row r="28" spans="1:13" x14ac:dyDescent="0.3">
      <c r="A28" s="33"/>
      <c r="B28" s="33" t="s">
        <v>15</v>
      </c>
      <c r="C28" s="41" t="str">
        <f>"20%"</f>
        <v>20%</v>
      </c>
      <c r="D28" s="33"/>
      <c r="E28" s="33"/>
      <c r="F28" s="33"/>
      <c r="G28" s="33"/>
      <c r="H28" s="33"/>
      <c r="I28" s="33"/>
      <c r="J28" s="33"/>
      <c r="K28" s="33"/>
      <c r="L28" s="33"/>
      <c r="M28" s="35"/>
    </row>
    <row r="29" spans="1:13" x14ac:dyDescent="0.3">
      <c r="A29" s="36"/>
      <c r="B29" s="36" t="s">
        <v>16</v>
      </c>
      <c r="C29" s="37" t="s">
        <v>17</v>
      </c>
      <c r="D29" s="36"/>
      <c r="E29" s="36"/>
      <c r="F29" s="36"/>
      <c r="G29" s="36"/>
      <c r="H29" s="36"/>
      <c r="I29" s="36"/>
      <c r="J29" s="36"/>
      <c r="K29" s="36"/>
      <c r="L29" s="36"/>
      <c r="M29" s="38" t="s">
        <v>284</v>
      </c>
    </row>
    <row r="30" spans="1:13" x14ac:dyDescent="0.3">
      <c r="A30" s="33"/>
      <c r="B30" s="33" t="s">
        <v>18</v>
      </c>
      <c r="C30" s="34" t="s">
        <v>17</v>
      </c>
      <c r="D30" s="33"/>
      <c r="E30" s="33"/>
      <c r="F30" s="33"/>
      <c r="G30" s="33"/>
      <c r="H30" s="33"/>
      <c r="I30" s="33"/>
      <c r="J30" s="33"/>
      <c r="K30" s="33"/>
      <c r="L30" s="33"/>
      <c r="M30" s="35"/>
    </row>
    <row r="31" spans="1:13" x14ac:dyDescent="0.3">
      <c r="A31" s="36"/>
      <c r="B31" s="36" t="s">
        <v>383</v>
      </c>
      <c r="C31" s="37" t="s">
        <v>17</v>
      </c>
      <c r="D31" s="36"/>
      <c r="E31" s="36"/>
      <c r="F31" s="36"/>
      <c r="G31" s="36"/>
      <c r="H31" s="36"/>
      <c r="I31" s="36"/>
      <c r="J31" s="36"/>
      <c r="K31" s="36"/>
      <c r="L31" s="36"/>
      <c r="M31" s="38"/>
    </row>
    <row r="32" spans="1:13" x14ac:dyDescent="0.3">
      <c r="A32" s="33"/>
      <c r="B32" s="33" t="s">
        <v>389</v>
      </c>
      <c r="C32" s="34" t="s">
        <v>17</v>
      </c>
      <c r="D32" s="33"/>
      <c r="E32" s="33"/>
      <c r="F32" s="33"/>
      <c r="G32" s="33"/>
      <c r="H32" s="33"/>
      <c r="I32" s="33"/>
      <c r="J32" s="33"/>
      <c r="K32" s="33"/>
      <c r="L32" s="33"/>
      <c r="M32" s="35"/>
    </row>
    <row r="33" spans="1:13" x14ac:dyDescent="0.3">
      <c r="A33" s="36"/>
      <c r="B33" s="40" t="s">
        <v>251</v>
      </c>
      <c r="C33" s="37"/>
      <c r="D33" s="36"/>
      <c r="E33" s="36"/>
      <c r="F33" s="36"/>
      <c r="G33" s="36"/>
      <c r="H33" s="36"/>
      <c r="I33" s="36"/>
      <c r="J33" s="36"/>
      <c r="K33" s="36"/>
      <c r="L33" s="36"/>
      <c r="M33" s="38" t="s">
        <v>285</v>
      </c>
    </row>
    <row r="34" spans="1:13" x14ac:dyDescent="0.3">
      <c r="A34" s="33"/>
      <c r="B34" s="33" t="s">
        <v>19</v>
      </c>
      <c r="C34" s="34">
        <v>1</v>
      </c>
      <c r="D34" s="33"/>
      <c r="E34" s="33"/>
      <c r="F34" s="33"/>
      <c r="G34" s="33"/>
      <c r="H34" s="33"/>
      <c r="I34" s="33"/>
      <c r="J34" s="33"/>
      <c r="K34" s="33"/>
      <c r="L34" s="33"/>
      <c r="M34" s="35" t="s">
        <v>286</v>
      </c>
    </row>
    <row r="35" spans="1:13" x14ac:dyDescent="0.3">
      <c r="A35" s="36"/>
      <c r="B35" s="36" t="s">
        <v>20</v>
      </c>
      <c r="C35" s="37">
        <v>0</v>
      </c>
      <c r="D35" s="36"/>
      <c r="E35" s="36"/>
      <c r="F35" s="36"/>
      <c r="G35" s="36"/>
      <c r="H35" s="36"/>
      <c r="I35" s="36"/>
      <c r="J35" s="36"/>
      <c r="K35" s="36"/>
      <c r="L35" s="36"/>
      <c r="M35" s="38"/>
    </row>
    <row r="36" spans="1:13" x14ac:dyDescent="0.3">
      <c r="A36" s="33"/>
      <c r="B36" s="40" t="s">
        <v>246</v>
      </c>
      <c r="C36" s="34"/>
      <c r="D36" s="33"/>
      <c r="E36" s="33"/>
      <c r="F36" s="33"/>
      <c r="G36" s="33"/>
      <c r="H36" s="33"/>
      <c r="I36" s="33"/>
      <c r="J36" s="33"/>
      <c r="K36" s="33"/>
      <c r="L36" s="33"/>
      <c r="M36" s="35"/>
    </row>
    <row r="37" spans="1:13" x14ac:dyDescent="0.3">
      <c r="A37" s="36"/>
      <c r="B37" s="36" t="s">
        <v>384</v>
      </c>
      <c r="C37" s="37">
        <v>1</v>
      </c>
      <c r="D37" s="36"/>
      <c r="E37" s="36"/>
      <c r="F37" s="36"/>
      <c r="G37" s="36"/>
      <c r="H37" s="36"/>
      <c r="I37" s="36"/>
      <c r="J37" s="36"/>
      <c r="K37" s="36"/>
      <c r="L37" s="36"/>
      <c r="M37" s="38"/>
    </row>
    <row r="38" spans="1:13" x14ac:dyDescent="0.3">
      <c r="A38" s="33"/>
      <c r="B38" s="33" t="s">
        <v>21</v>
      </c>
      <c r="C38" s="34">
        <v>0</v>
      </c>
      <c r="D38" s="33"/>
      <c r="E38" s="33"/>
      <c r="F38" s="33"/>
      <c r="G38" s="33"/>
      <c r="H38" s="33"/>
      <c r="I38" s="33"/>
      <c r="J38" s="33"/>
      <c r="K38" s="33"/>
      <c r="L38" s="33"/>
      <c r="M38" s="35"/>
    </row>
    <row r="39" spans="1:13" x14ac:dyDescent="0.3">
      <c r="A39" s="36"/>
      <c r="B39" s="36" t="s">
        <v>22</v>
      </c>
      <c r="C39" s="37">
        <v>45</v>
      </c>
      <c r="D39" s="36"/>
      <c r="E39" s="36"/>
      <c r="F39" s="36"/>
      <c r="G39" s="36"/>
      <c r="H39" s="36"/>
      <c r="I39" s="36"/>
      <c r="J39" s="36"/>
      <c r="K39" s="36"/>
      <c r="L39" s="36"/>
      <c r="M39" s="38"/>
    </row>
    <row r="40" spans="1:13" x14ac:dyDescent="0.3">
      <c r="A40" s="33"/>
      <c r="B40" s="33" t="s">
        <v>23</v>
      </c>
      <c r="C40" s="34">
        <f>(Nozzle_Diameter*Nozzle_Diameter)*100</f>
        <v>36</v>
      </c>
      <c r="D40" s="33"/>
      <c r="E40" s="33"/>
      <c r="F40" s="33"/>
      <c r="G40" s="33"/>
      <c r="H40" s="33"/>
      <c r="I40" s="33"/>
      <c r="J40" s="33"/>
      <c r="K40" s="33"/>
      <c r="L40" s="33"/>
      <c r="M40" s="35" t="s">
        <v>287</v>
      </c>
    </row>
    <row r="41" spans="1:13" x14ac:dyDescent="0.3">
      <c r="A41" s="36"/>
      <c r="B41" s="36" t="s">
        <v>24</v>
      </c>
      <c r="C41" s="37">
        <v>0</v>
      </c>
      <c r="D41" s="36"/>
      <c r="E41" s="36"/>
      <c r="F41" s="36"/>
      <c r="G41" s="36"/>
      <c r="H41" s="36"/>
      <c r="I41" s="36"/>
      <c r="J41" s="36"/>
      <c r="K41" s="36"/>
      <c r="L41" s="36"/>
      <c r="M41" s="38"/>
    </row>
    <row r="42" spans="1:13" x14ac:dyDescent="0.3">
      <c r="A42" s="33"/>
      <c r="B42" s="33" t="s">
        <v>25</v>
      </c>
      <c r="C42" s="34">
        <v>0</v>
      </c>
      <c r="D42" s="33"/>
      <c r="E42" s="33"/>
      <c r="F42" s="33"/>
      <c r="G42" s="33"/>
      <c r="H42" s="33"/>
      <c r="I42" s="33"/>
      <c r="J42" s="33"/>
      <c r="K42" s="33"/>
      <c r="L42" s="33"/>
      <c r="M42" s="35"/>
    </row>
    <row r="43" spans="1:13" x14ac:dyDescent="0.3">
      <c r="A43" s="36"/>
      <c r="B43" s="36" t="s">
        <v>26</v>
      </c>
      <c r="C43" s="37">
        <v>0</v>
      </c>
      <c r="D43" s="36"/>
      <c r="E43" s="36"/>
      <c r="F43" s="36"/>
      <c r="G43" s="36"/>
      <c r="H43" s="36"/>
      <c r="I43" s="36"/>
      <c r="J43" s="36"/>
      <c r="K43" s="36"/>
      <c r="L43" s="36"/>
      <c r="M43" s="38"/>
    </row>
    <row r="44" spans="1:13" x14ac:dyDescent="0.3">
      <c r="A44" s="40" t="s">
        <v>252</v>
      </c>
      <c r="B44" s="40" t="s">
        <v>253</v>
      </c>
      <c r="C44" s="34"/>
      <c r="D44" s="33"/>
      <c r="E44" s="33"/>
      <c r="F44" s="33"/>
      <c r="G44" s="33"/>
      <c r="H44" s="33"/>
      <c r="I44" s="33"/>
      <c r="J44" s="33"/>
      <c r="K44" s="33"/>
      <c r="L44" s="33"/>
      <c r="M44" s="35"/>
    </row>
    <row r="45" spans="1:13" x14ac:dyDescent="0.3">
      <c r="A45" s="36"/>
      <c r="B45" s="36" t="s">
        <v>27</v>
      </c>
      <c r="C45" s="37">
        <v>0</v>
      </c>
      <c r="D45" s="36"/>
      <c r="E45" s="36"/>
      <c r="F45" s="36"/>
      <c r="G45" s="36"/>
      <c r="H45" s="36"/>
      <c r="I45" s="36"/>
      <c r="J45" s="36"/>
      <c r="K45" s="36"/>
      <c r="L45" s="36"/>
      <c r="M45" s="38" t="s">
        <v>297</v>
      </c>
    </row>
    <row r="46" spans="1:13" x14ac:dyDescent="0.3">
      <c r="A46" s="33"/>
      <c r="B46" s="33" t="s">
        <v>28</v>
      </c>
      <c r="C46" s="34">
        <v>2</v>
      </c>
      <c r="D46" s="33"/>
      <c r="E46" s="33"/>
      <c r="F46" s="33"/>
      <c r="G46" s="33"/>
      <c r="H46" s="33"/>
      <c r="I46" s="33"/>
      <c r="J46" s="33"/>
      <c r="K46" s="33"/>
      <c r="L46" s="33"/>
      <c r="M46" s="35" t="s">
        <v>300</v>
      </c>
    </row>
    <row r="47" spans="1:13" x14ac:dyDescent="0.3">
      <c r="A47" s="36"/>
      <c r="B47" s="36" t="s">
        <v>29</v>
      </c>
      <c r="C47" s="37">
        <v>1</v>
      </c>
      <c r="D47" s="36"/>
      <c r="E47" s="36"/>
      <c r="F47" s="36"/>
      <c r="G47" s="36"/>
      <c r="H47" s="36"/>
      <c r="I47" s="36"/>
      <c r="J47" s="36"/>
      <c r="K47" s="36"/>
      <c r="L47" s="36"/>
      <c r="M47" s="38" t="s">
        <v>298</v>
      </c>
    </row>
    <row r="48" spans="1:13" x14ac:dyDescent="0.3">
      <c r="A48" s="33"/>
      <c r="B48" s="33" t="s">
        <v>30</v>
      </c>
      <c r="C48" s="34">
        <v>4</v>
      </c>
      <c r="D48" s="33"/>
      <c r="E48" s="33"/>
      <c r="F48" s="33"/>
      <c r="G48" s="33"/>
      <c r="H48" s="33"/>
      <c r="I48" s="33"/>
      <c r="J48" s="33"/>
      <c r="K48" s="33"/>
      <c r="L48" s="33"/>
      <c r="M48" s="35" t="s">
        <v>301</v>
      </c>
    </row>
    <row r="49" spans="1:13" x14ac:dyDescent="0.3">
      <c r="A49" s="36"/>
      <c r="B49" s="40" t="s">
        <v>254</v>
      </c>
      <c r="C49" s="37"/>
      <c r="D49" s="36"/>
      <c r="E49" s="36"/>
      <c r="F49" s="36"/>
      <c r="G49" s="36"/>
      <c r="H49" s="36"/>
      <c r="I49" s="36"/>
      <c r="J49" s="36"/>
      <c r="K49" s="36"/>
      <c r="L49" s="36"/>
      <c r="M49" s="38" t="s">
        <v>299</v>
      </c>
    </row>
    <row r="50" spans="1:13" x14ac:dyDescent="0.3">
      <c r="A50" s="33"/>
      <c r="B50" s="33" t="s">
        <v>31</v>
      </c>
      <c r="C50" s="34">
        <f>Nozzle_Diameter*4</f>
        <v>2.4</v>
      </c>
      <c r="D50" s="33"/>
      <c r="E50" s="33"/>
      <c r="F50" s="33"/>
      <c r="G50" s="33"/>
      <c r="H50" s="33"/>
      <c r="I50" s="33"/>
      <c r="J50" s="33"/>
      <c r="K50" s="33"/>
      <c r="L50" s="33"/>
      <c r="M50" s="35"/>
    </row>
    <row r="51" spans="1:13" x14ac:dyDescent="0.3">
      <c r="A51" s="36"/>
      <c r="B51" s="36" t="s">
        <v>385</v>
      </c>
      <c r="C51" s="37">
        <v>0</v>
      </c>
      <c r="D51" s="36"/>
      <c r="E51" s="36"/>
      <c r="F51" s="36"/>
      <c r="G51" s="36"/>
      <c r="H51" s="36"/>
      <c r="I51" s="36"/>
      <c r="J51" s="36"/>
      <c r="K51" s="36"/>
      <c r="L51" s="36"/>
      <c r="M51" s="38"/>
    </row>
    <row r="52" spans="1:13" x14ac:dyDescent="0.3">
      <c r="A52" s="33"/>
      <c r="B52" s="33" t="s">
        <v>386</v>
      </c>
      <c r="C52" s="34">
        <v>125</v>
      </c>
      <c r="D52" s="33"/>
      <c r="E52" s="33"/>
      <c r="F52" s="33"/>
      <c r="G52" s="33"/>
      <c r="H52" s="33"/>
      <c r="I52" s="33"/>
      <c r="J52" s="33"/>
      <c r="K52" s="33"/>
      <c r="L52" s="33"/>
      <c r="M52" s="35"/>
    </row>
    <row r="53" spans="1:13" x14ac:dyDescent="0.3">
      <c r="A53" s="36"/>
      <c r="B53" s="36" t="s">
        <v>387</v>
      </c>
      <c r="C53" s="37">
        <v>0</v>
      </c>
      <c r="D53" s="36"/>
      <c r="E53" s="36"/>
      <c r="F53" s="36"/>
      <c r="G53" s="36"/>
      <c r="H53" s="36"/>
      <c r="I53" s="36"/>
      <c r="J53" s="36"/>
      <c r="K53" s="36"/>
      <c r="L53" s="36"/>
      <c r="M53" s="38"/>
    </row>
    <row r="54" spans="1:13" x14ac:dyDescent="0.3">
      <c r="A54" s="33"/>
      <c r="B54" s="33" t="s">
        <v>388</v>
      </c>
      <c r="C54" s="34">
        <v>0</v>
      </c>
      <c r="D54" s="33"/>
      <c r="E54" s="33"/>
      <c r="F54" s="33"/>
      <c r="G54" s="33"/>
      <c r="H54" s="33"/>
      <c r="I54" s="33"/>
      <c r="J54" s="33"/>
      <c r="K54" s="33"/>
      <c r="L54" s="33"/>
      <c r="M54" s="35"/>
    </row>
    <row r="55" spans="1:13" x14ac:dyDescent="0.3">
      <c r="A55" s="40" t="s">
        <v>255</v>
      </c>
      <c r="B55" s="40" t="s">
        <v>256</v>
      </c>
      <c r="C55" s="37"/>
      <c r="D55" s="36"/>
      <c r="E55" s="36"/>
      <c r="F55" s="36"/>
      <c r="G55" s="36"/>
      <c r="H55" s="36"/>
      <c r="I55" s="36"/>
      <c r="J55" s="36"/>
      <c r="K55" s="36"/>
      <c r="L55" s="36"/>
      <c r="M55" s="38"/>
    </row>
    <row r="56" spans="1:13" x14ac:dyDescent="0.3">
      <c r="A56" s="33"/>
      <c r="B56" s="33" t="s">
        <v>32</v>
      </c>
      <c r="C56" s="34">
        <v>0</v>
      </c>
      <c r="D56" s="33"/>
      <c r="E56" s="33"/>
      <c r="F56" s="33"/>
      <c r="G56" s="33"/>
      <c r="H56" s="33"/>
      <c r="I56" s="33"/>
      <c r="J56" s="33"/>
      <c r="K56" s="33"/>
      <c r="L56" s="33"/>
      <c r="M56" s="35"/>
    </row>
    <row r="57" spans="1:13" ht="28.8" x14ac:dyDescent="0.3">
      <c r="A57" s="36"/>
      <c r="B57" s="36" t="s">
        <v>33</v>
      </c>
      <c r="C57" s="37">
        <v>1</v>
      </c>
      <c r="D57" s="36"/>
      <c r="E57" s="36"/>
      <c r="F57" s="36"/>
      <c r="G57" s="36"/>
      <c r="H57" s="36"/>
      <c r="I57" s="36"/>
      <c r="J57" s="36"/>
      <c r="K57" s="36"/>
      <c r="L57" s="36"/>
      <c r="M57" s="42" t="s">
        <v>302</v>
      </c>
    </row>
    <row r="58" spans="1:13" x14ac:dyDescent="0.3">
      <c r="A58" s="33"/>
      <c r="B58" s="33" t="s">
        <v>34</v>
      </c>
      <c r="C58" s="34">
        <v>0</v>
      </c>
      <c r="D58" s="33"/>
      <c r="E58" s="33"/>
      <c r="F58" s="33"/>
      <c r="G58" s="33"/>
      <c r="H58" s="33"/>
      <c r="I58" s="33"/>
      <c r="J58" s="33"/>
      <c r="K58" s="33"/>
      <c r="L58" s="33"/>
      <c r="M58" s="35" t="s">
        <v>303</v>
      </c>
    </row>
    <row r="59" spans="1:13" x14ac:dyDescent="0.3">
      <c r="A59" s="36"/>
      <c r="B59" s="36" t="s">
        <v>394</v>
      </c>
      <c r="C59" s="37">
        <v>0</v>
      </c>
      <c r="D59" s="36"/>
      <c r="E59" s="36"/>
      <c r="F59" s="36"/>
      <c r="G59" s="36"/>
      <c r="H59" s="36"/>
      <c r="I59" s="36"/>
      <c r="J59" s="36"/>
      <c r="K59" s="36"/>
      <c r="L59" s="36"/>
      <c r="M59" s="38"/>
    </row>
    <row r="60" spans="1:13" x14ac:dyDescent="0.3">
      <c r="A60" s="33"/>
      <c r="B60" s="33" t="s">
        <v>35</v>
      </c>
      <c r="C60" s="34">
        <v>1</v>
      </c>
      <c r="D60" s="33"/>
      <c r="E60" s="33"/>
      <c r="F60" s="33"/>
      <c r="G60" s="33"/>
      <c r="H60" s="33"/>
      <c r="I60" s="33"/>
      <c r="J60" s="33"/>
      <c r="K60" s="33"/>
      <c r="L60" s="33"/>
      <c r="M60" s="35"/>
    </row>
    <row r="61" spans="1:13" x14ac:dyDescent="0.3">
      <c r="A61" s="36"/>
      <c r="B61" s="40" t="s">
        <v>257</v>
      </c>
      <c r="C61" s="37"/>
      <c r="D61" s="36"/>
      <c r="E61" s="36"/>
      <c r="F61" s="36"/>
      <c r="G61" s="36"/>
      <c r="H61" s="36"/>
      <c r="I61" s="36"/>
      <c r="J61" s="36"/>
      <c r="K61" s="36"/>
      <c r="L61" s="36"/>
      <c r="M61" s="38"/>
    </row>
    <row r="62" spans="1:13" x14ac:dyDescent="0.3">
      <c r="A62" s="33"/>
      <c r="B62" s="33" t="s">
        <v>36</v>
      </c>
      <c r="C62" s="34">
        <v>0</v>
      </c>
      <c r="D62" s="33"/>
      <c r="E62" s="33"/>
      <c r="F62" s="33"/>
      <c r="G62" s="33"/>
      <c r="H62" s="33"/>
      <c r="I62" s="33"/>
      <c r="J62" s="33"/>
      <c r="K62" s="33"/>
      <c r="L62" s="33"/>
      <c r="M62" s="35"/>
    </row>
    <row r="63" spans="1:13" x14ac:dyDescent="0.3">
      <c r="A63" s="36"/>
      <c r="B63" s="40" t="s">
        <v>258</v>
      </c>
      <c r="C63" s="37"/>
      <c r="D63" s="36"/>
      <c r="E63" s="36"/>
      <c r="F63" s="36"/>
      <c r="G63" s="36"/>
      <c r="H63" s="36"/>
      <c r="I63" s="36"/>
      <c r="J63" s="36"/>
      <c r="K63" s="36"/>
      <c r="L63" s="36"/>
      <c r="M63" s="38"/>
    </row>
    <row r="64" spans="1:13" x14ac:dyDescent="0.3">
      <c r="A64" s="33"/>
      <c r="B64" s="33" t="s">
        <v>37</v>
      </c>
      <c r="C64" s="34">
        <v>0.2</v>
      </c>
      <c r="D64" s="33"/>
      <c r="E64" s="33"/>
      <c r="F64" s="33"/>
      <c r="G64" s="33"/>
      <c r="H64" s="33"/>
      <c r="I64" s="33"/>
      <c r="J64" s="33"/>
      <c r="K64" s="33"/>
      <c r="L64" s="33"/>
      <c r="M64" s="35" t="s">
        <v>305</v>
      </c>
    </row>
    <row r="65" spans="1:13" x14ac:dyDescent="0.3">
      <c r="A65" s="36"/>
      <c r="B65" s="36" t="s">
        <v>38</v>
      </c>
      <c r="C65" s="37" t="s">
        <v>17</v>
      </c>
      <c r="D65" s="36"/>
      <c r="E65" s="36"/>
      <c r="F65" s="36"/>
      <c r="G65" s="36"/>
      <c r="H65" s="36"/>
      <c r="I65" s="36"/>
      <c r="J65" s="36"/>
      <c r="K65" s="36"/>
      <c r="L65" s="36"/>
      <c r="M65" s="38"/>
    </row>
    <row r="66" spans="1:13" x14ac:dyDescent="0.3">
      <c r="A66" s="33"/>
      <c r="B66" s="33" t="s">
        <v>39</v>
      </c>
      <c r="C66" s="34">
        <v>1</v>
      </c>
      <c r="D66" s="33"/>
      <c r="E66" s="33"/>
      <c r="F66" s="33"/>
      <c r="G66" s="33"/>
      <c r="H66" s="33"/>
      <c r="I66" s="33"/>
      <c r="J66" s="33"/>
      <c r="K66" s="33"/>
      <c r="L66" s="33"/>
      <c r="M66" s="35"/>
    </row>
    <row r="67" spans="1:13" x14ac:dyDescent="0.3">
      <c r="A67" s="36"/>
      <c r="B67" s="36" t="s">
        <v>40</v>
      </c>
      <c r="C67" s="37">
        <v>2</v>
      </c>
      <c r="D67" s="36"/>
      <c r="E67" s="36"/>
      <c r="F67" s="36"/>
      <c r="G67" s="36"/>
      <c r="H67" s="36"/>
      <c r="I67" s="36"/>
      <c r="J67" s="36"/>
      <c r="K67" s="36"/>
      <c r="L67" s="36"/>
      <c r="M67" s="38" t="s">
        <v>304</v>
      </c>
    </row>
    <row r="68" spans="1:13" x14ac:dyDescent="0.3">
      <c r="A68" s="33"/>
      <c r="B68" s="33" t="s">
        <v>41</v>
      </c>
      <c r="C68" s="34">
        <v>0</v>
      </c>
      <c r="D68" s="33"/>
      <c r="E68" s="33"/>
      <c r="F68" s="33"/>
      <c r="G68" s="33"/>
      <c r="H68" s="33"/>
      <c r="I68" s="33"/>
      <c r="J68" s="33"/>
      <c r="K68" s="33"/>
      <c r="L68" s="33"/>
      <c r="M68" s="35"/>
    </row>
    <row r="69" spans="1:13" x14ac:dyDescent="0.3">
      <c r="A69" s="36"/>
      <c r="B69" s="36" t="s">
        <v>395</v>
      </c>
      <c r="C69" s="37">
        <v>2.5</v>
      </c>
      <c r="D69" s="36"/>
      <c r="E69" s="36"/>
      <c r="F69" s="36"/>
      <c r="G69" s="36"/>
      <c r="H69" s="36"/>
      <c r="I69" s="36"/>
      <c r="J69" s="36"/>
      <c r="K69" s="36"/>
      <c r="L69" s="36"/>
      <c r="M69" s="38"/>
    </row>
    <row r="70" spans="1:13" x14ac:dyDescent="0.3">
      <c r="A70" s="33"/>
      <c r="B70" s="33" t="s">
        <v>396</v>
      </c>
      <c r="C70" s="34">
        <v>10</v>
      </c>
      <c r="D70" s="33"/>
      <c r="E70" s="33"/>
      <c r="F70" s="33"/>
      <c r="G70" s="33"/>
      <c r="H70" s="33"/>
      <c r="I70" s="33"/>
      <c r="J70" s="33"/>
      <c r="K70" s="33"/>
      <c r="L70" s="33"/>
      <c r="M70" s="35"/>
    </row>
    <row r="71" spans="1:13" x14ac:dyDescent="0.3">
      <c r="A71" s="36"/>
      <c r="B71" s="36" t="s">
        <v>42</v>
      </c>
      <c r="C71" s="37">
        <v>2</v>
      </c>
      <c r="D71" s="36"/>
      <c r="E71" s="36"/>
      <c r="F71" s="36"/>
      <c r="G71" s="36"/>
      <c r="H71" s="36"/>
      <c r="I71" s="36"/>
      <c r="J71" s="36"/>
      <c r="K71" s="36"/>
      <c r="L71" s="36"/>
      <c r="M71" s="38" t="s">
        <v>306</v>
      </c>
    </row>
    <row r="72" spans="1:13" x14ac:dyDescent="0.3">
      <c r="A72" s="33"/>
      <c r="B72" s="33" t="s">
        <v>43</v>
      </c>
      <c r="C72" s="34">
        <v>0.2</v>
      </c>
      <c r="D72" s="33"/>
      <c r="E72" s="33"/>
      <c r="F72" s="33"/>
      <c r="G72" s="33"/>
      <c r="H72" s="33"/>
      <c r="I72" s="33"/>
      <c r="J72" s="33"/>
      <c r="K72" s="33"/>
      <c r="L72" s="33"/>
      <c r="M72" s="35" t="s">
        <v>307</v>
      </c>
    </row>
    <row r="73" spans="1:13" x14ac:dyDescent="0.3">
      <c r="A73" s="36"/>
      <c r="B73" s="36" t="s">
        <v>44</v>
      </c>
      <c r="C73" s="37">
        <v>0</v>
      </c>
      <c r="D73" s="36"/>
      <c r="E73" s="36"/>
      <c r="F73" s="36"/>
      <c r="G73" s="36"/>
      <c r="H73" s="36"/>
      <c r="I73" s="36"/>
      <c r="J73" s="36"/>
      <c r="K73" s="36"/>
      <c r="L73" s="36"/>
      <c r="M73" s="38" t="s">
        <v>308</v>
      </c>
    </row>
    <row r="74" spans="1:13" x14ac:dyDescent="0.3">
      <c r="A74" s="33"/>
      <c r="B74" s="33" t="s">
        <v>45</v>
      </c>
      <c r="C74" s="34">
        <v>1</v>
      </c>
      <c r="D74" s="33"/>
      <c r="E74" s="33"/>
      <c r="F74" s="33"/>
      <c r="G74" s="33"/>
      <c r="H74" s="33"/>
      <c r="I74" s="33"/>
      <c r="J74" s="33"/>
      <c r="K74" s="33"/>
      <c r="L74" s="33"/>
      <c r="M74" s="35"/>
    </row>
    <row r="75" spans="1:13" x14ac:dyDescent="0.3">
      <c r="A75" s="36"/>
      <c r="B75" s="36" t="s">
        <v>46</v>
      </c>
      <c r="C75" s="37">
        <v>0.8</v>
      </c>
      <c r="D75" s="36"/>
      <c r="E75" s="36"/>
      <c r="F75" s="36"/>
      <c r="G75" s="36"/>
      <c r="H75" s="36"/>
      <c r="I75" s="36"/>
      <c r="J75" s="36"/>
      <c r="K75" s="36"/>
      <c r="L75" s="36"/>
      <c r="M75" s="38"/>
    </row>
    <row r="76" spans="1:13" x14ac:dyDescent="0.3">
      <c r="A76" s="33"/>
      <c r="B76" s="33" t="s">
        <v>11</v>
      </c>
      <c r="C76" s="34">
        <v>1</v>
      </c>
      <c r="D76" s="33"/>
      <c r="E76" s="33"/>
      <c r="F76" s="33"/>
      <c r="G76" s="33"/>
      <c r="H76" s="33"/>
      <c r="I76" s="33"/>
      <c r="J76" s="33"/>
      <c r="K76" s="33"/>
      <c r="L76" s="33"/>
      <c r="M76" s="35" t="s">
        <v>311</v>
      </c>
    </row>
    <row r="77" spans="1:13" x14ac:dyDescent="0.3">
      <c r="A77" s="36"/>
      <c r="B77" s="36" t="s">
        <v>47</v>
      </c>
      <c r="C77" s="37">
        <v>0</v>
      </c>
      <c r="D77" s="36"/>
      <c r="E77" s="36"/>
      <c r="F77" s="36"/>
      <c r="G77" s="36"/>
      <c r="H77" s="36"/>
      <c r="I77" s="36"/>
      <c r="J77" s="36"/>
      <c r="K77" s="36"/>
      <c r="L77" s="36"/>
      <c r="M77" s="38"/>
    </row>
    <row r="78" spans="1:13" x14ac:dyDescent="0.3">
      <c r="A78" s="40" t="s">
        <v>259</v>
      </c>
      <c r="B78" s="40" t="s">
        <v>260</v>
      </c>
      <c r="C78" s="34"/>
      <c r="D78" s="33"/>
      <c r="E78" s="33"/>
      <c r="F78" s="33"/>
      <c r="G78" s="33"/>
      <c r="H78" s="33"/>
      <c r="I78" s="33"/>
      <c r="J78" s="33"/>
      <c r="K78" s="33"/>
      <c r="L78" s="33"/>
      <c r="M78" s="35"/>
    </row>
    <row r="79" spans="1:13" x14ac:dyDescent="0.3">
      <c r="A79" s="36"/>
      <c r="B79" s="36" t="s">
        <v>48</v>
      </c>
      <c r="C79" s="37">
        <v>45</v>
      </c>
      <c r="D79" s="36">
        <f>MIN($C$79,D100)</f>
        <v>45</v>
      </c>
      <c r="E79" s="36">
        <f t="shared" ref="E79:L79" si="0">MIN($C$79,E100)</f>
        <v>45</v>
      </c>
      <c r="F79" s="36">
        <f t="shared" si="0"/>
        <v>40</v>
      </c>
      <c r="G79" s="36">
        <f t="shared" si="0"/>
        <v>35</v>
      </c>
      <c r="H79" s="36">
        <f t="shared" si="0"/>
        <v>30</v>
      </c>
      <c r="I79" s="36">
        <f t="shared" si="0"/>
        <v>25</v>
      </c>
      <c r="J79" s="36">
        <f t="shared" si="0"/>
        <v>20</v>
      </c>
      <c r="K79" s="36">
        <f t="shared" si="0"/>
        <v>17</v>
      </c>
      <c r="L79" s="36">
        <f t="shared" si="0"/>
        <v>15</v>
      </c>
      <c r="M79" s="38"/>
    </row>
    <row r="80" spans="1:13" x14ac:dyDescent="0.3">
      <c r="A80" s="33"/>
      <c r="B80" s="33" t="s">
        <v>49</v>
      </c>
      <c r="C80" s="34">
        <v>25</v>
      </c>
      <c r="D80" s="33">
        <f>MIN($C$80,D81)</f>
        <v>25</v>
      </c>
      <c r="E80" s="33">
        <f t="shared" ref="E80:L80" si="1">MIN($C$80,E81)</f>
        <v>25</v>
      </c>
      <c r="F80" s="33">
        <f t="shared" si="1"/>
        <v>25</v>
      </c>
      <c r="G80" s="33">
        <f t="shared" si="1"/>
        <v>25</v>
      </c>
      <c r="H80" s="33">
        <f t="shared" si="1"/>
        <v>25</v>
      </c>
      <c r="I80" s="33">
        <f t="shared" si="1"/>
        <v>25</v>
      </c>
      <c r="J80" s="33">
        <f t="shared" si="1"/>
        <v>20</v>
      </c>
      <c r="K80" s="33">
        <f t="shared" si="1"/>
        <v>17</v>
      </c>
      <c r="L80" s="33">
        <f t="shared" si="1"/>
        <v>15</v>
      </c>
      <c r="M80" s="35"/>
    </row>
    <row r="81" spans="1:13" x14ac:dyDescent="0.3">
      <c r="A81" s="36"/>
      <c r="B81" s="36" t="s">
        <v>50</v>
      </c>
      <c r="C81" s="37">
        <v>35</v>
      </c>
      <c r="D81" s="36">
        <f>MIN($C$81,D79)</f>
        <v>35</v>
      </c>
      <c r="E81" s="36">
        <f t="shared" ref="E81:L81" si="2">MIN($C$81,E79)</f>
        <v>35</v>
      </c>
      <c r="F81" s="36">
        <f t="shared" si="2"/>
        <v>35</v>
      </c>
      <c r="G81" s="36">
        <f t="shared" si="2"/>
        <v>35</v>
      </c>
      <c r="H81" s="36">
        <f t="shared" si="2"/>
        <v>30</v>
      </c>
      <c r="I81" s="36">
        <f t="shared" si="2"/>
        <v>25</v>
      </c>
      <c r="J81" s="36">
        <f t="shared" si="2"/>
        <v>20</v>
      </c>
      <c r="K81" s="36">
        <f t="shared" si="2"/>
        <v>17</v>
      </c>
      <c r="L81" s="36">
        <f t="shared" si="2"/>
        <v>15</v>
      </c>
      <c r="M81" s="38"/>
    </row>
    <row r="82" spans="1:13" x14ac:dyDescent="0.3">
      <c r="A82" s="33"/>
      <c r="B82" s="33" t="s">
        <v>51</v>
      </c>
      <c r="C82" s="34">
        <v>45</v>
      </c>
      <c r="D82" s="34">
        <f>MIN($C$82,D100)</f>
        <v>45</v>
      </c>
      <c r="E82" s="34">
        <f t="shared" ref="E82:L82" si="3">MIN($C$82,E100)</f>
        <v>45</v>
      </c>
      <c r="F82" s="34">
        <f t="shared" si="3"/>
        <v>40</v>
      </c>
      <c r="G82" s="34">
        <f t="shared" si="3"/>
        <v>35</v>
      </c>
      <c r="H82" s="34">
        <f t="shared" si="3"/>
        <v>30</v>
      </c>
      <c r="I82" s="34">
        <f t="shared" si="3"/>
        <v>25</v>
      </c>
      <c r="J82" s="34">
        <f t="shared" si="3"/>
        <v>20</v>
      </c>
      <c r="K82" s="34">
        <f t="shared" si="3"/>
        <v>17</v>
      </c>
      <c r="L82" s="34">
        <f t="shared" si="3"/>
        <v>15</v>
      </c>
      <c r="M82" s="35"/>
    </row>
    <row r="83" spans="1:13" x14ac:dyDescent="0.3">
      <c r="A83" s="36"/>
      <c r="B83" s="36" t="s">
        <v>52</v>
      </c>
      <c r="C83" s="37">
        <v>45</v>
      </c>
      <c r="D83" s="36">
        <f>MIN(C83,D79)</f>
        <v>45</v>
      </c>
      <c r="E83" s="36">
        <f t="shared" ref="E83:L83" si="4">MIN(D83,E79)</f>
        <v>45</v>
      </c>
      <c r="F83" s="36">
        <f t="shared" si="4"/>
        <v>40</v>
      </c>
      <c r="G83" s="36">
        <f t="shared" si="4"/>
        <v>35</v>
      </c>
      <c r="H83" s="36">
        <f t="shared" si="4"/>
        <v>30</v>
      </c>
      <c r="I83" s="36">
        <f t="shared" si="4"/>
        <v>25</v>
      </c>
      <c r="J83" s="36">
        <f t="shared" si="4"/>
        <v>20</v>
      </c>
      <c r="K83" s="36">
        <f t="shared" si="4"/>
        <v>17</v>
      </c>
      <c r="L83" s="36">
        <f t="shared" si="4"/>
        <v>15</v>
      </c>
      <c r="M83" s="38"/>
    </row>
    <row r="84" spans="1:13" x14ac:dyDescent="0.3">
      <c r="A84" s="33"/>
      <c r="B84" s="33" t="s">
        <v>53</v>
      </c>
      <c r="C84" s="34">
        <v>35</v>
      </c>
      <c r="D84" s="33">
        <f>MIN($C$84,D79)</f>
        <v>35</v>
      </c>
      <c r="E84" s="33">
        <f t="shared" ref="E84:L84" si="5">MIN($C$84,E79)</f>
        <v>35</v>
      </c>
      <c r="F84" s="33">
        <f t="shared" si="5"/>
        <v>35</v>
      </c>
      <c r="G84" s="33">
        <f t="shared" si="5"/>
        <v>35</v>
      </c>
      <c r="H84" s="33">
        <f t="shared" si="5"/>
        <v>30</v>
      </c>
      <c r="I84" s="33">
        <f t="shared" si="5"/>
        <v>25</v>
      </c>
      <c r="J84" s="33">
        <f t="shared" si="5"/>
        <v>20</v>
      </c>
      <c r="K84" s="33">
        <f t="shared" si="5"/>
        <v>17</v>
      </c>
      <c r="L84" s="33">
        <f t="shared" si="5"/>
        <v>15</v>
      </c>
      <c r="M84" s="35"/>
    </row>
    <row r="85" spans="1:13" x14ac:dyDescent="0.3">
      <c r="A85" s="36"/>
      <c r="B85" s="36" t="s">
        <v>54</v>
      </c>
      <c r="C85" s="37">
        <v>45</v>
      </c>
      <c r="D85" s="36">
        <f>MIN($C$85,D100)</f>
        <v>45</v>
      </c>
      <c r="E85" s="36">
        <f t="shared" ref="E85:L85" si="6">MIN($C$85,E100)</f>
        <v>45</v>
      </c>
      <c r="F85" s="36">
        <f t="shared" si="6"/>
        <v>40</v>
      </c>
      <c r="G85" s="36">
        <f t="shared" si="6"/>
        <v>35</v>
      </c>
      <c r="H85" s="36">
        <f t="shared" si="6"/>
        <v>30</v>
      </c>
      <c r="I85" s="36">
        <f t="shared" si="6"/>
        <v>25</v>
      </c>
      <c r="J85" s="36">
        <f t="shared" si="6"/>
        <v>20</v>
      </c>
      <c r="K85" s="36">
        <f t="shared" si="6"/>
        <v>17</v>
      </c>
      <c r="L85" s="36">
        <f t="shared" si="6"/>
        <v>15</v>
      </c>
      <c r="M85" s="38"/>
    </row>
    <row r="86" spans="1:13" x14ac:dyDescent="0.3">
      <c r="A86" s="33"/>
      <c r="B86" s="33" t="s">
        <v>55</v>
      </c>
      <c r="C86" s="41" t="str">
        <f>"100%"</f>
        <v>100%</v>
      </c>
      <c r="D86" s="33"/>
      <c r="E86" s="33"/>
      <c r="F86" s="33"/>
      <c r="G86" s="33"/>
      <c r="H86" s="33"/>
      <c r="I86" s="33"/>
      <c r="J86" s="33"/>
      <c r="K86" s="33"/>
      <c r="L86" s="33"/>
      <c r="M86" s="35"/>
    </row>
    <row r="87" spans="1:13" x14ac:dyDescent="0.3">
      <c r="A87" s="36"/>
      <c r="B87" s="36" t="s">
        <v>56</v>
      </c>
      <c r="C87" s="37">
        <v>30</v>
      </c>
      <c r="D87" s="36">
        <f>MIN($C$87,D79)</f>
        <v>30</v>
      </c>
      <c r="E87" s="36">
        <f t="shared" ref="E87:L87" si="7">MIN($C$87,E79)</f>
        <v>30</v>
      </c>
      <c r="F87" s="36">
        <f t="shared" si="7"/>
        <v>30</v>
      </c>
      <c r="G87" s="36">
        <f t="shared" si="7"/>
        <v>30</v>
      </c>
      <c r="H87" s="36">
        <f t="shared" si="7"/>
        <v>30</v>
      </c>
      <c r="I87" s="36">
        <f t="shared" si="7"/>
        <v>25</v>
      </c>
      <c r="J87" s="36">
        <f t="shared" si="7"/>
        <v>20</v>
      </c>
      <c r="K87" s="36">
        <f t="shared" si="7"/>
        <v>17</v>
      </c>
      <c r="L87" s="36">
        <f t="shared" si="7"/>
        <v>15</v>
      </c>
      <c r="M87" s="38"/>
    </row>
    <row r="88" spans="1:13" x14ac:dyDescent="0.3">
      <c r="A88" s="33"/>
      <c r="B88" s="33" t="s">
        <v>57</v>
      </c>
      <c r="C88" s="34">
        <v>20</v>
      </c>
      <c r="D88" s="33">
        <f>MIN($C$88,D80)</f>
        <v>20</v>
      </c>
      <c r="E88" s="33">
        <f t="shared" ref="E88:L88" si="8">MIN($C$88,E80)</f>
        <v>20</v>
      </c>
      <c r="F88" s="33">
        <f t="shared" si="8"/>
        <v>20</v>
      </c>
      <c r="G88" s="33">
        <f t="shared" si="8"/>
        <v>20</v>
      </c>
      <c r="H88" s="33">
        <f t="shared" si="8"/>
        <v>20</v>
      </c>
      <c r="I88" s="33">
        <f t="shared" si="8"/>
        <v>20</v>
      </c>
      <c r="J88" s="33">
        <f t="shared" si="8"/>
        <v>20</v>
      </c>
      <c r="K88" s="33">
        <f t="shared" si="8"/>
        <v>17</v>
      </c>
      <c r="L88" s="33">
        <f t="shared" si="8"/>
        <v>15</v>
      </c>
      <c r="M88" s="35"/>
    </row>
    <row r="89" spans="1:13" x14ac:dyDescent="0.3">
      <c r="A89" s="36"/>
      <c r="B89" s="40" t="s">
        <v>261</v>
      </c>
      <c r="C89" s="37"/>
      <c r="D89" s="36"/>
      <c r="E89" s="36"/>
      <c r="F89" s="36"/>
      <c r="G89" s="36"/>
      <c r="H89" s="36"/>
      <c r="I89" s="36"/>
      <c r="J89" s="36"/>
      <c r="K89" s="36"/>
      <c r="L89" s="36"/>
      <c r="M89" s="38"/>
    </row>
    <row r="90" spans="1:13" x14ac:dyDescent="0.3">
      <c r="A90" s="33"/>
      <c r="B90" s="33" t="s">
        <v>58</v>
      </c>
      <c r="C90" s="34">
        <v>120</v>
      </c>
      <c r="D90" s="33"/>
      <c r="E90" s="33"/>
      <c r="F90" s="33"/>
      <c r="G90" s="33"/>
      <c r="H90" s="33"/>
      <c r="I90" s="33"/>
      <c r="J90" s="33"/>
      <c r="K90" s="33"/>
      <c r="L90" s="33"/>
      <c r="M90" s="35"/>
    </row>
    <row r="91" spans="1:13" x14ac:dyDescent="0.3">
      <c r="A91" s="36"/>
      <c r="B91" s="40" t="s">
        <v>262</v>
      </c>
      <c r="C91" s="37"/>
      <c r="D91" s="36"/>
      <c r="E91" s="36"/>
      <c r="F91" s="36"/>
      <c r="G91" s="36"/>
      <c r="H91" s="36"/>
      <c r="I91" s="36"/>
      <c r="J91" s="36"/>
      <c r="K91" s="36"/>
      <c r="L91" s="36"/>
      <c r="M91" s="38"/>
    </row>
    <row r="92" spans="1:13" x14ac:dyDescent="0.3">
      <c r="A92" s="33"/>
      <c r="B92" s="33" t="s">
        <v>59</v>
      </c>
      <c r="C92" s="34">
        <v>30</v>
      </c>
      <c r="D92" s="33"/>
      <c r="E92" s="33"/>
      <c r="F92" s="33"/>
      <c r="G92" s="33"/>
      <c r="H92" s="33"/>
      <c r="I92" s="33"/>
      <c r="J92" s="33"/>
      <c r="K92" s="33"/>
      <c r="L92" s="33"/>
      <c r="M92" s="35"/>
    </row>
    <row r="93" spans="1:13" x14ac:dyDescent="0.3">
      <c r="A93" s="36"/>
      <c r="B93" s="40" t="s">
        <v>263</v>
      </c>
      <c r="C93" s="37"/>
      <c r="D93" s="36"/>
      <c r="E93" s="36"/>
      <c r="F93" s="36"/>
      <c r="G93" s="36"/>
      <c r="H93" s="36"/>
      <c r="I93" s="36"/>
      <c r="J93" s="36"/>
      <c r="K93" s="36"/>
      <c r="L93" s="36"/>
      <c r="M93" s="38"/>
    </row>
    <row r="94" spans="1:13" x14ac:dyDescent="0.3">
      <c r="A94" s="33"/>
      <c r="B94" s="33" t="s">
        <v>60</v>
      </c>
      <c r="C94" s="34">
        <f>MAX_ACCELERATION</f>
        <v>500</v>
      </c>
      <c r="D94" s="33"/>
      <c r="E94" s="33"/>
      <c r="F94" s="33"/>
      <c r="G94" s="33"/>
      <c r="H94" s="33"/>
      <c r="I94" s="33"/>
      <c r="J94" s="33"/>
      <c r="K94" s="33"/>
      <c r="L94" s="33"/>
      <c r="M94" s="35"/>
    </row>
    <row r="95" spans="1:13" x14ac:dyDescent="0.3">
      <c r="A95" s="36"/>
      <c r="B95" s="36" t="s">
        <v>61</v>
      </c>
      <c r="C95" s="34">
        <f>MAX_ACCELERATION</f>
        <v>500</v>
      </c>
      <c r="D95" s="36"/>
      <c r="E95" s="36"/>
      <c r="F95" s="36"/>
      <c r="G95" s="36"/>
      <c r="H95" s="36"/>
      <c r="I95" s="36"/>
      <c r="J95" s="36"/>
      <c r="K95" s="36"/>
      <c r="L95" s="36"/>
      <c r="M95" s="38"/>
    </row>
    <row r="96" spans="1:13" x14ac:dyDescent="0.3">
      <c r="A96" s="33"/>
      <c r="B96" s="33" t="s">
        <v>62</v>
      </c>
      <c r="C96" s="34">
        <f>MAX_ACCELERATION</f>
        <v>500</v>
      </c>
      <c r="D96" s="33"/>
      <c r="E96" s="33"/>
      <c r="F96" s="33"/>
      <c r="G96" s="33"/>
      <c r="H96" s="33"/>
      <c r="I96" s="33"/>
      <c r="J96" s="33"/>
      <c r="K96" s="33"/>
      <c r="L96" s="33"/>
      <c r="M96" s="35"/>
    </row>
    <row r="97" spans="1:13" x14ac:dyDescent="0.3">
      <c r="A97" s="36"/>
      <c r="B97" s="36" t="s">
        <v>63</v>
      </c>
      <c r="C97" s="34">
        <f>MAX_ACCELERATION</f>
        <v>500</v>
      </c>
      <c r="D97" s="36"/>
      <c r="E97" s="36"/>
      <c r="F97" s="36"/>
      <c r="G97" s="36"/>
      <c r="H97" s="36"/>
      <c r="I97" s="36"/>
      <c r="J97" s="36"/>
      <c r="K97" s="36"/>
      <c r="L97" s="36"/>
      <c r="M97" s="38"/>
    </row>
    <row r="98" spans="1:13" x14ac:dyDescent="0.3">
      <c r="A98" s="33"/>
      <c r="B98" s="33" t="s">
        <v>64</v>
      </c>
      <c r="C98" s="34">
        <f>MAX_ACCELERATION</f>
        <v>500</v>
      </c>
      <c r="D98" s="33"/>
      <c r="E98" s="33"/>
      <c r="F98" s="33"/>
      <c r="G98" s="33"/>
      <c r="H98" s="33"/>
      <c r="I98" s="33"/>
      <c r="J98" s="33"/>
      <c r="K98" s="33"/>
      <c r="L98" s="33"/>
      <c r="M98" s="35"/>
    </row>
    <row r="99" spans="1:13" x14ac:dyDescent="0.3">
      <c r="A99" s="36"/>
      <c r="B99" s="40" t="s">
        <v>264</v>
      </c>
      <c r="C99" s="37"/>
      <c r="D99" s="36"/>
      <c r="E99" s="36"/>
      <c r="F99" s="36"/>
      <c r="G99" s="36"/>
      <c r="H99" s="36"/>
      <c r="I99" s="36"/>
      <c r="J99" s="36"/>
      <c r="K99" s="36"/>
      <c r="L99" s="36"/>
      <c r="M99" s="38"/>
    </row>
    <row r="100" spans="1:13" x14ac:dyDescent="0.3">
      <c r="A100" s="33"/>
      <c r="B100" s="33" t="s">
        <v>65</v>
      </c>
      <c r="C100" s="34">
        <v>60</v>
      </c>
      <c r="D100" s="34">
        <v>55</v>
      </c>
      <c r="E100" s="34">
        <v>50</v>
      </c>
      <c r="F100" s="34">
        <v>40</v>
      </c>
      <c r="G100" s="33">
        <v>35</v>
      </c>
      <c r="H100" s="33">
        <v>30</v>
      </c>
      <c r="I100" s="33">
        <v>25</v>
      </c>
      <c r="J100" s="33">
        <v>20</v>
      </c>
      <c r="K100" s="33">
        <v>17</v>
      </c>
      <c r="L100" s="33">
        <v>15</v>
      </c>
      <c r="M100" s="35"/>
    </row>
    <row r="101" spans="1:13" x14ac:dyDescent="0.3">
      <c r="A101" s="36"/>
      <c r="B101" s="36" t="s">
        <v>66</v>
      </c>
      <c r="C101" s="37"/>
      <c r="D101" s="36"/>
      <c r="E101" s="36"/>
      <c r="F101" s="36"/>
      <c r="G101" s="36"/>
      <c r="H101" s="36"/>
      <c r="I101" s="36"/>
      <c r="J101" s="36"/>
      <c r="K101" s="36"/>
      <c r="L101" s="36"/>
      <c r="M101" s="38"/>
    </row>
    <row r="102" spans="1:13" x14ac:dyDescent="0.3">
      <c r="A102" s="33"/>
      <c r="B102" s="33" t="s">
        <v>67</v>
      </c>
      <c r="C102" s="34"/>
      <c r="D102" s="33"/>
      <c r="E102" s="33"/>
      <c r="F102" s="33"/>
      <c r="G102" s="33"/>
      <c r="H102" s="33"/>
      <c r="I102" s="33"/>
      <c r="J102" s="33"/>
      <c r="K102" s="33"/>
      <c r="L102" s="33"/>
      <c r="M102" s="35"/>
    </row>
    <row r="103" spans="1:13" x14ac:dyDescent="0.3">
      <c r="A103" s="36"/>
      <c r="B103" s="36" t="s">
        <v>68</v>
      </c>
      <c r="C103" s="37"/>
      <c r="D103" s="36"/>
      <c r="E103" s="36"/>
      <c r="F103" s="36"/>
      <c r="G103" s="36"/>
      <c r="H103" s="36"/>
      <c r="I103" s="36"/>
      <c r="J103" s="36"/>
      <c r="K103" s="36"/>
      <c r="L103" s="36"/>
      <c r="M103" s="38"/>
    </row>
    <row r="104" spans="1:13" x14ac:dyDescent="0.3">
      <c r="A104" s="40" t="s">
        <v>265</v>
      </c>
      <c r="B104" s="40" t="s">
        <v>266</v>
      </c>
      <c r="C104" s="34"/>
      <c r="D104" s="33"/>
      <c r="E104" s="33"/>
      <c r="F104" s="33"/>
      <c r="G104" s="33"/>
      <c r="H104" s="33"/>
      <c r="I104" s="33"/>
      <c r="J104" s="33"/>
      <c r="K104" s="33"/>
      <c r="L104" s="33"/>
      <c r="M104" s="35"/>
    </row>
    <row r="105" spans="1:13" x14ac:dyDescent="0.3">
      <c r="A105" s="36"/>
      <c r="B105" s="36" t="s">
        <v>69</v>
      </c>
      <c r="C105" s="37">
        <v>1</v>
      </c>
      <c r="D105" s="36"/>
      <c r="E105" s="36"/>
      <c r="F105" s="36"/>
      <c r="G105" s="36"/>
      <c r="H105" s="36"/>
      <c r="I105" s="36"/>
      <c r="J105" s="36"/>
      <c r="K105" s="36"/>
      <c r="L105" s="36"/>
      <c r="M105" s="38"/>
    </row>
    <row r="106" spans="1:13" x14ac:dyDescent="0.3">
      <c r="A106" s="33"/>
      <c r="B106" s="33" t="s">
        <v>70</v>
      </c>
      <c r="C106" s="34">
        <v>1</v>
      </c>
      <c r="D106" s="33"/>
      <c r="E106" s="33"/>
      <c r="F106" s="33"/>
      <c r="G106" s="33"/>
      <c r="H106" s="33"/>
      <c r="I106" s="33"/>
      <c r="J106" s="33"/>
      <c r="K106" s="33"/>
      <c r="L106" s="33"/>
      <c r="M106" s="35"/>
    </row>
    <row r="107" spans="1:13" x14ac:dyDescent="0.3">
      <c r="A107" s="36"/>
      <c r="B107" s="36" t="s">
        <v>71</v>
      </c>
      <c r="C107" s="37">
        <v>1</v>
      </c>
      <c r="D107" s="36"/>
      <c r="E107" s="36"/>
      <c r="F107" s="36"/>
      <c r="G107" s="36"/>
      <c r="H107" s="36"/>
      <c r="I107" s="36"/>
      <c r="J107" s="36"/>
      <c r="K107" s="36"/>
      <c r="L107" s="36"/>
      <c r="M107" s="38"/>
    </row>
    <row r="108" spans="1:13" x14ac:dyDescent="0.3">
      <c r="A108" s="33"/>
      <c r="B108" s="33" t="s">
        <v>72</v>
      </c>
      <c r="C108" s="34">
        <v>1</v>
      </c>
      <c r="D108" s="33"/>
      <c r="E108" s="33"/>
      <c r="F108" s="33"/>
      <c r="G108" s="33"/>
      <c r="H108" s="33"/>
      <c r="I108" s="33"/>
      <c r="J108" s="33"/>
      <c r="K108" s="33"/>
      <c r="L108" s="33"/>
      <c r="M108" s="35"/>
    </row>
    <row r="109" spans="1:13" x14ac:dyDescent="0.3">
      <c r="A109" s="36"/>
      <c r="B109" s="36" t="s">
        <v>73</v>
      </c>
      <c r="C109" s="37">
        <v>1</v>
      </c>
      <c r="D109" s="36"/>
      <c r="E109" s="36"/>
      <c r="F109" s="36"/>
      <c r="G109" s="36"/>
      <c r="H109" s="36"/>
      <c r="I109" s="36"/>
      <c r="J109" s="36"/>
      <c r="K109" s="36"/>
      <c r="L109" s="36"/>
      <c r="M109" s="38"/>
    </row>
    <row r="110" spans="1:13" x14ac:dyDescent="0.3">
      <c r="A110" s="33"/>
      <c r="B110" s="40" t="s">
        <v>267</v>
      </c>
      <c r="C110" s="34"/>
      <c r="D110" s="33"/>
      <c r="E110" s="33"/>
      <c r="F110" s="33"/>
      <c r="G110" s="33"/>
      <c r="H110" s="33"/>
      <c r="I110" s="33"/>
      <c r="J110" s="33"/>
      <c r="K110" s="33"/>
      <c r="L110" s="33"/>
      <c r="M110" s="35"/>
    </row>
    <row r="111" spans="1:13" x14ac:dyDescent="0.3">
      <c r="A111" s="36"/>
      <c r="B111" s="36" t="s">
        <v>74</v>
      </c>
      <c r="C111" s="37">
        <v>0</v>
      </c>
      <c r="D111" s="36"/>
      <c r="E111" s="36"/>
      <c r="F111" s="36"/>
      <c r="G111" s="36"/>
      <c r="H111" s="36"/>
      <c r="I111" s="36"/>
      <c r="J111" s="36"/>
      <c r="K111" s="36"/>
      <c r="L111" s="36"/>
      <c r="M111" s="38"/>
    </row>
    <row r="112" spans="1:13" x14ac:dyDescent="0.3">
      <c r="A112" s="33"/>
      <c r="B112" s="33" t="s">
        <v>75</v>
      </c>
      <c r="C112" s="34">
        <v>-5</v>
      </c>
      <c r="D112" s="33"/>
      <c r="E112" s="33"/>
      <c r="F112" s="33"/>
      <c r="G112" s="33"/>
      <c r="H112" s="33"/>
      <c r="I112" s="33"/>
      <c r="J112" s="33"/>
      <c r="K112" s="33"/>
      <c r="L112" s="33"/>
      <c r="M112" s="35"/>
    </row>
    <row r="113" spans="1:13" x14ac:dyDescent="0.3">
      <c r="A113" s="36"/>
      <c r="B113" s="40" t="s">
        <v>268</v>
      </c>
      <c r="C113" s="37"/>
      <c r="D113" s="36"/>
      <c r="E113" s="36"/>
      <c r="F113" s="36"/>
      <c r="G113" s="36"/>
      <c r="H113" s="36"/>
      <c r="I113" s="36"/>
      <c r="J113" s="36"/>
      <c r="K113" s="36"/>
      <c r="L113" s="36"/>
      <c r="M113" s="38"/>
    </row>
    <row r="114" spans="1:13" x14ac:dyDescent="0.3">
      <c r="A114" s="33"/>
      <c r="B114" s="33" t="s">
        <v>76</v>
      </c>
      <c r="C114" s="34">
        <v>0</v>
      </c>
      <c r="D114" s="33"/>
      <c r="E114" s="33"/>
      <c r="F114" s="33"/>
      <c r="G114" s="33"/>
      <c r="H114" s="33"/>
      <c r="I114" s="33"/>
      <c r="J114" s="33"/>
      <c r="K114" s="33"/>
      <c r="L114" s="33"/>
      <c r="M114" s="35"/>
    </row>
    <row r="115" spans="1:13" x14ac:dyDescent="0.3">
      <c r="A115" s="36"/>
      <c r="B115" s="36" t="s">
        <v>77</v>
      </c>
      <c r="C115" s="37">
        <v>180</v>
      </c>
      <c r="D115" s="36"/>
      <c r="E115" s="36"/>
      <c r="F115" s="36"/>
      <c r="G115" s="36"/>
      <c r="H115" s="36"/>
      <c r="I115" s="36"/>
      <c r="J115" s="36"/>
      <c r="K115" s="36"/>
      <c r="L115" s="36"/>
      <c r="M115" s="38"/>
    </row>
    <row r="116" spans="1:13" x14ac:dyDescent="0.3">
      <c r="A116" s="33"/>
      <c r="B116" s="33" t="s">
        <v>78</v>
      </c>
      <c r="C116" s="34">
        <v>140</v>
      </c>
      <c r="D116" s="33"/>
      <c r="E116" s="33"/>
      <c r="F116" s="33"/>
      <c r="G116" s="33"/>
      <c r="H116" s="33"/>
      <c r="I116" s="33"/>
      <c r="J116" s="33"/>
      <c r="K116" s="33"/>
      <c r="L116" s="33"/>
      <c r="M116" s="35"/>
    </row>
    <row r="117" spans="1:13" x14ac:dyDescent="0.3">
      <c r="A117" s="36"/>
      <c r="B117" s="36" t="s">
        <v>79</v>
      </c>
      <c r="C117" s="37">
        <v>60</v>
      </c>
      <c r="D117" s="36"/>
      <c r="E117" s="36"/>
      <c r="F117" s="36"/>
      <c r="G117" s="36"/>
      <c r="H117" s="36"/>
      <c r="I117" s="36"/>
      <c r="J117" s="36"/>
      <c r="K117" s="36"/>
      <c r="L117" s="36"/>
      <c r="M117" s="38"/>
    </row>
    <row r="118" spans="1:13" x14ac:dyDescent="0.3">
      <c r="A118" s="33"/>
      <c r="B118" s="33" t="s">
        <v>80</v>
      </c>
      <c r="C118" s="34">
        <v>0</v>
      </c>
      <c r="D118" s="33"/>
      <c r="E118" s="33"/>
      <c r="F118" s="33"/>
      <c r="G118" s="33"/>
      <c r="H118" s="33"/>
      <c r="I118" s="33"/>
      <c r="J118" s="33"/>
      <c r="K118" s="33"/>
      <c r="L118" s="33"/>
      <c r="M118" s="35"/>
    </row>
    <row r="119" spans="1:13" x14ac:dyDescent="0.3">
      <c r="A119" s="36"/>
      <c r="B119" s="36" t="s">
        <v>81</v>
      </c>
      <c r="C119" s="37">
        <v>10</v>
      </c>
      <c r="D119" s="36"/>
      <c r="E119" s="36"/>
      <c r="F119" s="36"/>
      <c r="G119" s="36"/>
      <c r="H119" s="36"/>
      <c r="I119" s="36"/>
      <c r="J119" s="36"/>
      <c r="K119" s="36"/>
      <c r="L119" s="36"/>
      <c r="M119" s="38"/>
    </row>
    <row r="120" spans="1:13" x14ac:dyDescent="0.3">
      <c r="A120" s="33"/>
      <c r="B120" s="33" t="s">
        <v>82</v>
      </c>
      <c r="C120" s="34">
        <v>0</v>
      </c>
      <c r="D120" s="33"/>
      <c r="E120" s="33"/>
      <c r="F120" s="33"/>
      <c r="G120" s="33"/>
      <c r="H120" s="33"/>
      <c r="I120" s="33"/>
      <c r="J120" s="33"/>
      <c r="K120" s="33"/>
      <c r="L120" s="33"/>
      <c r="M120" s="35"/>
    </row>
    <row r="121" spans="1:13" x14ac:dyDescent="0.3">
      <c r="A121" s="36"/>
      <c r="B121" s="40" t="s">
        <v>246</v>
      </c>
      <c r="C121" s="37"/>
      <c r="D121" s="36"/>
      <c r="E121" s="36"/>
      <c r="F121" s="36"/>
      <c r="G121" s="36"/>
      <c r="H121" s="36"/>
      <c r="I121" s="36"/>
      <c r="J121" s="36"/>
      <c r="K121" s="36"/>
      <c r="L121" s="36"/>
      <c r="M121" s="38"/>
    </row>
    <row r="122" spans="1:13" x14ac:dyDescent="0.3">
      <c r="A122" s="33"/>
      <c r="B122" s="33" t="s">
        <v>83</v>
      </c>
      <c r="C122" s="34">
        <v>0</v>
      </c>
      <c r="D122" s="33"/>
      <c r="E122" s="33"/>
      <c r="F122" s="33"/>
      <c r="G122" s="33"/>
      <c r="H122" s="33"/>
      <c r="I122" s="33"/>
      <c r="J122" s="33"/>
      <c r="K122" s="33"/>
      <c r="L122" s="33"/>
      <c r="M122" s="35"/>
    </row>
    <row r="123" spans="1:13" x14ac:dyDescent="0.3">
      <c r="A123" s="36"/>
      <c r="B123" s="36" t="s">
        <v>393</v>
      </c>
      <c r="C123" s="37">
        <v>0</v>
      </c>
      <c r="D123" s="36"/>
      <c r="E123" s="36"/>
      <c r="F123" s="36"/>
      <c r="G123" s="36"/>
      <c r="H123" s="36"/>
      <c r="I123" s="36"/>
      <c r="J123" s="36"/>
      <c r="K123" s="36"/>
      <c r="L123" s="36"/>
      <c r="M123" s="38"/>
    </row>
    <row r="124" spans="1:13" x14ac:dyDescent="0.3">
      <c r="A124" s="40" t="s">
        <v>269</v>
      </c>
      <c r="B124" s="40" t="s">
        <v>270</v>
      </c>
      <c r="C124" s="34"/>
      <c r="D124" s="33"/>
      <c r="E124" s="33"/>
      <c r="F124" s="33"/>
      <c r="G124" s="33"/>
      <c r="H124" s="33"/>
      <c r="I124" s="33"/>
      <c r="J124" s="33"/>
      <c r="K124" s="33"/>
      <c r="L124" s="33"/>
      <c r="M124" s="35"/>
    </row>
    <row r="125" spans="1:13" x14ac:dyDescent="0.3">
      <c r="A125" s="36"/>
      <c r="B125" s="36" t="s">
        <v>84</v>
      </c>
      <c r="C125" s="43">
        <v>0.67</v>
      </c>
      <c r="D125" s="44"/>
      <c r="E125" s="44"/>
      <c r="F125" s="44"/>
      <c r="G125" s="44"/>
      <c r="H125" s="44"/>
      <c r="I125" s="44"/>
      <c r="J125" s="44"/>
      <c r="K125" s="44"/>
      <c r="L125" s="44"/>
      <c r="M125" s="38"/>
    </row>
    <row r="126" spans="1:13" x14ac:dyDescent="0.3">
      <c r="A126" s="33"/>
      <c r="B126" s="33" t="s">
        <v>85</v>
      </c>
      <c r="C126" s="43">
        <v>0.65</v>
      </c>
      <c r="D126" s="46"/>
      <c r="E126" s="46"/>
      <c r="F126" s="46">
        <v>0.75</v>
      </c>
      <c r="G126" s="46">
        <v>0.75</v>
      </c>
      <c r="H126" s="46">
        <v>0.75</v>
      </c>
      <c r="I126" s="46"/>
      <c r="J126" s="46"/>
      <c r="K126" s="46"/>
      <c r="L126" s="46"/>
      <c r="M126" s="35"/>
    </row>
    <row r="127" spans="1:13" ht="14.25" customHeight="1" x14ac:dyDescent="0.3">
      <c r="A127" s="36"/>
      <c r="B127" s="36" t="s">
        <v>86</v>
      </c>
      <c r="C127" s="43">
        <v>0.65</v>
      </c>
      <c r="D127" s="44"/>
      <c r="E127" s="44"/>
      <c r="F127" s="44"/>
      <c r="G127" s="44"/>
      <c r="H127" s="44"/>
      <c r="I127" s="44"/>
      <c r="J127" s="44"/>
      <c r="K127" s="44"/>
      <c r="L127" s="44"/>
      <c r="M127" s="38"/>
    </row>
    <row r="128" spans="1:13" x14ac:dyDescent="0.3">
      <c r="A128" s="33"/>
      <c r="B128" s="33" t="s">
        <v>87</v>
      </c>
      <c r="C128" s="43">
        <v>0.61</v>
      </c>
      <c r="D128" s="46"/>
      <c r="E128" s="46"/>
      <c r="F128" s="46">
        <v>0.6</v>
      </c>
      <c r="G128" s="46">
        <v>0.6</v>
      </c>
      <c r="H128" s="46">
        <v>0.6</v>
      </c>
      <c r="I128" s="46"/>
      <c r="J128" s="46"/>
      <c r="K128" s="46"/>
      <c r="L128" s="46"/>
      <c r="M128" s="35"/>
    </row>
    <row r="129" spans="1:13" x14ac:dyDescent="0.3">
      <c r="A129" s="36"/>
      <c r="B129" s="36" t="s">
        <v>88</v>
      </c>
      <c r="C129" s="43">
        <v>0.7</v>
      </c>
      <c r="D129" s="44"/>
      <c r="E129" s="44"/>
      <c r="F129" s="44"/>
      <c r="G129" s="44"/>
      <c r="H129" s="44"/>
      <c r="I129" s="44"/>
      <c r="J129" s="44"/>
      <c r="K129" s="44"/>
      <c r="L129" s="44"/>
      <c r="M129" s="38"/>
    </row>
    <row r="130" spans="1:13" x14ac:dyDescent="0.3">
      <c r="A130" s="33"/>
      <c r="B130" s="33" t="s">
        <v>89</v>
      </c>
      <c r="C130" s="43">
        <v>0.65</v>
      </c>
      <c r="D130" s="46"/>
      <c r="E130" s="46"/>
      <c r="F130" s="46"/>
      <c r="G130" s="46"/>
      <c r="H130" s="46"/>
      <c r="I130" s="46"/>
      <c r="J130" s="46"/>
      <c r="K130" s="46"/>
      <c r="L130" s="46"/>
      <c r="M130" s="35"/>
    </row>
    <row r="131" spans="1:13" x14ac:dyDescent="0.3">
      <c r="A131" s="36"/>
      <c r="B131" s="36" t="s">
        <v>90</v>
      </c>
      <c r="C131" s="43">
        <v>0.6</v>
      </c>
      <c r="D131" s="44"/>
      <c r="E131" s="44"/>
      <c r="F131" s="44"/>
      <c r="G131" s="44"/>
      <c r="H131" s="44"/>
      <c r="I131" s="44"/>
      <c r="J131" s="44"/>
      <c r="K131" s="44"/>
      <c r="L131" s="44"/>
      <c r="M131" s="38"/>
    </row>
    <row r="132" spans="1:13" x14ac:dyDescent="0.3">
      <c r="A132" s="33"/>
      <c r="B132" s="33" t="s">
        <v>91</v>
      </c>
      <c r="C132" s="43">
        <v>0.55000000000000004</v>
      </c>
      <c r="D132" s="46"/>
      <c r="E132" s="46"/>
      <c r="F132" s="46"/>
      <c r="G132" s="46"/>
      <c r="H132" s="46"/>
      <c r="I132" s="46"/>
      <c r="J132" s="46"/>
      <c r="K132" s="46"/>
      <c r="L132" s="46"/>
      <c r="M132" s="35"/>
    </row>
    <row r="133" spans="1:13" x14ac:dyDescent="0.3">
      <c r="A133" s="36"/>
      <c r="B133" s="36" t="s">
        <v>397</v>
      </c>
      <c r="C133" s="43">
        <v>0</v>
      </c>
      <c r="D133" s="44"/>
      <c r="E133" s="44"/>
      <c r="F133" s="44"/>
      <c r="G133" s="44"/>
      <c r="H133" s="44"/>
      <c r="I133" s="44"/>
      <c r="J133" s="44"/>
      <c r="K133" s="44"/>
      <c r="L133" s="44"/>
      <c r="M133" s="38"/>
    </row>
    <row r="134" spans="1:13" x14ac:dyDescent="0.3">
      <c r="A134" s="33"/>
      <c r="B134" s="40" t="s">
        <v>271</v>
      </c>
      <c r="C134" s="34"/>
      <c r="D134" s="33"/>
      <c r="E134" s="33"/>
      <c r="F134" s="33"/>
      <c r="G134" s="33"/>
      <c r="H134" s="33"/>
      <c r="I134" s="33"/>
      <c r="J134" s="33"/>
      <c r="K134" s="33"/>
      <c r="L134" s="33"/>
      <c r="M134" s="35"/>
    </row>
    <row r="135" spans="1:13" x14ac:dyDescent="0.3">
      <c r="A135" s="36"/>
      <c r="B135" s="36" t="s">
        <v>92</v>
      </c>
      <c r="C135" s="47" t="str">
        <f>"8%"</f>
        <v>8%</v>
      </c>
      <c r="D135" s="36"/>
      <c r="E135" s="36"/>
      <c r="F135" s="36"/>
      <c r="G135" s="36"/>
      <c r="H135" s="36"/>
      <c r="I135" s="36"/>
      <c r="J135" s="36"/>
      <c r="K135" s="36"/>
      <c r="L135" s="36"/>
      <c r="M135" s="38"/>
    </row>
    <row r="136" spans="1:13" x14ac:dyDescent="0.3">
      <c r="A136" s="33"/>
      <c r="B136" s="40" t="s">
        <v>272</v>
      </c>
      <c r="C136" s="34"/>
      <c r="D136" s="33"/>
      <c r="E136" s="33"/>
      <c r="F136" s="33"/>
      <c r="G136" s="33"/>
      <c r="H136" s="33"/>
      <c r="I136" s="33"/>
      <c r="J136" s="33"/>
      <c r="K136" s="33"/>
      <c r="L136" s="33"/>
      <c r="M136" s="35"/>
    </row>
    <row r="137" spans="1:13" x14ac:dyDescent="0.3">
      <c r="A137" s="36"/>
      <c r="B137" s="36" t="s">
        <v>93</v>
      </c>
      <c r="C137" s="37">
        <v>0.8</v>
      </c>
      <c r="D137" s="36"/>
      <c r="E137" s="36"/>
      <c r="F137" s="36"/>
      <c r="G137" s="36"/>
      <c r="H137" s="36"/>
      <c r="I137" s="36"/>
      <c r="J137" s="36"/>
      <c r="K137" s="36"/>
      <c r="L137" s="36"/>
      <c r="M137" s="38"/>
    </row>
    <row r="138" spans="1:13" x14ac:dyDescent="0.3">
      <c r="A138" s="33"/>
      <c r="B138" s="40" t="s">
        <v>273</v>
      </c>
      <c r="C138" s="34"/>
      <c r="D138" s="33"/>
      <c r="E138" s="33"/>
      <c r="F138" s="33"/>
      <c r="G138" s="33"/>
      <c r="H138" s="33"/>
      <c r="I138" s="33"/>
      <c r="J138" s="33"/>
      <c r="K138" s="33"/>
      <c r="L138" s="33"/>
      <c r="M138" s="35"/>
    </row>
    <row r="139" spans="1:13" x14ac:dyDescent="0.3">
      <c r="A139" s="36"/>
      <c r="B139" s="36" t="s">
        <v>94</v>
      </c>
      <c r="C139" s="37">
        <v>1</v>
      </c>
      <c r="D139" s="36"/>
      <c r="E139" s="36"/>
      <c r="F139" s="36"/>
      <c r="G139" s="36"/>
      <c r="H139" s="36"/>
      <c r="I139" s="36"/>
      <c r="J139" s="36"/>
      <c r="K139" s="36"/>
      <c r="L139" s="36"/>
      <c r="M139" s="38"/>
    </row>
    <row r="140" spans="1:13" x14ac:dyDescent="0.3">
      <c r="A140" s="33"/>
      <c r="B140" s="33" t="s">
        <v>95</v>
      </c>
      <c r="C140" s="34">
        <v>0</v>
      </c>
      <c r="D140" s="33"/>
      <c r="E140" s="33"/>
      <c r="F140" s="33"/>
      <c r="G140" s="33"/>
      <c r="H140" s="33"/>
      <c r="I140" s="33"/>
      <c r="J140" s="33"/>
      <c r="K140" s="33"/>
      <c r="L140" s="33"/>
      <c r="M140" s="35"/>
    </row>
    <row r="141" spans="1:13" x14ac:dyDescent="0.3">
      <c r="A141" s="36"/>
      <c r="B141" s="36" t="s">
        <v>96</v>
      </c>
      <c r="C141" s="37">
        <v>0</v>
      </c>
      <c r="D141" s="36"/>
      <c r="E141" s="36"/>
      <c r="F141" s="36"/>
      <c r="G141" s="36"/>
      <c r="H141" s="36"/>
      <c r="I141" s="36"/>
      <c r="J141" s="36"/>
      <c r="K141" s="36"/>
      <c r="L141" s="36"/>
      <c r="M141" s="38"/>
    </row>
    <row r="142" spans="1:13" x14ac:dyDescent="0.3">
      <c r="A142" s="36"/>
      <c r="B142" s="36" t="s">
        <v>407</v>
      </c>
      <c r="C142" s="37"/>
      <c r="D142" s="36"/>
      <c r="E142" s="36"/>
      <c r="F142" s="36"/>
      <c r="G142" s="36"/>
      <c r="H142" s="36"/>
      <c r="I142" s="36"/>
      <c r="J142" s="36"/>
      <c r="K142" s="36"/>
      <c r="L142" s="36"/>
      <c r="M142" s="38"/>
    </row>
    <row r="143" spans="1:13" x14ac:dyDescent="0.3">
      <c r="A143" s="36"/>
      <c r="B143" s="33" t="s">
        <v>97</v>
      </c>
      <c r="C143" s="34">
        <v>0</v>
      </c>
      <c r="D143" s="36"/>
      <c r="E143" s="36"/>
      <c r="F143" s="36"/>
      <c r="G143" s="36"/>
      <c r="H143" s="36"/>
      <c r="I143" s="36"/>
      <c r="J143" s="36"/>
      <c r="K143" s="36"/>
      <c r="L143" s="36"/>
      <c r="M143" s="38"/>
    </row>
    <row r="144" spans="1:13" x14ac:dyDescent="0.3">
      <c r="A144" s="40" t="s">
        <v>274</v>
      </c>
      <c r="B144" s="40" t="s">
        <v>277</v>
      </c>
      <c r="C144" s="37"/>
      <c r="D144" s="36"/>
      <c r="E144" s="36"/>
      <c r="F144" s="36"/>
      <c r="G144" s="36"/>
      <c r="H144" s="36"/>
      <c r="I144" s="36"/>
      <c r="J144" s="36"/>
      <c r="K144" s="36"/>
      <c r="L144" s="36"/>
      <c r="M144" s="38"/>
    </row>
    <row r="145" spans="1:13" x14ac:dyDescent="0.3">
      <c r="A145" s="33"/>
      <c r="B145" s="33" t="s">
        <v>98</v>
      </c>
      <c r="C145" s="34">
        <v>0</v>
      </c>
      <c r="D145" s="33"/>
      <c r="E145" s="33"/>
      <c r="F145" s="33"/>
      <c r="G145" s="33"/>
      <c r="H145" s="33"/>
      <c r="I145" s="33"/>
      <c r="J145" s="33"/>
      <c r="K145" s="33"/>
      <c r="L145" s="33"/>
      <c r="M145" s="35"/>
    </row>
    <row r="146" spans="1:13" x14ac:dyDescent="0.3">
      <c r="A146" s="36"/>
      <c r="B146" s="36" t="s">
        <v>99</v>
      </c>
      <c r="C146" s="37">
        <v>20</v>
      </c>
      <c r="D146" s="36"/>
      <c r="E146" s="36"/>
      <c r="F146" s="36"/>
      <c r="G146" s="36"/>
      <c r="H146" s="36"/>
      <c r="I146" s="36"/>
      <c r="J146" s="36"/>
      <c r="K146" s="36"/>
      <c r="L146" s="36"/>
      <c r="M146" s="38"/>
    </row>
    <row r="147" spans="1:13" x14ac:dyDescent="0.3">
      <c r="A147" s="33"/>
      <c r="B147" s="33" t="s">
        <v>100</v>
      </c>
      <c r="C147" s="34">
        <v>20</v>
      </c>
      <c r="D147" s="33"/>
      <c r="E147" s="33"/>
      <c r="F147" s="33"/>
      <c r="G147" s="33"/>
      <c r="H147" s="33"/>
      <c r="I147" s="33"/>
      <c r="J147" s="33"/>
      <c r="K147" s="33"/>
      <c r="L147" s="33"/>
      <c r="M147" s="35"/>
    </row>
    <row r="148" spans="1:13" x14ac:dyDescent="0.3">
      <c r="A148" s="36"/>
      <c r="B148" s="40" t="s">
        <v>278</v>
      </c>
      <c r="C148" s="37"/>
      <c r="D148" s="36"/>
      <c r="E148" s="36"/>
      <c r="F148" s="36"/>
      <c r="G148" s="36"/>
      <c r="H148" s="36"/>
      <c r="I148" s="36"/>
      <c r="J148" s="36"/>
      <c r="K148" s="36"/>
      <c r="L148" s="36"/>
      <c r="M148" s="38"/>
    </row>
    <row r="149" spans="1:13" x14ac:dyDescent="0.3">
      <c r="A149" s="33"/>
      <c r="B149" s="33" t="s">
        <v>101</v>
      </c>
      <c r="C149" s="34">
        <v>1</v>
      </c>
      <c r="D149" s="33"/>
      <c r="E149" s="33"/>
      <c r="F149" s="33"/>
      <c r="G149" s="33"/>
      <c r="H149" s="33"/>
      <c r="I149" s="33"/>
      <c r="J149" s="33"/>
      <c r="K149" s="33"/>
      <c r="L149" s="33"/>
      <c r="M149" s="35"/>
    </row>
    <row r="150" spans="1:13" x14ac:dyDescent="0.3">
      <c r="A150" s="33"/>
      <c r="B150" s="33" t="s">
        <v>406</v>
      </c>
      <c r="C150" s="34">
        <v>1</v>
      </c>
      <c r="D150" s="33"/>
      <c r="E150" s="33"/>
      <c r="F150" s="33"/>
      <c r="G150" s="33"/>
      <c r="H150" s="33"/>
      <c r="I150" s="33"/>
      <c r="J150" s="33"/>
      <c r="K150" s="33"/>
      <c r="L150" s="33"/>
      <c r="M150" s="35"/>
    </row>
    <row r="151" spans="1:13" x14ac:dyDescent="0.3">
      <c r="A151" s="33"/>
      <c r="B151" s="33" t="s">
        <v>412</v>
      </c>
      <c r="C151" s="34">
        <v>1</v>
      </c>
      <c r="D151" s="33"/>
      <c r="E151" s="33"/>
      <c r="F151" s="33"/>
      <c r="G151" s="33"/>
      <c r="H151" s="33"/>
      <c r="I151" s="33"/>
      <c r="J151" s="33"/>
      <c r="K151" s="33"/>
      <c r="L151" s="33"/>
      <c r="M151" s="35"/>
    </row>
    <row r="152" spans="1:13" ht="28.8" x14ac:dyDescent="0.3">
      <c r="A152" s="36"/>
      <c r="B152" s="36" t="s">
        <v>102</v>
      </c>
      <c r="C152" s="48" t="s">
        <v>103</v>
      </c>
      <c r="D152" s="36"/>
      <c r="E152" s="36"/>
      <c r="F152" s="36"/>
      <c r="G152" s="36"/>
      <c r="H152" s="36"/>
      <c r="I152" s="36"/>
      <c r="J152" s="36"/>
      <c r="K152" s="36"/>
      <c r="L152" s="36"/>
      <c r="M152" s="38"/>
    </row>
    <row r="153" spans="1:13" x14ac:dyDescent="0.3">
      <c r="A153" s="33"/>
      <c r="B153" s="40" t="s">
        <v>104</v>
      </c>
      <c r="C153" s="34"/>
      <c r="D153" s="33"/>
      <c r="E153" s="33"/>
      <c r="F153" s="33"/>
      <c r="G153" s="33"/>
      <c r="H153" s="33"/>
      <c r="I153" s="33"/>
      <c r="J153" s="33"/>
      <c r="K153" s="33"/>
      <c r="L153" s="33"/>
      <c r="M153" s="35"/>
    </row>
    <row r="154" spans="1:13" x14ac:dyDescent="0.3">
      <c r="A154" s="36"/>
      <c r="B154" s="36" t="s">
        <v>105</v>
      </c>
      <c r="C154" s="37"/>
      <c r="D154" s="36"/>
      <c r="E154" s="36"/>
      <c r="F154" s="36"/>
      <c r="G154" s="36"/>
      <c r="H154" s="36"/>
      <c r="I154" s="36"/>
      <c r="J154" s="36"/>
      <c r="K154" s="36"/>
      <c r="L154" s="36"/>
      <c r="M154" s="38"/>
    </row>
    <row r="155" spans="1:13" x14ac:dyDescent="0.3">
      <c r="A155" s="40" t="s">
        <v>275</v>
      </c>
      <c r="B155" s="40" t="s">
        <v>106</v>
      </c>
      <c r="C155" s="34"/>
      <c r="D155" s="33"/>
      <c r="E155" s="33"/>
      <c r="F155" s="33"/>
      <c r="G155" s="33"/>
      <c r="H155" s="33"/>
      <c r="I155" s="33"/>
      <c r="J155" s="33"/>
      <c r="K155" s="33"/>
      <c r="L155" s="33"/>
      <c r="M155" s="35"/>
    </row>
    <row r="156" spans="1:13" x14ac:dyDescent="0.3">
      <c r="A156" s="36"/>
      <c r="B156" s="36" t="s">
        <v>107</v>
      </c>
      <c r="C156" s="37"/>
      <c r="D156" s="36"/>
      <c r="E156" s="36"/>
      <c r="F156" s="36"/>
      <c r="G156" s="36"/>
      <c r="H156" s="36"/>
      <c r="I156" s="36"/>
      <c r="J156" s="36"/>
      <c r="K156" s="36"/>
      <c r="L156" s="36"/>
      <c r="M156" s="38"/>
    </row>
    <row r="157" spans="1:13" x14ac:dyDescent="0.3">
      <c r="A157" s="40" t="s">
        <v>276</v>
      </c>
      <c r="B157" s="40" t="s">
        <v>279</v>
      </c>
      <c r="C157" s="34"/>
      <c r="D157" s="33"/>
      <c r="E157" s="33"/>
      <c r="F157" s="33"/>
      <c r="G157" s="33"/>
      <c r="H157" s="33"/>
      <c r="I157" s="33"/>
      <c r="J157" s="33"/>
      <c r="K157" s="33"/>
      <c r="L157" s="33"/>
      <c r="M157" s="35"/>
    </row>
    <row r="158" spans="1:13" x14ac:dyDescent="0.3">
      <c r="A158" s="36"/>
      <c r="B158" s="36" t="s">
        <v>151</v>
      </c>
      <c r="C158" s="37" t="str">
        <f>Printer_Name</f>
        <v>Ender3 Speed 0.6 nozzle PET</v>
      </c>
      <c r="D158" s="36"/>
      <c r="E158" s="36"/>
      <c r="F158" s="36"/>
      <c r="G158" s="36"/>
      <c r="H158" s="36"/>
      <c r="I158" s="36"/>
      <c r="J158" s="36"/>
      <c r="K158" s="36"/>
      <c r="L158" s="36"/>
      <c r="M158" s="38"/>
    </row>
    <row r="159" spans="1:13" x14ac:dyDescent="0.3">
      <c r="A159" s="33"/>
      <c r="B159" s="33" t="s">
        <v>152</v>
      </c>
      <c r="C159" s="34"/>
      <c r="D159" s="33"/>
      <c r="E159" s="33"/>
      <c r="F159" s="33"/>
      <c r="G159" s="33"/>
      <c r="H159" s="33"/>
      <c r="I159" s="33"/>
      <c r="J159" s="33"/>
      <c r="K159" s="33"/>
      <c r="L159" s="33"/>
      <c r="M159" s="35"/>
    </row>
    <row r="160" spans="1:13" x14ac:dyDescent="0.3">
      <c r="A160" s="36"/>
      <c r="B160" s="36" t="s">
        <v>390</v>
      </c>
      <c r="C160" s="37">
        <v>0</v>
      </c>
      <c r="D160" s="36"/>
      <c r="E160" s="36"/>
      <c r="F160" s="36"/>
      <c r="G160" s="36"/>
      <c r="H160" s="36"/>
      <c r="I160" s="36"/>
      <c r="J160" s="36"/>
      <c r="K160" s="36"/>
      <c r="L160" s="36"/>
      <c r="M160" s="38"/>
    </row>
    <row r="161" spans="1:13" ht="28.8" x14ac:dyDescent="0.3">
      <c r="A161" s="33"/>
      <c r="B161" s="33" t="s">
        <v>392</v>
      </c>
      <c r="C161" s="49" t="s">
        <v>398</v>
      </c>
      <c r="D161" s="33"/>
      <c r="E161" s="33"/>
      <c r="F161" s="33"/>
      <c r="G161" s="33"/>
      <c r="H161" s="33"/>
      <c r="I161" s="33"/>
      <c r="J161" s="33"/>
      <c r="K161" s="33"/>
      <c r="L161" s="33"/>
      <c r="M161" s="35"/>
    </row>
    <row r="162" spans="1:13" x14ac:dyDescent="0.3">
      <c r="A162" s="50"/>
      <c r="B162" s="50" t="s">
        <v>391</v>
      </c>
      <c r="C162" s="51"/>
      <c r="D162" s="50"/>
      <c r="E162" s="50"/>
      <c r="F162" s="50"/>
      <c r="G162" s="50"/>
      <c r="H162" s="50"/>
      <c r="I162" s="50"/>
      <c r="J162" s="50"/>
      <c r="K162" s="50"/>
      <c r="L162" s="50"/>
      <c r="M162" s="29"/>
    </row>
  </sheetData>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A8121-05A7-4707-866F-2C68E6AB76C4}">
  <sheetPr codeName="Sheet2"/>
  <dimension ref="A1:J82"/>
  <sheetViews>
    <sheetView workbookViewId="0">
      <pane ySplit="1" topLeftCell="A5" activePane="bottomLeft" state="frozen"/>
      <selection pane="bottomLeft" activeCell="B31" sqref="B31"/>
    </sheetView>
  </sheetViews>
  <sheetFormatPr defaultRowHeight="14.4" x14ac:dyDescent="0.3"/>
  <cols>
    <col min="1" max="1" width="16.6640625" customWidth="1"/>
    <col min="2" max="2" width="35.33203125" bestFit="1" customWidth="1"/>
    <col min="3" max="3" width="25.6640625" customWidth="1"/>
    <col min="4" max="4" width="13.33203125" customWidth="1"/>
    <col min="10" max="10" width="37.5546875" customWidth="1"/>
  </cols>
  <sheetData>
    <row r="1" spans="1:10" ht="15" thickBot="1" x14ac:dyDescent="0.35">
      <c r="A1" s="5" t="s">
        <v>247</v>
      </c>
      <c r="B1" s="6" t="s">
        <v>219</v>
      </c>
      <c r="C1" s="6" t="s">
        <v>109</v>
      </c>
      <c r="D1" s="6" t="s">
        <v>154</v>
      </c>
      <c r="E1" s="6" t="s">
        <v>153</v>
      </c>
      <c r="F1" s="6" t="s">
        <v>155</v>
      </c>
      <c r="G1" s="6" t="s">
        <v>355</v>
      </c>
      <c r="H1" s="6" t="s">
        <v>357</v>
      </c>
      <c r="I1" s="6" t="s">
        <v>156</v>
      </c>
      <c r="J1" s="6" t="s">
        <v>231</v>
      </c>
    </row>
    <row r="2" spans="1:10" ht="15" thickTop="1" x14ac:dyDescent="0.3">
      <c r="A2" s="7" t="s">
        <v>313</v>
      </c>
      <c r="B2" s="8" t="s">
        <v>312</v>
      </c>
      <c r="C2" s="9"/>
      <c r="D2" s="9"/>
      <c r="E2" s="9"/>
      <c r="F2" s="9"/>
      <c r="G2" s="9"/>
      <c r="H2" s="9"/>
      <c r="I2" s="9"/>
      <c r="J2" s="9"/>
    </row>
    <row r="3" spans="1:10" x14ac:dyDescent="0.3">
      <c r="A3" s="10"/>
      <c r="B3" s="11" t="s">
        <v>110</v>
      </c>
      <c r="C3" s="12" t="s">
        <v>111</v>
      </c>
      <c r="D3" s="11" t="s">
        <v>358</v>
      </c>
      <c r="E3" s="11" t="s">
        <v>359</v>
      </c>
      <c r="F3" s="11" t="s">
        <v>360</v>
      </c>
      <c r="G3" s="11" t="s">
        <v>356</v>
      </c>
      <c r="H3" s="11" t="s">
        <v>361</v>
      </c>
      <c r="I3" s="11" t="s">
        <v>362</v>
      </c>
      <c r="J3" s="11"/>
    </row>
    <row r="4" spans="1:10" x14ac:dyDescent="0.3">
      <c r="A4" s="13"/>
      <c r="B4" s="4" t="s">
        <v>112</v>
      </c>
      <c r="C4" s="4">
        <v>1.75</v>
      </c>
      <c r="D4" s="4"/>
      <c r="E4" s="4"/>
      <c r="F4" s="4"/>
      <c r="G4" s="4"/>
      <c r="H4" s="4"/>
      <c r="I4" s="4"/>
      <c r="J4" s="4"/>
    </row>
    <row r="5" spans="1:10" x14ac:dyDescent="0.3">
      <c r="A5" s="10"/>
      <c r="B5" s="11" t="s">
        <v>113</v>
      </c>
      <c r="C5" s="11">
        <v>1</v>
      </c>
      <c r="D5" s="11">
        <v>0.93</v>
      </c>
      <c r="E5" s="11">
        <v>0.9</v>
      </c>
      <c r="F5" s="11"/>
      <c r="G5" s="11"/>
      <c r="H5" s="11"/>
      <c r="I5" s="11"/>
      <c r="J5" s="11"/>
    </row>
    <row r="6" spans="1:10" x14ac:dyDescent="0.3">
      <c r="A6" s="13"/>
      <c r="B6" s="4" t="s">
        <v>114</v>
      </c>
      <c r="C6" s="4">
        <v>0</v>
      </c>
      <c r="D6" s="4">
        <v>1.24</v>
      </c>
      <c r="E6" s="4">
        <v>1.38</v>
      </c>
      <c r="F6" s="4">
        <v>1.1000000000000001</v>
      </c>
      <c r="G6" s="4">
        <v>1.1399999999999999</v>
      </c>
      <c r="H6" s="4">
        <v>0.89</v>
      </c>
      <c r="I6" s="4">
        <v>1.22</v>
      </c>
      <c r="J6" s="4"/>
    </row>
    <row r="7" spans="1:10" x14ac:dyDescent="0.3">
      <c r="A7" s="10"/>
      <c r="B7" s="11" t="s">
        <v>115</v>
      </c>
      <c r="C7" s="11">
        <v>0</v>
      </c>
      <c r="D7" s="11">
        <v>17</v>
      </c>
      <c r="E7" s="11">
        <v>18</v>
      </c>
      <c r="F7" s="11">
        <v>15</v>
      </c>
      <c r="G7" s="11">
        <v>25</v>
      </c>
      <c r="H7" s="11">
        <v>25</v>
      </c>
      <c r="I7" s="11">
        <v>25</v>
      </c>
      <c r="J7" s="11" t="s">
        <v>363</v>
      </c>
    </row>
    <row r="8" spans="1:10" x14ac:dyDescent="0.3">
      <c r="A8" s="13"/>
      <c r="B8" s="14" t="s">
        <v>316</v>
      </c>
      <c r="C8" s="4"/>
      <c r="D8" s="4"/>
      <c r="E8" s="4"/>
      <c r="F8" s="4"/>
      <c r="G8" s="4"/>
      <c r="H8" s="4"/>
      <c r="I8" s="4"/>
      <c r="J8" s="4"/>
    </row>
    <row r="9" spans="1:10" x14ac:dyDescent="0.3">
      <c r="A9" s="10"/>
      <c r="B9" s="11" t="s">
        <v>116</v>
      </c>
      <c r="C9" s="11">
        <v>215</v>
      </c>
      <c r="D9" s="11"/>
      <c r="E9" s="11">
        <v>235</v>
      </c>
      <c r="F9" s="11">
        <v>230</v>
      </c>
      <c r="G9" s="11">
        <v>245</v>
      </c>
      <c r="H9" s="11">
        <v>220</v>
      </c>
      <c r="I9" s="11">
        <v>230</v>
      </c>
      <c r="J9" s="11"/>
    </row>
    <row r="10" spans="1:10" x14ac:dyDescent="0.3">
      <c r="A10" s="13"/>
      <c r="B10" s="4" t="s">
        <v>117</v>
      </c>
      <c r="C10" s="4">
        <v>210</v>
      </c>
      <c r="D10" s="4"/>
      <c r="E10" s="4">
        <v>235</v>
      </c>
      <c r="F10" s="4">
        <v>230</v>
      </c>
      <c r="G10" s="4">
        <v>245</v>
      </c>
      <c r="H10" s="4">
        <v>220</v>
      </c>
      <c r="I10" s="4">
        <v>230</v>
      </c>
      <c r="J10" s="4"/>
    </row>
    <row r="11" spans="1:10" x14ac:dyDescent="0.3">
      <c r="A11" s="10"/>
      <c r="B11" s="11" t="s">
        <v>118</v>
      </c>
      <c r="C11" s="11">
        <v>60</v>
      </c>
      <c r="D11" s="11"/>
      <c r="E11" s="11">
        <v>70</v>
      </c>
      <c r="F11" s="11">
        <v>80</v>
      </c>
      <c r="G11" s="11">
        <v>60</v>
      </c>
      <c r="H11" s="11">
        <v>100</v>
      </c>
      <c r="I11" s="11">
        <v>0</v>
      </c>
      <c r="J11" s="11"/>
    </row>
    <row r="12" spans="1:10" x14ac:dyDescent="0.3">
      <c r="A12" s="13"/>
      <c r="B12" s="4" t="s">
        <v>119</v>
      </c>
      <c r="C12" s="4">
        <v>60</v>
      </c>
      <c r="D12" s="4"/>
      <c r="E12" s="4">
        <v>70</v>
      </c>
      <c r="F12" s="4">
        <v>80</v>
      </c>
      <c r="G12" s="4">
        <v>60</v>
      </c>
      <c r="H12" s="4">
        <v>100</v>
      </c>
      <c r="I12" s="4">
        <v>0</v>
      </c>
      <c r="J12" s="4"/>
    </row>
    <row r="13" spans="1:10" x14ac:dyDescent="0.3">
      <c r="A13" s="15" t="s">
        <v>317</v>
      </c>
      <c r="B13" s="14" t="s">
        <v>318</v>
      </c>
      <c r="C13" s="11"/>
      <c r="D13" s="11"/>
      <c r="E13" s="11"/>
      <c r="F13" s="11"/>
      <c r="G13" s="11"/>
      <c r="H13" s="11"/>
      <c r="I13" s="11"/>
      <c r="J13" s="11"/>
    </row>
    <row r="14" spans="1:10" x14ac:dyDescent="0.3">
      <c r="A14" s="13"/>
      <c r="B14" s="4" t="s">
        <v>120</v>
      </c>
      <c r="C14" s="4">
        <v>1</v>
      </c>
      <c r="D14" s="4"/>
      <c r="E14" s="4"/>
      <c r="F14" s="4">
        <v>0</v>
      </c>
      <c r="G14" s="4"/>
      <c r="H14" s="4"/>
      <c r="I14" s="4"/>
      <c r="J14" s="4"/>
    </row>
    <row r="15" spans="1:10" x14ac:dyDescent="0.3">
      <c r="A15" s="10"/>
      <c r="B15" s="11" t="s">
        <v>121</v>
      </c>
      <c r="C15" s="11">
        <v>1</v>
      </c>
      <c r="D15" s="11"/>
      <c r="E15" s="11"/>
      <c r="F15" s="11"/>
      <c r="G15" s="11"/>
      <c r="H15" s="11"/>
      <c r="I15" s="11"/>
      <c r="J15" s="11"/>
    </row>
    <row r="16" spans="1:10" x14ac:dyDescent="0.3">
      <c r="A16" s="13"/>
      <c r="B16" s="14" t="s">
        <v>122</v>
      </c>
      <c r="C16" s="4"/>
      <c r="D16" s="4"/>
      <c r="E16" s="4"/>
      <c r="F16" s="4"/>
      <c r="G16" s="4"/>
      <c r="H16" s="4"/>
      <c r="I16" s="4"/>
      <c r="J16" s="4"/>
    </row>
    <row r="17" spans="1:10" x14ac:dyDescent="0.3">
      <c r="A17" s="10"/>
      <c r="B17" s="11" t="s">
        <v>123</v>
      </c>
      <c r="C17" s="11">
        <v>0</v>
      </c>
      <c r="D17" s="11"/>
      <c r="E17" s="11">
        <v>20</v>
      </c>
      <c r="F17" s="11"/>
      <c r="G17" s="11"/>
      <c r="H17" s="11"/>
      <c r="I17" s="11"/>
      <c r="J17" s="11"/>
    </row>
    <row r="18" spans="1:10" x14ac:dyDescent="0.3">
      <c r="A18" s="13"/>
      <c r="B18" s="4" t="s">
        <v>124</v>
      </c>
      <c r="C18" s="4">
        <v>100</v>
      </c>
      <c r="D18" s="4"/>
      <c r="E18" s="4">
        <v>30</v>
      </c>
      <c r="F18" s="4"/>
      <c r="G18" s="4"/>
      <c r="H18" s="4"/>
      <c r="I18" s="4"/>
      <c r="J18" s="4"/>
    </row>
    <row r="19" spans="1:10" x14ac:dyDescent="0.3">
      <c r="A19" s="10"/>
      <c r="B19" s="11" t="s">
        <v>125</v>
      </c>
      <c r="C19" s="16">
        <v>1</v>
      </c>
      <c r="D19" s="16"/>
      <c r="E19" s="11"/>
      <c r="F19" s="11"/>
      <c r="G19" s="11"/>
      <c r="H19" s="11"/>
      <c r="I19" s="11"/>
      <c r="J19" s="11"/>
    </row>
    <row r="20" spans="1:10" x14ac:dyDescent="0.3">
      <c r="A20" s="13"/>
      <c r="B20" s="4" t="s">
        <v>126</v>
      </c>
      <c r="C20" s="4">
        <v>1</v>
      </c>
      <c r="D20" s="4"/>
      <c r="E20" s="4">
        <v>2</v>
      </c>
      <c r="F20" s="4"/>
      <c r="G20" s="4"/>
      <c r="H20" s="4"/>
      <c r="I20" s="4"/>
      <c r="J20" s="4"/>
    </row>
    <row r="21" spans="1:10" x14ac:dyDescent="0.3">
      <c r="A21" s="10"/>
      <c r="B21" s="14" t="s">
        <v>127</v>
      </c>
      <c r="C21" s="11"/>
      <c r="D21" s="11"/>
      <c r="E21" s="11"/>
      <c r="F21" s="11"/>
      <c r="G21" s="11"/>
      <c r="H21" s="11"/>
      <c r="I21" s="11"/>
      <c r="J21" s="11"/>
    </row>
    <row r="22" spans="1:10" x14ac:dyDescent="0.3">
      <c r="A22" s="13"/>
      <c r="B22" s="4" t="s">
        <v>128</v>
      </c>
      <c r="C22" s="4">
        <v>20</v>
      </c>
      <c r="D22" s="4"/>
      <c r="E22" s="4"/>
      <c r="F22" s="4"/>
      <c r="G22" s="4"/>
      <c r="H22" s="4"/>
      <c r="I22" s="4"/>
      <c r="J22" s="4" t="s">
        <v>314</v>
      </c>
    </row>
    <row r="23" spans="1:10" ht="28.8" x14ac:dyDescent="0.3">
      <c r="A23" s="10"/>
      <c r="B23" s="11" t="s">
        <v>129</v>
      </c>
      <c r="C23" s="11">
        <v>5</v>
      </c>
      <c r="D23" s="11"/>
      <c r="E23" s="11"/>
      <c r="F23" s="11"/>
      <c r="G23" s="11"/>
      <c r="H23" s="11"/>
      <c r="I23" s="11"/>
      <c r="J23" s="17" t="s">
        <v>319</v>
      </c>
    </row>
    <row r="24" spans="1:10" x14ac:dyDescent="0.3">
      <c r="A24" s="13"/>
      <c r="B24" s="4" t="s">
        <v>130</v>
      </c>
      <c r="C24" s="4">
        <v>10</v>
      </c>
      <c r="D24" s="4"/>
      <c r="E24" s="4"/>
      <c r="F24" s="4"/>
      <c r="G24" s="4"/>
      <c r="H24" s="4"/>
      <c r="I24" s="4"/>
      <c r="J24" s="4"/>
    </row>
    <row r="25" spans="1:10" x14ac:dyDescent="0.3">
      <c r="A25" s="15" t="s">
        <v>269</v>
      </c>
      <c r="B25" s="14" t="s">
        <v>320</v>
      </c>
      <c r="C25" s="11"/>
      <c r="D25" s="11"/>
      <c r="E25" s="11"/>
      <c r="F25" s="11"/>
      <c r="G25" s="11"/>
      <c r="H25" s="11"/>
      <c r="I25" s="11"/>
      <c r="J25" s="11"/>
    </row>
    <row r="26" spans="1:10" x14ac:dyDescent="0.3">
      <c r="A26" s="13"/>
      <c r="B26" s="4" t="s">
        <v>131</v>
      </c>
      <c r="C26" s="18" t="s">
        <v>154</v>
      </c>
      <c r="D26" s="4" t="s">
        <v>154</v>
      </c>
      <c r="E26" s="4" t="s">
        <v>153</v>
      </c>
      <c r="F26" s="4" t="s">
        <v>155</v>
      </c>
      <c r="G26" s="4" t="s">
        <v>229</v>
      </c>
      <c r="H26" s="4" t="s">
        <v>229</v>
      </c>
      <c r="I26" s="4" t="s">
        <v>229</v>
      </c>
      <c r="J26" s="4"/>
    </row>
    <row r="27" spans="1:10" x14ac:dyDescent="0.3">
      <c r="A27" s="10"/>
      <c r="B27" s="11" t="s">
        <v>132</v>
      </c>
      <c r="C27" s="12">
        <v>0</v>
      </c>
      <c r="D27" s="11"/>
      <c r="E27" s="11"/>
      <c r="F27" s="11"/>
      <c r="G27" s="11"/>
      <c r="H27" s="11"/>
      <c r="I27" s="11"/>
      <c r="J27" s="11"/>
    </row>
    <row r="28" spans="1:10" x14ac:dyDescent="0.3">
      <c r="A28" s="13"/>
      <c r="B28" s="14" t="s">
        <v>321</v>
      </c>
      <c r="C28" s="18"/>
      <c r="D28" s="4"/>
      <c r="E28" s="4"/>
      <c r="F28" s="4"/>
      <c r="G28" s="4"/>
      <c r="H28" s="4"/>
      <c r="I28" s="4"/>
      <c r="J28" s="4"/>
    </row>
    <row r="29" spans="1:10" x14ac:dyDescent="0.3">
      <c r="A29" s="13"/>
      <c r="B29" s="54" t="s">
        <v>410</v>
      </c>
      <c r="C29" s="18">
        <v>0</v>
      </c>
      <c r="D29" s="4"/>
      <c r="E29" s="4"/>
      <c r="F29" s="4"/>
      <c r="G29" s="4"/>
      <c r="H29" s="4"/>
      <c r="I29" s="4"/>
      <c r="J29" s="4"/>
    </row>
    <row r="30" spans="1:10" x14ac:dyDescent="0.3">
      <c r="A30" s="10"/>
      <c r="B30" s="11" t="s">
        <v>133</v>
      </c>
      <c r="C30" s="11">
        <v>15</v>
      </c>
      <c r="D30" s="11">
        <v>11.5</v>
      </c>
      <c r="E30" s="11">
        <v>8</v>
      </c>
      <c r="F30" s="11">
        <v>10</v>
      </c>
      <c r="G30" s="11">
        <v>1.5</v>
      </c>
      <c r="H30" s="11">
        <v>1.5</v>
      </c>
      <c r="I30" s="11">
        <v>1.5</v>
      </c>
      <c r="J30" s="11" t="s">
        <v>322</v>
      </c>
    </row>
    <row r="31" spans="1:10" x14ac:dyDescent="0.3">
      <c r="A31" s="13"/>
      <c r="B31" s="14" t="s">
        <v>323</v>
      </c>
      <c r="C31" s="4"/>
      <c r="D31" s="4"/>
      <c r="E31" s="4"/>
      <c r="F31" s="4"/>
      <c r="G31" s="4"/>
      <c r="H31" s="4"/>
      <c r="I31" s="4"/>
      <c r="J31" s="4"/>
    </row>
    <row r="32" spans="1:10" x14ac:dyDescent="0.3">
      <c r="A32" s="10"/>
      <c r="B32" s="11" t="s">
        <v>134</v>
      </c>
      <c r="C32" s="11">
        <v>3</v>
      </c>
      <c r="D32" s="11"/>
      <c r="E32" s="11"/>
      <c r="F32" s="11"/>
      <c r="G32" s="11"/>
      <c r="H32" s="11"/>
      <c r="I32" s="11"/>
      <c r="J32" s="11"/>
    </row>
    <row r="33" spans="1:10" x14ac:dyDescent="0.3">
      <c r="A33" s="13"/>
      <c r="B33" s="4" t="s">
        <v>135</v>
      </c>
      <c r="C33" s="4">
        <v>28</v>
      </c>
      <c r="D33" s="4"/>
      <c r="E33" s="4"/>
      <c r="F33" s="4"/>
      <c r="G33" s="4"/>
      <c r="H33" s="4"/>
      <c r="I33" s="4"/>
      <c r="J33" s="4"/>
    </row>
    <row r="34" spans="1:10" x14ac:dyDescent="0.3">
      <c r="A34" s="10"/>
      <c r="B34" s="11" t="s">
        <v>136</v>
      </c>
      <c r="C34" s="11">
        <v>100</v>
      </c>
      <c r="D34" s="11"/>
      <c r="E34" s="11"/>
      <c r="F34" s="11"/>
      <c r="G34" s="11"/>
      <c r="H34" s="11"/>
      <c r="I34" s="11"/>
      <c r="J34" s="11"/>
    </row>
    <row r="35" spans="1:10" x14ac:dyDescent="0.3">
      <c r="A35" s="13"/>
      <c r="B35" s="4" t="s">
        <v>137</v>
      </c>
      <c r="C35" s="4">
        <v>90</v>
      </c>
      <c r="D35" s="4"/>
      <c r="E35" s="4"/>
      <c r="F35" s="4"/>
      <c r="G35" s="4"/>
      <c r="H35" s="4"/>
      <c r="I35" s="4"/>
      <c r="J35" s="4"/>
    </row>
    <row r="36" spans="1:10" x14ac:dyDescent="0.3">
      <c r="A36" s="10"/>
      <c r="B36" s="11" t="s">
        <v>138</v>
      </c>
      <c r="C36" s="11">
        <v>0</v>
      </c>
      <c r="D36" s="11"/>
      <c r="E36" s="11"/>
      <c r="F36" s="11"/>
      <c r="G36" s="11"/>
      <c r="H36" s="11"/>
      <c r="I36" s="11"/>
      <c r="J36" s="11"/>
    </row>
    <row r="37" spans="1:10" x14ac:dyDescent="0.3">
      <c r="A37" s="13"/>
      <c r="B37" s="4" t="s">
        <v>139</v>
      </c>
      <c r="C37" s="4">
        <v>0</v>
      </c>
      <c r="D37" s="4"/>
      <c r="E37" s="4"/>
      <c r="F37" s="4"/>
      <c r="G37" s="4"/>
      <c r="H37" s="4"/>
      <c r="I37" s="4"/>
      <c r="J37" s="4"/>
    </row>
    <row r="38" spans="1:10" x14ac:dyDescent="0.3">
      <c r="A38" s="10"/>
      <c r="B38" s="11" t="s">
        <v>140</v>
      </c>
      <c r="C38" s="11">
        <v>0</v>
      </c>
      <c r="D38" s="11"/>
      <c r="E38" s="11"/>
      <c r="F38" s="11"/>
      <c r="G38" s="11"/>
      <c r="H38" s="11"/>
      <c r="I38" s="11"/>
      <c r="J38" s="11" t="s">
        <v>315</v>
      </c>
    </row>
    <row r="39" spans="1:10" x14ac:dyDescent="0.3">
      <c r="A39" s="13"/>
      <c r="B39" s="4" t="s">
        <v>141</v>
      </c>
      <c r="C39" s="4">
        <v>4</v>
      </c>
      <c r="D39" s="4"/>
      <c r="E39" s="4"/>
      <c r="F39" s="4"/>
      <c r="G39" s="4"/>
      <c r="H39" s="4"/>
      <c r="I39" s="4"/>
      <c r="J39" s="4" t="s">
        <v>324</v>
      </c>
    </row>
    <row r="40" spans="1:10" x14ac:dyDescent="0.3">
      <c r="A40" s="10"/>
      <c r="B40" s="11" t="s">
        <v>142</v>
      </c>
      <c r="C40" s="11">
        <v>2.2000000000000002</v>
      </c>
      <c r="D40" s="11"/>
      <c r="E40" s="11"/>
      <c r="F40" s="11"/>
      <c r="G40" s="11"/>
      <c r="H40" s="11"/>
      <c r="I40" s="11"/>
      <c r="J40" s="11" t="s">
        <v>325</v>
      </c>
    </row>
    <row r="41" spans="1:10" x14ac:dyDescent="0.3">
      <c r="A41" s="13"/>
      <c r="B41" s="4" t="s">
        <v>143</v>
      </c>
      <c r="C41" s="4">
        <v>3.4</v>
      </c>
      <c r="D41" s="4"/>
      <c r="E41" s="4"/>
      <c r="F41" s="4"/>
      <c r="G41" s="4"/>
      <c r="H41" s="4"/>
      <c r="I41" s="4"/>
      <c r="J41" s="4" t="s">
        <v>326</v>
      </c>
    </row>
    <row r="42" spans="1:10" x14ac:dyDescent="0.3">
      <c r="A42" s="10"/>
      <c r="B42" s="11" t="s">
        <v>144</v>
      </c>
      <c r="C42" s="11">
        <v>15</v>
      </c>
      <c r="D42" s="11"/>
      <c r="E42" s="11"/>
      <c r="F42" s="11"/>
      <c r="G42" s="11"/>
      <c r="H42" s="11"/>
      <c r="I42" s="11"/>
      <c r="J42" s="11" t="s">
        <v>327</v>
      </c>
    </row>
    <row r="43" spans="1:10" x14ac:dyDescent="0.3">
      <c r="A43" s="13"/>
      <c r="B43" s="4" t="s">
        <v>145</v>
      </c>
      <c r="C43" s="19"/>
      <c r="D43" s="4"/>
      <c r="E43" s="4"/>
      <c r="F43" s="4"/>
      <c r="G43" s="4"/>
      <c r="H43" s="4"/>
      <c r="I43" s="4"/>
      <c r="J43" s="4" t="s">
        <v>328</v>
      </c>
    </row>
    <row r="44" spans="1:10" x14ac:dyDescent="0.3">
      <c r="A44" s="15" t="s">
        <v>329</v>
      </c>
      <c r="B44" s="14" t="s">
        <v>330</v>
      </c>
      <c r="C44" s="11"/>
      <c r="D44" s="11"/>
      <c r="E44" s="11"/>
      <c r="F44" s="11"/>
      <c r="G44" s="11"/>
      <c r="H44" s="11"/>
      <c r="I44" s="11"/>
      <c r="J44" s="11"/>
    </row>
    <row r="45" spans="1:10" x14ac:dyDescent="0.3">
      <c r="A45" s="13"/>
      <c r="B45" s="4" t="s">
        <v>146</v>
      </c>
      <c r="C45" s="4" t="s">
        <v>147</v>
      </c>
      <c r="D45" s="4"/>
      <c r="E45" s="4"/>
      <c r="F45" s="4"/>
      <c r="G45" s="4"/>
      <c r="H45" s="4"/>
      <c r="I45" s="4"/>
      <c r="J45" s="4"/>
    </row>
    <row r="46" spans="1:10" x14ac:dyDescent="0.3">
      <c r="A46" s="10"/>
      <c r="B46" s="11" t="s">
        <v>148</v>
      </c>
      <c r="C46" s="11" t="s">
        <v>149</v>
      </c>
      <c r="D46" s="11"/>
      <c r="E46" s="11"/>
      <c r="F46" s="11"/>
      <c r="G46" s="11"/>
      <c r="H46" s="11"/>
      <c r="I46" s="11"/>
      <c r="J46" s="11"/>
    </row>
    <row r="47" spans="1:10" x14ac:dyDescent="0.3">
      <c r="A47" s="15" t="s">
        <v>275</v>
      </c>
      <c r="B47" s="14" t="s">
        <v>106</v>
      </c>
      <c r="C47" s="4"/>
      <c r="D47" s="4"/>
      <c r="E47" s="4"/>
      <c r="F47" s="4"/>
      <c r="G47" s="4"/>
      <c r="H47" s="4"/>
      <c r="I47" s="4"/>
      <c r="J47" s="4"/>
    </row>
    <row r="48" spans="1:10" x14ac:dyDescent="0.3">
      <c r="A48" s="10"/>
      <c r="B48" s="11" t="s">
        <v>150</v>
      </c>
      <c r="C48" s="11"/>
      <c r="D48" s="11"/>
      <c r="E48" s="11"/>
      <c r="F48" s="11"/>
      <c r="G48" s="11"/>
      <c r="H48" s="11"/>
      <c r="I48" s="11"/>
      <c r="J48" s="11"/>
    </row>
    <row r="49" spans="1:10" x14ac:dyDescent="0.3">
      <c r="A49" s="15" t="s">
        <v>276</v>
      </c>
      <c r="B49" s="14" t="s">
        <v>108</v>
      </c>
      <c r="C49" s="4"/>
      <c r="D49" s="4"/>
      <c r="E49" s="4"/>
      <c r="F49" s="4"/>
      <c r="G49" s="4"/>
      <c r="H49" s="4"/>
      <c r="I49" s="4"/>
      <c r="J49" s="4"/>
    </row>
    <row r="50" spans="1:10" x14ac:dyDescent="0.3">
      <c r="A50" s="10"/>
      <c r="B50" s="11" t="s">
        <v>375</v>
      </c>
      <c r="C50" s="11"/>
      <c r="D50" s="11"/>
      <c r="E50" s="11"/>
      <c r="F50" s="11"/>
      <c r="G50" s="11"/>
      <c r="H50" s="11"/>
      <c r="I50" s="11"/>
      <c r="J50" s="11"/>
    </row>
    <row r="51" spans="1:10" x14ac:dyDescent="0.3">
      <c r="A51" s="13"/>
      <c r="B51" s="4" t="s">
        <v>151</v>
      </c>
      <c r="C51" s="4" t="str">
        <f>Printer_Name</f>
        <v>Ender3 Speed 0.6 nozzle PET</v>
      </c>
      <c r="D51" s="4"/>
      <c r="E51" s="4"/>
      <c r="F51" s="4"/>
      <c r="G51" s="4"/>
      <c r="H51" s="4"/>
      <c r="I51" s="4"/>
      <c r="J51" s="4"/>
    </row>
    <row r="52" spans="1:10" x14ac:dyDescent="0.3">
      <c r="A52" s="13"/>
      <c r="B52" s="4" t="s">
        <v>152</v>
      </c>
      <c r="C52" s="4"/>
      <c r="D52" s="4"/>
      <c r="E52" s="4"/>
      <c r="F52" s="4"/>
      <c r="G52" s="4"/>
      <c r="H52" s="4"/>
      <c r="I52" s="4"/>
      <c r="J52" s="4"/>
    </row>
    <row r="53" spans="1:10" x14ac:dyDescent="0.3">
      <c r="A53" s="13"/>
      <c r="B53" s="4" t="s">
        <v>408</v>
      </c>
      <c r="C53" s="4"/>
      <c r="D53" s="4"/>
      <c r="E53" s="4"/>
      <c r="F53" s="4"/>
      <c r="G53" s="4"/>
      <c r="H53" s="4"/>
      <c r="I53" s="4"/>
      <c r="J53" s="4"/>
    </row>
    <row r="54" spans="1:10" x14ac:dyDescent="0.3">
      <c r="A54" s="13"/>
      <c r="B54" s="4" t="s">
        <v>409</v>
      </c>
      <c r="C54" s="4"/>
      <c r="D54" s="4"/>
      <c r="E54" s="4"/>
      <c r="F54" s="4"/>
      <c r="G54" s="4"/>
      <c r="H54" s="4"/>
      <c r="I54" s="4"/>
      <c r="J54" s="4"/>
    </row>
    <row r="55" spans="1:10" x14ac:dyDescent="0.3">
      <c r="A55" s="15" t="s">
        <v>376</v>
      </c>
      <c r="B55" s="14" t="s">
        <v>377</v>
      </c>
      <c r="C55" s="11"/>
      <c r="D55" s="11"/>
      <c r="E55" s="11"/>
      <c r="F55" s="11"/>
      <c r="G55" s="11"/>
      <c r="H55" s="11"/>
      <c r="I55" s="11"/>
      <c r="J55" s="11"/>
    </row>
    <row r="56" spans="1:10" x14ac:dyDescent="0.3">
      <c r="A56" s="13"/>
      <c r="B56" s="4" t="s">
        <v>404</v>
      </c>
      <c r="C56" s="4">
        <v>0</v>
      </c>
      <c r="D56" s="4">
        <v>0.05</v>
      </c>
      <c r="E56" s="4">
        <v>0.08</v>
      </c>
      <c r="F56" s="4"/>
      <c r="G56" s="4"/>
      <c r="H56" s="4"/>
      <c r="I56" s="4"/>
      <c r="J56" s="4"/>
    </row>
    <row r="57" spans="1:10" x14ac:dyDescent="0.3">
      <c r="A57" s="10"/>
      <c r="B57" s="11" t="s">
        <v>160</v>
      </c>
      <c r="C57" s="11">
        <v>0</v>
      </c>
      <c r="D57" s="11"/>
      <c r="E57" s="11">
        <v>0.08</v>
      </c>
      <c r="F57" s="11"/>
      <c r="G57" s="11"/>
      <c r="H57" s="11"/>
      <c r="I57" s="11"/>
      <c r="J57" s="11"/>
    </row>
    <row r="58" spans="1:10" x14ac:dyDescent="0.3">
      <c r="A58" s="13"/>
      <c r="B58" s="4" t="s">
        <v>200</v>
      </c>
      <c r="C58" s="4">
        <v>0.8</v>
      </c>
      <c r="D58" s="4"/>
      <c r="E58" s="4"/>
      <c r="F58" s="4"/>
      <c r="G58" s="4"/>
      <c r="H58" s="4"/>
      <c r="I58" s="4"/>
      <c r="J58" s="4"/>
    </row>
    <row r="59" spans="1:10" x14ac:dyDescent="0.3">
      <c r="A59" s="10"/>
      <c r="B59" s="11" t="s">
        <v>201</v>
      </c>
      <c r="C59" s="11">
        <v>0.4</v>
      </c>
      <c r="D59" s="11"/>
      <c r="E59" s="11"/>
      <c r="F59" s="11"/>
      <c r="G59" s="11"/>
      <c r="H59" s="11"/>
      <c r="I59" s="11"/>
      <c r="J59" s="11"/>
    </row>
    <row r="60" spans="1:10" x14ac:dyDescent="0.3">
      <c r="A60" s="13"/>
      <c r="B60" s="4" t="s">
        <v>204</v>
      </c>
      <c r="C60" s="4">
        <v>35</v>
      </c>
      <c r="D60" s="4"/>
      <c r="E60" s="4">
        <v>25</v>
      </c>
      <c r="F60" s="4"/>
      <c r="G60" s="4"/>
      <c r="H60" s="4"/>
      <c r="I60" s="4"/>
      <c r="J60" s="4"/>
    </row>
    <row r="61" spans="1:10" x14ac:dyDescent="0.3">
      <c r="A61" s="10"/>
      <c r="B61" s="11" t="s">
        <v>205</v>
      </c>
      <c r="C61" s="11">
        <v>35</v>
      </c>
      <c r="D61" s="11"/>
      <c r="E61" s="11">
        <v>20</v>
      </c>
      <c r="F61" s="11"/>
      <c r="G61" s="11"/>
      <c r="H61" s="11"/>
      <c r="I61" s="11"/>
      <c r="J61" s="11"/>
    </row>
    <row r="62" spans="1:10" x14ac:dyDescent="0.3">
      <c r="A62" s="13"/>
      <c r="B62" s="4" t="s">
        <v>206</v>
      </c>
      <c r="C62" s="4">
        <v>0</v>
      </c>
      <c r="D62" s="4"/>
      <c r="E62" s="4"/>
      <c r="F62" s="4"/>
      <c r="G62" s="4"/>
      <c r="H62" s="4"/>
      <c r="I62" s="4"/>
      <c r="J62" s="4"/>
    </row>
    <row r="63" spans="1:10" x14ac:dyDescent="0.3">
      <c r="A63" s="10"/>
      <c r="B63" s="11" t="s">
        <v>207</v>
      </c>
      <c r="C63" s="11">
        <v>1</v>
      </c>
      <c r="D63" s="11"/>
      <c r="E63" s="11"/>
      <c r="F63" s="11"/>
      <c r="G63" s="11"/>
      <c r="H63" s="11"/>
      <c r="I63" s="11"/>
      <c r="J63" s="11"/>
    </row>
    <row r="64" spans="1:10" x14ac:dyDescent="0.3">
      <c r="A64" s="13"/>
      <c r="B64" s="4" t="s">
        <v>208</v>
      </c>
      <c r="C64" s="4">
        <v>1</v>
      </c>
      <c r="D64" s="4"/>
      <c r="E64" s="4"/>
      <c r="F64" s="4"/>
      <c r="G64" s="4"/>
      <c r="H64" s="4"/>
      <c r="I64" s="4"/>
      <c r="J64" s="4"/>
    </row>
    <row r="65" spans="1:10" x14ac:dyDescent="0.3">
      <c r="A65" s="10"/>
      <c r="B65" s="11" t="s">
        <v>209</v>
      </c>
      <c r="C65" s="11">
        <v>1</v>
      </c>
      <c r="D65" s="11"/>
      <c r="E65" s="11"/>
      <c r="F65" s="11"/>
      <c r="G65" s="11"/>
      <c r="H65" s="11"/>
      <c r="I65" s="11"/>
      <c r="J65" s="11"/>
    </row>
    <row r="66" spans="1:10" x14ac:dyDescent="0.3">
      <c r="A66" s="13"/>
      <c r="B66" s="4" t="s">
        <v>401</v>
      </c>
      <c r="C66" s="4">
        <v>0</v>
      </c>
      <c r="D66" s="4"/>
      <c r="E66" s="4"/>
      <c r="F66" s="4"/>
      <c r="G66" s="4"/>
      <c r="H66" s="4"/>
      <c r="I66" s="4"/>
      <c r="J66" s="4"/>
    </row>
    <row r="67" spans="1:10" x14ac:dyDescent="0.3">
      <c r="A67" s="10"/>
      <c r="B67" s="11" t="s">
        <v>402</v>
      </c>
      <c r="C67" s="11">
        <v>0</v>
      </c>
      <c r="D67" s="11"/>
      <c r="E67" s="11"/>
      <c r="F67" s="11"/>
      <c r="G67" s="11"/>
      <c r="H67" s="11"/>
      <c r="I67" s="11"/>
      <c r="J67" s="11"/>
    </row>
    <row r="68" spans="1:10" x14ac:dyDescent="0.3">
      <c r="A68" s="13"/>
      <c r="B68" s="4" t="s">
        <v>210</v>
      </c>
      <c r="C68" s="52">
        <v>80</v>
      </c>
      <c r="D68" s="4"/>
      <c r="E68" s="4"/>
      <c r="F68" s="4"/>
      <c r="G68" s="4"/>
      <c r="H68" s="4"/>
      <c r="I68" s="4"/>
      <c r="J68" s="4"/>
    </row>
    <row r="69" spans="1:10" x14ac:dyDescent="0.3">
      <c r="A69" s="10"/>
      <c r="B69" s="11"/>
      <c r="C69" s="11"/>
      <c r="D69" s="11"/>
      <c r="E69" s="11"/>
      <c r="F69" s="11"/>
      <c r="G69" s="11"/>
      <c r="H69" s="11"/>
      <c r="I69" s="11"/>
      <c r="J69" s="11"/>
    </row>
    <row r="70" spans="1:10" x14ac:dyDescent="0.3">
      <c r="A70" s="13"/>
      <c r="B70" s="4"/>
      <c r="C70" s="4"/>
      <c r="D70" s="4"/>
      <c r="E70" s="4"/>
      <c r="F70" s="4"/>
      <c r="G70" s="4"/>
      <c r="H70" s="4"/>
      <c r="I70" s="4"/>
      <c r="J70" s="4"/>
    </row>
    <row r="71" spans="1:10" x14ac:dyDescent="0.3">
      <c r="A71" s="10"/>
      <c r="B71" s="11"/>
      <c r="C71" s="11"/>
      <c r="D71" s="11"/>
      <c r="E71" s="11"/>
      <c r="F71" s="11"/>
      <c r="G71" s="11"/>
      <c r="H71" s="11"/>
      <c r="I71" s="11"/>
      <c r="J71" s="11"/>
    </row>
    <row r="72" spans="1:10" x14ac:dyDescent="0.3">
      <c r="A72" s="13"/>
      <c r="B72" s="4"/>
      <c r="C72" s="4"/>
      <c r="D72" s="4"/>
      <c r="E72" s="4"/>
      <c r="F72" s="4"/>
      <c r="G72" s="4"/>
      <c r="H72" s="4"/>
      <c r="I72" s="4"/>
      <c r="J72" s="4"/>
    </row>
    <row r="73" spans="1:10" x14ac:dyDescent="0.3">
      <c r="A73" s="10"/>
      <c r="B73" s="11"/>
      <c r="C73" s="11"/>
      <c r="D73" s="11"/>
      <c r="E73" s="11"/>
      <c r="F73" s="11"/>
      <c r="G73" s="11"/>
      <c r="H73" s="11"/>
      <c r="I73" s="11"/>
      <c r="J73" s="11"/>
    </row>
    <row r="74" spans="1:10" x14ac:dyDescent="0.3">
      <c r="A74" s="13"/>
      <c r="B74" s="4"/>
      <c r="C74" s="4"/>
      <c r="D74" s="4"/>
      <c r="E74" s="4"/>
      <c r="F74" s="4"/>
      <c r="G74" s="4"/>
      <c r="H74" s="4"/>
      <c r="I74" s="4"/>
      <c r="J74" s="4"/>
    </row>
    <row r="75" spans="1:10" x14ac:dyDescent="0.3">
      <c r="A75" s="10"/>
      <c r="B75" s="11"/>
      <c r="C75" s="11"/>
      <c r="D75" s="11"/>
      <c r="E75" s="11"/>
      <c r="F75" s="11"/>
      <c r="G75" s="11"/>
      <c r="H75" s="11"/>
      <c r="I75" s="11"/>
      <c r="J75" s="11"/>
    </row>
    <row r="76" spans="1:10" x14ac:dyDescent="0.3">
      <c r="A76" s="13"/>
      <c r="B76" s="4"/>
      <c r="C76" s="4"/>
      <c r="D76" s="4"/>
      <c r="E76" s="4"/>
      <c r="F76" s="4"/>
      <c r="G76" s="4"/>
      <c r="H76" s="4"/>
      <c r="I76" s="4"/>
      <c r="J76" s="4"/>
    </row>
    <row r="77" spans="1:10" x14ac:dyDescent="0.3">
      <c r="A77" s="10"/>
      <c r="B77" s="11"/>
      <c r="C77" s="11"/>
      <c r="D77" s="11"/>
      <c r="E77" s="11"/>
      <c r="F77" s="11"/>
      <c r="G77" s="11"/>
      <c r="H77" s="11"/>
      <c r="I77" s="11"/>
      <c r="J77" s="11"/>
    </row>
    <row r="78" spans="1:10" x14ac:dyDescent="0.3">
      <c r="A78" s="13"/>
      <c r="B78" s="4"/>
      <c r="C78" s="4"/>
      <c r="D78" s="4"/>
      <c r="E78" s="4"/>
      <c r="F78" s="4"/>
      <c r="G78" s="4"/>
      <c r="H78" s="4"/>
      <c r="I78" s="4"/>
      <c r="J78" s="4"/>
    </row>
    <row r="79" spans="1:10" x14ac:dyDescent="0.3">
      <c r="A79" s="10"/>
      <c r="B79" s="11"/>
      <c r="C79" s="11"/>
      <c r="D79" s="11"/>
      <c r="E79" s="11"/>
      <c r="F79" s="11"/>
      <c r="G79" s="11"/>
      <c r="H79" s="11"/>
      <c r="I79" s="11"/>
      <c r="J79" s="11"/>
    </row>
    <row r="80" spans="1:10" x14ac:dyDescent="0.3">
      <c r="A80" s="13"/>
      <c r="B80" s="4"/>
      <c r="C80" s="4"/>
      <c r="D80" s="4"/>
      <c r="E80" s="4"/>
      <c r="F80" s="4"/>
      <c r="G80" s="4"/>
      <c r="H80" s="4"/>
      <c r="I80" s="4"/>
      <c r="J80" s="4"/>
    </row>
    <row r="81" spans="1:10" x14ac:dyDescent="0.3">
      <c r="A81" s="10"/>
      <c r="B81" s="11"/>
      <c r="C81" s="11"/>
      <c r="D81" s="11"/>
      <c r="E81" s="11"/>
      <c r="F81" s="11"/>
      <c r="G81" s="11"/>
      <c r="H81" s="11"/>
      <c r="I81" s="11"/>
      <c r="J81" s="11"/>
    </row>
    <row r="82" spans="1:10" x14ac:dyDescent="0.3">
      <c r="A82" s="13"/>
      <c r="B82" s="4"/>
      <c r="C82" s="4"/>
      <c r="D82" s="4"/>
      <c r="E82" s="4"/>
      <c r="F82" s="4"/>
      <c r="G82" s="4"/>
      <c r="H82" s="4"/>
      <c r="I82" s="4"/>
      <c r="J82" s="4"/>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6AB92-6390-468F-9474-AF9F1CF85D6A}">
  <sheetPr codeName="Sheet3"/>
  <dimension ref="A1:D93"/>
  <sheetViews>
    <sheetView workbookViewId="0">
      <pane ySplit="1" topLeftCell="A89" activePane="bottomLeft" state="frozen"/>
      <selection pane="bottomLeft" activeCell="B93" sqref="B93"/>
    </sheetView>
  </sheetViews>
  <sheetFormatPr defaultRowHeight="14.4" x14ac:dyDescent="0.3"/>
  <cols>
    <col min="1" max="1" width="13.6640625" bestFit="1" customWidth="1"/>
    <col min="2" max="2" width="32.88671875" bestFit="1" customWidth="1"/>
    <col min="3" max="3" width="78.109375" style="1" customWidth="1"/>
    <col min="4" max="4" width="82.33203125" customWidth="1"/>
  </cols>
  <sheetData>
    <row r="1" spans="1:4" ht="15" thickBot="1" x14ac:dyDescent="0.35">
      <c r="A1" s="5" t="s">
        <v>247</v>
      </c>
      <c r="B1" s="6" t="s">
        <v>219</v>
      </c>
      <c r="C1" s="20" t="s">
        <v>354</v>
      </c>
      <c r="D1" s="20" t="s">
        <v>231</v>
      </c>
    </row>
    <row r="2" spans="1:4" ht="15" thickTop="1" x14ac:dyDescent="0.3">
      <c r="A2" s="7" t="s">
        <v>331</v>
      </c>
      <c r="B2" s="8" t="s">
        <v>332</v>
      </c>
      <c r="C2" s="21"/>
      <c r="D2" s="9"/>
    </row>
    <row r="3" spans="1:4" x14ac:dyDescent="0.3">
      <c r="A3" s="10"/>
      <c r="B3" s="11" t="s">
        <v>157</v>
      </c>
      <c r="C3" s="12" t="s">
        <v>158</v>
      </c>
      <c r="D3" s="11"/>
    </row>
    <row r="4" spans="1:4" x14ac:dyDescent="0.3">
      <c r="A4" s="13"/>
      <c r="B4" s="4" t="s">
        <v>159</v>
      </c>
      <c r="C4" s="18">
        <v>250</v>
      </c>
      <c r="D4" s="4"/>
    </row>
    <row r="5" spans="1:4" x14ac:dyDescent="0.3">
      <c r="A5" s="10"/>
      <c r="B5" s="11" t="s">
        <v>160</v>
      </c>
      <c r="C5" s="12" t="str">
        <f>Matchfill(INDEX(filament!$A$1:$J$100,MATCH(B5,filament!$B$1:$B$100,0),MATCH(FILAMENT_NAME,filament!$A$1:$J$1,0)),filament!$C$1)</f>
        <v>0.08</v>
      </c>
      <c r="D5" s="11"/>
    </row>
    <row r="6" spans="1:4" x14ac:dyDescent="0.3">
      <c r="A6" s="13"/>
      <c r="B6" s="14" t="s">
        <v>333</v>
      </c>
      <c r="C6" s="18"/>
      <c r="D6" s="4"/>
    </row>
    <row r="7" spans="1:4" x14ac:dyDescent="0.3">
      <c r="A7" s="10"/>
      <c r="B7" s="11" t="s">
        <v>266</v>
      </c>
      <c r="C7" s="12">
        <v>1</v>
      </c>
      <c r="D7" s="11"/>
    </row>
    <row r="8" spans="1:4" x14ac:dyDescent="0.3">
      <c r="A8" s="13"/>
      <c r="B8" s="4" t="s">
        <v>368</v>
      </c>
      <c r="C8" s="18">
        <v>1</v>
      </c>
      <c r="D8" s="4"/>
    </row>
    <row r="9" spans="1:4" x14ac:dyDescent="0.3">
      <c r="A9" s="10"/>
      <c r="B9" s="11" t="s">
        <v>162</v>
      </c>
      <c r="C9" s="12">
        <v>0</v>
      </c>
      <c r="D9" s="11"/>
    </row>
    <row r="10" spans="1:4" x14ac:dyDescent="0.3">
      <c r="A10" s="13"/>
      <c r="B10" s="14" t="s">
        <v>334</v>
      </c>
      <c r="C10" s="18"/>
      <c r="D10" s="4"/>
    </row>
    <row r="11" spans="1:4" x14ac:dyDescent="0.3">
      <c r="A11" s="10"/>
      <c r="B11" s="11" t="s">
        <v>163</v>
      </c>
      <c r="C11" s="12" t="s">
        <v>164</v>
      </c>
      <c r="D11" s="11"/>
    </row>
    <row r="12" spans="1:4" x14ac:dyDescent="0.3">
      <c r="A12" s="13"/>
      <c r="B12" s="4" t="s">
        <v>349</v>
      </c>
      <c r="C12" s="18" t="s">
        <v>165</v>
      </c>
      <c r="D12" s="4"/>
    </row>
    <row r="13" spans="1:4" x14ac:dyDescent="0.3">
      <c r="A13" s="10"/>
      <c r="B13" s="11" t="s">
        <v>348</v>
      </c>
      <c r="C13" s="22" t="s">
        <v>166</v>
      </c>
      <c r="D13" s="11"/>
    </row>
    <row r="14" spans="1:4" x14ac:dyDescent="0.3">
      <c r="A14" s="13"/>
      <c r="B14" s="4" t="s">
        <v>369</v>
      </c>
      <c r="C14" s="23" t="str">
        <f>C13</f>
        <v>9E097510A4414A4EA0C8B10F8B4824A8</v>
      </c>
      <c r="D14" s="4"/>
    </row>
    <row r="15" spans="1:4" x14ac:dyDescent="0.3">
      <c r="A15" s="10"/>
      <c r="B15" s="14" t="s">
        <v>335</v>
      </c>
      <c r="C15" s="22"/>
      <c r="D15" s="11"/>
    </row>
    <row r="16" spans="1:4" x14ac:dyDescent="0.3">
      <c r="A16" s="13"/>
      <c r="B16" s="4" t="s">
        <v>167</v>
      </c>
      <c r="C16" s="18" t="s">
        <v>168</v>
      </c>
      <c r="D16" s="4"/>
    </row>
    <row r="17" spans="1:4" x14ac:dyDescent="0.3">
      <c r="A17" s="10"/>
      <c r="B17" s="11" t="s">
        <v>169</v>
      </c>
      <c r="C17" s="12">
        <v>0</v>
      </c>
      <c r="D17" s="11"/>
    </row>
    <row r="18" spans="1:4" x14ac:dyDescent="0.3">
      <c r="A18" s="13"/>
      <c r="B18" s="4" t="s">
        <v>170</v>
      </c>
      <c r="C18" s="18">
        <v>0</v>
      </c>
      <c r="D18" s="4"/>
    </row>
    <row r="19" spans="1:4" x14ac:dyDescent="0.3">
      <c r="A19" s="10"/>
      <c r="B19" s="14" t="s">
        <v>246</v>
      </c>
      <c r="C19" s="12"/>
      <c r="D19" s="11"/>
    </row>
    <row r="20" spans="1:4" x14ac:dyDescent="0.3">
      <c r="A20" s="13"/>
      <c r="B20" s="4" t="s">
        <v>171</v>
      </c>
      <c r="C20" s="18">
        <v>1</v>
      </c>
      <c r="D20" s="4"/>
    </row>
    <row r="21" spans="1:4" x14ac:dyDescent="0.3">
      <c r="A21" s="10"/>
      <c r="B21" s="11" t="s">
        <v>172</v>
      </c>
      <c r="C21" s="12">
        <v>0</v>
      </c>
      <c r="D21" s="11"/>
    </row>
    <row r="22" spans="1:4" x14ac:dyDescent="0.3">
      <c r="A22" s="13"/>
      <c r="B22" s="4" t="s">
        <v>173</v>
      </c>
      <c r="C22" s="18">
        <v>0</v>
      </c>
      <c r="D22" s="4"/>
    </row>
    <row r="23" spans="1:4" x14ac:dyDescent="0.3">
      <c r="A23" s="10"/>
      <c r="B23" s="11" t="s">
        <v>174</v>
      </c>
      <c r="C23" s="12">
        <v>1</v>
      </c>
      <c r="D23" s="11"/>
    </row>
    <row r="24" spans="1:4" x14ac:dyDescent="0.3">
      <c r="A24" s="10"/>
      <c r="B24" s="11" t="s">
        <v>404</v>
      </c>
      <c r="C24" s="12" t="str">
        <f>Matchfill(INDEX(filament!$A$1:$J$100,MATCH(B24,filament!$B$1:$B$100,0),MATCH(FILAMENT_NAME,filament!$A$1:$J$1,0)),filament!$C$1)</f>
        <v>0.08</v>
      </c>
      <c r="D24" s="11"/>
    </row>
    <row r="25" spans="1:4" x14ac:dyDescent="0.3">
      <c r="A25" s="10"/>
      <c r="B25" s="11" t="s">
        <v>370</v>
      </c>
      <c r="C25" s="12">
        <v>0</v>
      </c>
      <c r="D25" s="11"/>
    </row>
    <row r="26" spans="1:4" x14ac:dyDescent="0.3">
      <c r="A26" s="10"/>
      <c r="B26" s="11" t="s">
        <v>371</v>
      </c>
      <c r="C26" s="12">
        <v>0</v>
      </c>
      <c r="D26" s="11"/>
    </row>
    <row r="27" spans="1:4" x14ac:dyDescent="0.3">
      <c r="A27" s="13"/>
      <c r="B27" s="4" t="s">
        <v>372</v>
      </c>
      <c r="C27" s="18">
        <v>0</v>
      </c>
      <c r="D27" s="4"/>
    </row>
    <row r="28" spans="1:4" x14ac:dyDescent="0.3">
      <c r="A28" s="10"/>
      <c r="B28" s="11" t="s">
        <v>374</v>
      </c>
      <c r="C28" s="12">
        <v>0</v>
      </c>
      <c r="D28" s="11"/>
    </row>
    <row r="29" spans="1:4" x14ac:dyDescent="0.3">
      <c r="A29" s="13"/>
      <c r="B29" s="4" t="s">
        <v>373</v>
      </c>
      <c r="C29" s="18">
        <v>0</v>
      </c>
      <c r="D29" s="4"/>
    </row>
    <row r="30" spans="1:4" x14ac:dyDescent="0.3">
      <c r="A30" s="15" t="s">
        <v>336</v>
      </c>
      <c r="B30" s="14" t="s">
        <v>338</v>
      </c>
      <c r="C30" s="12"/>
      <c r="D30" s="11"/>
    </row>
    <row r="31" spans="1:4" x14ac:dyDescent="0.3">
      <c r="A31" s="13"/>
      <c r="B31" s="4" t="s">
        <v>180</v>
      </c>
      <c r="C31" s="18">
        <v>150</v>
      </c>
      <c r="D31" s="4"/>
    </row>
    <row r="32" spans="1:4" x14ac:dyDescent="0.3">
      <c r="A32" s="10"/>
      <c r="B32" s="11" t="s">
        <v>181</v>
      </c>
      <c r="C32" s="12">
        <v>150</v>
      </c>
      <c r="D32" s="11"/>
    </row>
    <row r="33" spans="1:4" x14ac:dyDescent="0.3">
      <c r="A33" s="13"/>
      <c r="B33" s="4" t="s">
        <v>182</v>
      </c>
      <c r="C33" s="18">
        <v>5</v>
      </c>
      <c r="D33" s="4"/>
    </row>
    <row r="34" spans="1:4" x14ac:dyDescent="0.3">
      <c r="A34" s="10"/>
      <c r="B34" s="11" t="s">
        <v>183</v>
      </c>
      <c r="C34" s="12">
        <v>100</v>
      </c>
      <c r="D34" s="11"/>
    </row>
    <row r="35" spans="1:4" x14ac:dyDescent="0.3">
      <c r="A35" s="13"/>
      <c r="B35" s="14" t="s">
        <v>339</v>
      </c>
      <c r="C35" s="18"/>
      <c r="D35" s="4"/>
    </row>
    <row r="36" spans="1:4" x14ac:dyDescent="0.3">
      <c r="A36" s="10"/>
      <c r="B36" s="11" t="s">
        <v>184</v>
      </c>
      <c r="C36" s="12">
        <f>MAX_ACCELERATION</f>
        <v>500</v>
      </c>
      <c r="D36" s="11"/>
    </row>
    <row r="37" spans="1:4" x14ac:dyDescent="0.3">
      <c r="A37" s="13"/>
      <c r="B37" s="4" t="s">
        <v>185</v>
      </c>
      <c r="C37" s="12">
        <f>MAX_ACCELERATION</f>
        <v>500</v>
      </c>
      <c r="D37" s="4"/>
    </row>
    <row r="38" spans="1:4" x14ac:dyDescent="0.3">
      <c r="A38" s="10"/>
      <c r="B38" s="11" t="s">
        <v>186</v>
      </c>
      <c r="C38" s="12">
        <v>100</v>
      </c>
      <c r="D38" s="11"/>
    </row>
    <row r="39" spans="1:4" x14ac:dyDescent="0.3">
      <c r="A39" s="13"/>
      <c r="B39" s="4" t="s">
        <v>187</v>
      </c>
      <c r="C39" s="18">
        <f>MAX_ACCELERATION</f>
        <v>500</v>
      </c>
      <c r="D39" s="4"/>
    </row>
    <row r="40" spans="1:4" x14ac:dyDescent="0.3">
      <c r="A40" s="10"/>
      <c r="B40" s="11" t="s">
        <v>188</v>
      </c>
      <c r="C40" s="18">
        <f>MAX_ACCELERATION</f>
        <v>500</v>
      </c>
      <c r="D40" s="11"/>
    </row>
    <row r="41" spans="1:4" x14ac:dyDescent="0.3">
      <c r="A41" s="13"/>
      <c r="B41" s="4" t="s">
        <v>189</v>
      </c>
      <c r="C41" s="18">
        <f>MAX_ACCELERATION</f>
        <v>500</v>
      </c>
      <c r="D41" s="4"/>
    </row>
    <row r="42" spans="1:4" x14ac:dyDescent="0.3">
      <c r="A42" s="10"/>
      <c r="B42" s="14" t="s">
        <v>340</v>
      </c>
      <c r="C42" s="12"/>
      <c r="D42" s="11"/>
    </row>
    <row r="43" spans="1:4" x14ac:dyDescent="0.3">
      <c r="A43" s="13"/>
      <c r="B43" s="4" t="s">
        <v>190</v>
      </c>
      <c r="C43" s="18">
        <v>10</v>
      </c>
      <c r="D43" s="4"/>
    </row>
    <row r="44" spans="1:4" x14ac:dyDescent="0.3">
      <c r="A44" s="10"/>
      <c r="B44" s="11" t="s">
        <v>191</v>
      </c>
      <c r="C44" s="12">
        <v>10</v>
      </c>
      <c r="D44" s="11"/>
    </row>
    <row r="45" spans="1:4" x14ac:dyDescent="0.3">
      <c r="A45" s="13"/>
      <c r="B45" s="4" t="s">
        <v>192</v>
      </c>
      <c r="C45" s="18">
        <v>0.2</v>
      </c>
      <c r="D45" s="4"/>
    </row>
    <row r="46" spans="1:4" x14ac:dyDescent="0.3">
      <c r="A46" s="10"/>
      <c r="B46" s="11" t="s">
        <v>193</v>
      </c>
      <c r="C46" s="12">
        <v>2.5</v>
      </c>
      <c r="D46" s="11"/>
    </row>
    <row r="47" spans="1:4" x14ac:dyDescent="0.3">
      <c r="A47" s="13"/>
      <c r="B47" s="14" t="s">
        <v>341</v>
      </c>
      <c r="C47" s="18"/>
      <c r="D47" s="4"/>
    </row>
    <row r="48" spans="1:4" x14ac:dyDescent="0.3">
      <c r="A48" s="10"/>
      <c r="B48" s="11" t="s">
        <v>194</v>
      </c>
      <c r="C48" s="12">
        <v>0</v>
      </c>
      <c r="D48" s="11"/>
    </row>
    <row r="49" spans="1:4" x14ac:dyDescent="0.3">
      <c r="A49" s="13"/>
      <c r="B49" s="4" t="s">
        <v>195</v>
      </c>
      <c r="C49" s="18">
        <v>0</v>
      </c>
      <c r="D49" s="4"/>
    </row>
    <row r="50" spans="1:4" x14ac:dyDescent="0.3">
      <c r="A50" s="15" t="s">
        <v>337</v>
      </c>
      <c r="B50" s="14" t="s">
        <v>342</v>
      </c>
      <c r="C50" s="12"/>
      <c r="D50" s="11"/>
    </row>
    <row r="51" spans="1:4" x14ac:dyDescent="0.3">
      <c r="A51" s="13"/>
      <c r="B51" s="4" t="s">
        <v>161</v>
      </c>
      <c r="C51" s="18">
        <f>Nozzle_Diameter</f>
        <v>0.6</v>
      </c>
      <c r="D51" s="4"/>
    </row>
    <row r="52" spans="1:4" x14ac:dyDescent="0.3">
      <c r="A52" s="10"/>
      <c r="B52" s="14" t="s">
        <v>343</v>
      </c>
      <c r="C52" s="12"/>
      <c r="D52" s="11"/>
    </row>
    <row r="53" spans="1:4" x14ac:dyDescent="0.3">
      <c r="A53" s="13"/>
      <c r="B53" s="4" t="s">
        <v>196</v>
      </c>
      <c r="C53" s="18">
        <f>Min_Layer_Height</f>
        <v>0.12</v>
      </c>
      <c r="D53" s="4"/>
    </row>
    <row r="54" spans="1:4" x14ac:dyDescent="0.3">
      <c r="A54" s="10"/>
      <c r="B54" s="11" t="s">
        <v>197</v>
      </c>
      <c r="C54" s="12">
        <f>Max_Layer_Height</f>
        <v>0.48</v>
      </c>
      <c r="D54" s="11"/>
    </row>
    <row r="55" spans="1:4" x14ac:dyDescent="0.3">
      <c r="A55" s="13"/>
      <c r="B55" s="14" t="s">
        <v>344</v>
      </c>
      <c r="C55" s="18"/>
      <c r="D55" s="4"/>
    </row>
    <row r="56" spans="1:4" x14ac:dyDescent="0.3">
      <c r="A56" s="10"/>
      <c r="B56" s="11" t="s">
        <v>198</v>
      </c>
      <c r="C56" s="12" t="s">
        <v>199</v>
      </c>
      <c r="D56" s="11"/>
    </row>
    <row r="57" spans="1:4" x14ac:dyDescent="0.3">
      <c r="A57" s="13"/>
      <c r="B57" s="14" t="s">
        <v>345</v>
      </c>
      <c r="C57" s="18"/>
      <c r="D57" s="4"/>
    </row>
    <row r="58" spans="1:4" x14ac:dyDescent="0.3">
      <c r="A58" s="10"/>
      <c r="B58" s="11" t="s">
        <v>200</v>
      </c>
      <c r="C58" s="12" t="str">
        <f>Matchfill(INDEX(filament!$A$1:$J$100,MATCH(B58,filament!$B$1:$B$100,0),MATCH(FILAMENT_NAME,filament!$A$1:$J$1,0)),filament!$C$1)</f>
        <v>0.8</v>
      </c>
      <c r="D58" s="11"/>
    </row>
    <row r="59" spans="1:4" x14ac:dyDescent="0.3">
      <c r="A59" s="13"/>
      <c r="B59" s="4" t="s">
        <v>201</v>
      </c>
      <c r="C59" s="12" t="str">
        <f>Matchfill(INDEX(filament!$A$1:$J$100,MATCH(B59,filament!$B$1:$B$100,0),MATCH(FILAMENT_NAME,filament!$A$1:$J$1,0)),filament!$C$1)</f>
        <v>0.4</v>
      </c>
      <c r="D59" s="4"/>
    </row>
    <row r="60" spans="1:4" x14ac:dyDescent="0.3">
      <c r="A60" s="10"/>
      <c r="B60" s="11" t="s">
        <v>202</v>
      </c>
      <c r="C60" s="12">
        <v>0</v>
      </c>
      <c r="D60" s="11"/>
    </row>
    <row r="61" spans="1:4" x14ac:dyDescent="0.3">
      <c r="A61" s="13"/>
      <c r="B61" s="4" t="s">
        <v>203</v>
      </c>
      <c r="C61" s="12">
        <v>250</v>
      </c>
      <c r="D61" s="4"/>
    </row>
    <row r="62" spans="1:4" x14ac:dyDescent="0.3">
      <c r="A62" s="10"/>
      <c r="B62" s="11" t="s">
        <v>204</v>
      </c>
      <c r="C62" s="12" t="str">
        <f>Matchfill(INDEX(filament!$A$1:$J$100,MATCH(B62,filament!$B$1:$B$100,0),MATCH(FILAMENT_NAME,filament!$A$1:$J$1,0)),filament!$C$1)</f>
        <v>25</v>
      </c>
      <c r="D62" s="11"/>
    </row>
    <row r="63" spans="1:4" x14ac:dyDescent="0.3">
      <c r="A63" s="13"/>
      <c r="B63" s="4" t="s">
        <v>205</v>
      </c>
      <c r="C63" s="12" t="str">
        <f>Matchfill(INDEX(filament!$A$1:$J$100,MATCH(B63,filament!$B$1:$B$100,0),MATCH(FILAMENT_NAME,filament!$A$1:$J$1,0)),filament!$C$1)</f>
        <v>20</v>
      </c>
      <c r="D63" s="4"/>
    </row>
    <row r="64" spans="1:4" x14ac:dyDescent="0.3">
      <c r="A64" s="10"/>
      <c r="B64" s="11" t="s">
        <v>206</v>
      </c>
      <c r="C64" s="12" t="str">
        <f>Matchfill(INDEX(filament!$A$1:$J$100,MATCH(B64,filament!$B$1:$B$100,0),MATCH(FILAMENT_NAME,filament!$A$1:$J$1,0)),filament!$C$1)</f>
        <v>0</v>
      </c>
      <c r="D64" s="11"/>
    </row>
    <row r="65" spans="1:4" x14ac:dyDescent="0.3">
      <c r="A65" s="13"/>
      <c r="B65" s="4" t="s">
        <v>207</v>
      </c>
      <c r="C65" s="12" t="str">
        <f>Matchfill(INDEX(filament!$A$1:$J$100,MATCH(B65,filament!$B$1:$B$100,0),MATCH(FILAMENT_NAME,filament!$A$1:$J$1,0)),filament!$C$1)</f>
        <v>1</v>
      </c>
      <c r="D65" s="4"/>
    </row>
    <row r="66" spans="1:4" x14ac:dyDescent="0.3">
      <c r="A66" s="10"/>
      <c r="B66" s="11" t="s">
        <v>208</v>
      </c>
      <c r="C66" s="12" t="str">
        <f>Matchfill(INDEX(filament!$A$1:$J$100,MATCH(B66,filament!$B$1:$B$100,0),MATCH(FILAMENT_NAME,filament!$A$1:$J$1,0)),filament!$C$1)</f>
        <v>1</v>
      </c>
      <c r="D66" s="11"/>
    </row>
    <row r="67" spans="1:4" x14ac:dyDescent="0.3">
      <c r="A67" s="13"/>
      <c r="B67" s="4" t="s">
        <v>209</v>
      </c>
      <c r="C67" s="12" t="str">
        <f>Matchfill(INDEX(filament!$A$1:$J$100,MATCH(B67,filament!$B$1:$B$100,0),MATCH(FILAMENT_NAME,filament!$A$1:$J$1,0)),filament!$C$1)</f>
        <v>1</v>
      </c>
      <c r="D67" s="4"/>
    </row>
    <row r="68" spans="1:4" x14ac:dyDescent="0.3">
      <c r="A68" s="10"/>
      <c r="B68" s="11" t="s">
        <v>401</v>
      </c>
      <c r="C68" s="12" t="str">
        <f>Matchfill(INDEX(filament!$A$1:$J$100,MATCH(B68,filament!$B$1:$B$100,0),MATCH(FILAMENT_NAME,filament!$A$1:$J$1,0)),filament!$C$1)</f>
        <v>0</v>
      </c>
      <c r="D68" s="11"/>
    </row>
    <row r="69" spans="1:4" x14ac:dyDescent="0.3">
      <c r="A69" s="13"/>
      <c r="B69" s="4" t="s">
        <v>402</v>
      </c>
      <c r="C69" s="12" t="str">
        <f>Matchfill(INDEX(filament!$A$1:$J$100,MATCH(B69,filament!$B$1:$B$100,0),MATCH(FILAMENT_NAME,filament!$A$1:$J$1,0)),filament!$C$1)</f>
        <v>0</v>
      </c>
      <c r="D69" s="4"/>
    </row>
    <row r="70" spans="1:4" x14ac:dyDescent="0.3">
      <c r="A70" s="10"/>
      <c r="B70" s="11" t="s">
        <v>210</v>
      </c>
      <c r="C70" s="53" t="str">
        <f>Matchfill(INDEX(filament!$A$1:$J$100,MATCH(B70,filament!$B$1:$B$100,0),MATCH(FILAMENT_NAME,filament!$A$1:$J$1,0)),filament!$C$1) &amp; "%"</f>
        <v>80%</v>
      </c>
      <c r="D70" s="11"/>
    </row>
    <row r="71" spans="1:4" x14ac:dyDescent="0.3">
      <c r="A71" s="13"/>
      <c r="B71" s="14" t="s">
        <v>346</v>
      </c>
      <c r="C71" s="24"/>
      <c r="D71" s="4"/>
    </row>
    <row r="72" spans="1:4" x14ac:dyDescent="0.3">
      <c r="A72" s="10"/>
      <c r="B72" s="11" t="s">
        <v>211</v>
      </c>
      <c r="C72" s="12">
        <v>0</v>
      </c>
      <c r="D72" s="11"/>
    </row>
    <row r="73" spans="1:4" x14ac:dyDescent="0.3">
      <c r="A73" s="13"/>
      <c r="B73" s="4" t="s">
        <v>212</v>
      </c>
      <c r="C73" s="18">
        <v>0</v>
      </c>
      <c r="D73" s="4"/>
    </row>
    <row r="74" spans="1:4" x14ac:dyDescent="0.3">
      <c r="A74" s="10"/>
      <c r="B74" s="14" t="s">
        <v>347</v>
      </c>
      <c r="C74" s="12"/>
      <c r="D74" s="11"/>
    </row>
    <row r="75" spans="1:4" x14ac:dyDescent="0.3">
      <c r="A75" s="13"/>
      <c r="B75" s="4" t="s">
        <v>213</v>
      </c>
      <c r="C75" s="18" t="s">
        <v>214</v>
      </c>
      <c r="D75" s="4"/>
    </row>
    <row r="76" spans="1:4" x14ac:dyDescent="0.3">
      <c r="A76" s="15" t="s">
        <v>275</v>
      </c>
      <c r="B76" s="14" t="s">
        <v>106</v>
      </c>
      <c r="C76" s="12"/>
      <c r="D76" s="11"/>
    </row>
    <row r="77" spans="1:4" ht="43.2" x14ac:dyDescent="0.3">
      <c r="A77" s="13"/>
      <c r="B77" s="4" t="s">
        <v>230</v>
      </c>
      <c r="C77" s="25"/>
      <c r="D77" s="19" t="s">
        <v>405</v>
      </c>
    </row>
    <row r="78" spans="1:4" x14ac:dyDescent="0.3">
      <c r="A78" s="15" t="s">
        <v>276</v>
      </c>
      <c r="B78" s="11"/>
      <c r="C78" s="12"/>
      <c r="D78" s="11"/>
    </row>
    <row r="79" spans="1:4" x14ac:dyDescent="0.3">
      <c r="A79" s="13"/>
      <c r="B79" s="4" t="s">
        <v>218</v>
      </c>
      <c r="C79" s="18"/>
      <c r="D79" s="4"/>
    </row>
    <row r="80" spans="1:4" x14ac:dyDescent="0.3">
      <c r="A80" s="10"/>
      <c r="B80" s="11" t="s">
        <v>217</v>
      </c>
      <c r="C80" s="12"/>
      <c r="D80" s="11"/>
    </row>
    <row r="81" spans="1:4" x14ac:dyDescent="0.3">
      <c r="A81" s="13"/>
      <c r="B81" s="4" t="s">
        <v>216</v>
      </c>
      <c r="C81" s="18">
        <f>C51</f>
        <v>0.6</v>
      </c>
      <c r="D81" s="4"/>
    </row>
    <row r="82" spans="1:4" x14ac:dyDescent="0.3">
      <c r="A82" s="10"/>
      <c r="B82" s="11" t="s">
        <v>350</v>
      </c>
      <c r="C82" s="12" t="s">
        <v>354</v>
      </c>
      <c r="D82" s="11"/>
    </row>
    <row r="83" spans="1:4" x14ac:dyDescent="0.3">
      <c r="A83" s="13"/>
      <c r="B83" s="4" t="s">
        <v>215</v>
      </c>
      <c r="C83" s="18"/>
      <c r="D83" s="4"/>
    </row>
    <row r="84" spans="1:4" x14ac:dyDescent="0.3">
      <c r="A84" s="10"/>
      <c r="B84" s="11" t="s">
        <v>351</v>
      </c>
      <c r="C84" s="12"/>
      <c r="D84" s="11"/>
    </row>
    <row r="85" spans="1:4" x14ac:dyDescent="0.3">
      <c r="A85" s="13"/>
      <c r="B85" s="4" t="s">
        <v>352</v>
      </c>
      <c r="C85" s="18"/>
      <c r="D85" s="4"/>
    </row>
    <row r="86" spans="1:4" x14ac:dyDescent="0.3">
      <c r="A86" s="10"/>
      <c r="B86" s="11" t="s">
        <v>353</v>
      </c>
      <c r="C86" s="12">
        <v>250000</v>
      </c>
      <c r="D86" s="11"/>
    </row>
    <row r="87" spans="1:4" x14ac:dyDescent="0.3">
      <c r="A87" s="13" t="s">
        <v>329</v>
      </c>
      <c r="B87" s="4" t="s">
        <v>330</v>
      </c>
      <c r="C87" s="18"/>
      <c r="D87" s="4"/>
    </row>
    <row r="88" spans="1:4" ht="374.4" x14ac:dyDescent="0.3">
      <c r="A88" s="10"/>
      <c r="B88" s="11" t="s">
        <v>175</v>
      </c>
      <c r="C88" s="26" t="str">
        <f>GetStartGcode(pressure_advance_klipper)</f>
        <v xml:space="preserve">; Ender 3 Custom Start G-code
; begin heating bed
M140 S[first_layer_bed_temperature]
G28 ; Home all axes
; begin heating nozzle
M104 S[first_layer_temperature]
; Wait for bed temp
M190 S[first_layer_bed_temperature]
; Wait for nozzle temp
M109 S[first_layer_temperature]
G21 ; set units to millimeters
G90 ; use absolute coordinates
G92 E0 ; Reset Extruder
M900 K0.08 ; Klipper pressure advance
G1 Z2.0 F3000 ; Move Z Axis up little to prevent scratching of Heat Bed
G1 X0.1 Y20 Z0.3 F5000.0 ; Move to start position
G1 X0.1 Y200.0 Z0.3 F1500.0 E15 ; Draw the first line
G1 X0.4 Y200.0 Z0.3 F5000.0 ; Move to side a little
G1 X0.4 Y20 Z0.3 F1500.0 E30 ; Draw the second line
G1 X0.7 Y20 Z0.3 F5000.0 ; Move to side a little
G1 X0.7 Y200.0 Z0.3 F1500.0 E15 ; Draw the third line
G92 E0 ; Reset Extruder
G1 X20 Z2.0 F3000 ; Move Z Axis up little to prevent scratching of Heat Bed
; End of custom start GCode
; printing object STARTGCODE
</v>
      </c>
      <c r="D88" s="11"/>
    </row>
    <row r="89" spans="1:4" ht="216" x14ac:dyDescent="0.3">
      <c r="A89" s="13"/>
      <c r="B89" s="4" t="s">
        <v>176</v>
      </c>
      <c r="C89" s="27" t="str">
        <f>GetEnd_Gcode()</f>
        <v xml:space="preserve">; printing object ENDGCODE
; Ender 3 Custom End G-code
G4 ; Wait
M220 S100 ; Reset Speed factor override percentage to default (100%)
M221 S100 ; Reset Extrude factor override percentage to default (100%)
G91 ; Set coordinates to relative
G1 F1800 E-3 ; Retract filament 3 mm to prevent oozing
M140 S0 ; Set Bed Temperature to zero
M104 S0 ; Set Extruder Temperature to zero
G1 F3000 Z20 ; Move Z Axis up 20 mm to allow filament ooze freely
G90 ; Set coordinates to absolute
G1 X0 Y235 F1000 ; Move Heat Bed to the front for easy print removal
M84 ; Disable stepper motors
; End of custom end GCode
</v>
      </c>
      <c r="D89" s="4"/>
    </row>
    <row r="90" spans="1:4" ht="72" x14ac:dyDescent="0.3">
      <c r="A90" s="10"/>
      <c r="B90" s="11" t="s">
        <v>177</v>
      </c>
      <c r="C90" s="28" t="str">
        <f>GetBefore_Layer_Gcode()</f>
        <v xml:space="preserve">;BEFORE_LAYER_CHANGE
;Layer [layer_num]
;[layer_z]mm
;Printing layer [layer_num] at [layer_z]mm
</v>
      </c>
      <c r="D90" s="11"/>
    </row>
    <row r="91" spans="1:4" ht="72" x14ac:dyDescent="0.3">
      <c r="A91" s="13"/>
      <c r="B91" s="4" t="s">
        <v>178</v>
      </c>
      <c r="C91" s="27" t="str">
        <f>GetAfter_Layer_Gcode()</f>
        <v xml:space="preserve">;AFTER_LAYER_CHANGE
;Layer [layer_num]
;[layer_z]mm
;Printing layer [layer_num] at [layer_z]mm
</v>
      </c>
      <c r="D91" s="4"/>
    </row>
    <row r="92" spans="1:4" x14ac:dyDescent="0.3">
      <c r="A92" s="10"/>
      <c r="B92" s="11" t="s">
        <v>179</v>
      </c>
      <c r="C92" s="12"/>
      <c r="D92" s="11"/>
    </row>
    <row r="93" spans="1:4" x14ac:dyDescent="0.3">
      <c r="A93" s="13"/>
      <c r="B93" s="4" t="s">
        <v>220</v>
      </c>
      <c r="C93" s="18"/>
      <c r="D93" s="4"/>
    </row>
  </sheetData>
  <pageMargins left="0.7" right="0.7" top="0.75" bottom="0.75" header="0.3" footer="0.3"/>
  <pageSetup orientation="portrait" horizontalDpi="300" verticalDpi="300" r:id="rId1"/>
</worksheet>
</file>

<file path=customUI/customUI14.xml><?xml version="1.0" encoding="utf-8"?>
<customUI xmlns="http://schemas.microsoft.com/office/2009/07/customui">
  <ribbon startFromScratch="false">
    <tabs>
      <tab id="slic3rTab" label="Slic3r">
        <group id="slic3rGroup" label="Profile Generator">
          <button id="generateProfiles" label="Generate Profiles" imageMso="EditConnectedSystem" size="large" onAction="generateProfiles"/>
          <button id="openFolder" label="Open Folder" imageMso="ContentFolderMenu" size="large" onAction="openFolder"/>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11</vt:i4>
      </vt:variant>
    </vt:vector>
  </HeadingPairs>
  <TitlesOfParts>
    <vt:vector size="17" baseType="lpstr">
      <vt:lpstr>spec</vt:lpstr>
      <vt:lpstr>print</vt:lpstr>
      <vt:lpstr>print_PLA</vt:lpstr>
      <vt:lpstr>print_PET</vt:lpstr>
      <vt:lpstr>filament</vt:lpstr>
      <vt:lpstr>printer</vt:lpstr>
      <vt:lpstr>APPDATA_FOLDER</vt:lpstr>
      <vt:lpstr>FILAMENT_NAME</vt:lpstr>
      <vt:lpstr>MAX_ACCELERATION</vt:lpstr>
      <vt:lpstr>Max_Layer_Height</vt:lpstr>
      <vt:lpstr>MIN_BOTTOM_THICKNESS</vt:lpstr>
      <vt:lpstr>Min_Layer_Height</vt:lpstr>
      <vt:lpstr>MIN_TOP_THICKNESS</vt:lpstr>
      <vt:lpstr>MIN_WALL_THICKNESS</vt:lpstr>
      <vt:lpstr>Nozzle_Diameter</vt:lpstr>
      <vt:lpstr>pressure_advance_klipper</vt:lpstr>
      <vt:lpstr>Printer_Name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Kannan Krishnamoorthy</dc:creator>
  <cp:lastModifiedBy>Kannan Krishnamoorthy</cp:lastModifiedBy>
  <dcterms:created xsi:type="dcterms:W3CDTF">2019-04-01T16:45:55Z</dcterms:created>
  <dcterms:modified xsi:type="dcterms:W3CDTF">2019-05-09T20:13:22Z</dcterms:modified>
</cp:coreProperties>
</file>