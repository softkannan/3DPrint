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_BMG_DD\"/>
    </mc:Choice>
  </mc:AlternateContent>
  <xr:revisionPtr revIDLastSave="0" documentId="13_ncr:1_{FA6B421D-6DFD-4C2A-A1D2-37034C48A586}" xr6:coauthVersionLast="43" xr6:coauthVersionMax="43" xr10:uidLastSave="{00000000-0000-0000-0000-000000000000}"/>
  <bookViews>
    <workbookView xWindow="-120" yWindow="-120" windowWidth="29040" windowHeight="15840" activeTab="3" xr2:uid="{E8DF9499-C68D-4AF3-B2AA-BB8266EB0F5B}"/>
  </bookViews>
  <sheets>
    <sheet name="spec" sheetId="6" r:id="rId1"/>
    <sheet name="print" sheetId="2" r:id="rId2"/>
    <sheet name="print_PLA" sheetId="10" r:id="rId3"/>
    <sheet name="print_PET" sheetId="7" r:id="rId4"/>
    <sheet name="filament" sheetId="3" r:id="rId5"/>
    <sheet name="printer" sheetId="5" r:id="rId6"/>
  </sheets>
  <functionGroups builtInGroupCount="19"/>
  <definedNames>
    <definedName name="APPDATA_FOLDER">spec!$B$9</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5" i="7" l="1"/>
  <c r="C86" i="7"/>
  <c r="C28" i="7"/>
  <c r="C135" i="2"/>
  <c r="C28" i="2"/>
  <c r="C28" i="10"/>
  <c r="C86" i="10"/>
  <c r="C135" i="10"/>
  <c r="C86" i="2"/>
  <c r="I7" i="6" l="1"/>
  <c r="J7" i="6"/>
  <c r="K7" i="6"/>
  <c r="L7" i="6"/>
  <c r="M7" i="6"/>
  <c r="N7" i="6"/>
  <c r="O7" i="6"/>
  <c r="P7" i="6"/>
  <c r="I6" i="6"/>
  <c r="J6" i="6"/>
  <c r="K6" i="6"/>
  <c r="L6" i="6"/>
  <c r="M6" i="6"/>
  <c r="N6" i="6"/>
  <c r="O6" i="6"/>
  <c r="P6" i="6"/>
  <c r="I5" i="6"/>
  <c r="J5" i="6"/>
  <c r="K5" i="6"/>
  <c r="L5" i="6"/>
  <c r="M5" i="6"/>
  <c r="N5" i="6"/>
  <c r="O5" i="6"/>
  <c r="P5" i="6"/>
  <c r="I4" i="6"/>
  <c r="J4" i="6"/>
  <c r="K4" i="6"/>
  <c r="L4" i="6"/>
  <c r="M4" i="6"/>
  <c r="N4" i="6"/>
  <c r="O4" i="6"/>
  <c r="P4" i="6"/>
  <c r="I3" i="6"/>
  <c r="J3" i="6"/>
  <c r="K3" i="6"/>
  <c r="L3" i="6"/>
  <c r="M3" i="6"/>
  <c r="N3" i="6"/>
  <c r="O3" i="6"/>
  <c r="P3" i="6"/>
  <c r="I2" i="6"/>
  <c r="J2" i="6"/>
  <c r="K2" i="6"/>
  <c r="L2" i="6"/>
  <c r="M2" i="6"/>
  <c r="N2" i="6"/>
  <c r="O2" i="6"/>
  <c r="P2" i="6"/>
  <c r="H3" i="6"/>
  <c r="H4" i="6"/>
  <c r="H5" i="6"/>
  <c r="H6" i="6"/>
  <c r="H7" i="6"/>
  <c r="H2" i="6"/>
  <c r="C89" i="5"/>
  <c r="L133" i="10" l="1"/>
  <c r="K133" i="10"/>
  <c r="J133" i="10"/>
  <c r="I133" i="10"/>
  <c r="H133" i="10"/>
  <c r="G133" i="10"/>
  <c r="F133" i="10"/>
  <c r="E133" i="10"/>
  <c r="D133" i="10"/>
  <c r="L132" i="10"/>
  <c r="K132" i="10"/>
  <c r="J132" i="10"/>
  <c r="I132" i="10"/>
  <c r="H132" i="10"/>
  <c r="G132" i="10"/>
  <c r="F132" i="10"/>
  <c r="E132" i="10"/>
  <c r="D132" i="10"/>
  <c r="L131" i="10"/>
  <c r="K131" i="10"/>
  <c r="J131" i="10"/>
  <c r="I131" i="10"/>
  <c r="H131" i="10"/>
  <c r="G131" i="10"/>
  <c r="F131" i="10"/>
  <c r="E131" i="10"/>
  <c r="D131" i="10"/>
  <c r="L130" i="10"/>
  <c r="K130" i="10"/>
  <c r="J130" i="10"/>
  <c r="I130" i="10"/>
  <c r="H130" i="10"/>
  <c r="G130" i="10"/>
  <c r="F130" i="10"/>
  <c r="E130" i="10"/>
  <c r="D130" i="10"/>
  <c r="L129" i="10"/>
  <c r="K129" i="10"/>
  <c r="J129" i="10"/>
  <c r="I129" i="10"/>
  <c r="H129" i="10"/>
  <c r="G129" i="10"/>
  <c r="F129" i="10"/>
  <c r="E129" i="10"/>
  <c r="D129" i="10"/>
  <c r="L128" i="10"/>
  <c r="K128" i="10"/>
  <c r="J128" i="10"/>
  <c r="I128" i="10"/>
  <c r="H128" i="10"/>
  <c r="G128" i="10"/>
  <c r="F128" i="10"/>
  <c r="E128" i="10"/>
  <c r="D128" i="10"/>
  <c r="L127" i="10"/>
  <c r="K127" i="10"/>
  <c r="J127" i="10"/>
  <c r="I127" i="10"/>
  <c r="H127" i="10"/>
  <c r="G127" i="10"/>
  <c r="F127" i="10"/>
  <c r="E127" i="10"/>
  <c r="D127" i="10"/>
  <c r="L126" i="10"/>
  <c r="K126" i="10"/>
  <c r="J126" i="10"/>
  <c r="I126" i="10"/>
  <c r="H126" i="10"/>
  <c r="G126" i="10"/>
  <c r="F126" i="10"/>
  <c r="E126" i="10"/>
  <c r="D126" i="10"/>
  <c r="L125" i="10"/>
  <c r="K125" i="10"/>
  <c r="J125" i="10"/>
  <c r="I125" i="10"/>
  <c r="H125" i="10"/>
  <c r="G125" i="10"/>
  <c r="F125" i="10"/>
  <c r="E125" i="10"/>
  <c r="D125" i="10"/>
  <c r="C98" i="10"/>
  <c r="C97" i="10"/>
  <c r="C96" i="10"/>
  <c r="C95" i="10"/>
  <c r="C94" i="10"/>
  <c r="L85" i="10"/>
  <c r="K85" i="10"/>
  <c r="J85" i="10"/>
  <c r="I85" i="10"/>
  <c r="H85" i="10"/>
  <c r="G85" i="10"/>
  <c r="F85" i="10"/>
  <c r="E85" i="10"/>
  <c r="D85" i="10"/>
  <c r="L82" i="10"/>
  <c r="K82" i="10"/>
  <c r="J82" i="10"/>
  <c r="I82" i="10"/>
  <c r="H82" i="10"/>
  <c r="G82" i="10"/>
  <c r="F82" i="10"/>
  <c r="E82" i="10"/>
  <c r="D82" i="10"/>
  <c r="L79" i="10"/>
  <c r="L83" i="10" s="1"/>
  <c r="K79" i="10"/>
  <c r="K81" i="10" s="1"/>
  <c r="J79" i="10"/>
  <c r="J81" i="10" s="1"/>
  <c r="I79" i="10"/>
  <c r="I83" i="10" s="1"/>
  <c r="H79" i="10"/>
  <c r="H83" i="10" s="1"/>
  <c r="G79" i="10"/>
  <c r="G81" i="10" s="1"/>
  <c r="F79" i="10"/>
  <c r="F81" i="10" s="1"/>
  <c r="E79" i="10"/>
  <c r="E83" i="10" s="1"/>
  <c r="D79" i="10"/>
  <c r="D83" i="10" s="1"/>
  <c r="C50" i="10"/>
  <c r="C40" i="10"/>
  <c r="D81" i="10" l="1"/>
  <c r="D84" i="10" s="1"/>
  <c r="E81" i="10"/>
  <c r="H81" i="10"/>
  <c r="H84" i="10" s="1"/>
  <c r="I81" i="10"/>
  <c r="L81" i="10"/>
  <c r="L84" i="10" s="1"/>
  <c r="F87" i="10"/>
  <c r="F84" i="10"/>
  <c r="F80" i="10"/>
  <c r="F88" i="10" s="1"/>
  <c r="J87" i="10"/>
  <c r="J84" i="10"/>
  <c r="J80" i="10"/>
  <c r="J88" i="10" s="1"/>
  <c r="G84" i="10"/>
  <c r="G80" i="10"/>
  <c r="G88" i="10" s="1"/>
  <c r="G87" i="10"/>
  <c r="K84" i="10"/>
  <c r="K80" i="10"/>
  <c r="K88" i="10" s="1"/>
  <c r="K87" i="10"/>
  <c r="F83" i="10"/>
  <c r="J83" i="10"/>
  <c r="G83" i="10"/>
  <c r="K83" i="10"/>
  <c r="D87" i="10"/>
  <c r="H87" i="10"/>
  <c r="L87" i="10"/>
  <c r="D80" i="10"/>
  <c r="D88" i="10" s="1"/>
  <c r="E85" i="2"/>
  <c r="F85" i="2"/>
  <c r="G85" i="2"/>
  <c r="H85" i="2"/>
  <c r="I85" i="2"/>
  <c r="J85" i="2"/>
  <c r="K85" i="2"/>
  <c r="L85" i="2"/>
  <c r="D85" i="2"/>
  <c r="E79" i="2"/>
  <c r="F79" i="2"/>
  <c r="G79" i="2"/>
  <c r="H79" i="2"/>
  <c r="I79" i="2"/>
  <c r="J79" i="2"/>
  <c r="K79" i="2"/>
  <c r="L79" i="2"/>
  <c r="D79" i="2"/>
  <c r="E79" i="7"/>
  <c r="F79" i="7"/>
  <c r="G79" i="7"/>
  <c r="H79" i="7"/>
  <c r="I79" i="7"/>
  <c r="J79" i="7"/>
  <c r="K79" i="7"/>
  <c r="L79" i="7"/>
  <c r="D79" i="7"/>
  <c r="E85" i="7"/>
  <c r="F85" i="7"/>
  <c r="G85" i="7"/>
  <c r="H85" i="7"/>
  <c r="I85" i="7"/>
  <c r="J85" i="7"/>
  <c r="K85" i="7"/>
  <c r="L85" i="7"/>
  <c r="D85" i="7"/>
  <c r="L80" i="10" l="1"/>
  <c r="L88" i="10" s="1"/>
  <c r="H83" i="2"/>
  <c r="H81" i="2"/>
  <c r="I83" i="2"/>
  <c r="I81" i="2"/>
  <c r="F83" i="2"/>
  <c r="F81" i="2"/>
  <c r="D81" i="2"/>
  <c r="D83" i="2"/>
  <c r="E81" i="2"/>
  <c r="E83" i="2"/>
  <c r="G83" i="2"/>
  <c r="G81" i="2"/>
  <c r="L81" i="2"/>
  <c r="L83" i="2"/>
  <c r="I87" i="10"/>
  <c r="I84" i="10"/>
  <c r="I80" i="10"/>
  <c r="I88" i="10" s="1"/>
  <c r="K83" i="2"/>
  <c r="K81" i="2"/>
  <c r="J83" i="2"/>
  <c r="J81" i="2"/>
  <c r="H80" i="10"/>
  <c r="H88" i="10" s="1"/>
  <c r="E87" i="10"/>
  <c r="E84" i="10"/>
  <c r="E80" i="10"/>
  <c r="E88" i="10" s="1"/>
  <c r="L81" i="7"/>
  <c r="L80" i="7" s="1"/>
  <c r="L88" i="7" s="1"/>
  <c r="L87" i="7"/>
  <c r="L84" i="7"/>
  <c r="K84" i="7"/>
  <c r="K81" i="7"/>
  <c r="K80" i="7" s="1"/>
  <c r="K88" i="7" s="1"/>
  <c r="K87" i="7"/>
  <c r="J84" i="7"/>
  <c r="J87" i="7"/>
  <c r="J81" i="7"/>
  <c r="J80" i="7" s="1"/>
  <c r="J88" i="7" s="1"/>
  <c r="I84" i="7"/>
  <c r="I87" i="7"/>
  <c r="I81" i="7"/>
  <c r="I80" i="7" s="1"/>
  <c r="I88" i="7" s="1"/>
  <c r="H84" i="7"/>
  <c r="H81" i="7"/>
  <c r="H80" i="7" s="1"/>
  <c r="H88" i="7" s="1"/>
  <c r="H87" i="7"/>
  <c r="G84" i="7"/>
  <c r="G81" i="7"/>
  <c r="G80" i="7" s="1"/>
  <c r="G88" i="7" s="1"/>
  <c r="G87" i="7"/>
  <c r="F84" i="7"/>
  <c r="F87" i="7"/>
  <c r="F81" i="7"/>
  <c r="F80" i="7" s="1"/>
  <c r="F88" i="7" s="1"/>
  <c r="E84" i="7"/>
  <c r="E81" i="7"/>
  <c r="E80" i="7" s="1"/>
  <c r="E88" i="7" s="1"/>
  <c r="E87" i="7"/>
  <c r="D87" i="7"/>
  <c r="D81" i="7"/>
  <c r="D80" i="7" s="1"/>
  <c r="D88" i="7" s="1"/>
  <c r="D84" i="7"/>
  <c r="D83" i="7"/>
  <c r="E83" i="7" s="1"/>
  <c r="F83" i="7" s="1"/>
  <c r="G83" i="7" s="1"/>
  <c r="H83" i="7" s="1"/>
  <c r="I83" i="7" s="1"/>
  <c r="J83" i="7" s="1"/>
  <c r="K83" i="7" s="1"/>
  <c r="L83" i="7" s="1"/>
  <c r="B4" i="6"/>
  <c r="C158" i="10" s="1"/>
  <c r="C98" i="7"/>
  <c r="C97" i="7"/>
  <c r="C96" i="7"/>
  <c r="C95" i="7"/>
  <c r="C94" i="7"/>
  <c r="C50" i="7"/>
  <c r="C40" i="7"/>
  <c r="C91" i="5"/>
  <c r="C90" i="5"/>
  <c r="C58" i="5"/>
  <c r="C24" i="5"/>
  <c r="C88" i="5" s="1"/>
  <c r="D80" i="2" l="1"/>
  <c r="D88" i="2" s="1"/>
  <c r="D84" i="2"/>
  <c r="D87" i="2"/>
  <c r="J87" i="2"/>
  <c r="J84" i="2"/>
  <c r="J80" i="2"/>
  <c r="J88" i="2" s="1"/>
  <c r="L80" i="2"/>
  <c r="L88" i="2" s="1"/>
  <c r="L87" i="2"/>
  <c r="L84" i="2"/>
  <c r="F80" i="2"/>
  <c r="F88" i="2" s="1"/>
  <c r="F84" i="2"/>
  <c r="F87" i="2"/>
  <c r="G84" i="2"/>
  <c r="G87" i="2"/>
  <c r="G80" i="2"/>
  <c r="G88" i="2" s="1"/>
  <c r="I87" i="2"/>
  <c r="I84" i="2"/>
  <c r="I80" i="2"/>
  <c r="I88" i="2" s="1"/>
  <c r="K80" i="2"/>
  <c r="K88" i="2" s="1"/>
  <c r="K87" i="2"/>
  <c r="K84" i="2"/>
  <c r="H80" i="2"/>
  <c r="H88" i="2" s="1"/>
  <c r="H87" i="2"/>
  <c r="H84" i="2"/>
  <c r="E80" i="2"/>
  <c r="E88" i="2" s="1"/>
  <c r="E84" i="2"/>
  <c r="E87" i="2"/>
  <c r="G82" i="7"/>
  <c r="K82" i="7"/>
  <c r="E82" i="7"/>
  <c r="J82" i="7"/>
  <c r="H82" i="7"/>
  <c r="L82" i="7"/>
  <c r="I82" i="7"/>
  <c r="D82" i="7"/>
  <c r="F82" i="7"/>
  <c r="C40" i="5"/>
  <c r="C41" i="5"/>
  <c r="C39" i="5"/>
  <c r="C37" i="5"/>
  <c r="C36" i="5"/>
  <c r="C95" i="2"/>
  <c r="C96" i="2"/>
  <c r="C97" i="2"/>
  <c r="C98" i="2"/>
  <c r="C94" i="2"/>
  <c r="C66" i="5"/>
  <c r="C5" i="5"/>
  <c r="C69" i="5"/>
  <c r="C64" i="5"/>
  <c r="C67" i="5"/>
  <c r="C68" i="5"/>
  <c r="C70" i="5"/>
  <c r="C63" i="5"/>
  <c r="C59" i="5"/>
  <c r="C62" i="5"/>
  <c r="C65"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H82" i="2" l="1"/>
  <c r="L82" i="2"/>
  <c r="K82" i="2"/>
  <c r="E82" i="2"/>
  <c r="I82" i="2"/>
  <c r="D82" i="2"/>
  <c r="F82" i="2"/>
  <c r="J82" i="2"/>
  <c r="G82" i="2"/>
  <c r="B5" i="6"/>
  <c r="B6" i="6"/>
  <c r="C54" i="5" s="1"/>
  <c r="C6" i="10" l="1"/>
  <c r="C5" i="10"/>
  <c r="C158" i="2"/>
  <c r="C158" i="7"/>
  <c r="C6" i="7"/>
  <c r="C5" i="7"/>
  <c r="C6" i="2"/>
  <c r="C53" i="5"/>
  <c r="C5" i="2"/>
  <c r="C51" i="3"/>
</calcChain>
</file>

<file path=xl/sharedStrings.xml><?xml version="1.0" encoding="utf-8"?>
<sst xmlns="http://schemas.openxmlformats.org/spreadsheetml/2006/main" count="916" uniqueCount="413">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</sst>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2">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4">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xf numFmtId="0" fontId="0" fillId="6" borderId="2" xfId="0" applyFont="1" applyFill="1" applyBorder="1" applyAlignment="1"/>
    <xf numFmtId="0" fontId="2" fillId="2" borderId="11" xfId="0" applyFont="1" applyFill="1" applyBorder="1"/>
    <xf numFmtId="0" fontId="0" fillId="0" borderId="11" xfId="0" applyBorder="1"/>
    <xf numFmtId="1" fontId="0" fillId="0" borderId="1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P27"/>
  <sheetViews>
    <sheetView topLeftCell="B1" workbookViewId="0">
      <selection activeCell="I23" sqref="I23"/>
    </sheetView>
  </sheetViews>
  <sheetFormatPr defaultRowHeight="15" x14ac:dyDescent="0.25"/>
  <cols>
    <col min="1" max="1" width="23" bestFit="1" customWidth="1"/>
    <col min="2" max="2" width="51" bestFit="1" customWidth="1"/>
    <col min="3" max="3" width="9.85546875" customWidth="1"/>
    <col min="7" max="7" width="20.28515625" bestFit="1" customWidth="1"/>
    <col min="8" max="8" width="8.7109375" customWidth="1"/>
  </cols>
  <sheetData>
    <row r="1" spans="1:16" ht="15.75" thickBot="1" x14ac:dyDescent="0.3">
      <c r="A1" s="52" t="s">
        <v>222</v>
      </c>
      <c r="B1" s="53" t="s">
        <v>223</v>
      </c>
      <c r="C1" s="53" t="s">
        <v>231</v>
      </c>
      <c r="F1" s="61" t="s">
        <v>313</v>
      </c>
      <c r="G1" s="61" t="s">
        <v>411</v>
      </c>
      <c r="H1" s="61">
        <v>0.12</v>
      </c>
      <c r="I1" s="61">
        <v>0.2</v>
      </c>
      <c r="J1" s="61">
        <v>0.32</v>
      </c>
      <c r="K1" s="61">
        <v>0.4</v>
      </c>
      <c r="L1" s="61">
        <v>0.48</v>
      </c>
      <c r="M1" s="61">
        <v>0.56000000000000005</v>
      </c>
      <c r="N1" s="61">
        <v>0.64</v>
      </c>
      <c r="O1" s="61">
        <v>0.72</v>
      </c>
      <c r="P1" s="61">
        <v>0.8</v>
      </c>
    </row>
    <row r="2" spans="1:16" ht="15.75" thickTop="1" x14ac:dyDescent="0.25">
      <c r="A2" s="54" t="s">
        <v>221</v>
      </c>
      <c r="B2" s="55">
        <v>0.6</v>
      </c>
      <c r="C2" s="9"/>
      <c r="F2" s="62" t="s">
        <v>154</v>
      </c>
      <c r="G2" s="62">
        <v>11.5</v>
      </c>
      <c r="H2" s="63">
        <f t="shared" ref="H2:P7" si="0">$G2/((Nozzle_Diameter*1.2)*H$1)</f>
        <v>133.10185185185188</v>
      </c>
      <c r="I2" s="63">
        <f t="shared" si="0"/>
        <v>79.861111111111114</v>
      </c>
      <c r="J2" s="63">
        <f t="shared" si="0"/>
        <v>49.913194444444443</v>
      </c>
      <c r="K2" s="63">
        <f t="shared" si="0"/>
        <v>39.930555555555557</v>
      </c>
      <c r="L2" s="63">
        <f t="shared" si="0"/>
        <v>33.275462962962969</v>
      </c>
      <c r="M2" s="63">
        <f t="shared" si="0"/>
        <v>28.521825396825395</v>
      </c>
      <c r="N2" s="63">
        <f t="shared" si="0"/>
        <v>24.956597222222221</v>
      </c>
      <c r="O2" s="63">
        <f t="shared" si="0"/>
        <v>22.183641975308642</v>
      </c>
      <c r="P2" s="63">
        <f t="shared" si="0"/>
        <v>19.965277777777779</v>
      </c>
    </row>
    <row r="3" spans="1:16" x14ac:dyDescent="0.25">
      <c r="A3" s="10" t="s">
        <v>224</v>
      </c>
      <c r="B3" s="11" t="s">
        <v>225</v>
      </c>
      <c r="C3" s="11"/>
      <c r="F3" s="62" t="s">
        <v>153</v>
      </c>
      <c r="G3" s="62">
        <v>8</v>
      </c>
      <c r="H3" s="63">
        <f t="shared" si="0"/>
        <v>92.592592592592609</v>
      </c>
      <c r="I3" s="63">
        <f t="shared" si="0"/>
        <v>55.555555555555557</v>
      </c>
      <c r="J3" s="63">
        <f t="shared" si="0"/>
        <v>34.722222222222221</v>
      </c>
      <c r="K3" s="63">
        <f t="shared" si="0"/>
        <v>27.777777777777779</v>
      </c>
      <c r="L3" s="63">
        <f t="shared" si="0"/>
        <v>23.148148148148152</v>
      </c>
      <c r="M3" s="63">
        <f t="shared" si="0"/>
        <v>19.841269841269842</v>
      </c>
      <c r="N3" s="63">
        <f t="shared" si="0"/>
        <v>17.361111111111111</v>
      </c>
      <c r="O3" s="63">
        <f t="shared" si="0"/>
        <v>15.4320987654321</v>
      </c>
      <c r="P3" s="63">
        <f t="shared" si="0"/>
        <v>13.888888888888889</v>
      </c>
    </row>
    <row r="4" spans="1:16" x14ac:dyDescent="0.25">
      <c r="A4" s="13" t="s">
        <v>228</v>
      </c>
      <c r="B4" s="56" t="str">
        <f>B3 &amp; " " &amp; Nozzle_Diameter &amp; " nozzle " &amp; FILAMENT_NAME</f>
        <v>Ender3 Speed 0.6 nozzle PET</v>
      </c>
      <c r="C4" s="4"/>
      <c r="F4" s="62" t="s">
        <v>155</v>
      </c>
      <c r="G4" s="62">
        <v>10</v>
      </c>
      <c r="H4" s="63">
        <f t="shared" si="0"/>
        <v>115.74074074074075</v>
      </c>
      <c r="I4" s="63">
        <f t="shared" si="0"/>
        <v>69.444444444444443</v>
      </c>
      <c r="J4" s="63">
        <f t="shared" si="0"/>
        <v>43.402777777777779</v>
      </c>
      <c r="K4" s="63">
        <f t="shared" si="0"/>
        <v>34.722222222222221</v>
      </c>
      <c r="L4" s="63">
        <f t="shared" si="0"/>
        <v>28.935185185185187</v>
      </c>
      <c r="M4" s="63">
        <f t="shared" si="0"/>
        <v>24.801587301587301</v>
      </c>
      <c r="N4" s="63">
        <f t="shared" si="0"/>
        <v>21.701388888888889</v>
      </c>
      <c r="O4" s="63">
        <f t="shared" si="0"/>
        <v>19.290123456790123</v>
      </c>
      <c r="P4" s="63">
        <f t="shared" si="0"/>
        <v>17.361111111111111</v>
      </c>
    </row>
    <row r="5" spans="1:16" x14ac:dyDescent="0.25">
      <c r="A5" s="10" t="s">
        <v>226</v>
      </c>
      <c r="B5" s="56">
        <f>Nozzle_Diameter*0.2</f>
        <v>0.12</v>
      </c>
      <c r="C5" s="11"/>
      <c r="F5" s="62" t="s">
        <v>355</v>
      </c>
      <c r="G5" s="62">
        <v>1.5</v>
      </c>
      <c r="H5" s="63">
        <f t="shared" si="0"/>
        <v>17.361111111111114</v>
      </c>
      <c r="I5" s="63">
        <f t="shared" si="0"/>
        <v>10.416666666666668</v>
      </c>
      <c r="J5" s="63">
        <f t="shared" si="0"/>
        <v>6.510416666666667</v>
      </c>
      <c r="K5" s="63">
        <f t="shared" si="0"/>
        <v>5.2083333333333339</v>
      </c>
      <c r="L5" s="63">
        <f t="shared" si="0"/>
        <v>4.3402777777777786</v>
      </c>
      <c r="M5" s="63">
        <f t="shared" si="0"/>
        <v>3.7202380952380953</v>
      </c>
      <c r="N5" s="63">
        <f t="shared" si="0"/>
        <v>3.2552083333333335</v>
      </c>
      <c r="O5" s="63">
        <f t="shared" si="0"/>
        <v>2.8935185185185186</v>
      </c>
      <c r="P5" s="63">
        <f t="shared" si="0"/>
        <v>2.604166666666667</v>
      </c>
    </row>
    <row r="6" spans="1:16" x14ac:dyDescent="0.25">
      <c r="A6" s="13" t="s">
        <v>227</v>
      </c>
      <c r="B6" s="56">
        <f>Nozzle_Diameter*0.8</f>
        <v>0.48</v>
      </c>
      <c r="C6" s="4"/>
      <c r="F6" s="62" t="s">
        <v>357</v>
      </c>
      <c r="G6" s="62">
        <v>1.5</v>
      </c>
      <c r="H6" s="63">
        <f t="shared" si="0"/>
        <v>17.361111111111114</v>
      </c>
      <c r="I6" s="63">
        <f t="shared" si="0"/>
        <v>10.416666666666668</v>
      </c>
      <c r="J6" s="63">
        <f t="shared" si="0"/>
        <v>6.510416666666667</v>
      </c>
      <c r="K6" s="63">
        <f t="shared" si="0"/>
        <v>5.2083333333333339</v>
      </c>
      <c r="L6" s="63">
        <f t="shared" si="0"/>
        <v>4.3402777777777786</v>
      </c>
      <c r="M6" s="63">
        <f t="shared" si="0"/>
        <v>3.7202380952380953</v>
      </c>
      <c r="N6" s="63">
        <f t="shared" si="0"/>
        <v>3.2552083333333335</v>
      </c>
      <c r="O6" s="63">
        <f t="shared" si="0"/>
        <v>2.8935185185185186</v>
      </c>
      <c r="P6" s="63">
        <f t="shared" si="0"/>
        <v>2.604166666666667</v>
      </c>
    </row>
    <row r="7" spans="1:16" x14ac:dyDescent="0.25">
      <c r="A7" s="13" t="s">
        <v>313</v>
      </c>
      <c r="B7" s="59" t="s">
        <v>153</v>
      </c>
      <c r="C7" s="4"/>
      <c r="F7" s="62" t="s">
        <v>156</v>
      </c>
      <c r="G7" s="62">
        <v>1.5</v>
      </c>
      <c r="H7" s="63">
        <f t="shared" si="0"/>
        <v>17.361111111111114</v>
      </c>
      <c r="I7" s="63">
        <f t="shared" si="0"/>
        <v>10.416666666666668</v>
      </c>
      <c r="J7" s="63">
        <f t="shared" si="0"/>
        <v>6.510416666666667</v>
      </c>
      <c r="K7" s="63">
        <f t="shared" si="0"/>
        <v>5.2083333333333339</v>
      </c>
      <c r="L7" s="63">
        <f t="shared" si="0"/>
        <v>4.3402777777777786</v>
      </c>
      <c r="M7" s="63">
        <f t="shared" si="0"/>
        <v>3.7202380952380953</v>
      </c>
      <c r="N7" s="63">
        <f t="shared" si="0"/>
        <v>3.2552083333333335</v>
      </c>
      <c r="O7" s="63">
        <f t="shared" si="0"/>
        <v>2.8935185185185186</v>
      </c>
      <c r="P7" s="63">
        <f t="shared" si="0"/>
        <v>2.604166666666667</v>
      </c>
    </row>
    <row r="8" spans="1:16" x14ac:dyDescent="0.25">
      <c r="A8" s="13" t="s">
        <v>403</v>
      </c>
      <c r="B8" s="4">
        <v>500</v>
      </c>
      <c r="C8" s="4"/>
      <c r="F8" s="62"/>
      <c r="G8" s="62"/>
      <c r="H8" s="63"/>
      <c r="I8" s="63"/>
      <c r="J8" s="63"/>
      <c r="K8" s="63"/>
      <c r="L8" s="63"/>
      <c r="M8" s="63"/>
      <c r="N8" s="63"/>
      <c r="O8" s="63"/>
      <c r="P8" s="63"/>
    </row>
    <row r="9" spans="1:16" x14ac:dyDescent="0.25">
      <c r="A9" s="10" t="s">
        <v>241</v>
      </c>
      <c r="B9" s="11" t="s">
        <v>366</v>
      </c>
      <c r="C9" s="11"/>
      <c r="F9" s="62"/>
      <c r="G9" s="62"/>
      <c r="H9" s="63"/>
      <c r="I9" s="63"/>
      <c r="J9" s="63"/>
      <c r="K9" s="63"/>
      <c r="L9" s="63"/>
      <c r="M9" s="63"/>
      <c r="N9" s="63"/>
      <c r="O9" s="63"/>
      <c r="P9" s="63"/>
    </row>
    <row r="10" spans="1:16" x14ac:dyDescent="0.25">
      <c r="A10" s="13"/>
      <c r="B10" s="4" t="s">
        <v>364</v>
      </c>
      <c r="C10" s="4"/>
      <c r="F10" s="62"/>
      <c r="G10" s="62"/>
      <c r="H10" s="63"/>
      <c r="I10" s="63"/>
      <c r="J10" s="63"/>
      <c r="K10" s="63"/>
      <c r="L10" s="63"/>
      <c r="M10" s="63"/>
      <c r="N10" s="63"/>
      <c r="O10" s="63"/>
      <c r="P10" s="63"/>
    </row>
    <row r="11" spans="1:16" x14ac:dyDescent="0.25">
      <c r="A11" s="10"/>
      <c r="B11" s="11" t="s">
        <v>365</v>
      </c>
      <c r="C11" s="11"/>
      <c r="F11" s="62"/>
      <c r="G11" s="62"/>
      <c r="H11" s="63"/>
      <c r="I11" s="63"/>
      <c r="J11" s="63"/>
      <c r="K11" s="63"/>
      <c r="L11" s="63"/>
      <c r="M11" s="63"/>
      <c r="N11" s="63"/>
      <c r="O11" s="63"/>
      <c r="P11" s="63"/>
    </row>
    <row r="12" spans="1:16" x14ac:dyDescent="0.25">
      <c r="A12" s="13"/>
      <c r="B12" s="4"/>
      <c r="C12" s="4"/>
      <c r="F12" s="62"/>
      <c r="G12" s="62"/>
      <c r="H12" s="63"/>
      <c r="I12" s="63"/>
      <c r="J12" s="63"/>
      <c r="K12" s="63"/>
      <c r="L12" s="63"/>
      <c r="M12" s="63"/>
      <c r="N12" s="63"/>
      <c r="O12" s="63"/>
      <c r="P12" s="63"/>
    </row>
    <row r="13" spans="1:16" x14ac:dyDescent="0.25">
      <c r="A13" s="10"/>
      <c r="B13" s="11"/>
      <c r="C13" s="11"/>
      <c r="F13" s="62"/>
      <c r="G13" s="62"/>
      <c r="H13" s="63"/>
      <c r="I13" s="63"/>
      <c r="J13" s="63"/>
      <c r="K13" s="63"/>
      <c r="L13" s="63"/>
      <c r="M13" s="63"/>
      <c r="N13" s="63"/>
      <c r="O13" s="63"/>
      <c r="P13" s="63"/>
    </row>
    <row r="14" spans="1:16" x14ac:dyDescent="0.25">
      <c r="A14" s="13"/>
      <c r="B14" s="4"/>
      <c r="C14" s="4"/>
      <c r="F14" s="62"/>
      <c r="G14" s="62"/>
      <c r="H14" s="63"/>
      <c r="I14" s="63"/>
      <c r="J14" s="63"/>
      <c r="K14" s="63"/>
      <c r="L14" s="63"/>
      <c r="M14" s="63"/>
      <c r="N14" s="63"/>
      <c r="O14" s="63"/>
      <c r="P14" s="63"/>
    </row>
    <row r="15" spans="1:16" x14ac:dyDescent="0.25">
      <c r="A15" s="10"/>
      <c r="B15" s="11"/>
      <c r="C15" s="11"/>
      <c r="F15" s="62"/>
      <c r="G15" s="62"/>
      <c r="H15" s="63"/>
      <c r="I15" s="63"/>
      <c r="J15" s="63"/>
      <c r="K15" s="63"/>
      <c r="L15" s="63"/>
      <c r="M15" s="63"/>
      <c r="N15" s="63"/>
      <c r="O15" s="63"/>
      <c r="P15" s="63"/>
    </row>
    <row r="16" spans="1:16" x14ac:dyDescent="0.25">
      <c r="A16" s="13"/>
      <c r="B16" s="4"/>
      <c r="C16" s="4"/>
    </row>
    <row r="17" spans="1:3" x14ac:dyDescent="0.25">
      <c r="A17" s="10"/>
      <c r="B17" s="11"/>
      <c r="C17" s="11"/>
    </row>
    <row r="21" spans="1:3" x14ac:dyDescent="0.25">
      <c r="B21" s="3" t="s">
        <v>367</v>
      </c>
    </row>
    <row r="22" spans="1:3" x14ac:dyDescent="0.25">
      <c r="B22" s="2" t="s">
        <v>399</v>
      </c>
    </row>
    <row r="23" spans="1:3" x14ac:dyDescent="0.25">
      <c r="B23" s="3" t="s">
        <v>400</v>
      </c>
    </row>
    <row r="25" spans="1:3" x14ac:dyDescent="0.25">
      <c r="B25" s="11" t="s">
        <v>366</v>
      </c>
    </row>
    <row r="26" spans="1:3" x14ac:dyDescent="0.25">
      <c r="B26" s="4" t="s">
        <v>364</v>
      </c>
    </row>
    <row r="27" spans="1:3" x14ac:dyDescent="0.25">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2"/>
  <sheetViews>
    <sheetView workbookViewId="0">
      <pane ySplit="1" topLeftCell="A131" activePane="bottomLeft" state="frozen"/>
      <selection pane="bottomLeft" activeCell="C136" sqref="C136"/>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t="str">
        <f>"20%"</f>
        <v>20%</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25">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25">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25">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25">
      <c r="A86" s="33"/>
      <c r="B86" s="33" t="s">
        <v>55</v>
      </c>
      <c r="C86" s="41" t="str">
        <f>"100%"</f>
        <v>100%</v>
      </c>
      <c r="D86" s="33"/>
      <c r="E86" s="33"/>
      <c r="F86" s="33"/>
      <c r="G86" s="33"/>
      <c r="H86" s="33"/>
      <c r="I86" s="33"/>
      <c r="J86" s="33"/>
      <c r="K86" s="33"/>
      <c r="L86" s="33"/>
      <c r="M86" s="35"/>
    </row>
    <row r="87" spans="1:13" x14ac:dyDescent="0.25">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65</v>
      </c>
      <c r="D100" s="33">
        <v>65</v>
      </c>
      <c r="E100" s="33">
        <v>60</v>
      </c>
      <c r="F100" s="33">
        <v>55</v>
      </c>
      <c r="G100" s="33">
        <v>50</v>
      </c>
      <c r="H100" s="33">
        <v>45</v>
      </c>
      <c r="I100" s="33">
        <v>40</v>
      </c>
      <c r="J100" s="33">
        <v>35</v>
      </c>
      <c r="K100" s="33">
        <v>30</v>
      </c>
      <c r="L100" s="33">
        <v>25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t="str">
        <f>"10%"</f>
        <v>10%</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3"/>
      <c r="B143" s="33" t="s">
        <v>97</v>
      </c>
      <c r="C143" s="34">
        <v>0</v>
      </c>
      <c r="D143" s="33"/>
      <c r="E143" s="33"/>
      <c r="F143" s="33"/>
      <c r="G143" s="33"/>
      <c r="H143" s="33"/>
      <c r="I143" s="33"/>
      <c r="J143" s="33"/>
      <c r="K143" s="33"/>
      <c r="L143" s="33"/>
      <c r="M143" s="35"/>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x14ac:dyDescent="0.25">
      <c r="A151" s="33"/>
      <c r="B151" s="33" t="s">
        <v>412</v>
      </c>
      <c r="C151" s="34">
        <v>1</v>
      </c>
      <c r="D151" s="33"/>
      <c r="E151" s="33"/>
      <c r="F151" s="33"/>
      <c r="G151" s="33"/>
      <c r="H151" s="33"/>
      <c r="I151" s="33"/>
      <c r="J151" s="33"/>
      <c r="K151" s="33"/>
      <c r="L151" s="33"/>
      <c r="M151" s="35"/>
    </row>
    <row r="152" spans="1:13" ht="30" x14ac:dyDescent="0.25">
      <c r="A152" s="36"/>
      <c r="B152" s="36" t="s">
        <v>102</v>
      </c>
      <c r="C152" s="48" t="s">
        <v>103</v>
      </c>
      <c r="D152" s="36"/>
      <c r="E152" s="36"/>
      <c r="F152" s="36"/>
      <c r="G152" s="36"/>
      <c r="H152" s="36"/>
      <c r="I152" s="36"/>
      <c r="J152" s="36"/>
      <c r="K152" s="36"/>
      <c r="L152" s="36"/>
      <c r="M152" s="38"/>
    </row>
    <row r="153" spans="1:13" x14ac:dyDescent="0.25">
      <c r="A153" s="33"/>
      <c r="B153" s="40" t="s">
        <v>104</v>
      </c>
      <c r="C153" s="34"/>
      <c r="D153" s="33"/>
      <c r="E153" s="33"/>
      <c r="F153" s="33"/>
      <c r="G153" s="33"/>
      <c r="H153" s="33"/>
      <c r="I153" s="33"/>
      <c r="J153" s="33"/>
      <c r="K153" s="33"/>
      <c r="L153" s="33"/>
      <c r="M153" s="35"/>
    </row>
    <row r="154" spans="1:13" x14ac:dyDescent="0.25">
      <c r="A154" s="36"/>
      <c r="B154" s="36" t="s">
        <v>105</v>
      </c>
      <c r="C154" s="37"/>
      <c r="D154" s="36"/>
      <c r="E154" s="36"/>
      <c r="F154" s="36"/>
      <c r="G154" s="36"/>
      <c r="H154" s="36"/>
      <c r="I154" s="36"/>
      <c r="J154" s="36"/>
      <c r="K154" s="36"/>
      <c r="L154" s="36"/>
      <c r="M154" s="38"/>
    </row>
    <row r="155" spans="1:13" x14ac:dyDescent="0.25">
      <c r="A155" s="40" t="s">
        <v>275</v>
      </c>
      <c r="B155" s="40" t="s">
        <v>106</v>
      </c>
      <c r="C155" s="34"/>
      <c r="D155" s="33"/>
      <c r="E155" s="33"/>
      <c r="F155" s="33"/>
      <c r="G155" s="33"/>
      <c r="H155" s="33"/>
      <c r="I155" s="33"/>
      <c r="J155" s="33"/>
      <c r="K155" s="33"/>
      <c r="L155" s="33"/>
      <c r="M155" s="35"/>
    </row>
    <row r="156" spans="1:13" x14ac:dyDescent="0.25">
      <c r="A156" s="36"/>
      <c r="B156" s="36" t="s">
        <v>107</v>
      </c>
      <c r="C156" s="37"/>
      <c r="D156" s="36"/>
      <c r="E156" s="36"/>
      <c r="F156" s="36"/>
      <c r="G156" s="36"/>
      <c r="H156" s="36"/>
      <c r="I156" s="36"/>
      <c r="J156" s="36"/>
      <c r="K156" s="36"/>
      <c r="L156" s="36"/>
      <c r="M156" s="38"/>
    </row>
    <row r="157" spans="1:13" x14ac:dyDescent="0.25">
      <c r="A157" s="40" t="s">
        <v>276</v>
      </c>
      <c r="B157" s="40" t="s">
        <v>279</v>
      </c>
      <c r="C157" s="34"/>
      <c r="D157" s="33"/>
      <c r="E157" s="33"/>
      <c r="F157" s="33"/>
      <c r="G157" s="33"/>
      <c r="H157" s="33"/>
      <c r="I157" s="33"/>
      <c r="J157" s="33"/>
      <c r="K157" s="33"/>
      <c r="L157" s="33"/>
      <c r="M157" s="35"/>
    </row>
    <row r="158" spans="1:13" x14ac:dyDescent="0.25">
      <c r="A158" s="36"/>
      <c r="B158" s="36" t="s">
        <v>151</v>
      </c>
      <c r="C158" s="37" t="str">
        <f>Printer_Name</f>
        <v>Ender3 Speed 0.6 nozzle PET</v>
      </c>
      <c r="D158" s="36"/>
      <c r="E158" s="36"/>
      <c r="F158" s="36"/>
      <c r="G158" s="36"/>
      <c r="H158" s="36"/>
      <c r="I158" s="36"/>
      <c r="J158" s="36"/>
      <c r="K158" s="36"/>
      <c r="L158" s="36"/>
      <c r="M158" s="38"/>
    </row>
    <row r="159" spans="1:13" x14ac:dyDescent="0.25">
      <c r="A159" s="33"/>
      <c r="B159" s="33" t="s">
        <v>152</v>
      </c>
      <c r="C159" s="34"/>
      <c r="D159" s="33"/>
      <c r="E159" s="33"/>
      <c r="F159" s="33"/>
      <c r="G159" s="33"/>
      <c r="H159" s="33"/>
      <c r="I159" s="33"/>
      <c r="J159" s="33"/>
      <c r="K159" s="33"/>
      <c r="L159" s="33"/>
      <c r="M159" s="35"/>
    </row>
    <row r="160" spans="1:13" x14ac:dyDescent="0.25">
      <c r="A160" s="36"/>
      <c r="B160" s="36" t="s">
        <v>390</v>
      </c>
      <c r="C160" s="37">
        <v>0</v>
      </c>
      <c r="D160" s="36"/>
      <c r="E160" s="36"/>
      <c r="F160" s="36"/>
      <c r="G160" s="36"/>
      <c r="H160" s="36"/>
      <c r="I160" s="36"/>
      <c r="J160" s="36"/>
      <c r="K160" s="36"/>
      <c r="L160" s="36"/>
      <c r="M160" s="38"/>
    </row>
    <row r="161" spans="1:13" ht="45" x14ac:dyDescent="0.25">
      <c r="A161" s="33"/>
      <c r="B161" s="33" t="s">
        <v>392</v>
      </c>
      <c r="C161" s="49" t="s">
        <v>398</v>
      </c>
      <c r="D161" s="33"/>
      <c r="E161" s="33"/>
      <c r="F161" s="33"/>
      <c r="G161" s="33"/>
      <c r="H161" s="33"/>
      <c r="I161" s="33"/>
      <c r="J161" s="33"/>
      <c r="K161" s="33"/>
      <c r="L161" s="33"/>
      <c r="M161" s="35"/>
    </row>
    <row r="162" spans="1:13" x14ac:dyDescent="0.25">
      <c r="A162" s="50"/>
      <c r="B162" s="50" t="s">
        <v>391</v>
      </c>
      <c r="C162" s="51"/>
      <c r="D162" s="50"/>
      <c r="E162" s="50"/>
      <c r="F162" s="50"/>
      <c r="G162" s="50"/>
      <c r="H162" s="50"/>
      <c r="I162" s="50"/>
      <c r="J162" s="50"/>
      <c r="K162" s="50"/>
      <c r="L162" s="50"/>
      <c r="M162"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2"/>
  <sheetViews>
    <sheetView workbookViewId="0">
      <pane ySplit="1" topLeftCell="A134" activePane="bottomLeft" state="frozen"/>
      <selection pane="bottomLeft" activeCell="C86" sqref="C86"/>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t="str">
        <f>"20%"</f>
        <v>20%</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25">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25">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25">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25">
      <c r="A86" s="33"/>
      <c r="B86" s="33" t="s">
        <v>55</v>
      </c>
      <c r="C86" s="41" t="str">
        <f>"100%"</f>
        <v>100%</v>
      </c>
      <c r="D86" s="33"/>
      <c r="E86" s="33"/>
      <c r="F86" s="33"/>
      <c r="G86" s="33"/>
      <c r="H86" s="33"/>
      <c r="I86" s="33"/>
      <c r="J86" s="33"/>
      <c r="K86" s="33"/>
      <c r="L86" s="33"/>
      <c r="M86" s="35"/>
    </row>
    <row r="87" spans="1:13" x14ac:dyDescent="0.25">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65</v>
      </c>
      <c r="D100" s="33">
        <v>65</v>
      </c>
      <c r="E100" s="33">
        <v>60</v>
      </c>
      <c r="F100" s="33">
        <v>55</v>
      </c>
      <c r="G100" s="33">
        <v>50</v>
      </c>
      <c r="H100" s="33">
        <v>45</v>
      </c>
      <c r="I100" s="33">
        <v>40</v>
      </c>
      <c r="J100" s="33">
        <v>35</v>
      </c>
      <c r="K100" s="33">
        <v>30</v>
      </c>
      <c r="L100" s="33">
        <v>25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t="str">
        <f>"10%"</f>
        <v>10%</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3"/>
      <c r="B143" s="33" t="s">
        <v>97</v>
      </c>
      <c r="C143" s="34">
        <v>0</v>
      </c>
      <c r="D143" s="33"/>
      <c r="E143" s="33"/>
      <c r="F143" s="33"/>
      <c r="G143" s="33"/>
      <c r="H143" s="33"/>
      <c r="I143" s="33"/>
      <c r="J143" s="33"/>
      <c r="K143" s="33"/>
      <c r="L143" s="33"/>
      <c r="M143" s="35"/>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x14ac:dyDescent="0.25">
      <c r="A151" s="33"/>
      <c r="B151" s="33" t="s">
        <v>412</v>
      </c>
      <c r="C151" s="34">
        <v>1</v>
      </c>
      <c r="D151" s="33"/>
      <c r="E151" s="33"/>
      <c r="F151" s="33"/>
      <c r="G151" s="33"/>
      <c r="H151" s="33"/>
      <c r="I151" s="33"/>
      <c r="J151" s="33"/>
      <c r="K151" s="33"/>
      <c r="L151" s="33"/>
      <c r="M151" s="35"/>
    </row>
    <row r="152" spans="1:13" ht="30" x14ac:dyDescent="0.25">
      <c r="A152" s="36"/>
      <c r="B152" s="36" t="s">
        <v>102</v>
      </c>
      <c r="C152" s="48" t="s">
        <v>103</v>
      </c>
      <c r="D152" s="36"/>
      <c r="E152" s="36"/>
      <c r="F152" s="36"/>
      <c r="G152" s="36"/>
      <c r="H152" s="36"/>
      <c r="I152" s="36"/>
      <c r="J152" s="36"/>
      <c r="K152" s="36"/>
      <c r="L152" s="36"/>
      <c r="M152" s="38"/>
    </row>
    <row r="153" spans="1:13" x14ac:dyDescent="0.25">
      <c r="A153" s="33"/>
      <c r="B153" s="40" t="s">
        <v>104</v>
      </c>
      <c r="C153" s="34"/>
      <c r="D153" s="33"/>
      <c r="E153" s="33"/>
      <c r="F153" s="33"/>
      <c r="G153" s="33"/>
      <c r="H153" s="33"/>
      <c r="I153" s="33"/>
      <c r="J153" s="33"/>
      <c r="K153" s="33"/>
      <c r="L153" s="33"/>
      <c r="M153" s="35"/>
    </row>
    <row r="154" spans="1:13" x14ac:dyDescent="0.25">
      <c r="A154" s="36"/>
      <c r="B154" s="36" t="s">
        <v>105</v>
      </c>
      <c r="C154" s="37"/>
      <c r="D154" s="36"/>
      <c r="E154" s="36"/>
      <c r="F154" s="36"/>
      <c r="G154" s="36"/>
      <c r="H154" s="36"/>
      <c r="I154" s="36"/>
      <c r="J154" s="36"/>
      <c r="K154" s="36"/>
      <c r="L154" s="36"/>
      <c r="M154" s="38"/>
    </row>
    <row r="155" spans="1:13" x14ac:dyDescent="0.25">
      <c r="A155" s="40" t="s">
        <v>275</v>
      </c>
      <c r="B155" s="40" t="s">
        <v>106</v>
      </c>
      <c r="C155" s="34"/>
      <c r="D155" s="33"/>
      <c r="E155" s="33"/>
      <c r="F155" s="33"/>
      <c r="G155" s="33"/>
      <c r="H155" s="33"/>
      <c r="I155" s="33"/>
      <c r="J155" s="33"/>
      <c r="K155" s="33"/>
      <c r="L155" s="33"/>
      <c r="M155" s="35"/>
    </row>
    <row r="156" spans="1:13" x14ac:dyDescent="0.25">
      <c r="A156" s="36"/>
      <c r="B156" s="36" t="s">
        <v>107</v>
      </c>
      <c r="C156" s="37"/>
      <c r="D156" s="36"/>
      <c r="E156" s="36"/>
      <c r="F156" s="36"/>
      <c r="G156" s="36"/>
      <c r="H156" s="36"/>
      <c r="I156" s="36"/>
      <c r="J156" s="36"/>
      <c r="K156" s="36"/>
      <c r="L156" s="36"/>
      <c r="M156" s="38"/>
    </row>
    <row r="157" spans="1:13" x14ac:dyDescent="0.25">
      <c r="A157" s="40" t="s">
        <v>276</v>
      </c>
      <c r="B157" s="40" t="s">
        <v>279</v>
      </c>
      <c r="C157" s="34"/>
      <c r="D157" s="33"/>
      <c r="E157" s="33"/>
      <c r="F157" s="33"/>
      <c r="G157" s="33"/>
      <c r="H157" s="33"/>
      <c r="I157" s="33"/>
      <c r="J157" s="33"/>
      <c r="K157" s="33"/>
      <c r="L157" s="33"/>
      <c r="M157" s="35"/>
    </row>
    <row r="158" spans="1:13" x14ac:dyDescent="0.25">
      <c r="A158" s="36"/>
      <c r="B158" s="36" t="s">
        <v>151</v>
      </c>
      <c r="C158" s="37" t="str">
        <f>Printer_Name</f>
        <v>Ender3 Speed 0.6 nozzle PET</v>
      </c>
      <c r="D158" s="36"/>
      <c r="E158" s="36"/>
      <c r="F158" s="36"/>
      <c r="G158" s="36"/>
      <c r="H158" s="36"/>
      <c r="I158" s="36"/>
      <c r="J158" s="36"/>
      <c r="K158" s="36"/>
      <c r="L158" s="36"/>
      <c r="M158" s="38"/>
    </row>
    <row r="159" spans="1:13" x14ac:dyDescent="0.25">
      <c r="A159" s="33"/>
      <c r="B159" s="33" t="s">
        <v>152</v>
      </c>
      <c r="C159" s="34"/>
      <c r="D159" s="33"/>
      <c r="E159" s="33"/>
      <c r="F159" s="33"/>
      <c r="G159" s="33"/>
      <c r="H159" s="33"/>
      <c r="I159" s="33"/>
      <c r="J159" s="33"/>
      <c r="K159" s="33"/>
      <c r="L159" s="33"/>
      <c r="M159" s="35"/>
    </row>
    <row r="160" spans="1:13" x14ac:dyDescent="0.25">
      <c r="A160" s="36"/>
      <c r="B160" s="36" t="s">
        <v>390</v>
      </c>
      <c r="C160" s="37">
        <v>0</v>
      </c>
      <c r="D160" s="36"/>
      <c r="E160" s="36"/>
      <c r="F160" s="36"/>
      <c r="G160" s="36"/>
      <c r="H160" s="36"/>
      <c r="I160" s="36"/>
      <c r="J160" s="36"/>
      <c r="K160" s="36"/>
      <c r="L160" s="36"/>
      <c r="M160" s="38"/>
    </row>
    <row r="161" spans="1:13" ht="45" x14ac:dyDescent="0.25">
      <c r="A161" s="33"/>
      <c r="B161" s="33" t="s">
        <v>392</v>
      </c>
      <c r="C161" s="49" t="s">
        <v>398</v>
      </c>
      <c r="D161" s="33"/>
      <c r="E161" s="33"/>
      <c r="F161" s="33"/>
      <c r="G161" s="33"/>
      <c r="H161" s="33"/>
      <c r="I161" s="33"/>
      <c r="J161" s="33"/>
      <c r="K161" s="33"/>
      <c r="L161" s="33"/>
      <c r="M161" s="35"/>
    </row>
    <row r="162" spans="1:13" x14ac:dyDescent="0.25">
      <c r="A162" s="50"/>
      <c r="B162" s="50" t="s">
        <v>391</v>
      </c>
      <c r="C162" s="51"/>
      <c r="D162" s="50"/>
      <c r="E162" s="50"/>
      <c r="F162" s="50"/>
      <c r="G162" s="50"/>
      <c r="H162" s="50"/>
      <c r="I162" s="50"/>
      <c r="J162" s="50"/>
      <c r="K162" s="50"/>
      <c r="L162" s="50"/>
      <c r="M162"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62"/>
  <sheetViews>
    <sheetView tabSelected="1" workbookViewId="0">
      <pane ySplit="1" topLeftCell="A122" activePane="bottomLeft" state="frozen"/>
      <selection pane="bottomLeft" activeCell="C136" sqref="C136"/>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t="str">
        <f>"20%"</f>
        <v>20%</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40</v>
      </c>
      <c r="D79" s="36">
        <f>MIN($C$79,D100)</f>
        <v>40</v>
      </c>
      <c r="E79" s="36">
        <f t="shared" ref="E79:L79" si="0">MIN($C$79,E100)</f>
        <v>40</v>
      </c>
      <c r="F79" s="36">
        <f t="shared" si="0"/>
        <v>40</v>
      </c>
      <c r="G79" s="36">
        <f t="shared" si="0"/>
        <v>40</v>
      </c>
      <c r="H79" s="36">
        <f t="shared" si="0"/>
        <v>40</v>
      </c>
      <c r="I79" s="36">
        <f t="shared" si="0"/>
        <v>40</v>
      </c>
      <c r="J79" s="36">
        <f t="shared" si="0"/>
        <v>40</v>
      </c>
      <c r="K79" s="36">
        <f t="shared" si="0"/>
        <v>35</v>
      </c>
      <c r="L79" s="36">
        <f t="shared" si="0"/>
        <v>35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35</v>
      </c>
      <c r="L81" s="36">
        <f t="shared" si="2"/>
        <v>35</v>
      </c>
      <c r="M81" s="38"/>
    </row>
    <row r="82" spans="1:13" x14ac:dyDescent="0.25">
      <c r="A82" s="33"/>
      <c r="B82" s="33" t="s">
        <v>51</v>
      </c>
      <c r="C82" s="34">
        <v>45</v>
      </c>
      <c r="D82" s="34">
        <f>MIN($C$82,D100)</f>
        <v>45</v>
      </c>
      <c r="E82" s="34">
        <f t="shared" ref="E82:L82" si="3">MIN($C$82,E100)</f>
        <v>45</v>
      </c>
      <c r="F82" s="34">
        <f t="shared" si="3"/>
        <v>45</v>
      </c>
      <c r="G82" s="34">
        <f t="shared" si="3"/>
        <v>45</v>
      </c>
      <c r="H82" s="34">
        <f t="shared" si="3"/>
        <v>45</v>
      </c>
      <c r="I82" s="34">
        <f t="shared" si="3"/>
        <v>40</v>
      </c>
      <c r="J82" s="34">
        <f t="shared" si="3"/>
        <v>40</v>
      </c>
      <c r="K82" s="34">
        <f t="shared" si="3"/>
        <v>35</v>
      </c>
      <c r="L82" s="34">
        <f t="shared" si="3"/>
        <v>35</v>
      </c>
      <c r="M82" s="35"/>
    </row>
    <row r="83" spans="1:13" x14ac:dyDescent="0.25">
      <c r="A83" s="36"/>
      <c r="B83" s="36" t="s">
        <v>52</v>
      </c>
      <c r="C83" s="37">
        <v>40</v>
      </c>
      <c r="D83" s="36">
        <f>MIN(C83,D79)</f>
        <v>40</v>
      </c>
      <c r="E83" s="36">
        <f t="shared" ref="E83:L83" si="4">MIN(D83,E79)</f>
        <v>40</v>
      </c>
      <c r="F83" s="36">
        <f t="shared" si="4"/>
        <v>40</v>
      </c>
      <c r="G83" s="36">
        <f t="shared" si="4"/>
        <v>40</v>
      </c>
      <c r="H83" s="36">
        <f t="shared" si="4"/>
        <v>40</v>
      </c>
      <c r="I83" s="36">
        <f t="shared" si="4"/>
        <v>40</v>
      </c>
      <c r="J83" s="36">
        <f t="shared" si="4"/>
        <v>40</v>
      </c>
      <c r="K83" s="36">
        <f t="shared" si="4"/>
        <v>35</v>
      </c>
      <c r="L83" s="36">
        <f t="shared" si="4"/>
        <v>35</v>
      </c>
      <c r="M83" s="38"/>
    </row>
    <row r="84" spans="1:13" x14ac:dyDescent="0.25">
      <c r="A84" s="33"/>
      <c r="B84" s="33" t="s">
        <v>53</v>
      </c>
      <c r="C84" s="34">
        <v>35</v>
      </c>
      <c r="D84" s="33">
        <f>MIN($C$84,D79)</f>
        <v>35</v>
      </c>
      <c r="E84" s="33">
        <f t="shared" ref="E84:L84" si="5">MIN($C$84,E79)</f>
        <v>35</v>
      </c>
      <c r="F84" s="33">
        <f t="shared" si="5"/>
        <v>35</v>
      </c>
      <c r="G84" s="33">
        <f t="shared" si="5"/>
        <v>35</v>
      </c>
      <c r="H84" s="33">
        <f t="shared" si="5"/>
        <v>35</v>
      </c>
      <c r="I84" s="33">
        <f t="shared" si="5"/>
        <v>35</v>
      </c>
      <c r="J84" s="33">
        <f t="shared" si="5"/>
        <v>35</v>
      </c>
      <c r="K84" s="33">
        <f t="shared" si="5"/>
        <v>35</v>
      </c>
      <c r="L84" s="33">
        <f t="shared" si="5"/>
        <v>35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40</v>
      </c>
      <c r="K85" s="36">
        <f t="shared" si="6"/>
        <v>35</v>
      </c>
      <c r="L85" s="36">
        <f t="shared" si="6"/>
        <v>35</v>
      </c>
      <c r="M85" s="38"/>
    </row>
    <row r="86" spans="1:13" x14ac:dyDescent="0.25">
      <c r="A86" s="33"/>
      <c r="B86" s="33" t="s">
        <v>55</v>
      </c>
      <c r="C86" s="41" t="str">
        <f>"100%"</f>
        <v>100%</v>
      </c>
      <c r="D86" s="33"/>
      <c r="E86" s="33"/>
      <c r="F86" s="33"/>
      <c r="G86" s="33"/>
      <c r="H86" s="33"/>
      <c r="I86" s="33"/>
      <c r="J86" s="33"/>
      <c r="K86" s="33"/>
      <c r="L86" s="33"/>
      <c r="M86" s="35"/>
    </row>
    <row r="87" spans="1:13" x14ac:dyDescent="0.25">
      <c r="A87" s="36"/>
      <c r="B87" s="36" t="s">
        <v>56</v>
      </c>
      <c r="C87" s="37">
        <v>30</v>
      </c>
      <c r="D87" s="36">
        <f>MIN($C$87,D79)</f>
        <v>30</v>
      </c>
      <c r="E87" s="36">
        <f t="shared" ref="E87:L87" si="7">MIN($C$87,E79)</f>
        <v>30</v>
      </c>
      <c r="F87" s="36">
        <f t="shared" si="7"/>
        <v>30</v>
      </c>
      <c r="G87" s="36">
        <f t="shared" si="7"/>
        <v>30</v>
      </c>
      <c r="H87" s="36">
        <f t="shared" si="7"/>
        <v>30</v>
      </c>
      <c r="I87" s="36">
        <f t="shared" si="7"/>
        <v>30</v>
      </c>
      <c r="J87" s="36">
        <f t="shared" si="7"/>
        <v>30</v>
      </c>
      <c r="K87" s="36">
        <f t="shared" si="7"/>
        <v>30</v>
      </c>
      <c r="L87" s="36">
        <f t="shared" si="7"/>
        <v>30</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4">
        <v>55</v>
      </c>
      <c r="E100" s="34">
        <v>50</v>
      </c>
      <c r="F100" s="34">
        <v>50</v>
      </c>
      <c r="G100" s="33">
        <v>45</v>
      </c>
      <c r="H100" s="33">
        <v>45</v>
      </c>
      <c r="I100" s="33">
        <v>40</v>
      </c>
      <c r="J100" s="33">
        <v>40</v>
      </c>
      <c r="K100" s="33">
        <v>35</v>
      </c>
      <c r="L100" s="33">
        <v>35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0.67</v>
      </c>
      <c r="D125" s="44"/>
      <c r="E125" s="44"/>
      <c r="F125" s="44"/>
      <c r="G125" s="44"/>
      <c r="H125" s="44"/>
      <c r="I125" s="44"/>
      <c r="J125" s="44"/>
      <c r="K125" s="44"/>
      <c r="L125" s="44"/>
      <c r="M125" s="38"/>
    </row>
    <row r="126" spans="1:13" x14ac:dyDescent="0.25">
      <c r="A126" s="33"/>
      <c r="B126" s="33" t="s">
        <v>85</v>
      </c>
      <c r="C126" s="43">
        <v>0.65</v>
      </c>
      <c r="D126" s="46"/>
      <c r="E126" s="46"/>
      <c r="F126" s="46">
        <v>0.75</v>
      </c>
      <c r="G126" s="46">
        <v>0.75</v>
      </c>
      <c r="H126" s="46">
        <v>0.75</v>
      </c>
      <c r="I126" s="46"/>
      <c r="J126" s="46"/>
      <c r="K126" s="46"/>
      <c r="L126" s="46"/>
      <c r="M126" s="35"/>
    </row>
    <row r="127" spans="1:13" ht="14.25" customHeight="1" x14ac:dyDescent="0.25">
      <c r="A127" s="36"/>
      <c r="B127" s="36" t="s">
        <v>86</v>
      </c>
      <c r="C127" s="43">
        <v>0.65</v>
      </c>
      <c r="D127" s="44"/>
      <c r="E127" s="44"/>
      <c r="F127" s="44"/>
      <c r="G127" s="44"/>
      <c r="H127" s="44"/>
      <c r="I127" s="44"/>
      <c r="J127" s="44"/>
      <c r="K127" s="44"/>
      <c r="L127" s="44"/>
      <c r="M127" s="38"/>
    </row>
    <row r="128" spans="1:13" x14ac:dyDescent="0.25">
      <c r="A128" s="33"/>
      <c r="B128" s="33" t="s">
        <v>87</v>
      </c>
      <c r="C128" s="43">
        <v>0.61</v>
      </c>
      <c r="D128" s="46"/>
      <c r="E128" s="46"/>
      <c r="F128" s="46">
        <v>0.6</v>
      </c>
      <c r="G128" s="46">
        <v>0.6</v>
      </c>
      <c r="H128" s="46">
        <v>0.6</v>
      </c>
      <c r="I128" s="46"/>
      <c r="J128" s="46"/>
      <c r="K128" s="46"/>
      <c r="L128" s="46"/>
      <c r="M128" s="35"/>
    </row>
    <row r="129" spans="1:13" x14ac:dyDescent="0.25">
      <c r="A129" s="36"/>
      <c r="B129" s="36" t="s">
        <v>88</v>
      </c>
      <c r="C129" s="43">
        <v>0.7</v>
      </c>
      <c r="D129" s="44"/>
      <c r="E129" s="44"/>
      <c r="F129" s="44"/>
      <c r="G129" s="44"/>
      <c r="H129" s="44"/>
      <c r="I129" s="44"/>
      <c r="J129" s="44"/>
      <c r="K129" s="44"/>
      <c r="L129" s="44"/>
      <c r="M129" s="38"/>
    </row>
    <row r="130" spans="1:13" x14ac:dyDescent="0.25">
      <c r="A130" s="33"/>
      <c r="B130" s="33" t="s">
        <v>89</v>
      </c>
      <c r="C130" s="43">
        <v>0.65</v>
      </c>
      <c r="D130" s="46"/>
      <c r="E130" s="46"/>
      <c r="F130" s="46"/>
      <c r="G130" s="46"/>
      <c r="H130" s="46"/>
      <c r="I130" s="46"/>
      <c r="J130" s="46"/>
      <c r="K130" s="46"/>
      <c r="L130" s="46"/>
      <c r="M130" s="35"/>
    </row>
    <row r="131" spans="1:13" x14ac:dyDescent="0.25">
      <c r="A131" s="36"/>
      <c r="B131" s="36" t="s">
        <v>90</v>
      </c>
      <c r="C131" s="43">
        <v>0.6</v>
      </c>
      <c r="D131" s="44"/>
      <c r="E131" s="44"/>
      <c r="F131" s="44"/>
      <c r="G131" s="44"/>
      <c r="H131" s="44"/>
      <c r="I131" s="44"/>
      <c r="J131" s="44"/>
      <c r="K131" s="44"/>
      <c r="L131" s="44"/>
      <c r="M131" s="38"/>
    </row>
    <row r="132" spans="1:13" x14ac:dyDescent="0.25">
      <c r="A132" s="33"/>
      <c r="B132" s="33" t="s">
        <v>91</v>
      </c>
      <c r="C132" s="43">
        <v>0.55000000000000004</v>
      </c>
      <c r="D132" s="46"/>
      <c r="E132" s="46"/>
      <c r="F132" s="46"/>
      <c r="G132" s="46"/>
      <c r="H132" s="46"/>
      <c r="I132" s="46"/>
      <c r="J132" s="46"/>
      <c r="K132" s="46"/>
      <c r="L132" s="46"/>
      <c r="M132" s="35"/>
    </row>
    <row r="133" spans="1:13" x14ac:dyDescent="0.25">
      <c r="A133" s="36"/>
      <c r="B133" s="36" t="s">
        <v>397</v>
      </c>
      <c r="C133" s="43">
        <v>0</v>
      </c>
      <c r="D133" s="44"/>
      <c r="E133" s="44"/>
      <c r="F133" s="44"/>
      <c r="G133" s="44"/>
      <c r="H133" s="44"/>
      <c r="I133" s="44"/>
      <c r="J133" s="44"/>
      <c r="K133" s="44"/>
      <c r="L133" s="44"/>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t="str">
        <f>"8%"</f>
        <v>8%</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6"/>
      <c r="B143" s="33" t="s">
        <v>97</v>
      </c>
      <c r="C143" s="34">
        <v>0</v>
      </c>
      <c r="D143" s="36"/>
      <c r="E143" s="36"/>
      <c r="F143" s="36"/>
      <c r="G143" s="36"/>
      <c r="H143" s="36"/>
      <c r="I143" s="36"/>
      <c r="J143" s="36"/>
      <c r="K143" s="36"/>
      <c r="L143" s="36"/>
      <c r="M143" s="38"/>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x14ac:dyDescent="0.25">
      <c r="A151" s="33"/>
      <c r="B151" s="33" t="s">
        <v>412</v>
      </c>
      <c r="C151" s="34">
        <v>1</v>
      </c>
      <c r="D151" s="33"/>
      <c r="E151" s="33"/>
      <c r="F151" s="33"/>
      <c r="G151" s="33"/>
      <c r="H151" s="33"/>
      <c r="I151" s="33"/>
      <c r="J151" s="33"/>
      <c r="K151" s="33"/>
      <c r="L151" s="33"/>
      <c r="M151" s="35"/>
    </row>
    <row r="152" spans="1:13" ht="30" x14ac:dyDescent="0.25">
      <c r="A152" s="36"/>
      <c r="B152" s="36" t="s">
        <v>102</v>
      </c>
      <c r="C152" s="48" t="s">
        <v>103</v>
      </c>
      <c r="D152" s="36"/>
      <c r="E152" s="36"/>
      <c r="F152" s="36"/>
      <c r="G152" s="36"/>
      <c r="H152" s="36"/>
      <c r="I152" s="36"/>
      <c r="J152" s="36"/>
      <c r="K152" s="36"/>
      <c r="L152" s="36"/>
      <c r="M152" s="38"/>
    </row>
    <row r="153" spans="1:13" x14ac:dyDescent="0.25">
      <c r="A153" s="33"/>
      <c r="B153" s="40" t="s">
        <v>104</v>
      </c>
      <c r="C153" s="34"/>
      <c r="D153" s="33"/>
      <c r="E153" s="33"/>
      <c r="F153" s="33"/>
      <c r="G153" s="33"/>
      <c r="H153" s="33"/>
      <c r="I153" s="33"/>
      <c r="J153" s="33"/>
      <c r="K153" s="33"/>
      <c r="L153" s="33"/>
      <c r="M153" s="35"/>
    </row>
    <row r="154" spans="1:13" x14ac:dyDescent="0.25">
      <c r="A154" s="36"/>
      <c r="B154" s="36" t="s">
        <v>105</v>
      </c>
      <c r="C154" s="37"/>
      <c r="D154" s="36"/>
      <c r="E154" s="36"/>
      <c r="F154" s="36"/>
      <c r="G154" s="36"/>
      <c r="H154" s="36"/>
      <c r="I154" s="36"/>
      <c r="J154" s="36"/>
      <c r="K154" s="36"/>
      <c r="L154" s="36"/>
      <c r="M154" s="38"/>
    </row>
    <row r="155" spans="1:13" x14ac:dyDescent="0.25">
      <c r="A155" s="40" t="s">
        <v>275</v>
      </c>
      <c r="B155" s="40" t="s">
        <v>106</v>
      </c>
      <c r="C155" s="34"/>
      <c r="D155" s="33"/>
      <c r="E155" s="33"/>
      <c r="F155" s="33"/>
      <c r="G155" s="33"/>
      <c r="H155" s="33"/>
      <c r="I155" s="33"/>
      <c r="J155" s="33"/>
      <c r="K155" s="33"/>
      <c r="L155" s="33"/>
      <c r="M155" s="35"/>
    </row>
    <row r="156" spans="1:13" x14ac:dyDescent="0.25">
      <c r="A156" s="36"/>
      <c r="B156" s="36" t="s">
        <v>107</v>
      </c>
      <c r="C156" s="37"/>
      <c r="D156" s="36"/>
      <c r="E156" s="36"/>
      <c r="F156" s="36"/>
      <c r="G156" s="36"/>
      <c r="H156" s="36"/>
      <c r="I156" s="36"/>
      <c r="J156" s="36"/>
      <c r="K156" s="36"/>
      <c r="L156" s="36"/>
      <c r="M156" s="38"/>
    </row>
    <row r="157" spans="1:13" x14ac:dyDescent="0.25">
      <c r="A157" s="40" t="s">
        <v>276</v>
      </c>
      <c r="B157" s="40" t="s">
        <v>279</v>
      </c>
      <c r="C157" s="34"/>
      <c r="D157" s="33"/>
      <c r="E157" s="33"/>
      <c r="F157" s="33"/>
      <c r="G157" s="33"/>
      <c r="H157" s="33"/>
      <c r="I157" s="33"/>
      <c r="J157" s="33"/>
      <c r="K157" s="33"/>
      <c r="L157" s="33"/>
      <c r="M157" s="35"/>
    </row>
    <row r="158" spans="1:13" x14ac:dyDescent="0.25">
      <c r="A158" s="36"/>
      <c r="B158" s="36" t="s">
        <v>151</v>
      </c>
      <c r="C158" s="37" t="str">
        <f>Printer_Name</f>
        <v>Ender3 Speed 0.6 nozzle PET</v>
      </c>
      <c r="D158" s="36"/>
      <c r="E158" s="36"/>
      <c r="F158" s="36"/>
      <c r="G158" s="36"/>
      <c r="H158" s="36"/>
      <c r="I158" s="36"/>
      <c r="J158" s="36"/>
      <c r="K158" s="36"/>
      <c r="L158" s="36"/>
      <c r="M158" s="38"/>
    </row>
    <row r="159" spans="1:13" x14ac:dyDescent="0.25">
      <c r="A159" s="33"/>
      <c r="B159" s="33" t="s">
        <v>152</v>
      </c>
      <c r="C159" s="34"/>
      <c r="D159" s="33"/>
      <c r="E159" s="33"/>
      <c r="F159" s="33"/>
      <c r="G159" s="33"/>
      <c r="H159" s="33"/>
      <c r="I159" s="33"/>
      <c r="J159" s="33"/>
      <c r="K159" s="33"/>
      <c r="L159" s="33"/>
      <c r="M159" s="35"/>
    </row>
    <row r="160" spans="1:13" x14ac:dyDescent="0.25">
      <c r="A160" s="36"/>
      <c r="B160" s="36" t="s">
        <v>390</v>
      </c>
      <c r="C160" s="37">
        <v>0</v>
      </c>
      <c r="D160" s="36"/>
      <c r="E160" s="36"/>
      <c r="F160" s="36"/>
      <c r="G160" s="36"/>
      <c r="H160" s="36"/>
      <c r="I160" s="36"/>
      <c r="J160" s="36"/>
      <c r="K160" s="36"/>
      <c r="L160" s="36"/>
      <c r="M160" s="38"/>
    </row>
    <row r="161" spans="1:13" ht="45" x14ac:dyDescent="0.25">
      <c r="A161" s="33"/>
      <c r="B161" s="33" t="s">
        <v>392</v>
      </c>
      <c r="C161" s="49" t="s">
        <v>398</v>
      </c>
      <c r="D161" s="33"/>
      <c r="E161" s="33"/>
      <c r="F161" s="33"/>
      <c r="G161" s="33"/>
      <c r="H161" s="33"/>
      <c r="I161" s="33"/>
      <c r="J161" s="33"/>
      <c r="K161" s="33"/>
      <c r="L161" s="33"/>
      <c r="M161" s="35"/>
    </row>
    <row r="162" spans="1:13" x14ac:dyDescent="0.25">
      <c r="A162" s="50"/>
      <c r="B162" s="50" t="s">
        <v>391</v>
      </c>
      <c r="C162" s="51"/>
      <c r="D162" s="50"/>
      <c r="E162" s="50"/>
      <c r="F162" s="50"/>
      <c r="G162" s="50"/>
      <c r="H162" s="50"/>
      <c r="I162" s="50"/>
      <c r="J162" s="50"/>
      <c r="K162" s="50"/>
      <c r="L162" s="50"/>
      <c r="M162"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82"/>
  <sheetViews>
    <sheetView workbookViewId="0">
      <pane ySplit="1" topLeftCell="A2" activePane="bottomLeft" state="frozen"/>
      <selection pane="bottomLeft" activeCell="E19" sqref="E19"/>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247</v>
      </c>
      <c r="B1" s="6" t="s">
        <v>219</v>
      </c>
      <c r="C1" s="6" t="s">
        <v>109</v>
      </c>
      <c r="D1" s="6" t="s">
        <v>154</v>
      </c>
      <c r="E1" s="6" t="s">
        <v>153</v>
      </c>
      <c r="F1" s="6" t="s">
        <v>155</v>
      </c>
      <c r="G1" s="6" t="s">
        <v>355</v>
      </c>
      <c r="H1" s="6" t="s">
        <v>357</v>
      </c>
      <c r="I1" s="6" t="s">
        <v>156</v>
      </c>
      <c r="J1" s="6" t="s">
        <v>231</v>
      </c>
    </row>
    <row r="2" spans="1:10" ht="15.75" thickTop="1" x14ac:dyDescent="0.25">
      <c r="A2" s="7" t="s">
        <v>313</v>
      </c>
      <c r="B2" s="8" t="s">
        <v>312</v>
      </c>
      <c r="C2" s="9"/>
      <c r="D2" s="9"/>
      <c r="E2" s="9"/>
      <c r="F2" s="9"/>
      <c r="G2" s="9"/>
      <c r="H2" s="9"/>
      <c r="I2" s="9"/>
      <c r="J2" s="9"/>
    </row>
    <row r="3" spans="1:10" x14ac:dyDescent="0.25">
      <c r="A3" s="10"/>
      <c r="B3" s="11" t="s">
        <v>110</v>
      </c>
      <c r="C3" s="12" t="s">
        <v>111</v>
      </c>
      <c r="D3" s="11" t="s">
        <v>358</v>
      </c>
      <c r="E3" s="11" t="s">
        <v>359</v>
      </c>
      <c r="F3" s="11" t="s">
        <v>360</v>
      </c>
      <c r="G3" s="11" t="s">
        <v>356</v>
      </c>
      <c r="H3" s="11" t="s">
        <v>361</v>
      </c>
      <c r="I3" s="11" t="s">
        <v>362</v>
      </c>
      <c r="J3" s="11"/>
    </row>
    <row r="4" spans="1:10" x14ac:dyDescent="0.25">
      <c r="A4" s="13"/>
      <c r="B4" s="4" t="s">
        <v>112</v>
      </c>
      <c r="C4" s="4">
        <v>1.75</v>
      </c>
      <c r="D4" s="4"/>
      <c r="E4" s="4"/>
      <c r="F4" s="4"/>
      <c r="G4" s="4"/>
      <c r="H4" s="4"/>
      <c r="I4" s="4"/>
      <c r="J4" s="4"/>
    </row>
    <row r="5" spans="1:10" x14ac:dyDescent="0.25">
      <c r="A5" s="10"/>
      <c r="B5" s="11" t="s">
        <v>113</v>
      </c>
      <c r="C5" s="11">
        <v>1</v>
      </c>
      <c r="D5" s="11">
        <v>0.93</v>
      </c>
      <c r="E5" s="11">
        <v>0.9</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363</v>
      </c>
    </row>
    <row r="8" spans="1:10" x14ac:dyDescent="0.25">
      <c r="A8" s="13"/>
      <c r="B8" s="14" t="s">
        <v>316</v>
      </c>
      <c r="C8" s="4"/>
      <c r="D8" s="4"/>
      <c r="E8" s="4"/>
      <c r="F8" s="4"/>
      <c r="G8" s="4"/>
      <c r="H8" s="4"/>
      <c r="I8" s="4"/>
      <c r="J8" s="4"/>
    </row>
    <row r="9" spans="1:10" x14ac:dyDescent="0.25">
      <c r="A9" s="10"/>
      <c r="B9" s="11" t="s">
        <v>116</v>
      </c>
      <c r="C9" s="11">
        <v>215</v>
      </c>
      <c r="D9" s="11"/>
      <c r="E9" s="11">
        <v>235</v>
      </c>
      <c r="F9" s="11">
        <v>230</v>
      </c>
      <c r="G9" s="11">
        <v>245</v>
      </c>
      <c r="H9" s="11">
        <v>220</v>
      </c>
      <c r="I9" s="11">
        <v>230</v>
      </c>
      <c r="J9" s="11"/>
    </row>
    <row r="10" spans="1:10" x14ac:dyDescent="0.25">
      <c r="A10" s="13"/>
      <c r="B10" s="4" t="s">
        <v>117</v>
      </c>
      <c r="C10" s="4">
        <v>210</v>
      </c>
      <c r="D10" s="4"/>
      <c r="E10" s="4">
        <v>235</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317</v>
      </c>
      <c r="B13" s="14" t="s">
        <v>318</v>
      </c>
      <c r="C13" s="11"/>
      <c r="D13" s="11"/>
      <c r="E13" s="11"/>
      <c r="F13" s="11"/>
      <c r="G13" s="11"/>
      <c r="H13" s="11"/>
      <c r="I13" s="11"/>
      <c r="J13" s="11"/>
    </row>
    <row r="14" spans="1:10" x14ac:dyDescent="0.25">
      <c r="A14" s="13"/>
      <c r="B14" s="4" t="s">
        <v>120</v>
      </c>
      <c r="C14" s="4">
        <v>1</v>
      </c>
      <c r="D14" s="4"/>
      <c r="E14" s="4"/>
      <c r="F14" s="4">
        <v>0</v>
      </c>
      <c r="G14" s="4"/>
      <c r="H14" s="4"/>
      <c r="I14" s="4"/>
      <c r="J14" s="4"/>
    </row>
    <row r="15" spans="1:10" x14ac:dyDescent="0.25">
      <c r="A15" s="10"/>
      <c r="B15" s="11" t="s">
        <v>121</v>
      </c>
      <c r="C15" s="11">
        <v>1</v>
      </c>
      <c r="D15" s="11"/>
      <c r="E15" s="11"/>
      <c r="F15" s="11"/>
      <c r="G15" s="11"/>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20</v>
      </c>
      <c r="F17" s="11"/>
      <c r="G17" s="11"/>
      <c r="H17" s="11"/>
      <c r="I17" s="11"/>
      <c r="J17" s="11"/>
    </row>
    <row r="18" spans="1:10" x14ac:dyDescent="0.25">
      <c r="A18" s="13"/>
      <c r="B18" s="4" t="s">
        <v>124</v>
      </c>
      <c r="C18" s="4">
        <v>100</v>
      </c>
      <c r="D18" s="4"/>
      <c r="E18" s="4">
        <v>30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314</v>
      </c>
    </row>
    <row r="23" spans="1:10" ht="30" x14ac:dyDescent="0.25">
      <c r="A23" s="10"/>
      <c r="B23" s="11" t="s">
        <v>129</v>
      </c>
      <c r="C23" s="11">
        <v>5</v>
      </c>
      <c r="D23" s="11"/>
      <c r="E23" s="11"/>
      <c r="F23" s="11"/>
      <c r="G23" s="11"/>
      <c r="H23" s="11"/>
      <c r="I23" s="11"/>
      <c r="J23" s="17" t="s">
        <v>319</v>
      </c>
    </row>
    <row r="24" spans="1:10" x14ac:dyDescent="0.25">
      <c r="A24" s="13"/>
      <c r="B24" s="4" t="s">
        <v>130</v>
      </c>
      <c r="C24" s="4">
        <v>10</v>
      </c>
      <c r="D24" s="4"/>
      <c r="E24" s="4"/>
      <c r="F24" s="4"/>
      <c r="G24" s="4"/>
      <c r="H24" s="4"/>
      <c r="I24" s="4"/>
      <c r="J24" s="4"/>
    </row>
    <row r="25" spans="1:10" x14ac:dyDescent="0.25">
      <c r="A25" s="15" t="s">
        <v>269</v>
      </c>
      <c r="B25" s="14" t="s">
        <v>320</v>
      </c>
      <c r="C25" s="11"/>
      <c r="D25" s="11"/>
      <c r="E25" s="11"/>
      <c r="F25" s="11"/>
      <c r="G25" s="11"/>
      <c r="H25" s="11"/>
      <c r="I25" s="11"/>
      <c r="J25" s="11"/>
    </row>
    <row r="26" spans="1:10" x14ac:dyDescent="0.25">
      <c r="A26" s="13"/>
      <c r="B26" s="4" t="s">
        <v>131</v>
      </c>
      <c r="C26" s="18" t="s">
        <v>154</v>
      </c>
      <c r="D26" s="4" t="s">
        <v>154</v>
      </c>
      <c r="E26" s="4" t="s">
        <v>153</v>
      </c>
      <c r="F26" s="4" t="s">
        <v>155</v>
      </c>
      <c r="G26" s="4" t="s">
        <v>229</v>
      </c>
      <c r="H26" s="4" t="s">
        <v>229</v>
      </c>
      <c r="I26" s="4" t="s">
        <v>229</v>
      </c>
      <c r="J26" s="4"/>
    </row>
    <row r="27" spans="1:10" x14ac:dyDescent="0.25">
      <c r="A27" s="10"/>
      <c r="B27" s="11" t="s">
        <v>132</v>
      </c>
      <c r="C27" s="12">
        <v>0</v>
      </c>
      <c r="D27" s="11"/>
      <c r="E27" s="11"/>
      <c r="F27" s="11"/>
      <c r="G27" s="11"/>
      <c r="H27" s="11"/>
      <c r="I27" s="11"/>
      <c r="J27" s="11"/>
    </row>
    <row r="28" spans="1:10" x14ac:dyDescent="0.25">
      <c r="A28" s="13"/>
      <c r="B28" s="14" t="s">
        <v>321</v>
      </c>
      <c r="C28" s="18"/>
      <c r="D28" s="4"/>
      <c r="E28" s="4"/>
      <c r="F28" s="4"/>
      <c r="G28" s="4"/>
      <c r="H28" s="4"/>
      <c r="I28" s="4"/>
      <c r="J28" s="4"/>
    </row>
    <row r="29" spans="1:10" x14ac:dyDescent="0.25">
      <c r="A29" s="13"/>
      <c r="B29" s="60" t="s">
        <v>133</v>
      </c>
      <c r="C29" s="18">
        <v>0</v>
      </c>
      <c r="D29" s="4"/>
      <c r="E29" s="4"/>
      <c r="F29" s="4"/>
      <c r="G29" s="4"/>
      <c r="H29" s="4"/>
      <c r="I29" s="4"/>
      <c r="J29" s="4"/>
    </row>
    <row r="30" spans="1:10" x14ac:dyDescent="0.25">
      <c r="A30" s="10"/>
      <c r="B30" s="11" t="s">
        <v>410</v>
      </c>
      <c r="C30" s="11">
        <v>15</v>
      </c>
      <c r="D30" s="11">
        <v>11.5</v>
      </c>
      <c r="E30" s="11">
        <v>8</v>
      </c>
      <c r="F30" s="11">
        <v>10</v>
      </c>
      <c r="G30" s="11">
        <v>1.5</v>
      </c>
      <c r="H30" s="11">
        <v>1.5</v>
      </c>
      <c r="I30" s="11">
        <v>1.5</v>
      </c>
      <c r="J30" s="11" t="s">
        <v>322</v>
      </c>
    </row>
    <row r="31" spans="1:10" x14ac:dyDescent="0.25">
      <c r="A31" s="13"/>
      <c r="B31" s="14" t="s">
        <v>323</v>
      </c>
      <c r="C31" s="4"/>
      <c r="D31" s="4"/>
      <c r="E31" s="4"/>
      <c r="F31" s="4"/>
      <c r="G31" s="4"/>
      <c r="H31" s="4"/>
      <c r="I31" s="4"/>
      <c r="J31" s="4"/>
    </row>
    <row r="32" spans="1:10" x14ac:dyDescent="0.25">
      <c r="A32" s="10"/>
      <c r="B32" s="11" t="s">
        <v>134</v>
      </c>
      <c r="C32" s="11">
        <v>3</v>
      </c>
      <c r="D32" s="11"/>
      <c r="E32" s="11"/>
      <c r="F32" s="11"/>
      <c r="G32" s="11"/>
      <c r="H32" s="11"/>
      <c r="I32" s="11"/>
      <c r="J32" s="11"/>
    </row>
    <row r="33" spans="1:10" x14ac:dyDescent="0.25">
      <c r="A33" s="13"/>
      <c r="B33" s="4" t="s">
        <v>135</v>
      </c>
      <c r="C33" s="4">
        <v>28</v>
      </c>
      <c r="D33" s="4"/>
      <c r="E33" s="4"/>
      <c r="F33" s="4"/>
      <c r="G33" s="4"/>
      <c r="H33" s="4"/>
      <c r="I33" s="4"/>
      <c r="J33" s="4"/>
    </row>
    <row r="34" spans="1:10" x14ac:dyDescent="0.25">
      <c r="A34" s="10"/>
      <c r="B34" s="11" t="s">
        <v>136</v>
      </c>
      <c r="C34" s="11">
        <v>100</v>
      </c>
      <c r="D34" s="11"/>
      <c r="E34" s="11"/>
      <c r="F34" s="11"/>
      <c r="G34" s="11"/>
      <c r="H34" s="11"/>
      <c r="I34" s="11"/>
      <c r="J34" s="11"/>
    </row>
    <row r="35" spans="1:10" x14ac:dyDescent="0.25">
      <c r="A35" s="13"/>
      <c r="B35" s="4" t="s">
        <v>137</v>
      </c>
      <c r="C35" s="4">
        <v>90</v>
      </c>
      <c r="D35" s="4"/>
      <c r="E35" s="4"/>
      <c r="F35" s="4"/>
      <c r="G35" s="4"/>
      <c r="H35" s="4"/>
      <c r="I35" s="4"/>
      <c r="J35" s="4"/>
    </row>
    <row r="36" spans="1:10" x14ac:dyDescent="0.25">
      <c r="A36" s="10"/>
      <c r="B36" s="11" t="s">
        <v>138</v>
      </c>
      <c r="C36" s="11">
        <v>0</v>
      </c>
      <c r="D36" s="11"/>
      <c r="E36" s="11"/>
      <c r="F36" s="11"/>
      <c r="G36" s="11"/>
      <c r="H36" s="11"/>
      <c r="I36" s="11"/>
      <c r="J36" s="11"/>
    </row>
    <row r="37" spans="1:10" x14ac:dyDescent="0.25">
      <c r="A37" s="13"/>
      <c r="B37" s="4" t="s">
        <v>139</v>
      </c>
      <c r="C37" s="4">
        <v>0</v>
      </c>
      <c r="D37" s="4"/>
      <c r="E37" s="4"/>
      <c r="F37" s="4"/>
      <c r="G37" s="4"/>
      <c r="H37" s="4"/>
      <c r="I37" s="4"/>
      <c r="J37" s="4"/>
    </row>
    <row r="38" spans="1:10" x14ac:dyDescent="0.25">
      <c r="A38" s="10"/>
      <c r="B38" s="11" t="s">
        <v>140</v>
      </c>
      <c r="C38" s="11">
        <v>0</v>
      </c>
      <c r="D38" s="11"/>
      <c r="E38" s="11"/>
      <c r="F38" s="11"/>
      <c r="G38" s="11"/>
      <c r="H38" s="11"/>
      <c r="I38" s="11"/>
      <c r="J38" s="11" t="s">
        <v>315</v>
      </c>
    </row>
    <row r="39" spans="1:10" x14ac:dyDescent="0.25">
      <c r="A39" s="13"/>
      <c r="B39" s="4" t="s">
        <v>141</v>
      </c>
      <c r="C39" s="4">
        <v>4</v>
      </c>
      <c r="D39" s="4"/>
      <c r="E39" s="4"/>
      <c r="F39" s="4"/>
      <c r="G39" s="4"/>
      <c r="H39" s="4"/>
      <c r="I39" s="4"/>
      <c r="J39" s="4" t="s">
        <v>324</v>
      </c>
    </row>
    <row r="40" spans="1:10" x14ac:dyDescent="0.25">
      <c r="A40" s="10"/>
      <c r="B40" s="11" t="s">
        <v>142</v>
      </c>
      <c r="C40" s="11">
        <v>2.2000000000000002</v>
      </c>
      <c r="D40" s="11"/>
      <c r="E40" s="11"/>
      <c r="F40" s="11"/>
      <c r="G40" s="11"/>
      <c r="H40" s="11"/>
      <c r="I40" s="11"/>
      <c r="J40" s="11" t="s">
        <v>325</v>
      </c>
    </row>
    <row r="41" spans="1:10" x14ac:dyDescent="0.25">
      <c r="A41" s="13"/>
      <c r="B41" s="4" t="s">
        <v>143</v>
      </c>
      <c r="C41" s="4">
        <v>3.4</v>
      </c>
      <c r="D41" s="4"/>
      <c r="E41" s="4"/>
      <c r="F41" s="4"/>
      <c r="G41" s="4"/>
      <c r="H41" s="4"/>
      <c r="I41" s="4"/>
      <c r="J41" s="4" t="s">
        <v>326</v>
      </c>
    </row>
    <row r="42" spans="1:10" x14ac:dyDescent="0.25">
      <c r="A42" s="10"/>
      <c r="B42" s="11" t="s">
        <v>144</v>
      </c>
      <c r="C42" s="11">
        <v>15</v>
      </c>
      <c r="D42" s="11"/>
      <c r="E42" s="11"/>
      <c r="F42" s="11"/>
      <c r="G42" s="11"/>
      <c r="H42" s="11"/>
      <c r="I42" s="11"/>
      <c r="J42" s="11" t="s">
        <v>327</v>
      </c>
    </row>
    <row r="43" spans="1:10" x14ac:dyDescent="0.25">
      <c r="A43" s="13"/>
      <c r="B43" s="4" t="s">
        <v>145</v>
      </c>
      <c r="C43" s="19"/>
      <c r="D43" s="4"/>
      <c r="E43" s="4"/>
      <c r="F43" s="4"/>
      <c r="G43" s="4"/>
      <c r="H43" s="4"/>
      <c r="I43" s="4"/>
      <c r="J43" s="4" t="s">
        <v>328</v>
      </c>
    </row>
    <row r="44" spans="1:10" x14ac:dyDescent="0.25">
      <c r="A44" s="15" t="s">
        <v>329</v>
      </c>
      <c r="B44" s="14" t="s">
        <v>330</v>
      </c>
      <c r="C44" s="11"/>
      <c r="D44" s="11"/>
      <c r="E44" s="11"/>
      <c r="F44" s="11"/>
      <c r="G44" s="11"/>
      <c r="H44" s="11"/>
      <c r="I44" s="11"/>
      <c r="J44" s="11"/>
    </row>
    <row r="45" spans="1:10" x14ac:dyDescent="0.25">
      <c r="A45" s="13"/>
      <c r="B45" s="4" t="s">
        <v>146</v>
      </c>
      <c r="C45" s="4" t="s">
        <v>147</v>
      </c>
      <c r="D45" s="4"/>
      <c r="E45" s="4"/>
      <c r="F45" s="4"/>
      <c r="G45" s="4"/>
      <c r="H45" s="4"/>
      <c r="I45" s="4"/>
      <c r="J45" s="4"/>
    </row>
    <row r="46" spans="1:10" x14ac:dyDescent="0.25">
      <c r="A46" s="10"/>
      <c r="B46" s="11" t="s">
        <v>148</v>
      </c>
      <c r="C46" s="11" t="s">
        <v>149</v>
      </c>
      <c r="D46" s="11"/>
      <c r="E46" s="11"/>
      <c r="F46" s="11"/>
      <c r="G46" s="11"/>
      <c r="H46" s="11"/>
      <c r="I46" s="11"/>
      <c r="J46" s="11"/>
    </row>
    <row r="47" spans="1:10" x14ac:dyDescent="0.25">
      <c r="A47" s="15" t="s">
        <v>275</v>
      </c>
      <c r="B47" s="14" t="s">
        <v>106</v>
      </c>
      <c r="C47" s="4"/>
      <c r="D47" s="4"/>
      <c r="E47" s="4"/>
      <c r="F47" s="4"/>
      <c r="G47" s="4"/>
      <c r="H47" s="4"/>
      <c r="I47" s="4"/>
      <c r="J47" s="4"/>
    </row>
    <row r="48" spans="1:10" x14ac:dyDescent="0.25">
      <c r="A48" s="10"/>
      <c r="B48" s="11" t="s">
        <v>150</v>
      </c>
      <c r="C48" s="11"/>
      <c r="D48" s="11"/>
      <c r="E48" s="11"/>
      <c r="F48" s="11"/>
      <c r="G48" s="11"/>
      <c r="H48" s="11"/>
      <c r="I48" s="11"/>
      <c r="J48" s="11"/>
    </row>
    <row r="49" spans="1:10" x14ac:dyDescent="0.25">
      <c r="A49" s="15" t="s">
        <v>276</v>
      </c>
      <c r="B49" s="14" t="s">
        <v>108</v>
      </c>
      <c r="C49" s="4"/>
      <c r="D49" s="4"/>
      <c r="E49" s="4"/>
      <c r="F49" s="4"/>
      <c r="G49" s="4"/>
      <c r="H49" s="4"/>
      <c r="I49" s="4"/>
      <c r="J49" s="4"/>
    </row>
    <row r="50" spans="1:10" x14ac:dyDescent="0.25">
      <c r="A50" s="10"/>
      <c r="B50" s="11" t="s">
        <v>375</v>
      </c>
      <c r="C50" s="11"/>
      <c r="D50" s="11"/>
      <c r="E50" s="11"/>
      <c r="F50" s="11"/>
      <c r="G50" s="11"/>
      <c r="H50" s="11"/>
      <c r="I50" s="11"/>
      <c r="J50" s="11"/>
    </row>
    <row r="51" spans="1:10" x14ac:dyDescent="0.25">
      <c r="A51" s="13"/>
      <c r="B51" s="4" t="s">
        <v>151</v>
      </c>
      <c r="C51" s="4" t="str">
        <f>Printer_Name</f>
        <v>Ender3 Speed 0.6 nozzle PET</v>
      </c>
      <c r="D51" s="4"/>
      <c r="E51" s="4"/>
      <c r="F51" s="4"/>
      <c r="G51" s="4"/>
      <c r="H51" s="4"/>
      <c r="I51" s="4"/>
      <c r="J51" s="4"/>
    </row>
    <row r="52" spans="1:10" x14ac:dyDescent="0.25">
      <c r="A52" s="13"/>
      <c r="B52" s="4" t="s">
        <v>152</v>
      </c>
      <c r="C52" s="4"/>
      <c r="D52" s="4"/>
      <c r="E52" s="4"/>
      <c r="F52" s="4"/>
      <c r="G52" s="4"/>
      <c r="H52" s="4"/>
      <c r="I52" s="4"/>
      <c r="J52" s="4"/>
    </row>
    <row r="53" spans="1:10" x14ac:dyDescent="0.25">
      <c r="A53" s="13"/>
      <c r="B53" s="4" t="s">
        <v>408</v>
      </c>
      <c r="C53" s="4"/>
      <c r="D53" s="4"/>
      <c r="E53" s="4"/>
      <c r="F53" s="4"/>
      <c r="G53" s="4"/>
      <c r="H53" s="4"/>
      <c r="I53" s="4"/>
      <c r="J53" s="4"/>
    </row>
    <row r="54" spans="1:10" x14ac:dyDescent="0.25">
      <c r="A54" s="13"/>
      <c r="B54" s="4" t="s">
        <v>409</v>
      </c>
      <c r="C54" s="4"/>
      <c r="D54" s="4"/>
      <c r="E54" s="4"/>
      <c r="F54" s="4"/>
      <c r="G54" s="4"/>
      <c r="H54" s="4"/>
      <c r="I54" s="4"/>
      <c r="J54" s="4"/>
    </row>
    <row r="55" spans="1:10" x14ac:dyDescent="0.25">
      <c r="A55" s="15" t="s">
        <v>376</v>
      </c>
      <c r="B55" s="14" t="s">
        <v>377</v>
      </c>
      <c r="C55" s="11"/>
      <c r="D55" s="11"/>
      <c r="E55" s="11"/>
      <c r="F55" s="11"/>
      <c r="G55" s="11"/>
      <c r="H55" s="11"/>
      <c r="I55" s="11"/>
      <c r="J55" s="11"/>
    </row>
    <row r="56" spans="1:10" x14ac:dyDescent="0.25">
      <c r="A56" s="13"/>
      <c r="B56" s="4" t="s">
        <v>404</v>
      </c>
      <c r="C56" s="4">
        <v>0</v>
      </c>
      <c r="D56" s="4">
        <v>0.05</v>
      </c>
      <c r="E56" s="4">
        <v>0.08</v>
      </c>
      <c r="F56" s="4"/>
      <c r="G56" s="4"/>
      <c r="H56" s="4"/>
      <c r="I56" s="4"/>
      <c r="J56" s="4"/>
    </row>
    <row r="57" spans="1:10" x14ac:dyDescent="0.25">
      <c r="A57" s="10"/>
      <c r="B57" s="11" t="s">
        <v>160</v>
      </c>
      <c r="C57" s="11">
        <v>0</v>
      </c>
      <c r="D57" s="11"/>
      <c r="E57" s="11">
        <v>0.08</v>
      </c>
      <c r="F57" s="11"/>
      <c r="G57" s="11"/>
      <c r="H57" s="11"/>
      <c r="I57" s="11"/>
      <c r="J57" s="11"/>
    </row>
    <row r="58" spans="1:10" x14ac:dyDescent="0.25">
      <c r="A58" s="13"/>
      <c r="B58" s="4" t="s">
        <v>200</v>
      </c>
      <c r="C58" s="4">
        <v>0.8</v>
      </c>
      <c r="D58" s="4"/>
      <c r="E58" s="4"/>
      <c r="F58" s="4"/>
      <c r="G58" s="4"/>
      <c r="H58" s="4"/>
      <c r="I58" s="4"/>
      <c r="J58" s="4"/>
    </row>
    <row r="59" spans="1:10" x14ac:dyDescent="0.25">
      <c r="A59" s="10"/>
      <c r="B59" s="11" t="s">
        <v>201</v>
      </c>
      <c r="C59" s="11">
        <v>0.4</v>
      </c>
      <c r="D59" s="11"/>
      <c r="E59" s="11"/>
      <c r="F59" s="11"/>
      <c r="G59" s="11"/>
      <c r="H59" s="11"/>
      <c r="I59" s="11"/>
      <c r="J59" s="11"/>
    </row>
    <row r="60" spans="1:10" x14ac:dyDescent="0.25">
      <c r="A60" s="13"/>
      <c r="B60" s="4" t="s">
        <v>204</v>
      </c>
      <c r="C60" s="4">
        <v>35</v>
      </c>
      <c r="D60" s="4"/>
      <c r="E60" s="4">
        <v>25</v>
      </c>
      <c r="F60" s="4"/>
      <c r="G60" s="4"/>
      <c r="H60" s="4"/>
      <c r="I60" s="4"/>
      <c r="J60" s="4"/>
    </row>
    <row r="61" spans="1:10" x14ac:dyDescent="0.25">
      <c r="A61" s="10"/>
      <c r="B61" s="11" t="s">
        <v>205</v>
      </c>
      <c r="C61" s="11">
        <v>35</v>
      </c>
      <c r="D61" s="11"/>
      <c r="E61" s="11">
        <v>20</v>
      </c>
      <c r="F61" s="11"/>
      <c r="G61" s="11"/>
      <c r="H61" s="11"/>
      <c r="I61" s="11"/>
      <c r="J61" s="11"/>
    </row>
    <row r="62" spans="1:10" x14ac:dyDescent="0.25">
      <c r="A62" s="13"/>
      <c r="B62" s="4" t="s">
        <v>206</v>
      </c>
      <c r="C62" s="4">
        <v>0</v>
      </c>
      <c r="D62" s="4"/>
      <c r="E62" s="4"/>
      <c r="F62" s="4"/>
      <c r="G62" s="4"/>
      <c r="H62" s="4"/>
      <c r="I62" s="4"/>
      <c r="J62" s="4"/>
    </row>
    <row r="63" spans="1:10" x14ac:dyDescent="0.25">
      <c r="A63" s="10"/>
      <c r="B63" s="11" t="s">
        <v>207</v>
      </c>
      <c r="C63" s="11">
        <v>1</v>
      </c>
      <c r="D63" s="11"/>
      <c r="E63" s="11"/>
      <c r="F63" s="11"/>
      <c r="G63" s="11"/>
      <c r="H63" s="11"/>
      <c r="I63" s="11"/>
      <c r="J63" s="11"/>
    </row>
    <row r="64" spans="1:10" x14ac:dyDescent="0.25">
      <c r="A64" s="13"/>
      <c r="B64" s="4" t="s">
        <v>208</v>
      </c>
      <c r="C64" s="4">
        <v>1</v>
      </c>
      <c r="D64" s="4"/>
      <c r="E64" s="4"/>
      <c r="F64" s="4"/>
      <c r="G64" s="4"/>
      <c r="H64" s="4"/>
      <c r="I64" s="4"/>
      <c r="J64" s="4"/>
    </row>
    <row r="65" spans="1:10" x14ac:dyDescent="0.25">
      <c r="A65" s="10"/>
      <c r="B65" s="11" t="s">
        <v>209</v>
      </c>
      <c r="C65" s="11">
        <v>1</v>
      </c>
      <c r="D65" s="11"/>
      <c r="E65" s="11"/>
      <c r="F65" s="11"/>
      <c r="G65" s="11"/>
      <c r="H65" s="11"/>
      <c r="I65" s="11"/>
      <c r="J65" s="11"/>
    </row>
    <row r="66" spans="1:10" x14ac:dyDescent="0.25">
      <c r="A66" s="13"/>
      <c r="B66" s="4" t="s">
        <v>401</v>
      </c>
      <c r="C66" s="4">
        <v>0</v>
      </c>
      <c r="D66" s="4"/>
      <c r="E66" s="4"/>
      <c r="F66" s="4"/>
      <c r="G66" s="4"/>
      <c r="H66" s="4"/>
      <c r="I66" s="4"/>
      <c r="J66" s="4"/>
    </row>
    <row r="67" spans="1:10" x14ac:dyDescent="0.25">
      <c r="A67" s="10"/>
      <c r="B67" s="11" t="s">
        <v>402</v>
      </c>
      <c r="C67" s="11">
        <v>0</v>
      </c>
      <c r="D67" s="11"/>
      <c r="E67" s="11"/>
      <c r="F67" s="11"/>
      <c r="G67" s="11"/>
      <c r="H67" s="11"/>
      <c r="I67" s="11"/>
      <c r="J67" s="11"/>
    </row>
    <row r="68" spans="1:10" x14ac:dyDescent="0.25">
      <c r="A68" s="13"/>
      <c r="B68" s="4" t="s">
        <v>210</v>
      </c>
      <c r="C68" s="57">
        <v>80</v>
      </c>
      <c r="D68" s="4"/>
      <c r="E68" s="4"/>
      <c r="F68" s="4"/>
      <c r="G68" s="4"/>
      <c r="H68" s="4"/>
      <c r="I68" s="4"/>
      <c r="J68" s="4"/>
    </row>
    <row r="69" spans="1:10" x14ac:dyDescent="0.25">
      <c r="A69" s="10"/>
      <c r="B69" s="11"/>
      <c r="C69" s="11"/>
      <c r="D69" s="11"/>
      <c r="E69" s="11"/>
      <c r="F69" s="11"/>
      <c r="G69" s="11"/>
      <c r="H69" s="11"/>
      <c r="I69" s="11"/>
      <c r="J69" s="11"/>
    </row>
    <row r="70" spans="1:10" x14ac:dyDescent="0.25">
      <c r="A70" s="13"/>
      <c r="B70" s="4"/>
      <c r="C70" s="4"/>
      <c r="D70" s="4"/>
      <c r="E70" s="4"/>
      <c r="F70" s="4"/>
      <c r="G70" s="4"/>
      <c r="H70" s="4"/>
      <c r="I70" s="4"/>
      <c r="J70" s="4"/>
    </row>
    <row r="71" spans="1:10" x14ac:dyDescent="0.25">
      <c r="A71" s="10"/>
      <c r="B71" s="11"/>
      <c r="C71" s="11"/>
      <c r="D71" s="11"/>
      <c r="E71" s="11"/>
      <c r="F71" s="11"/>
      <c r="G71" s="11"/>
      <c r="H71" s="11"/>
      <c r="I71" s="11"/>
      <c r="J71" s="11"/>
    </row>
    <row r="72" spans="1:10" x14ac:dyDescent="0.25">
      <c r="A72" s="13"/>
      <c r="B72" s="4"/>
      <c r="C72" s="4"/>
      <c r="D72" s="4"/>
      <c r="E72" s="4"/>
      <c r="F72" s="4"/>
      <c r="G72" s="4"/>
      <c r="H72" s="4"/>
      <c r="I72" s="4"/>
      <c r="J72" s="4"/>
    </row>
    <row r="73" spans="1:10" x14ac:dyDescent="0.25">
      <c r="A73" s="10"/>
      <c r="B73" s="11"/>
      <c r="C73" s="11"/>
      <c r="D73" s="11"/>
      <c r="E73" s="11"/>
      <c r="F73" s="11"/>
      <c r="G73" s="11"/>
      <c r="H73" s="11"/>
      <c r="I73" s="11"/>
      <c r="J73" s="11"/>
    </row>
    <row r="74" spans="1:10" x14ac:dyDescent="0.25">
      <c r="A74" s="13"/>
      <c r="B74" s="4"/>
      <c r="C74" s="4"/>
      <c r="D74" s="4"/>
      <c r="E74" s="4"/>
      <c r="F74" s="4"/>
      <c r="G74" s="4"/>
      <c r="H74" s="4"/>
      <c r="I74" s="4"/>
      <c r="J74" s="4"/>
    </row>
    <row r="75" spans="1:10" x14ac:dyDescent="0.25">
      <c r="A75" s="10"/>
      <c r="B75" s="11"/>
      <c r="C75" s="11"/>
      <c r="D75" s="11"/>
      <c r="E75" s="11"/>
      <c r="F75" s="11"/>
      <c r="G75" s="11"/>
      <c r="H75" s="11"/>
      <c r="I75" s="11"/>
      <c r="J75" s="11"/>
    </row>
    <row r="76" spans="1:10" x14ac:dyDescent="0.25">
      <c r="A76" s="13"/>
      <c r="B76" s="4"/>
      <c r="C76" s="4"/>
      <c r="D76" s="4"/>
      <c r="E76" s="4"/>
      <c r="F76" s="4"/>
      <c r="G76" s="4"/>
      <c r="H76" s="4"/>
      <c r="I76" s="4"/>
      <c r="J76" s="4"/>
    </row>
    <row r="77" spans="1:10" x14ac:dyDescent="0.25">
      <c r="A77" s="10"/>
      <c r="B77" s="11"/>
      <c r="C77" s="11"/>
      <c r="D77" s="11"/>
      <c r="E77" s="11"/>
      <c r="F77" s="11"/>
      <c r="G77" s="11"/>
      <c r="H77" s="11"/>
      <c r="I77" s="11"/>
      <c r="J77" s="11"/>
    </row>
    <row r="78" spans="1:10" x14ac:dyDescent="0.25">
      <c r="A78" s="13"/>
      <c r="B78" s="4"/>
      <c r="C78" s="4"/>
      <c r="D78" s="4"/>
      <c r="E78" s="4"/>
      <c r="F78" s="4"/>
      <c r="G78" s="4"/>
      <c r="H78" s="4"/>
      <c r="I78" s="4"/>
      <c r="J78" s="4"/>
    </row>
    <row r="79" spans="1:10" x14ac:dyDescent="0.25">
      <c r="A79" s="10"/>
      <c r="B79" s="11"/>
      <c r="C79" s="11"/>
      <c r="D79" s="11"/>
      <c r="E79" s="11"/>
      <c r="F79" s="11"/>
      <c r="G79" s="11"/>
      <c r="H79" s="11"/>
      <c r="I79" s="11"/>
      <c r="J79" s="11"/>
    </row>
    <row r="80" spans="1:10" x14ac:dyDescent="0.25">
      <c r="A80" s="13"/>
      <c r="B80" s="4"/>
      <c r="C80" s="4"/>
      <c r="D80" s="4"/>
      <c r="E80" s="4"/>
      <c r="F80" s="4"/>
      <c r="G80" s="4"/>
      <c r="H80" s="4"/>
      <c r="I80" s="4"/>
      <c r="J80" s="4"/>
    </row>
    <row r="81" spans="1:10" x14ac:dyDescent="0.25">
      <c r="A81" s="10"/>
      <c r="B81" s="11"/>
      <c r="C81" s="11"/>
      <c r="D81" s="11"/>
      <c r="E81" s="11"/>
      <c r="F81" s="11"/>
      <c r="G81" s="11"/>
      <c r="H81" s="11"/>
      <c r="I81" s="11"/>
      <c r="J81" s="11"/>
    </row>
    <row r="82" spans="1:10" x14ac:dyDescent="0.25">
      <c r="A82" s="13"/>
      <c r="B82" s="4"/>
      <c r="C82" s="4"/>
      <c r="D82" s="4"/>
      <c r="E82" s="4"/>
      <c r="F82" s="4"/>
      <c r="G82" s="4"/>
      <c r="H82" s="4"/>
      <c r="I82" s="4"/>
      <c r="J82"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9" activePane="bottomLeft" state="frozen"/>
      <selection pane="bottomLeft" activeCell="B93" sqref="B93"/>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5" t="s">
        <v>247</v>
      </c>
      <c r="B1" s="6" t="s">
        <v>219</v>
      </c>
      <c r="C1" s="20" t="s">
        <v>354</v>
      </c>
      <c r="D1" s="20" t="s">
        <v>231</v>
      </c>
    </row>
    <row r="2" spans="1:4" ht="15.75" thickTop="1" x14ac:dyDescent="0.25">
      <c r="A2" s="7" t="s">
        <v>331</v>
      </c>
      <c r="B2" s="8" t="s">
        <v>332</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Matchfill(INDEX(filament!$A$1:$J$100,MATCH(B5,filament!$B$1:$B$100,0),MATCH(FILAMENT_NAME,filament!$A$1:$J$1,0)),filament!$C$1)</f>
        <v>0.08</v>
      </c>
      <c r="D5" s="11"/>
    </row>
    <row r="6" spans="1:4" x14ac:dyDescent="0.25">
      <c r="A6" s="13"/>
      <c r="B6" s="14" t="s">
        <v>333</v>
      </c>
      <c r="C6" s="18"/>
      <c r="D6" s="4"/>
    </row>
    <row r="7" spans="1:4" x14ac:dyDescent="0.25">
      <c r="A7" s="10"/>
      <c r="B7" s="11" t="s">
        <v>266</v>
      </c>
      <c r="C7" s="12">
        <v>1</v>
      </c>
      <c r="D7" s="11"/>
    </row>
    <row r="8" spans="1:4" x14ac:dyDescent="0.25">
      <c r="A8" s="13"/>
      <c r="B8" s="4" t="s">
        <v>368</v>
      </c>
      <c r="C8" s="18">
        <v>1</v>
      </c>
      <c r="D8" s="4"/>
    </row>
    <row r="9" spans="1:4" x14ac:dyDescent="0.25">
      <c r="A9" s="10"/>
      <c r="B9" s="11" t="s">
        <v>162</v>
      </c>
      <c r="C9" s="12">
        <v>0</v>
      </c>
      <c r="D9" s="11"/>
    </row>
    <row r="10" spans="1:4" x14ac:dyDescent="0.25">
      <c r="A10" s="13"/>
      <c r="B10" s="14" t="s">
        <v>334</v>
      </c>
      <c r="C10" s="18"/>
      <c r="D10" s="4"/>
    </row>
    <row r="11" spans="1:4" x14ac:dyDescent="0.25">
      <c r="A11" s="10"/>
      <c r="B11" s="11" t="s">
        <v>163</v>
      </c>
      <c r="C11" s="12" t="s">
        <v>164</v>
      </c>
      <c r="D11" s="11"/>
    </row>
    <row r="12" spans="1:4" x14ac:dyDescent="0.25">
      <c r="A12" s="13"/>
      <c r="B12" s="4" t="s">
        <v>349</v>
      </c>
      <c r="C12" s="18" t="s">
        <v>165</v>
      </c>
      <c r="D12" s="4"/>
    </row>
    <row r="13" spans="1:4" x14ac:dyDescent="0.25">
      <c r="A13" s="10"/>
      <c r="B13" s="11" t="s">
        <v>348</v>
      </c>
      <c r="C13" s="22" t="s">
        <v>166</v>
      </c>
      <c r="D13" s="11"/>
    </row>
    <row r="14" spans="1:4" x14ac:dyDescent="0.25">
      <c r="A14" s="13"/>
      <c r="B14" s="4" t="s">
        <v>369</v>
      </c>
      <c r="C14" s="23" t="str">
        <f>C13</f>
        <v>9E097510A4414A4EA0C8B10F8B4824A8</v>
      </c>
      <c r="D14" s="4"/>
    </row>
    <row r="15" spans="1:4" x14ac:dyDescent="0.25">
      <c r="A15" s="10"/>
      <c r="B15" s="14" t="s">
        <v>335</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246</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0"/>
      <c r="B24" s="11" t="s">
        <v>404</v>
      </c>
      <c r="C24" s="12" t="str">
        <f>Matchfill(INDEX(filament!$A$1:$J$100,MATCH(B24,filament!$B$1:$B$100,0),MATCH(FILAMENT_NAME,filament!$A$1:$J$1,0)),filament!$C$1)</f>
        <v>0.08</v>
      </c>
      <c r="D24" s="11"/>
    </row>
    <row r="25" spans="1:4" x14ac:dyDescent="0.25">
      <c r="A25" s="10"/>
      <c r="B25" s="11" t="s">
        <v>370</v>
      </c>
      <c r="C25" s="12">
        <v>0</v>
      </c>
      <c r="D25" s="11"/>
    </row>
    <row r="26" spans="1:4" x14ac:dyDescent="0.25">
      <c r="A26" s="10"/>
      <c r="B26" s="11" t="s">
        <v>371</v>
      </c>
      <c r="C26" s="12">
        <v>0</v>
      </c>
      <c r="D26" s="11"/>
    </row>
    <row r="27" spans="1:4" x14ac:dyDescent="0.25">
      <c r="A27" s="13"/>
      <c r="B27" s="4" t="s">
        <v>372</v>
      </c>
      <c r="C27" s="18">
        <v>0</v>
      </c>
      <c r="D27" s="4"/>
    </row>
    <row r="28" spans="1:4" x14ac:dyDescent="0.25">
      <c r="A28" s="10"/>
      <c r="B28" s="11" t="s">
        <v>374</v>
      </c>
      <c r="C28" s="12">
        <v>0</v>
      </c>
      <c r="D28" s="11"/>
    </row>
    <row r="29" spans="1:4" x14ac:dyDescent="0.25">
      <c r="A29" s="13"/>
      <c r="B29" s="4" t="s">
        <v>373</v>
      </c>
      <c r="C29" s="18">
        <v>0</v>
      </c>
      <c r="D29" s="4"/>
    </row>
    <row r="30" spans="1:4" x14ac:dyDescent="0.25">
      <c r="A30" s="15" t="s">
        <v>336</v>
      </c>
      <c r="B30" s="14" t="s">
        <v>338</v>
      </c>
      <c r="C30" s="12"/>
      <c r="D30" s="11"/>
    </row>
    <row r="31" spans="1:4" x14ac:dyDescent="0.25">
      <c r="A31" s="13"/>
      <c r="B31" s="4" t="s">
        <v>180</v>
      </c>
      <c r="C31" s="18">
        <v>150</v>
      </c>
      <c r="D31" s="4"/>
    </row>
    <row r="32" spans="1:4" x14ac:dyDescent="0.25">
      <c r="A32" s="10"/>
      <c r="B32" s="11" t="s">
        <v>181</v>
      </c>
      <c r="C32" s="12">
        <v>150</v>
      </c>
      <c r="D32" s="11"/>
    </row>
    <row r="33" spans="1:4" x14ac:dyDescent="0.25">
      <c r="A33" s="13"/>
      <c r="B33" s="4" t="s">
        <v>182</v>
      </c>
      <c r="C33" s="18">
        <v>5</v>
      </c>
      <c r="D33" s="4"/>
    </row>
    <row r="34" spans="1:4" x14ac:dyDescent="0.25">
      <c r="A34" s="10"/>
      <c r="B34" s="11" t="s">
        <v>183</v>
      </c>
      <c r="C34" s="12">
        <v>100</v>
      </c>
      <c r="D34" s="11"/>
    </row>
    <row r="35" spans="1:4" x14ac:dyDescent="0.25">
      <c r="A35" s="13"/>
      <c r="B35" s="14" t="s">
        <v>339</v>
      </c>
      <c r="C35" s="18"/>
      <c r="D35" s="4"/>
    </row>
    <row r="36" spans="1:4" x14ac:dyDescent="0.25">
      <c r="A36" s="10"/>
      <c r="B36" s="11" t="s">
        <v>184</v>
      </c>
      <c r="C36" s="12">
        <f>MAX_ACCELERATION</f>
        <v>500</v>
      </c>
      <c r="D36" s="11"/>
    </row>
    <row r="37" spans="1:4" x14ac:dyDescent="0.25">
      <c r="A37" s="13"/>
      <c r="B37" s="4" t="s">
        <v>185</v>
      </c>
      <c r="C37" s="12">
        <f>MAX_ACCELERATION</f>
        <v>500</v>
      </c>
      <c r="D37" s="4"/>
    </row>
    <row r="38" spans="1:4" x14ac:dyDescent="0.25">
      <c r="A38" s="10"/>
      <c r="B38" s="11" t="s">
        <v>186</v>
      </c>
      <c r="C38" s="12">
        <v>100</v>
      </c>
      <c r="D38" s="11"/>
    </row>
    <row r="39" spans="1:4" x14ac:dyDescent="0.25">
      <c r="A39" s="13"/>
      <c r="B39" s="4" t="s">
        <v>187</v>
      </c>
      <c r="C39" s="18">
        <f>MAX_ACCELERATION</f>
        <v>500</v>
      </c>
      <c r="D39" s="4"/>
    </row>
    <row r="40" spans="1:4" x14ac:dyDescent="0.25">
      <c r="A40" s="10"/>
      <c r="B40" s="11" t="s">
        <v>188</v>
      </c>
      <c r="C40" s="18">
        <f>MAX_ACCELERATION</f>
        <v>500</v>
      </c>
      <c r="D40" s="11"/>
    </row>
    <row r="41" spans="1:4" x14ac:dyDescent="0.25">
      <c r="A41" s="13"/>
      <c r="B41" s="4" t="s">
        <v>189</v>
      </c>
      <c r="C41" s="18">
        <f>MAX_ACCELERATION</f>
        <v>500</v>
      </c>
      <c r="D41" s="4"/>
    </row>
    <row r="42" spans="1:4" x14ac:dyDescent="0.25">
      <c r="A42" s="10"/>
      <c r="B42" s="14" t="s">
        <v>340</v>
      </c>
      <c r="C42" s="12"/>
      <c r="D42" s="11"/>
    </row>
    <row r="43" spans="1:4" x14ac:dyDescent="0.25">
      <c r="A43" s="13"/>
      <c r="B43" s="4" t="s">
        <v>190</v>
      </c>
      <c r="C43" s="18">
        <v>10</v>
      </c>
      <c r="D43" s="4"/>
    </row>
    <row r="44" spans="1:4" x14ac:dyDescent="0.25">
      <c r="A44" s="10"/>
      <c r="B44" s="11" t="s">
        <v>191</v>
      </c>
      <c r="C44" s="12">
        <v>10</v>
      </c>
      <c r="D44" s="11"/>
    </row>
    <row r="45" spans="1:4" x14ac:dyDescent="0.25">
      <c r="A45" s="13"/>
      <c r="B45" s="4" t="s">
        <v>192</v>
      </c>
      <c r="C45" s="18">
        <v>0.2</v>
      </c>
      <c r="D45" s="4"/>
    </row>
    <row r="46" spans="1:4" x14ac:dyDescent="0.25">
      <c r="A46" s="10"/>
      <c r="B46" s="11" t="s">
        <v>193</v>
      </c>
      <c r="C46" s="12">
        <v>2.5</v>
      </c>
      <c r="D46" s="11"/>
    </row>
    <row r="47" spans="1:4" x14ac:dyDescent="0.25">
      <c r="A47" s="13"/>
      <c r="B47" s="14" t="s">
        <v>341</v>
      </c>
      <c r="C47" s="18"/>
      <c r="D47" s="4"/>
    </row>
    <row r="48" spans="1:4" x14ac:dyDescent="0.25">
      <c r="A48" s="10"/>
      <c r="B48" s="11" t="s">
        <v>194</v>
      </c>
      <c r="C48" s="12">
        <v>0</v>
      </c>
      <c r="D48" s="11"/>
    </row>
    <row r="49" spans="1:4" x14ac:dyDescent="0.25">
      <c r="A49" s="13"/>
      <c r="B49" s="4" t="s">
        <v>195</v>
      </c>
      <c r="C49" s="18">
        <v>0</v>
      </c>
      <c r="D49" s="4"/>
    </row>
    <row r="50" spans="1:4" x14ac:dyDescent="0.25">
      <c r="A50" s="15" t="s">
        <v>337</v>
      </c>
      <c r="B50" s="14" t="s">
        <v>342</v>
      </c>
      <c r="C50" s="12"/>
      <c r="D50" s="11"/>
    </row>
    <row r="51" spans="1:4" x14ac:dyDescent="0.25">
      <c r="A51" s="13"/>
      <c r="B51" s="4" t="s">
        <v>161</v>
      </c>
      <c r="C51" s="18">
        <f>Nozzle_Diameter</f>
        <v>0.6</v>
      </c>
      <c r="D51" s="4"/>
    </row>
    <row r="52" spans="1:4" x14ac:dyDescent="0.25">
      <c r="A52" s="10"/>
      <c r="B52" s="14" t="s">
        <v>343</v>
      </c>
      <c r="C52" s="12"/>
      <c r="D52" s="11"/>
    </row>
    <row r="53" spans="1:4" x14ac:dyDescent="0.25">
      <c r="A53" s="13"/>
      <c r="B53" s="4" t="s">
        <v>196</v>
      </c>
      <c r="C53" s="18">
        <f>Min_Layer_Height</f>
        <v>0.12</v>
      </c>
      <c r="D53" s="4"/>
    </row>
    <row r="54" spans="1:4" x14ac:dyDescent="0.25">
      <c r="A54" s="10"/>
      <c r="B54" s="11" t="s">
        <v>197</v>
      </c>
      <c r="C54" s="12">
        <f>Max_Layer_Height</f>
        <v>0.48</v>
      </c>
      <c r="D54" s="11"/>
    </row>
    <row r="55" spans="1:4" x14ac:dyDescent="0.25">
      <c r="A55" s="13"/>
      <c r="B55" s="14" t="s">
        <v>344</v>
      </c>
      <c r="C55" s="18"/>
      <c r="D55" s="4"/>
    </row>
    <row r="56" spans="1:4" x14ac:dyDescent="0.25">
      <c r="A56" s="10"/>
      <c r="B56" s="11" t="s">
        <v>198</v>
      </c>
      <c r="C56" s="12" t="s">
        <v>199</v>
      </c>
      <c r="D56" s="11"/>
    </row>
    <row r="57" spans="1:4" x14ac:dyDescent="0.25">
      <c r="A57" s="13"/>
      <c r="B57" s="14" t="s">
        <v>345</v>
      </c>
      <c r="C57" s="18"/>
      <c r="D57" s="4"/>
    </row>
    <row r="58" spans="1:4" x14ac:dyDescent="0.25">
      <c r="A58" s="10"/>
      <c r="B58" s="11" t="s">
        <v>200</v>
      </c>
      <c r="C58" s="12" t="str">
        <f>Matchfill(INDEX(filament!$A$1:$J$100,MATCH(B58,filament!$B$1:$B$100,0),MATCH(FILAMENT_NAME,filament!$A$1:$J$1,0)),filament!$C$1)</f>
        <v>0.8</v>
      </c>
      <c r="D58" s="11"/>
    </row>
    <row r="59" spans="1:4" x14ac:dyDescent="0.25">
      <c r="A59" s="13"/>
      <c r="B59" s="4" t="s">
        <v>201</v>
      </c>
      <c r="C59" s="12" t="str">
        <f>Matchfill(INDEX(filament!$A$1:$J$100,MATCH(B59,filament!$B$1:$B$100,0),MATCH(FILAMENT_NAME,filament!$A$1:$J$1,0)),filament!$C$1)</f>
        <v>0.4</v>
      </c>
      <c r="D59" s="4"/>
    </row>
    <row r="60" spans="1:4" x14ac:dyDescent="0.25">
      <c r="A60" s="10"/>
      <c r="B60" s="11" t="s">
        <v>202</v>
      </c>
      <c r="C60" s="12">
        <v>0</v>
      </c>
      <c r="D60" s="11"/>
    </row>
    <row r="61" spans="1:4" x14ac:dyDescent="0.25">
      <c r="A61" s="13"/>
      <c r="B61" s="4" t="s">
        <v>203</v>
      </c>
      <c r="C61" s="12">
        <v>250</v>
      </c>
      <c r="D61" s="4"/>
    </row>
    <row r="62" spans="1:4" x14ac:dyDescent="0.25">
      <c r="A62" s="10"/>
      <c r="B62" s="11" t="s">
        <v>204</v>
      </c>
      <c r="C62" s="12" t="str">
        <f>Matchfill(INDEX(filament!$A$1:$J$100,MATCH(B62,filament!$B$1:$B$100,0),MATCH(FILAMENT_NAME,filament!$A$1:$J$1,0)),filament!$C$1)</f>
        <v>25</v>
      </c>
      <c r="D62" s="11"/>
    </row>
    <row r="63" spans="1:4" x14ac:dyDescent="0.25">
      <c r="A63" s="13"/>
      <c r="B63" s="4" t="s">
        <v>205</v>
      </c>
      <c r="C63" s="12" t="str">
        <f>Matchfill(INDEX(filament!$A$1:$J$100,MATCH(B63,filament!$B$1:$B$100,0),MATCH(FILAMENT_NAME,filament!$A$1:$J$1,0)),filament!$C$1)</f>
        <v>20</v>
      </c>
      <c r="D63" s="4"/>
    </row>
    <row r="64" spans="1:4" x14ac:dyDescent="0.25">
      <c r="A64" s="10"/>
      <c r="B64" s="11" t="s">
        <v>206</v>
      </c>
      <c r="C64" s="12" t="str">
        <f>Matchfill(INDEX(filament!$A$1:$J$100,MATCH(B64,filament!$B$1:$B$100,0),MATCH(FILAMENT_NAME,filament!$A$1:$J$1,0)),filament!$C$1)</f>
        <v>0</v>
      </c>
      <c r="D64" s="11"/>
    </row>
    <row r="65" spans="1:4" x14ac:dyDescent="0.25">
      <c r="A65" s="13"/>
      <c r="B65" s="4" t="s">
        <v>207</v>
      </c>
      <c r="C65" s="12" t="str">
        <f>Matchfill(INDEX(filament!$A$1:$J$100,MATCH(B65,filament!$B$1:$B$100,0),MATCH(FILAMENT_NAME,filament!$A$1:$J$1,0)),filament!$C$1)</f>
        <v>1</v>
      </c>
      <c r="D65" s="4"/>
    </row>
    <row r="66" spans="1:4" x14ac:dyDescent="0.25">
      <c r="A66" s="10"/>
      <c r="B66" s="11" t="s">
        <v>208</v>
      </c>
      <c r="C66" s="12" t="str">
        <f>Matchfill(INDEX(filament!$A$1:$J$100,MATCH(B66,filament!$B$1:$B$100,0),MATCH(FILAMENT_NAME,filament!$A$1:$J$1,0)),filament!$C$1)</f>
        <v>1</v>
      </c>
      <c r="D66" s="11"/>
    </row>
    <row r="67" spans="1:4" x14ac:dyDescent="0.25">
      <c r="A67" s="13"/>
      <c r="B67" s="4" t="s">
        <v>209</v>
      </c>
      <c r="C67" s="12" t="str">
        <f>Matchfill(INDEX(filament!$A$1:$J$100,MATCH(B67,filament!$B$1:$B$100,0),MATCH(FILAMENT_NAME,filament!$A$1:$J$1,0)),filament!$C$1)</f>
        <v>1</v>
      </c>
      <c r="D67" s="4"/>
    </row>
    <row r="68" spans="1:4" x14ac:dyDescent="0.25">
      <c r="A68" s="10"/>
      <c r="B68" s="11" t="s">
        <v>401</v>
      </c>
      <c r="C68" s="12" t="str">
        <f>Matchfill(INDEX(filament!$A$1:$J$100,MATCH(B68,filament!$B$1:$B$100,0),MATCH(FILAMENT_NAME,filament!$A$1:$J$1,0)),filament!$C$1)</f>
        <v>0</v>
      </c>
      <c r="D68" s="11"/>
    </row>
    <row r="69" spans="1:4" x14ac:dyDescent="0.25">
      <c r="A69" s="13"/>
      <c r="B69" s="4" t="s">
        <v>402</v>
      </c>
      <c r="C69" s="12" t="str">
        <f>Matchfill(INDEX(filament!$A$1:$J$100,MATCH(B69,filament!$B$1:$B$100,0),MATCH(FILAMENT_NAME,filament!$A$1:$J$1,0)),filament!$C$1)</f>
        <v>0</v>
      </c>
      <c r="D69" s="4"/>
    </row>
    <row r="70" spans="1:4" x14ac:dyDescent="0.25">
      <c r="A70" s="10"/>
      <c r="B70" s="11" t="s">
        <v>210</v>
      </c>
      <c r="C70" s="58" t="str">
        <f>Matchfill(INDEX(filament!$A$1:$J$100,MATCH(B70,filament!$B$1:$B$100,0),MATCH(FILAMENT_NAME,filament!$A$1:$J$1,0)),filament!$C$1) &amp; "%"</f>
        <v>80%</v>
      </c>
      <c r="D70" s="11"/>
    </row>
    <row r="71" spans="1:4" x14ac:dyDescent="0.25">
      <c r="A71" s="13"/>
      <c r="B71" s="14" t="s">
        <v>346</v>
      </c>
      <c r="C71" s="24"/>
      <c r="D71" s="4"/>
    </row>
    <row r="72" spans="1:4" x14ac:dyDescent="0.25">
      <c r="A72" s="10"/>
      <c r="B72" s="11" t="s">
        <v>211</v>
      </c>
      <c r="C72" s="12">
        <v>0</v>
      </c>
      <c r="D72" s="11"/>
    </row>
    <row r="73" spans="1:4" x14ac:dyDescent="0.25">
      <c r="A73" s="13"/>
      <c r="B73" s="4" t="s">
        <v>212</v>
      </c>
      <c r="C73" s="18">
        <v>0</v>
      </c>
      <c r="D73" s="4"/>
    </row>
    <row r="74" spans="1:4" x14ac:dyDescent="0.25">
      <c r="A74" s="10"/>
      <c r="B74" s="14" t="s">
        <v>347</v>
      </c>
      <c r="C74" s="12"/>
      <c r="D74" s="11"/>
    </row>
    <row r="75" spans="1:4" x14ac:dyDescent="0.25">
      <c r="A75" s="13"/>
      <c r="B75" s="4" t="s">
        <v>213</v>
      </c>
      <c r="C75" s="18" t="s">
        <v>214</v>
      </c>
      <c r="D75" s="4"/>
    </row>
    <row r="76" spans="1:4" x14ac:dyDescent="0.25">
      <c r="A76" s="15" t="s">
        <v>275</v>
      </c>
      <c r="B76" s="14" t="s">
        <v>106</v>
      </c>
      <c r="C76" s="12"/>
      <c r="D76" s="11"/>
    </row>
    <row r="77" spans="1:4" ht="60" x14ac:dyDescent="0.25">
      <c r="A77" s="13"/>
      <c r="B77" s="4" t="s">
        <v>230</v>
      </c>
      <c r="C77" s="25"/>
      <c r="D77" s="19" t="s">
        <v>405</v>
      </c>
    </row>
    <row r="78" spans="1:4" x14ac:dyDescent="0.25">
      <c r="A78" s="15" t="s">
        <v>276</v>
      </c>
      <c r="B78" s="11"/>
      <c r="C78" s="12"/>
      <c r="D78" s="11"/>
    </row>
    <row r="79" spans="1:4" x14ac:dyDescent="0.25">
      <c r="A79" s="13"/>
      <c r="B79" s="4" t="s">
        <v>218</v>
      </c>
      <c r="C79" s="18"/>
      <c r="D79" s="4"/>
    </row>
    <row r="80" spans="1:4" x14ac:dyDescent="0.25">
      <c r="A80" s="10"/>
      <c r="B80" s="11" t="s">
        <v>217</v>
      </c>
      <c r="C80" s="12"/>
      <c r="D80" s="11"/>
    </row>
    <row r="81" spans="1:4" x14ac:dyDescent="0.25">
      <c r="A81" s="13"/>
      <c r="B81" s="4" t="s">
        <v>216</v>
      </c>
      <c r="C81" s="18">
        <f>C51</f>
        <v>0.6</v>
      </c>
      <c r="D81" s="4"/>
    </row>
    <row r="82" spans="1:4" x14ac:dyDescent="0.25">
      <c r="A82" s="10"/>
      <c r="B82" s="11" t="s">
        <v>350</v>
      </c>
      <c r="C82" s="12" t="s">
        <v>354</v>
      </c>
      <c r="D82" s="11"/>
    </row>
    <row r="83" spans="1:4" x14ac:dyDescent="0.25">
      <c r="A83" s="13"/>
      <c r="B83" s="4" t="s">
        <v>215</v>
      </c>
      <c r="C83" s="18"/>
      <c r="D83" s="4"/>
    </row>
    <row r="84" spans="1:4" x14ac:dyDescent="0.25">
      <c r="A84" s="10"/>
      <c r="B84" s="11" t="s">
        <v>351</v>
      </c>
      <c r="C84" s="12"/>
      <c r="D84" s="11"/>
    </row>
    <row r="85" spans="1:4" x14ac:dyDescent="0.25">
      <c r="A85" s="13"/>
      <c r="B85" s="4" t="s">
        <v>352</v>
      </c>
      <c r="C85" s="18"/>
      <c r="D85" s="4"/>
    </row>
    <row r="86" spans="1:4" x14ac:dyDescent="0.25">
      <c r="A86" s="10"/>
      <c r="B86" s="11" t="s">
        <v>353</v>
      </c>
      <c r="C86" s="12">
        <v>250000</v>
      </c>
      <c r="D86" s="11"/>
    </row>
    <row r="87" spans="1:4" x14ac:dyDescent="0.25">
      <c r="A87" s="13" t="s">
        <v>329</v>
      </c>
      <c r="B87" s="4" t="s">
        <v>330</v>
      </c>
      <c r="C87" s="18"/>
      <c r="D87" s="4"/>
    </row>
    <row r="88" spans="1:4" ht="375" x14ac:dyDescent="0.25">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K0.08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 printing object STARTGCODE
</v>
      </c>
      <c r="D88" s="11"/>
    </row>
    <row r="89" spans="1:4" ht="225" x14ac:dyDescent="0.25">
      <c r="A89" s="13"/>
      <c r="B89" s="4" t="s">
        <v>176</v>
      </c>
      <c r="C89" s="27" t="str">
        <f>GetEnd_Gcode()</f>
        <v xml:space="preserve">; printing object ENDGCODE
;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5" x14ac:dyDescent="0.25">
      <c r="A90" s="10"/>
      <c r="B90" s="11" t="s">
        <v>177</v>
      </c>
      <c r="C90" s="28" t="str">
        <f>GetBefore_Layer_Gcode()</f>
        <v xml:space="preserve">;BEFORE_LAYER_CHANGE
;Layer [layer_num]
;[layer_z]mm
;Printing layer [layer_num] at [layer_z]mm
</v>
      </c>
      <c r="D90" s="11"/>
    </row>
    <row r="91" spans="1:4" ht="75" x14ac:dyDescent="0.25">
      <c r="A91" s="13"/>
      <c r="B91" s="4" t="s">
        <v>178</v>
      </c>
      <c r="C91" s="27" t="str">
        <f>GetAfter_Layer_Gcode()</f>
        <v xml:space="preserve">;AFTER_LAYER_CHANGE
;Layer [layer_num]
;[layer_z]mm
;Printing layer [layer_num] at [layer_z]mm
</v>
      </c>
      <c r="D91" s="4"/>
    </row>
    <row r="92" spans="1:4" x14ac:dyDescent="0.25">
      <c r="A92" s="10"/>
      <c r="B92" s="11" t="s">
        <v>179</v>
      </c>
      <c r="C92" s="12"/>
      <c r="D92" s="11"/>
    </row>
    <row r="93" spans="1:4" x14ac:dyDescent="0.25">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spec</vt:lpstr>
      <vt:lpstr>print</vt:lpstr>
      <vt:lpstr>print_PLA</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2019-05-03T16:43:33Z</dcterms:modified>
</cp:coreProperties>
</file>