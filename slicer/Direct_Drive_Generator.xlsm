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b68a52b703f6459a"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G:\github\3DPrint\slicer\"/>
    </mc:Choice>
  </mc:AlternateContent>
  <xr:revisionPtr revIDLastSave="0" documentId="13_ncr:1_{718A5666-B146-4B2F-9570-281B785D8178}" xr6:coauthVersionLast="47" xr6:coauthVersionMax="47" xr10:uidLastSave="{00000000-0000-0000-0000-000000000000}"/>
  <bookViews>
    <workbookView xWindow="-108" yWindow="-108" windowWidth="30936" windowHeight="16896" activeTab="4" xr2:uid="{E8DF9499-C68D-4AF3-B2AA-BB8266EB0F5B}"/>
  </bookViews>
  <sheets>
    <sheet name="profile_spec" sheetId="24" r:id="rId1"/>
    <sheet name="spec" sheetId="6" r:id="rId2"/>
    <sheet name="printer" sheetId="5" r:id="rId3"/>
    <sheet name="filament" sheetId="3" r:id="rId4"/>
    <sheet name="print" sheetId="2" r:id="rId5"/>
    <sheet name="s3d_profile" sheetId="25" r:id="rId6"/>
    <sheet name="cura_quality" sheetId="20" r:id="rId7"/>
    <sheet name="spec_speed" sheetId="27" r:id="rId8"/>
    <sheet name="spec_linewidth" sheetId="29" r:id="rId9"/>
    <sheet name="spec_layers" sheetId="28" r:id="rId10"/>
    <sheet name="spec_filament" sheetId="13" r:id="rId11"/>
    <sheet name="spec_misc" sheetId="30" r:id="rId12"/>
  </sheets>
  <functionGroups builtInGroupCount="19"/>
  <definedNames>
    <definedName name="CURA_APPDATA_FOLDER">profile_spec!$B$22</definedName>
    <definedName name="FILAMENT_RANGE">filament!$C$1:$M$111</definedName>
    <definedName name="HotendType">spec!$B$16</definedName>
    <definedName name="Max_Layer_Height">spec!$B$13</definedName>
    <definedName name="Meterial_Thickness">spec!$B$15</definedName>
    <definedName name="Min_Layer_Height">spec!$B$12</definedName>
    <definedName name="Nozzle_Diameter">spec!$B$2</definedName>
    <definedName name="PRINTER_DEF">spec!$B$11</definedName>
    <definedName name="PRINTER_ID">spec!$B$8</definedName>
    <definedName name="Printer_Name">spec!$B$7</definedName>
    <definedName name="PRINTER_NAME_GENERIC">spec!$B$6</definedName>
    <definedName name="PROFILE_TYPE">spec!$B$10</definedName>
    <definedName name="PRUSA_APPDATA_FOLDER">profile_spec!$B$8</definedName>
    <definedName name="S3D_APPDATA_FOLDER">profile_spec!$B$28</definedName>
    <definedName name="SLICE3R_APPDATA_FOLDER">profile_spec!$B$2</definedName>
    <definedName name="SLICER_ID">spec!$B$9</definedName>
    <definedName name="SpeedType">spec!$B$14</definedName>
    <definedName name="SUPER_APPDATA_FOLDER">profile_spec!$B$15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106" i="2" l="1"/>
  <c r="F72" i="6"/>
  <c r="E72" i="6"/>
  <c r="D72" i="6"/>
  <c r="C72" i="6"/>
  <c r="D10" i="29"/>
  <c r="D36" i="6"/>
  <c r="D31" i="6"/>
  <c r="D30" i="6"/>
  <c r="D13" i="6"/>
  <c r="D12" i="6"/>
  <c r="D6" i="6"/>
  <c r="D7" i="6" s="1"/>
  <c r="D11" i="6" s="1"/>
  <c r="F6" i="6"/>
  <c r="F7" i="6" s="1"/>
  <c r="F11" i="6" s="1"/>
  <c r="F12" i="6"/>
  <c r="F13" i="6"/>
  <c r="F30" i="6"/>
  <c r="F31" i="6"/>
  <c r="F36" i="6"/>
  <c r="D247" i="2"/>
  <c r="D21" i="5"/>
  <c r="D9" i="5"/>
  <c r="D6" i="5"/>
  <c r="E5" i="20" l="1"/>
  <c r="E3" i="29"/>
  <c r="E4" i="29"/>
  <c r="E5" i="29"/>
  <c r="E6" i="29"/>
  <c r="E7" i="29"/>
  <c r="E8" i="29"/>
  <c r="E9" i="29"/>
  <c r="E10" i="29"/>
  <c r="E2" i="29"/>
  <c r="D3" i="29"/>
  <c r="D4" i="29"/>
  <c r="D5" i="29"/>
  <c r="D6" i="29"/>
  <c r="D7" i="29"/>
  <c r="D8" i="29"/>
  <c r="D9" i="29"/>
  <c r="D2" i="29"/>
  <c r="E43" i="5"/>
  <c r="G62" i="3"/>
  <c r="D62" i="3"/>
  <c r="E33" i="29"/>
  <c r="E34" i="29"/>
  <c r="E35" i="29"/>
  <c r="E36" i="29"/>
  <c r="E37" i="29"/>
  <c r="E38" i="29"/>
  <c r="E40" i="29"/>
  <c r="E32" i="29"/>
  <c r="D33" i="29"/>
  <c r="D34" i="29"/>
  <c r="D35" i="29"/>
  <c r="D36" i="29"/>
  <c r="D37" i="29"/>
  <c r="D38" i="29"/>
  <c r="D40" i="29"/>
  <c r="D32" i="29"/>
  <c r="D20" i="27"/>
  <c r="D2" i="27"/>
  <c r="D56" i="27"/>
  <c r="C56" i="27"/>
  <c r="D38" i="27"/>
  <c r="C38" i="27"/>
  <c r="C20" i="27"/>
  <c r="C2" i="27"/>
  <c r="N213" i="2"/>
  <c r="N219" i="2"/>
  <c r="I13" i="2"/>
  <c r="J217" i="2"/>
  <c r="K211" i="2"/>
  <c r="J214" i="2"/>
  <c r="K14" i="2"/>
  <c r="L214" i="2"/>
  <c r="G217" i="2"/>
  <c r="M215" i="2"/>
  <c r="J215" i="2"/>
  <c r="H251" i="2"/>
  <c r="O219" i="2"/>
  <c r="D205" i="2"/>
  <c r="J219" i="2"/>
  <c r="N251" i="2"/>
  <c r="F215" i="2"/>
  <c r="L14" i="2"/>
  <c r="D212" i="2"/>
  <c r="J211" i="2"/>
  <c r="M214" i="2"/>
  <c r="N214" i="2"/>
  <c r="H211" i="2"/>
  <c r="I215" i="2"/>
  <c r="D99" i="2"/>
  <c r="K217" i="2"/>
  <c r="M9" i="2"/>
  <c r="G214" i="2"/>
  <c r="D249" i="2"/>
  <c r="D245" i="2"/>
  <c r="E215" i="2"/>
  <c r="M211" i="2"/>
  <c r="D9" i="2"/>
  <c r="D204" i="2"/>
  <c r="D13" i="2"/>
  <c r="L219" i="2"/>
  <c r="E9" i="2"/>
  <c r="K251" i="2"/>
  <c r="N14" i="2"/>
  <c r="L213" i="2"/>
  <c r="D211" i="2"/>
  <c r="E217" i="2"/>
  <c r="N217" i="2"/>
  <c r="O217" i="2"/>
  <c r="D234" i="2"/>
  <c r="D214" i="2"/>
  <c r="J14" i="2"/>
  <c r="G9" i="2"/>
  <c r="K219" i="2"/>
  <c r="O13" i="2"/>
  <c r="M217" i="2"/>
  <c r="D206" i="2"/>
  <c r="H14" i="2"/>
  <c r="D217" i="2"/>
  <c r="I211" i="2"/>
  <c r="G211" i="2"/>
  <c r="G14" i="2"/>
  <c r="K213" i="2"/>
  <c r="M13" i="2"/>
  <c r="M213" i="2"/>
  <c r="M219" i="2"/>
  <c r="N9" i="2"/>
  <c r="F13" i="2"/>
  <c r="F251" i="2"/>
  <c r="L217" i="2"/>
  <c r="D231" i="2"/>
  <c r="L215" i="2"/>
  <c r="G219" i="2"/>
  <c r="J251" i="2"/>
  <c r="M14" i="2"/>
  <c r="O9" i="2"/>
  <c r="H13" i="2"/>
  <c r="D208" i="2"/>
  <c r="H219" i="2"/>
  <c r="H9" i="2"/>
  <c r="D207" i="2"/>
  <c r="E219" i="2"/>
  <c r="H213" i="2"/>
  <c r="J13" i="2"/>
  <c r="E251" i="2"/>
  <c r="G251" i="2"/>
  <c r="N13" i="2"/>
  <c r="M251" i="2"/>
  <c r="O211" i="2"/>
  <c r="I213" i="2"/>
  <c r="F14" i="2"/>
  <c r="I214" i="2"/>
  <c r="I251" i="2"/>
  <c r="F211" i="2"/>
  <c r="F214" i="2"/>
  <c r="H214" i="2"/>
  <c r="O213" i="2"/>
  <c r="O14" i="2"/>
  <c r="J213" i="2"/>
  <c r="O214" i="2"/>
  <c r="I219" i="2"/>
  <c r="D209" i="2"/>
  <c r="J9" i="2"/>
  <c r="D251" i="2"/>
  <c r="F9" i="2"/>
  <c r="D14" i="2"/>
  <c r="F217" i="2"/>
  <c r="E213" i="2"/>
  <c r="O215" i="2"/>
  <c r="N211" i="2"/>
  <c r="G215" i="2"/>
  <c r="F219" i="2"/>
  <c r="D215" i="2"/>
  <c r="I9" i="2"/>
  <c r="E14" i="2"/>
  <c r="D210" i="2"/>
  <c r="L211" i="2"/>
  <c r="E214" i="2"/>
  <c r="N215" i="2"/>
  <c r="E211" i="2"/>
  <c r="G13" i="2"/>
  <c r="E13" i="2"/>
  <c r="K214" i="2"/>
  <c r="F213" i="2"/>
  <c r="K9" i="2"/>
  <c r="K215" i="2"/>
  <c r="D216" i="2"/>
  <c r="L251" i="2"/>
  <c r="K13" i="2"/>
  <c r="I14" i="2"/>
  <c r="I217" i="2"/>
  <c r="O251" i="2"/>
  <c r="D213" i="2"/>
  <c r="G213" i="2"/>
  <c r="L9" i="2"/>
  <c r="H215" i="2"/>
  <c r="H217" i="2"/>
  <c r="L13" i="2"/>
  <c r="D146" i="2"/>
  <c r="R43" i="28" l="1"/>
  <c r="S43" i="28"/>
  <c r="T43" i="28"/>
  <c r="U43" i="28"/>
  <c r="V43" i="28"/>
  <c r="W43" i="28"/>
  <c r="X43" i="28"/>
  <c r="Y43" i="28"/>
  <c r="Z43" i="28"/>
  <c r="AA43" i="28"/>
  <c r="Q43" i="28"/>
  <c r="R42" i="28"/>
  <c r="S42" i="28"/>
  <c r="T42" i="28"/>
  <c r="U42" i="28"/>
  <c r="V42" i="28"/>
  <c r="W42" i="28"/>
  <c r="X42" i="28"/>
  <c r="Y42" i="28"/>
  <c r="Z42" i="28"/>
  <c r="AA42" i="28"/>
  <c r="Q42" i="28"/>
  <c r="R40" i="28"/>
  <c r="S40" i="28"/>
  <c r="T40" i="28"/>
  <c r="U40" i="28"/>
  <c r="V40" i="28"/>
  <c r="W40" i="28"/>
  <c r="X40" i="28"/>
  <c r="Y40" i="28"/>
  <c r="Z40" i="28"/>
  <c r="AA40" i="28"/>
  <c r="Q40" i="28"/>
  <c r="R39" i="28"/>
  <c r="S39" i="28"/>
  <c r="T39" i="28"/>
  <c r="U39" i="28"/>
  <c r="V39" i="28"/>
  <c r="W39" i="28"/>
  <c r="X39" i="28"/>
  <c r="Y39" i="28"/>
  <c r="Z39" i="28"/>
  <c r="AA39" i="28"/>
  <c r="Q39" i="28"/>
  <c r="R31" i="28"/>
  <c r="S31" i="28"/>
  <c r="T31" i="28"/>
  <c r="U31" i="28"/>
  <c r="V31" i="28"/>
  <c r="W31" i="28"/>
  <c r="X31" i="28"/>
  <c r="Y31" i="28"/>
  <c r="Z31" i="28"/>
  <c r="AA31" i="28"/>
  <c r="Q31" i="28"/>
  <c r="R30" i="28"/>
  <c r="S30" i="28"/>
  <c r="T30" i="28"/>
  <c r="U30" i="28"/>
  <c r="V30" i="28"/>
  <c r="W30" i="28"/>
  <c r="X30" i="28"/>
  <c r="Y30" i="28"/>
  <c r="Z30" i="28"/>
  <c r="AA30" i="28"/>
  <c r="Q30" i="28"/>
  <c r="R28" i="28"/>
  <c r="S28" i="28"/>
  <c r="T28" i="28"/>
  <c r="U28" i="28"/>
  <c r="V28" i="28"/>
  <c r="W28" i="28"/>
  <c r="X28" i="28"/>
  <c r="Y28" i="28"/>
  <c r="Z28" i="28"/>
  <c r="AA28" i="28"/>
  <c r="Q28" i="28"/>
  <c r="R27" i="28"/>
  <c r="S27" i="28"/>
  <c r="T27" i="28"/>
  <c r="U27" i="28"/>
  <c r="V27" i="28"/>
  <c r="W27" i="28"/>
  <c r="X27" i="28"/>
  <c r="Y27" i="28"/>
  <c r="Z27" i="28"/>
  <c r="AA27" i="28"/>
  <c r="Q27" i="28"/>
  <c r="R20" i="28"/>
  <c r="S20" i="28"/>
  <c r="T20" i="28"/>
  <c r="U20" i="28"/>
  <c r="V20" i="28"/>
  <c r="W20" i="28"/>
  <c r="X20" i="28"/>
  <c r="Y20" i="28"/>
  <c r="Z20" i="28"/>
  <c r="AA20" i="28"/>
  <c r="Q20" i="28"/>
  <c r="R19" i="28"/>
  <c r="S19" i="28"/>
  <c r="T19" i="28"/>
  <c r="U19" i="28"/>
  <c r="V19" i="28"/>
  <c r="W19" i="28"/>
  <c r="X19" i="28"/>
  <c r="Y19" i="28"/>
  <c r="Z19" i="28"/>
  <c r="AA19" i="28"/>
  <c r="Q19" i="28"/>
  <c r="R17" i="28"/>
  <c r="S17" i="28"/>
  <c r="T17" i="28"/>
  <c r="U17" i="28"/>
  <c r="V17" i="28"/>
  <c r="W17" i="28"/>
  <c r="X17" i="28"/>
  <c r="Y17" i="28"/>
  <c r="Z17" i="28"/>
  <c r="AA17" i="28"/>
  <c r="Q17" i="28"/>
  <c r="R16" i="28"/>
  <c r="S16" i="28"/>
  <c r="T16" i="28"/>
  <c r="U16" i="28"/>
  <c r="V16" i="28"/>
  <c r="W16" i="28"/>
  <c r="X16" i="28"/>
  <c r="Y16" i="28"/>
  <c r="Z16" i="28"/>
  <c r="AA16" i="28"/>
  <c r="Q16" i="28"/>
  <c r="Q15" i="28"/>
  <c r="Q3" i="28"/>
  <c r="AA41" i="28"/>
  <c r="Z41" i="28"/>
  <c r="Y41" i="28"/>
  <c r="X41" i="28"/>
  <c r="W41" i="28"/>
  <c r="V41" i="28"/>
  <c r="U41" i="28"/>
  <c r="T41" i="28"/>
  <c r="S41" i="28"/>
  <c r="R41" i="28"/>
  <c r="Q41" i="28"/>
  <c r="AA38" i="28"/>
  <c r="Z38" i="28"/>
  <c r="Y38" i="28"/>
  <c r="X38" i="28"/>
  <c r="W38" i="28"/>
  <c r="V38" i="28"/>
  <c r="U38" i="28"/>
  <c r="T38" i="28"/>
  <c r="S38" i="28"/>
  <c r="R38" i="28"/>
  <c r="Q38" i="28"/>
  <c r="AA29" i="28"/>
  <c r="Z29" i="28"/>
  <c r="Y29" i="28"/>
  <c r="X29" i="28"/>
  <c r="W29" i="28"/>
  <c r="V29" i="28"/>
  <c r="U29" i="28"/>
  <c r="T29" i="28"/>
  <c r="S29" i="28"/>
  <c r="R29" i="28"/>
  <c r="Q29" i="28"/>
  <c r="AA26" i="28"/>
  <c r="Z26" i="28"/>
  <c r="Y26" i="28"/>
  <c r="X26" i="28"/>
  <c r="W26" i="28"/>
  <c r="V26" i="28"/>
  <c r="U26" i="28"/>
  <c r="T26" i="28"/>
  <c r="S26" i="28"/>
  <c r="R26" i="28"/>
  <c r="Q26" i="28"/>
  <c r="AA18" i="28"/>
  <c r="Z18" i="28"/>
  <c r="Y18" i="28"/>
  <c r="X18" i="28"/>
  <c r="W18" i="28"/>
  <c r="V18" i="28"/>
  <c r="U18" i="28"/>
  <c r="T18" i="28"/>
  <c r="S18" i="28"/>
  <c r="R18" i="28"/>
  <c r="Q18" i="28"/>
  <c r="AA15" i="28"/>
  <c r="Z15" i="28"/>
  <c r="Y15" i="28"/>
  <c r="X15" i="28"/>
  <c r="W15" i="28"/>
  <c r="V15" i="28"/>
  <c r="U15" i="28"/>
  <c r="T15" i="28"/>
  <c r="S15" i="28"/>
  <c r="R15" i="28"/>
  <c r="R8" i="28"/>
  <c r="S8" i="28"/>
  <c r="T8" i="28"/>
  <c r="U8" i="28"/>
  <c r="V8" i="28"/>
  <c r="W8" i="28"/>
  <c r="X8" i="28"/>
  <c r="Y8" i="28"/>
  <c r="Z8" i="28"/>
  <c r="AA8" i="28"/>
  <c r="Q8" i="28"/>
  <c r="R7" i="28"/>
  <c r="S7" i="28"/>
  <c r="T7" i="28"/>
  <c r="U7" i="28"/>
  <c r="V7" i="28"/>
  <c r="W7" i="28"/>
  <c r="X7" i="28"/>
  <c r="Y7" i="28"/>
  <c r="Z7" i="28"/>
  <c r="AA7" i="28"/>
  <c r="Q7" i="28"/>
  <c r="R6" i="28"/>
  <c r="S6" i="28"/>
  <c r="T6" i="28"/>
  <c r="U6" i="28"/>
  <c r="V6" i="28"/>
  <c r="W6" i="28"/>
  <c r="X6" i="28"/>
  <c r="Y6" i="28"/>
  <c r="Z6" i="28"/>
  <c r="AA6" i="28"/>
  <c r="Q6" i="28"/>
  <c r="R5" i="28"/>
  <c r="S5" i="28"/>
  <c r="T5" i="28"/>
  <c r="U5" i="28"/>
  <c r="V5" i="28"/>
  <c r="W5" i="28"/>
  <c r="X5" i="28"/>
  <c r="Y5" i="28"/>
  <c r="Z5" i="28"/>
  <c r="AA5" i="28"/>
  <c r="Q5" i="28"/>
  <c r="R4" i="28"/>
  <c r="S4" i="28"/>
  <c r="T4" i="28"/>
  <c r="U4" i="28"/>
  <c r="V4" i="28"/>
  <c r="W4" i="28"/>
  <c r="X4" i="28"/>
  <c r="Y4" i="28"/>
  <c r="Z4" i="28"/>
  <c r="AA4" i="28"/>
  <c r="Q4" i="28"/>
  <c r="S3" i="28"/>
  <c r="T3" i="28"/>
  <c r="U3" i="28"/>
  <c r="V3" i="28"/>
  <c r="W3" i="28"/>
  <c r="X3" i="28"/>
  <c r="Y3" i="28"/>
  <c r="Z3" i="28"/>
  <c r="AA3" i="28"/>
  <c r="R3" i="28"/>
  <c r="E41" i="20"/>
  <c r="E6" i="6"/>
  <c r="C6" i="6"/>
  <c r="C30" i="6"/>
  <c r="E30" i="6"/>
  <c r="C31" i="6"/>
  <c r="E31" i="6"/>
  <c r="C36" i="6"/>
  <c r="E36" i="6"/>
  <c r="E110" i="20"/>
  <c r="E109" i="20"/>
  <c r="E97" i="20"/>
  <c r="E96" i="20"/>
  <c r="E108" i="20"/>
  <c r="D330" i="2"/>
  <c r="D331" i="2"/>
  <c r="D123" i="5"/>
  <c r="D65" i="5"/>
  <c r="D51" i="5"/>
  <c r="D32" i="5"/>
  <c r="D80" i="5"/>
  <c r="D55" i="5"/>
  <c r="D57" i="5"/>
  <c r="D102" i="5"/>
  <c r="D54" i="5"/>
  <c r="D64" i="5"/>
  <c r="D50" i="5"/>
  <c r="D56" i="5"/>
  <c r="D62" i="5"/>
  <c r="D61" i="5"/>
  <c r="D52" i="5"/>
  <c r="D58" i="5"/>
  <c r="D59" i="5"/>
  <c r="D63" i="5"/>
  <c r="D49" i="5"/>
  <c r="D286" i="2"/>
  <c r="D281" i="2"/>
  <c r="D285" i="2"/>
  <c r="D283" i="2"/>
  <c r="E26" i="20"/>
  <c r="D279" i="2"/>
  <c r="D282" i="2"/>
  <c r="D284" i="2"/>
  <c r="D287" i="2"/>
  <c r="D280" i="2"/>
  <c r="D203" i="2" l="1"/>
  <c r="D346" i="2"/>
  <c r="E92" i="20"/>
  <c r="E207" i="20" l="1"/>
  <c r="E216" i="20" l="1"/>
  <c r="E159" i="20"/>
  <c r="E149" i="20" l="1"/>
  <c r="E150" i="20"/>
  <c r="M56" i="3" l="1"/>
  <c r="L56" i="3"/>
  <c r="C12" i="6" l="1"/>
  <c r="C7" i="6" l="1"/>
  <c r="C11" i="6" s="1"/>
  <c r="E7" i="6"/>
  <c r="E11" i="6" s="1"/>
  <c r="E13" i="6"/>
  <c r="E12" i="6"/>
  <c r="C13" i="6"/>
  <c r="E57" i="20" l="1"/>
  <c r="G70" i="3" l="1"/>
  <c r="H70" i="3"/>
  <c r="I70" i="3"/>
  <c r="J70" i="3"/>
  <c r="K70" i="3"/>
  <c r="L70" i="3"/>
  <c r="M70" i="3"/>
  <c r="E70" i="3"/>
  <c r="F70" i="3"/>
  <c r="E139" i="20"/>
  <c r="E116" i="20"/>
  <c r="E120" i="20"/>
  <c r="E235" i="20"/>
  <c r="E137" i="20"/>
  <c r="E135" i="20"/>
  <c r="E121" i="20"/>
  <c r="E138" i="20"/>
  <c r="E86" i="20"/>
  <c r="E119" i="20"/>
  <c r="E147" i="20"/>
  <c r="E29" i="20"/>
  <c r="E248" i="20"/>
  <c r="E128" i="20"/>
  <c r="E146" i="20"/>
  <c r="E141" i="20"/>
  <c r="E129" i="20"/>
  <c r="E122" i="20"/>
  <c r="E102" i="20"/>
  <c r="E83" i="20"/>
  <c r="E84" i="20"/>
  <c r="E85" i="20"/>
  <c r="E237" i="20"/>
  <c r="E236" i="20"/>
  <c r="E140" i="20"/>
  <c r="E118" i="20"/>
  <c r="E142" i="20"/>
  <c r="E244" i="20"/>
  <c r="E145" i="20"/>
  <c r="E71" i="20"/>
  <c r="E246" i="20"/>
  <c r="E88" i="20"/>
  <c r="E127" i="20"/>
  <c r="E117" i="20"/>
  <c r="E87" i="20"/>
  <c r="E123" i="25"/>
  <c r="E121" i="25"/>
  <c r="E103" i="25"/>
  <c r="E23" i="25"/>
  <c r="E125" i="25"/>
  <c r="E22" i="25"/>
  <c r="E189" i="25"/>
  <c r="E130" i="25"/>
  <c r="E21" i="25"/>
  <c r="E128" i="25"/>
  <c r="E127" i="25"/>
  <c r="E26" i="25"/>
  <c r="E187" i="25"/>
  <c r="E199" i="25"/>
  <c r="E188" i="25"/>
  <c r="E20" i="25"/>
  <c r="E19" i="25"/>
  <c r="E25" i="25"/>
  <c r="E24" i="25"/>
  <c r="E120" i="25"/>
  <c r="E124" i="25"/>
  <c r="E17" i="25"/>
  <c r="E114" i="25"/>
  <c r="E111" i="25"/>
  <c r="E100" i="25"/>
  <c r="E15" i="20"/>
  <c r="E22" i="20"/>
  <c r="E18" i="20"/>
  <c r="E16" i="20"/>
  <c r="E21" i="20"/>
  <c r="E17" i="20"/>
  <c r="E23" i="20"/>
  <c r="E20" i="20"/>
  <c r="E24" i="20"/>
  <c r="E25" i="20"/>
  <c r="E19" i="20"/>
  <c r="E75" i="20" l="1"/>
  <c r="E40" i="20"/>
  <c r="E53" i="20" l="1"/>
  <c r="E189" i="20" l="1"/>
  <c r="H169" i="20"/>
  <c r="I169" i="20"/>
  <c r="E133" i="20"/>
  <c r="E131" i="20"/>
  <c r="E27" i="20" l="1"/>
  <c r="E239" i="20"/>
  <c r="E249" i="20" l="1"/>
  <c r="E44" i="20"/>
  <c r="E12" i="20"/>
  <c r="E187" i="20"/>
  <c r="E79" i="20" l="1"/>
  <c r="E250" i="20"/>
  <c r="E136" i="20"/>
  <c r="E177" i="20"/>
  <c r="E176" i="20"/>
  <c r="E160" i="20"/>
  <c r="E132" i="20"/>
  <c r="E7" i="25" l="1"/>
  <c r="E9" i="25"/>
  <c r="E8" i="25"/>
  <c r="P89" i="20" l="1"/>
  <c r="O89" i="20"/>
  <c r="N89" i="20"/>
  <c r="M89" i="20"/>
  <c r="L89" i="20"/>
  <c r="K89" i="20"/>
  <c r="J89" i="20"/>
  <c r="I89" i="20"/>
  <c r="H89" i="20"/>
  <c r="G89" i="20"/>
  <c r="F89" i="20"/>
  <c r="F85" i="3"/>
  <c r="G85" i="3"/>
  <c r="H85" i="3"/>
  <c r="I85" i="3"/>
  <c r="J85" i="3"/>
  <c r="K85" i="3"/>
  <c r="L85" i="3"/>
  <c r="M85" i="3"/>
  <c r="F84" i="3"/>
  <c r="G84" i="3"/>
  <c r="H84" i="3"/>
  <c r="I84" i="3"/>
  <c r="J84" i="3"/>
  <c r="K84" i="3"/>
  <c r="L84" i="3"/>
  <c r="M84" i="3"/>
  <c r="E85" i="3"/>
  <c r="E84" i="3"/>
  <c r="E243" i="20"/>
  <c r="E98" i="20"/>
  <c r="E91" i="20"/>
  <c r="E100" i="20"/>
  <c r="E90" i="20"/>
  <c r="E245" i="20"/>
  <c r="E99" i="20"/>
  <c r="E93" i="20"/>
  <c r="E95" i="20"/>
  <c r="E94" i="20"/>
  <c r="E175" i="25"/>
  <c r="E77" i="25"/>
  <c r="E176" i="25"/>
  <c r="E32" i="25"/>
  <c r="E51" i="25"/>
  <c r="E31" i="25"/>
  <c r="E30" i="25"/>
  <c r="E183" i="25"/>
  <c r="E178" i="25"/>
  <c r="E69" i="25"/>
  <c r="E174" i="25"/>
  <c r="E40" i="25"/>
  <c r="E29" i="25"/>
  <c r="E177" i="25"/>
  <c r="E179" i="25" l="1"/>
  <c r="E148" i="25"/>
  <c r="E147" i="25"/>
  <c r="E146" i="25"/>
  <c r="E145" i="25"/>
  <c r="E144" i="25"/>
  <c r="E143" i="25"/>
  <c r="P28" i="25"/>
  <c r="O28" i="25"/>
  <c r="N28" i="25"/>
  <c r="M28" i="25"/>
  <c r="L28" i="25"/>
  <c r="K28" i="25"/>
  <c r="J28" i="25"/>
  <c r="I28" i="25"/>
  <c r="H28" i="25"/>
  <c r="G28" i="25"/>
  <c r="F28" i="25"/>
  <c r="E14" i="25"/>
  <c r="E5" i="25"/>
  <c r="E53" i="25"/>
  <c r="E18" i="25" l="1"/>
  <c r="E171" i="25"/>
  <c r="M49" i="13" l="1"/>
  <c r="L49" i="13"/>
  <c r="K49" i="13"/>
  <c r="J49" i="13"/>
  <c r="I49" i="13"/>
  <c r="H49" i="13"/>
  <c r="G49" i="13"/>
  <c r="F49" i="13"/>
  <c r="E49" i="13"/>
  <c r="D49" i="13"/>
  <c r="C49" i="13"/>
  <c r="M48" i="13"/>
  <c r="L48" i="13"/>
  <c r="K48" i="13"/>
  <c r="J48" i="13"/>
  <c r="I48" i="13"/>
  <c r="H48" i="13"/>
  <c r="G48" i="13"/>
  <c r="F48" i="13"/>
  <c r="E48" i="13"/>
  <c r="D48" i="13"/>
  <c r="C48" i="13"/>
  <c r="M47" i="13"/>
  <c r="L47" i="13"/>
  <c r="K47" i="13"/>
  <c r="J47" i="13"/>
  <c r="I47" i="13"/>
  <c r="H47" i="13"/>
  <c r="G47" i="13"/>
  <c r="F47" i="13"/>
  <c r="E47" i="13"/>
  <c r="D47" i="13"/>
  <c r="C47" i="13"/>
  <c r="M46" i="13"/>
  <c r="L46" i="13"/>
  <c r="K46" i="13"/>
  <c r="J46" i="13"/>
  <c r="I46" i="13"/>
  <c r="H46" i="13"/>
  <c r="G46" i="13"/>
  <c r="F46" i="13"/>
  <c r="E46" i="13"/>
  <c r="D46" i="13"/>
  <c r="C46" i="13"/>
  <c r="M45" i="13"/>
  <c r="L45" i="13"/>
  <c r="K45" i="13"/>
  <c r="J45" i="13"/>
  <c r="I45" i="13"/>
  <c r="H45" i="13"/>
  <c r="G45" i="13"/>
  <c r="F45" i="13"/>
  <c r="E45" i="13"/>
  <c r="D45" i="13"/>
  <c r="C45" i="13"/>
  <c r="M44" i="13"/>
  <c r="L44" i="13"/>
  <c r="K44" i="13"/>
  <c r="J44" i="13"/>
  <c r="I44" i="13"/>
  <c r="H44" i="13"/>
  <c r="G44" i="13"/>
  <c r="F44" i="13"/>
  <c r="E44" i="13"/>
  <c r="D44" i="13"/>
  <c r="C44" i="13"/>
  <c r="E231" i="20"/>
  <c r="E230" i="20"/>
  <c r="E218" i="20"/>
  <c r="E229" i="20"/>
  <c r="E217" i="20"/>
  <c r="E228" i="20"/>
  <c r="E181" i="20"/>
  <c r="E180" i="20"/>
  <c r="E175" i="20"/>
  <c r="E148" i="20"/>
  <c r="E111" i="20"/>
  <c r="E107" i="20"/>
  <c r="E105" i="20"/>
  <c r="E80" i="20"/>
  <c r="E65" i="20"/>
  <c r="E64" i="20"/>
  <c r="E63" i="20"/>
  <c r="E56" i="20"/>
  <c r="E55" i="20"/>
  <c r="E47" i="20"/>
  <c r="E46" i="20"/>
  <c r="E45" i="20"/>
  <c r="E42" i="20"/>
  <c r="E39" i="20"/>
  <c r="E38" i="20"/>
  <c r="P13" i="20"/>
  <c r="O13" i="20"/>
  <c r="N13" i="20"/>
  <c r="M13" i="20"/>
  <c r="L13" i="20"/>
  <c r="K13" i="20"/>
  <c r="J13" i="20"/>
  <c r="G13" i="20"/>
  <c r="F13" i="20"/>
  <c r="K169" i="20" l="1"/>
  <c r="L169" i="20"/>
  <c r="F169" i="20"/>
  <c r="J169" i="20"/>
  <c r="M169" i="20"/>
  <c r="N169" i="20"/>
  <c r="O169" i="20"/>
  <c r="P169" i="20"/>
  <c r="G169" i="20"/>
  <c r="F6" i="2"/>
  <c r="G6" i="2"/>
  <c r="H6" i="2"/>
  <c r="I6" i="2"/>
  <c r="J6" i="2"/>
  <c r="K6" i="2"/>
  <c r="L6" i="2"/>
  <c r="M6" i="2"/>
  <c r="N6" i="2"/>
  <c r="O6" i="2"/>
  <c r="E6" i="2"/>
  <c r="D70" i="5" l="1"/>
  <c r="D101" i="5" s="1"/>
  <c r="F17" i="13"/>
  <c r="A17" i="13"/>
  <c r="A39" i="13"/>
  <c r="F16" i="13"/>
  <c r="A16" i="13"/>
  <c r="A38" i="13"/>
  <c r="F15" i="13"/>
  <c r="A15" i="13"/>
  <c r="A37" i="13"/>
  <c r="F14" i="13"/>
  <c r="A14" i="13"/>
  <c r="A36" i="13"/>
  <c r="F13" i="13"/>
  <c r="A13" i="13"/>
  <c r="A35" i="13"/>
  <c r="F12" i="13"/>
  <c r="E12" i="13"/>
  <c r="D12" i="13"/>
  <c r="A12" i="13"/>
  <c r="A34" i="13"/>
  <c r="F11" i="13"/>
  <c r="E11" i="13"/>
  <c r="D11" i="13"/>
  <c r="A11" i="13"/>
  <c r="A33" i="13"/>
  <c r="F10" i="13"/>
  <c r="E10" i="13"/>
  <c r="D10" i="13"/>
  <c r="A10" i="13"/>
  <c r="A32" i="13"/>
  <c r="F9" i="13"/>
  <c r="E9" i="13"/>
  <c r="D9" i="13"/>
  <c r="A9" i="13"/>
  <c r="A31" i="13"/>
  <c r="F8" i="13"/>
  <c r="E8" i="13"/>
  <c r="D8" i="13"/>
  <c r="A8" i="13"/>
  <c r="A30" i="13"/>
  <c r="F7" i="13"/>
  <c r="E7" i="13"/>
  <c r="D7" i="13"/>
  <c r="A7" i="13"/>
  <c r="A29" i="13"/>
  <c r="F6" i="13"/>
  <c r="E6" i="13"/>
  <c r="D6" i="13"/>
  <c r="A6" i="13"/>
  <c r="A28" i="13"/>
  <c r="F5" i="13"/>
  <c r="E5" i="13"/>
  <c r="D5" i="13"/>
  <c r="A5" i="13"/>
  <c r="A27" i="13"/>
  <c r="F4" i="13"/>
  <c r="E4" i="13"/>
  <c r="D4" i="13"/>
  <c r="A4" i="13"/>
  <c r="A26" i="13"/>
  <c r="F3" i="13"/>
  <c r="A3" i="13"/>
  <c r="A25" i="13"/>
  <c r="D73" i="5"/>
  <c r="E4" i="25"/>
  <c r="M35" i="20"/>
  <c r="F35" i="20"/>
  <c r="G35" i="20"/>
  <c r="J28" i="20"/>
  <c r="F33" i="20"/>
  <c r="F28" i="20"/>
  <c r="J35" i="20"/>
  <c r="K35" i="20"/>
  <c r="L28" i="20"/>
  <c r="J33" i="20"/>
  <c r="K28" i="20"/>
  <c r="M33" i="20"/>
  <c r="G28" i="20"/>
  <c r="P28" i="20"/>
  <c r="O28" i="20"/>
  <c r="L33" i="20"/>
  <c r="L35" i="20"/>
  <c r="N35" i="20"/>
  <c r="O33" i="20"/>
  <c r="N33" i="20"/>
  <c r="O35" i="20"/>
  <c r="M28" i="20"/>
  <c r="K33" i="20"/>
  <c r="P33" i="20"/>
  <c r="G33" i="20"/>
  <c r="N29" i="25"/>
  <c r="M31" i="25"/>
  <c r="F29" i="25"/>
  <c r="L31" i="25"/>
  <c r="G31" i="25"/>
  <c r="G30" i="25"/>
  <c r="P29" i="25"/>
  <c r="F31" i="25"/>
  <c r="O30" i="25"/>
  <c r="J29" i="25"/>
  <c r="K29" i="25"/>
  <c r="O29" i="25"/>
  <c r="N30" i="25"/>
  <c r="J31" i="25"/>
  <c r="K31" i="25"/>
  <c r="J30" i="25"/>
  <c r="F30" i="25"/>
  <c r="P31" i="25"/>
  <c r="M30" i="25"/>
  <c r="L29" i="25"/>
  <c r="M29" i="25"/>
  <c r="O31" i="25"/>
  <c r="L30" i="25"/>
  <c r="K30" i="25"/>
  <c r="E84" i="5"/>
  <c r="B26" i="13"/>
  <c r="B25" i="13"/>
  <c r="B27" i="13"/>
  <c r="E6" i="20" l="1"/>
  <c r="E28" i="25"/>
  <c r="E56" i="3"/>
  <c r="I56" i="3"/>
  <c r="F56" i="3"/>
  <c r="J56" i="3"/>
  <c r="H56" i="3"/>
  <c r="D56" i="3"/>
  <c r="G56" i="3"/>
  <c r="K56" i="3"/>
  <c r="D6" i="2"/>
  <c r="D72" i="5"/>
  <c r="M25" i="13"/>
  <c r="I25" i="13"/>
  <c r="E25" i="13"/>
  <c r="K25" i="13"/>
  <c r="F25" i="13"/>
  <c r="H25" i="13"/>
  <c r="L25" i="13"/>
  <c r="G25" i="13"/>
  <c r="J25" i="13"/>
  <c r="D25" i="13"/>
  <c r="C25" i="13"/>
  <c r="M27" i="13"/>
  <c r="I27" i="13"/>
  <c r="E27" i="13"/>
  <c r="J27" i="13"/>
  <c r="F27" i="13"/>
  <c r="G27" i="13"/>
  <c r="C27" i="13"/>
  <c r="H27" i="13"/>
  <c r="L27" i="13"/>
  <c r="D27" i="13"/>
  <c r="K27" i="13"/>
  <c r="J26" i="13"/>
  <c r="F26" i="13"/>
  <c r="K26" i="13"/>
  <c r="M26" i="13"/>
  <c r="G26" i="13"/>
  <c r="D26" i="13"/>
  <c r="H26" i="13"/>
  <c r="C26" i="13"/>
  <c r="L26" i="13"/>
  <c r="E26" i="13"/>
  <c r="I26" i="13"/>
  <c r="P35" i="20"/>
  <c r="N28" i="20"/>
  <c r="I33" i="20"/>
  <c r="I28" i="20"/>
  <c r="H33" i="20"/>
  <c r="H28" i="20"/>
  <c r="H90" i="20"/>
  <c r="E61" i="20"/>
  <c r="H35" i="20"/>
  <c r="I90" i="20"/>
  <c r="F90" i="20"/>
  <c r="I35" i="20"/>
  <c r="P30" i="25"/>
  <c r="G29" i="25"/>
  <c r="H31" i="25"/>
  <c r="I30" i="25"/>
  <c r="I31" i="25"/>
  <c r="H30" i="25"/>
  <c r="I29" i="25"/>
  <c r="H29" i="25"/>
  <c r="N31" i="25"/>
  <c r="B35" i="13"/>
  <c r="G22" i="3"/>
  <c r="E22" i="3"/>
  <c r="B37" i="13"/>
  <c r="B29" i="13"/>
  <c r="B31" i="13"/>
  <c r="B33" i="13"/>
  <c r="B36" i="13"/>
  <c r="B30" i="13"/>
  <c r="B34" i="13"/>
  <c r="B28" i="13"/>
  <c r="B32" i="13"/>
  <c r="F22" i="3"/>
  <c r="O34" i="20" l="1"/>
  <c r="F32" i="20"/>
  <c r="F31" i="20"/>
  <c r="F27" i="20"/>
  <c r="K34" i="20"/>
  <c r="M27" i="20"/>
  <c r="N34" i="20"/>
  <c r="J27" i="20"/>
  <c r="K32" i="20"/>
  <c r="K31" i="20"/>
  <c r="P27" i="20"/>
  <c r="O27" i="20"/>
  <c r="O31" i="20"/>
  <c r="O32" i="20"/>
  <c r="G31" i="20"/>
  <c r="G32" i="20"/>
  <c r="K27" i="20"/>
  <c r="P34" i="20"/>
  <c r="J32" i="20"/>
  <c r="J31" i="20"/>
  <c r="N27" i="20"/>
  <c r="M31" i="20"/>
  <c r="M32" i="20"/>
  <c r="L31" i="20"/>
  <c r="L32" i="20"/>
  <c r="J34" i="20"/>
  <c r="G34" i="20"/>
  <c r="G27" i="20"/>
  <c r="F34" i="20"/>
  <c r="M34" i="20"/>
  <c r="N32" i="20"/>
  <c r="N31" i="20"/>
  <c r="L27" i="20"/>
  <c r="L34" i="20"/>
  <c r="P32" i="20"/>
  <c r="P31" i="20"/>
  <c r="D37" i="13"/>
  <c r="M37" i="13"/>
  <c r="H37" i="13"/>
  <c r="L37" i="13"/>
  <c r="K37" i="13"/>
  <c r="I37" i="13"/>
  <c r="G37" i="13"/>
  <c r="J37" i="13"/>
  <c r="C37" i="13"/>
  <c r="F31" i="13"/>
  <c r="G31" i="13"/>
  <c r="C31" i="13"/>
  <c r="H31" i="13"/>
  <c r="M31" i="13"/>
  <c r="L31" i="13"/>
  <c r="I31" i="13"/>
  <c r="D31" i="13"/>
  <c r="E31" i="13"/>
  <c r="K31" i="13"/>
  <c r="J31" i="13"/>
  <c r="G33" i="13"/>
  <c r="H33" i="13"/>
  <c r="J33" i="13"/>
  <c r="D33" i="13"/>
  <c r="L33" i="13"/>
  <c r="M33" i="13"/>
  <c r="F33" i="13"/>
  <c r="I33" i="13"/>
  <c r="K33" i="13"/>
  <c r="E33" i="13"/>
  <c r="C33" i="13"/>
  <c r="H27" i="20"/>
  <c r="I32" i="20"/>
  <c r="I31" i="20"/>
  <c r="H34" i="20"/>
  <c r="H32" i="20"/>
  <c r="H31" i="20"/>
  <c r="I27" i="20"/>
  <c r="I34" i="20"/>
  <c r="K36" i="13"/>
  <c r="L36" i="13"/>
  <c r="G36" i="13"/>
  <c r="H36" i="13"/>
  <c r="I36" i="13"/>
  <c r="J36" i="13"/>
  <c r="C36" i="13"/>
  <c r="M36" i="13"/>
  <c r="D36" i="13"/>
  <c r="G28" i="13"/>
  <c r="C28" i="13"/>
  <c r="L28" i="13"/>
  <c r="J28" i="13"/>
  <c r="H28" i="13"/>
  <c r="F28" i="13"/>
  <c r="M28" i="13"/>
  <c r="D28" i="13"/>
  <c r="K28" i="13"/>
  <c r="I28" i="13"/>
  <c r="E28" i="13"/>
  <c r="D34" i="13"/>
  <c r="C34" i="13"/>
  <c r="K34" i="13"/>
  <c r="F34" i="13"/>
  <c r="M34" i="13"/>
  <c r="G34" i="13"/>
  <c r="L34" i="13"/>
  <c r="J34" i="13"/>
  <c r="H34" i="13"/>
  <c r="E34" i="13"/>
  <c r="I34" i="13"/>
  <c r="K35" i="13"/>
  <c r="D35" i="13"/>
  <c r="L35" i="13"/>
  <c r="G35" i="13"/>
  <c r="M35" i="13"/>
  <c r="I35" i="13"/>
  <c r="H35" i="13"/>
  <c r="J35" i="13"/>
  <c r="C35" i="13"/>
  <c r="G30" i="13"/>
  <c r="C30" i="13"/>
  <c r="H30" i="13"/>
  <c r="M30" i="13"/>
  <c r="J30" i="13"/>
  <c r="E30" i="13"/>
  <c r="L30" i="13"/>
  <c r="F30" i="13"/>
  <c r="D30" i="13"/>
  <c r="K30" i="13"/>
  <c r="I30" i="13"/>
  <c r="E13" i="20"/>
  <c r="M32" i="13"/>
  <c r="J32" i="13"/>
  <c r="L32" i="13"/>
  <c r="I32" i="13"/>
  <c r="F32" i="13"/>
  <c r="H32" i="13"/>
  <c r="E32" i="13"/>
  <c r="K32" i="13"/>
  <c r="D32" i="13"/>
  <c r="G32" i="13"/>
  <c r="C32" i="13"/>
  <c r="G29" i="13"/>
  <c r="D29" i="13"/>
  <c r="I29" i="13"/>
  <c r="C29" i="13"/>
  <c r="J29" i="13"/>
  <c r="F29" i="13"/>
  <c r="L29" i="13"/>
  <c r="M29" i="13"/>
  <c r="K29" i="13"/>
  <c r="H29" i="13"/>
  <c r="E29" i="13"/>
  <c r="O90" i="20"/>
  <c r="J90" i="20"/>
  <c r="M90" i="20"/>
  <c r="L90" i="20"/>
  <c r="K90" i="20"/>
  <c r="N90" i="20"/>
  <c r="P90" i="20"/>
  <c r="G90" i="20"/>
  <c r="E172" i="25"/>
  <c r="M22" i="3"/>
  <c r="G36" i="27"/>
  <c r="I18" i="27"/>
  <c r="J72" i="27"/>
  <c r="B38" i="13"/>
  <c r="N54" i="27"/>
  <c r="G252" i="2"/>
  <c r="N252" i="2"/>
  <c r="L54" i="27"/>
  <c r="K252" i="2"/>
  <c r="K22" i="3"/>
  <c r="N18" i="27"/>
  <c r="O252" i="2"/>
  <c r="L22" i="3"/>
  <c r="H36" i="27"/>
  <c r="K54" i="27"/>
  <c r="I54" i="27"/>
  <c r="G72" i="27"/>
  <c r="H72" i="27"/>
  <c r="O72" i="27"/>
  <c r="N36" i="27"/>
  <c r="M72" i="27"/>
  <c r="E54" i="27"/>
  <c r="F72" i="27"/>
  <c r="M252" i="2"/>
  <c r="I72" i="27"/>
  <c r="O36" i="27"/>
  <c r="E252" i="2"/>
  <c r="O18" i="27"/>
  <c r="M36" i="27"/>
  <c r="H22" i="3"/>
  <c r="L72" i="27"/>
  <c r="G18" i="27"/>
  <c r="E18" i="27"/>
  <c r="I22" i="3"/>
  <c r="B39" i="13"/>
  <c r="M54" i="27"/>
  <c r="F54" i="27"/>
  <c r="F36" i="27"/>
  <c r="I252" i="2"/>
  <c r="J36" i="27"/>
  <c r="J252" i="2"/>
  <c r="F252" i="2"/>
  <c r="O54" i="27"/>
  <c r="K36" i="27"/>
  <c r="M18" i="27"/>
  <c r="E72" i="27"/>
  <c r="H54" i="27"/>
  <c r="L252" i="2"/>
  <c r="E36" i="27"/>
  <c r="H18" i="27"/>
  <c r="J54" i="27"/>
  <c r="N72" i="27"/>
  <c r="L36" i="27"/>
  <c r="G54" i="27"/>
  <c r="I36" i="27"/>
  <c r="K18" i="27"/>
  <c r="H252" i="2"/>
  <c r="J18" i="27"/>
  <c r="L18" i="27"/>
  <c r="F18" i="27"/>
  <c r="K72" i="27"/>
  <c r="J22" i="3"/>
  <c r="I56" i="27" l="1"/>
  <c r="J56" i="27"/>
  <c r="O56" i="27"/>
  <c r="E203" i="2"/>
  <c r="L56" i="27"/>
  <c r="G203" i="2"/>
  <c r="E56" i="27"/>
  <c r="J203" i="2"/>
  <c r="H56" i="27"/>
  <c r="N56" i="27"/>
  <c r="G56" i="27"/>
  <c r="M56" i="27"/>
  <c r="K56" i="27"/>
  <c r="F56" i="27"/>
  <c r="J38" i="13"/>
  <c r="M38" i="13"/>
  <c r="K38" i="13"/>
  <c r="D38" i="13"/>
  <c r="L38" i="13"/>
  <c r="H38" i="13"/>
  <c r="C38" i="13"/>
  <c r="G38" i="13"/>
  <c r="I38" i="13"/>
  <c r="M203" i="2"/>
  <c r="K203" i="2"/>
  <c r="I203" i="2"/>
  <c r="N203" i="2"/>
  <c r="O203" i="2"/>
  <c r="H203" i="2"/>
  <c r="L203" i="2"/>
  <c r="F203" i="2"/>
  <c r="E34" i="20"/>
  <c r="E31" i="20"/>
  <c r="E32" i="20"/>
  <c r="J171" i="25"/>
  <c r="M171" i="25"/>
  <c r="G171" i="25"/>
  <c r="N171" i="25"/>
  <c r="L171" i="25"/>
  <c r="F171" i="25"/>
  <c r="H171" i="25"/>
  <c r="I171" i="25"/>
  <c r="O171" i="25"/>
  <c r="K171" i="25"/>
  <c r="P171" i="25"/>
  <c r="F93" i="20"/>
  <c r="I92" i="20"/>
  <c r="H93" i="20"/>
  <c r="I93" i="20"/>
  <c r="J92" i="20"/>
  <c r="P93" i="20"/>
  <c r="P95" i="20"/>
  <c r="G92" i="20"/>
  <c r="G95" i="20"/>
  <c r="L93" i="20"/>
  <c r="O92" i="20"/>
  <c r="J91" i="20"/>
  <c r="M92" i="20"/>
  <c r="O95" i="20"/>
  <c r="F91" i="20"/>
  <c r="L91" i="20"/>
  <c r="M95" i="20"/>
  <c r="G91" i="20"/>
  <c r="L95" i="20"/>
  <c r="O91" i="20"/>
  <c r="J93" i="20"/>
  <c r="H92" i="20"/>
  <c r="M91" i="20"/>
  <c r="O93" i="20"/>
  <c r="K93" i="20"/>
  <c r="N91" i="20"/>
  <c r="I95" i="20"/>
  <c r="P92" i="20"/>
  <c r="N92" i="20"/>
  <c r="N93" i="20"/>
  <c r="F95" i="20"/>
  <c r="H95" i="20"/>
  <c r="F92" i="20"/>
  <c r="M93" i="20"/>
  <c r="K91" i="20"/>
  <c r="P91" i="20"/>
  <c r="L92" i="20"/>
  <c r="O174" i="25"/>
  <c r="M174" i="25"/>
  <c r="I174" i="25"/>
  <c r="N174" i="25"/>
  <c r="K174" i="25"/>
  <c r="H174" i="25"/>
  <c r="L174" i="25"/>
  <c r="F174" i="25"/>
  <c r="P174" i="25"/>
  <c r="G174" i="25"/>
  <c r="N212" i="2"/>
  <c r="J210" i="2"/>
  <c r="G210" i="2"/>
  <c r="L216" i="2"/>
  <c r="O212" i="2"/>
  <c r="L205" i="2"/>
  <c r="M208" i="2"/>
  <c r="L209" i="2"/>
  <c r="J205" i="2"/>
  <c r="O208" i="2"/>
  <c r="M206" i="2"/>
  <c r="L206" i="2"/>
  <c r="N204" i="2"/>
  <c r="K205" i="2"/>
  <c r="H206" i="2"/>
  <c r="F205" i="2"/>
  <c r="J204" i="2"/>
  <c r="G207" i="2"/>
  <c r="G216" i="2"/>
  <c r="O205" i="2"/>
  <c r="M205" i="2"/>
  <c r="N210" i="2"/>
  <c r="G206" i="2"/>
  <c r="M207" i="2"/>
  <c r="J207" i="2"/>
  <c r="H204" i="2"/>
  <c r="M209" i="2"/>
  <c r="H212" i="2"/>
  <c r="M216" i="2"/>
  <c r="O207" i="2"/>
  <c r="F208" i="2"/>
  <c r="G208" i="2"/>
  <c r="L207" i="2"/>
  <c r="K210" i="2"/>
  <c r="J212" i="2"/>
  <c r="J206" i="2"/>
  <c r="O209" i="2"/>
  <c r="E206" i="2"/>
  <c r="N216" i="2"/>
  <c r="K206" i="2"/>
  <c r="E209" i="2"/>
  <c r="L204" i="2"/>
  <c r="L210" i="2"/>
  <c r="E216" i="2"/>
  <c r="I206" i="2"/>
  <c r="E207" i="2"/>
  <c r="N205" i="2"/>
  <c r="E204" i="2"/>
  <c r="M212" i="2"/>
  <c r="I209" i="2"/>
  <c r="K204" i="2"/>
  <c r="K209" i="2"/>
  <c r="M210" i="2"/>
  <c r="E210" i="2"/>
  <c r="J216" i="2"/>
  <c r="I208" i="2"/>
  <c r="M204" i="2"/>
  <c r="K216" i="2"/>
  <c r="L212" i="2"/>
  <c r="O210" i="2"/>
  <c r="G212" i="2"/>
  <c r="E212" i="2"/>
  <c r="H208" i="2"/>
  <c r="K208" i="2"/>
  <c r="F209" i="2"/>
  <c r="N209" i="2"/>
  <c r="F206" i="2"/>
  <c r="L208" i="2"/>
  <c r="E208" i="2"/>
  <c r="J209" i="2"/>
  <c r="H210" i="2"/>
  <c r="H207" i="2"/>
  <c r="J208" i="2"/>
  <c r="N208" i="2"/>
  <c r="H205" i="2"/>
  <c r="F204" i="2"/>
  <c r="F207" i="2"/>
  <c r="I204" i="2"/>
  <c r="I205" i="2"/>
  <c r="F216" i="2"/>
  <c r="N206" i="2"/>
  <c r="K212" i="2"/>
  <c r="F212" i="2"/>
  <c r="G204" i="2"/>
  <c r="H216" i="2"/>
  <c r="G205" i="2"/>
  <c r="I212" i="2"/>
  <c r="O216" i="2"/>
  <c r="I207" i="2"/>
  <c r="E205" i="2"/>
  <c r="I210" i="2"/>
  <c r="N207" i="2"/>
  <c r="G209" i="2"/>
  <c r="K207" i="2"/>
  <c r="F210" i="2"/>
  <c r="O204" i="2"/>
  <c r="O206" i="2"/>
  <c r="H209" i="2"/>
  <c r="I216" i="2"/>
  <c r="N63" i="27"/>
  <c r="M61" i="27"/>
  <c r="L65" i="27"/>
  <c r="H62" i="27"/>
  <c r="G63" i="27"/>
  <c r="K58" i="27"/>
  <c r="M65" i="27"/>
  <c r="E59" i="27"/>
  <c r="E65" i="27"/>
  <c r="H60" i="27"/>
  <c r="I60" i="27"/>
  <c r="N69" i="27"/>
  <c r="M57" i="27"/>
  <c r="L69" i="27"/>
  <c r="N58" i="27"/>
  <c r="M58" i="27"/>
  <c r="H58" i="27"/>
  <c r="E69" i="27"/>
  <c r="F61" i="27"/>
  <c r="F63" i="27"/>
  <c r="I58" i="27"/>
  <c r="O59" i="27"/>
  <c r="G60" i="27"/>
  <c r="K62" i="27"/>
  <c r="E63" i="27"/>
  <c r="H65" i="27"/>
  <c r="K69" i="27"/>
  <c r="J57" i="27"/>
  <c r="I65" i="27"/>
  <c r="L59" i="27"/>
  <c r="J59" i="27"/>
  <c r="O65" i="27"/>
  <c r="N59" i="27"/>
  <c r="I62" i="27"/>
  <c r="E57" i="27"/>
  <c r="H59" i="27"/>
  <c r="L60" i="27"/>
  <c r="J69" i="27"/>
  <c r="L61" i="27"/>
  <c r="L57" i="27"/>
  <c r="F57" i="27"/>
  <c r="F60" i="27"/>
  <c r="G62" i="27"/>
  <c r="G61" i="27"/>
  <c r="F69" i="27"/>
  <c r="J60" i="27"/>
  <c r="K57" i="27"/>
  <c r="L58" i="27"/>
  <c r="M62" i="27"/>
  <c r="F59" i="27"/>
  <c r="K65" i="27"/>
  <c r="H57" i="27"/>
  <c r="J61" i="27"/>
  <c r="J58" i="27"/>
  <c r="K60" i="27"/>
  <c r="O62" i="27"/>
  <c r="G65" i="27"/>
  <c r="O63" i="27"/>
  <c r="O61" i="27"/>
  <c r="E60" i="27"/>
  <c r="L63" i="27"/>
  <c r="G57" i="27"/>
  <c r="G59" i="27"/>
  <c r="N60" i="27"/>
  <c r="I69" i="27"/>
  <c r="L62" i="27"/>
  <c r="J62" i="27"/>
  <c r="K61" i="27"/>
  <c r="K63" i="27"/>
  <c r="I63" i="27"/>
  <c r="M69" i="27"/>
  <c r="E58" i="27"/>
  <c r="I57" i="27"/>
  <c r="F65" i="27"/>
  <c r="O58" i="27"/>
  <c r="N65" i="27"/>
  <c r="K59" i="27"/>
  <c r="F62" i="27"/>
  <c r="N57" i="27"/>
  <c r="H61" i="27"/>
  <c r="I61" i="27"/>
  <c r="E61" i="27"/>
  <c r="J63" i="27"/>
  <c r="H69" i="27"/>
  <c r="E62" i="27"/>
  <c r="G69" i="27"/>
  <c r="N62" i="27"/>
  <c r="N61" i="27"/>
  <c r="M59" i="27"/>
  <c r="J65" i="27"/>
  <c r="O69" i="27"/>
  <c r="H63" i="27"/>
  <c r="M63" i="27"/>
  <c r="G58" i="27"/>
  <c r="O57" i="27"/>
  <c r="F58" i="27"/>
  <c r="O60" i="27"/>
  <c r="I59" i="27"/>
  <c r="M60" i="27"/>
  <c r="L183" i="25" l="1"/>
  <c r="L40" i="25"/>
  <c r="L177" i="25"/>
  <c r="L176" i="25"/>
  <c r="L175" i="25"/>
  <c r="H40" i="25"/>
  <c r="H175" i="25"/>
  <c r="H177" i="25"/>
  <c r="H183" i="25"/>
  <c r="H176" i="25"/>
  <c r="O175" i="25"/>
  <c r="O183" i="25"/>
  <c r="O177" i="25"/>
  <c r="O176" i="25"/>
  <c r="O40" i="25"/>
  <c r="G176" i="25"/>
  <c r="G183" i="25"/>
  <c r="G40" i="25"/>
  <c r="G175" i="25"/>
  <c r="G177" i="25"/>
  <c r="M177" i="25"/>
  <c r="M175" i="25"/>
  <c r="M183" i="25"/>
  <c r="M40" i="25"/>
  <c r="M176" i="25"/>
  <c r="N177" i="25"/>
  <c r="N40" i="25"/>
  <c r="N183" i="25"/>
  <c r="N176" i="25"/>
  <c r="N175" i="25"/>
  <c r="K177" i="25"/>
  <c r="K183" i="25"/>
  <c r="K176" i="25"/>
  <c r="K175" i="25"/>
  <c r="K40" i="25"/>
  <c r="P175" i="25"/>
  <c r="P176" i="25"/>
  <c r="P177" i="25"/>
  <c r="P183" i="25"/>
  <c r="P40" i="25"/>
  <c r="I40" i="25"/>
  <c r="I175" i="25"/>
  <c r="I183" i="25"/>
  <c r="I177" i="25"/>
  <c r="I176" i="25"/>
  <c r="F177" i="25"/>
  <c r="F176" i="25"/>
  <c r="F175" i="25"/>
  <c r="F40" i="25"/>
  <c r="F183" i="25"/>
  <c r="J95" i="20"/>
  <c r="P96" i="20"/>
  <c r="G96" i="20"/>
  <c r="H97" i="20"/>
  <c r="N97" i="20"/>
  <c r="N98" i="20"/>
  <c r="K92" i="20"/>
  <c r="G97" i="20"/>
  <c r="H91" i="20"/>
  <c r="F97" i="20"/>
  <c r="K96" i="20"/>
  <c r="P94" i="20"/>
  <c r="L98" i="20"/>
  <c r="G94" i="20"/>
  <c r="O96" i="20"/>
  <c r="L94" i="20"/>
  <c r="J94" i="20"/>
  <c r="M96" i="20"/>
  <c r="N94" i="20"/>
  <c r="I94" i="20"/>
  <c r="O94" i="20"/>
  <c r="F96" i="20"/>
  <c r="M98" i="20"/>
  <c r="K94" i="20"/>
  <c r="O97" i="20"/>
  <c r="K95" i="20"/>
  <c r="J97" i="20"/>
  <c r="N95" i="20"/>
  <c r="J96" i="20"/>
  <c r="I91" i="20"/>
  <c r="N96" i="20"/>
  <c r="F98" i="20"/>
  <c r="H98" i="20"/>
  <c r="I96" i="20"/>
  <c r="M94" i="20"/>
  <c r="P97" i="20"/>
  <c r="G93" i="20"/>
  <c r="L97" i="20"/>
  <c r="I97" i="20"/>
  <c r="K98" i="20"/>
  <c r="F94" i="20"/>
  <c r="L96" i="20"/>
  <c r="P98" i="20"/>
  <c r="O98" i="20"/>
  <c r="H94" i="20"/>
  <c r="G98" i="20"/>
  <c r="J98" i="20"/>
  <c r="K97" i="20"/>
  <c r="H96" i="20"/>
  <c r="I98" i="20"/>
  <c r="M97" i="20"/>
  <c r="J174" i="25"/>
  <c r="J177" i="25" l="1"/>
  <c r="J40" i="25"/>
  <c r="J176" i="25"/>
  <c r="J175" i="25"/>
  <c r="J183"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60" authorId="0" shapeId="0" xr:uid="{4376AB2D-535D-4FA1-8917-D04F43AFF7F2}">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60" authorId="0" shapeId="0" xr:uid="{3636496E-0C66-4D1C-A6D0-7349FF8ACDA6}">
      <text>
        <r>
          <rPr>
            <b/>
            <sz val="9"/>
            <color indexed="81"/>
            <rFont val="Tahoma"/>
            <family val="2"/>
          </rPr>
          <t>Kannan Krishnamoorthy:</t>
        </r>
        <r>
          <rPr>
            <sz val="9"/>
            <color indexed="81"/>
            <rFont val="Tahoma"/>
            <family val="2"/>
          </rPr>
          <t xml:space="preserve">
25-100mm/sec</t>
        </r>
      </text>
    </comment>
    <comment ref="F60" authorId="0" shapeId="0" xr:uid="{50ED9621-7EC5-4059-BA1C-FB388CF1A138}">
      <text>
        <r>
          <rPr>
            <b/>
            <sz val="9"/>
            <color indexed="81"/>
            <rFont val="Tahoma"/>
            <family val="2"/>
          </rPr>
          <t>Kannan Krishnamoorthy:</t>
        </r>
        <r>
          <rPr>
            <sz val="9"/>
            <color indexed="81"/>
            <rFont val="Tahoma"/>
            <family val="2"/>
          </rPr>
          <t xml:space="preserve">
Blue painters tape
PVA glue (Elmer’s glue stick)
or acrylic bed</t>
        </r>
      </text>
    </comment>
    <comment ref="A61" authorId="0" shapeId="0" xr:uid="{27D029CC-5B6A-4184-BC0E-2DB79285E7A1}">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61" authorId="0" shapeId="0" xr:uid="{F1F44305-6CBB-44F9-8A9C-A42EFBD6EDA2}">
      <text>
        <r>
          <rPr>
            <b/>
            <sz val="9"/>
            <color indexed="81"/>
            <rFont val="Tahoma"/>
            <family val="2"/>
          </rPr>
          <t>Kannan Krishnamoorthy:</t>
        </r>
        <r>
          <rPr>
            <sz val="9"/>
            <color indexed="81"/>
            <rFont val="Tahoma"/>
            <family val="2"/>
          </rPr>
          <t xml:space="preserve">
25-50mm/sec</t>
        </r>
      </text>
    </comment>
    <comment ref="F61" authorId="0" shapeId="0" xr:uid="{054657BF-5427-417E-9BD7-E9476C867959}">
      <text>
        <r>
          <rPr>
            <b/>
            <sz val="9"/>
            <color indexed="81"/>
            <rFont val="Tahoma"/>
            <family val="2"/>
          </rPr>
          <t>Kannan Krishnamoorthy:</t>
        </r>
        <r>
          <rPr>
            <sz val="9"/>
            <color indexed="81"/>
            <rFont val="Tahoma"/>
            <family val="2"/>
          </rPr>
          <t xml:space="preserve">
Kapton Tape / Hairspray</t>
        </r>
      </text>
    </comment>
    <comment ref="A62" authorId="0" shapeId="0" xr:uid="{5B6EADF1-FE78-4120-AE84-BDDAB2826B0C}">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62" authorId="0" shapeId="0" xr:uid="{EAF9E38D-FA7C-4F51-A9AA-BD22E77C90E3}">
      <text>
        <r>
          <rPr>
            <b/>
            <sz val="9"/>
            <color indexed="81"/>
            <rFont val="Tahoma"/>
            <family val="2"/>
          </rPr>
          <t>Kannan Krishnamoorthy:</t>
        </r>
        <r>
          <rPr>
            <sz val="9"/>
            <color indexed="81"/>
            <rFont val="Tahoma"/>
            <family val="2"/>
          </rPr>
          <t xml:space="preserve">
25-100mm/sec
</t>
        </r>
      </text>
    </comment>
    <comment ref="C62" authorId="0" shapeId="0" xr:uid="{68E7676E-19FE-48D3-9208-8FA113E74D48}">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62" authorId="0" shapeId="0" xr:uid="{3B2497DA-4F70-4D02-BBB5-D5A668D85F8B}">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F62" authorId="0" shapeId="0" xr:uid="{445D3179-9583-468D-A751-863CD15EE0A7}">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63" authorId="0" shapeId="0" xr:uid="{F44CF940-C2A2-4D9A-91CA-1B1CBFDD03F7}">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63" authorId="0" shapeId="0" xr:uid="{0EA69BE8-78A4-43E8-986C-CC994F765BA3}">
      <text>
        <r>
          <rPr>
            <b/>
            <sz val="9"/>
            <color indexed="81"/>
            <rFont val="Tahoma"/>
            <family val="2"/>
          </rPr>
          <t>Kannan Krishnamoorthy:</t>
        </r>
        <r>
          <rPr>
            <sz val="9"/>
            <color indexed="81"/>
            <rFont val="Tahoma"/>
            <family val="2"/>
          </rPr>
          <t xml:space="preserve">
30-60 mm/s
50 – 100 mm/sec</t>
        </r>
      </text>
    </comment>
    <comment ref="C63" authorId="0" shapeId="0" xr:uid="{563EAA84-2FCB-45CD-8ED8-529571DCF8C6}">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63" authorId="0" shapeId="0" xr:uid="{A45D45BA-5601-43CB-BCD8-3C23672DC5B6}">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F63" authorId="0" shapeId="0" xr:uid="{2633B006-39CC-4B9B-96C0-E892BEC7E597}">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J63" authorId="0" shapeId="0" xr:uid="{E89D6282-0B9A-42ED-9F8C-D90BAE54160F}">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64" authorId="0" shapeId="0" xr:uid="{35D4C481-2DE3-4263-936A-C823174F6660}">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64" authorId="0" shapeId="0" xr:uid="{23A780AB-BA42-4DB0-B814-ECF2664F6EC0}">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64" authorId="0" shapeId="0" xr:uid="{9E7CB713-7D27-4523-B075-9898452DB369}">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F64" authorId="0" shapeId="0" xr:uid="{2C0478A3-6458-4995-9343-8929612615DA}">
      <text>
        <r>
          <rPr>
            <b/>
            <sz val="9"/>
            <color indexed="81"/>
            <rFont val="Tahoma"/>
            <family val="2"/>
          </rPr>
          <t>Kannan Krishnamoorthy:</t>
        </r>
        <r>
          <rPr>
            <sz val="9"/>
            <color indexed="81"/>
            <rFont val="Tahoma"/>
            <family val="2"/>
          </rPr>
          <t xml:space="preserve">
Blue painters tape
PVA glue (Elmer’s glue stick)
Kapton Tape
or acrylic bed</t>
        </r>
      </text>
    </comment>
    <comment ref="H64" authorId="0" shapeId="0" xr:uid="{2E160A8A-FB6E-402E-9618-248441768C9F}">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65" authorId="0" shapeId="0" xr:uid="{0E5D86EE-D1DE-44B5-9197-B0BE782519AC}">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65" authorId="0" shapeId="0" xr:uid="{431CBCD0-AC9E-4C7D-A675-FB1C270859CC}">
      <text>
        <r>
          <rPr>
            <b/>
            <sz val="9"/>
            <color indexed="81"/>
            <rFont val="Tahoma"/>
            <family val="2"/>
          </rPr>
          <t>Kannan Krishnamoorthy:</t>
        </r>
        <r>
          <rPr>
            <sz val="9"/>
            <color indexed="81"/>
            <rFont val="Tahoma"/>
            <family val="2"/>
          </rPr>
          <t xml:space="preserve">
25-100mm/sec</t>
        </r>
      </text>
    </comment>
    <comment ref="C65" authorId="0" shapeId="0" xr:uid="{9575F9B0-C2A6-4A46-9BBE-1D62169A060E}">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65" authorId="0" shapeId="0" xr:uid="{1A10BC2C-DAA4-4AAF-A81E-24BD98CA6693}">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F65" authorId="0" shapeId="0" xr:uid="{A1A04AE2-621B-460E-B91E-2BF5F2F0E5E6}">
      <text>
        <r>
          <rPr>
            <b/>
            <sz val="9"/>
            <color indexed="81"/>
            <rFont val="Tahoma"/>
            <family val="2"/>
          </rPr>
          <t>Kannan Krishnamoorthy:</t>
        </r>
        <r>
          <rPr>
            <sz val="9"/>
            <color indexed="81"/>
            <rFont val="Tahoma"/>
            <family val="2"/>
          </rPr>
          <t xml:space="preserve">
Hairspray</t>
        </r>
      </text>
    </comment>
    <comment ref="B66" authorId="0" shapeId="0" xr:uid="{D2DACB8C-2459-44EB-A8F3-EF4E26BCFC86}">
      <text>
        <r>
          <rPr>
            <b/>
            <sz val="9"/>
            <color indexed="81"/>
            <rFont val="Tahoma"/>
            <family val="2"/>
          </rPr>
          <t>Kannan Krishnamoorthy:</t>
        </r>
        <r>
          <rPr>
            <sz val="9"/>
            <color indexed="81"/>
            <rFont val="Tahoma"/>
            <family val="2"/>
          </rPr>
          <t xml:space="preserve">
50 – 120 mm/sec</t>
        </r>
      </text>
    </comment>
    <comment ref="F66" authorId="0" shapeId="0" xr:uid="{6A5973BC-85E2-45F9-B1BC-E80CB118A29C}">
      <text>
        <r>
          <rPr>
            <b/>
            <sz val="9"/>
            <color indexed="81"/>
            <rFont val="Tahoma"/>
            <family val="2"/>
          </rPr>
          <t>Kannan Krishnamoorthy:</t>
        </r>
        <r>
          <rPr>
            <sz val="9"/>
            <color indexed="81"/>
            <rFont val="Tahoma"/>
            <family val="2"/>
          </rPr>
          <t xml:space="preserve">
Hairspray</t>
        </r>
      </text>
    </comment>
    <comment ref="A69" authorId="0" shapeId="0" xr:uid="{A5EC6028-A82B-4706-AFBE-DDE61CBF77FA}">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F69" authorId="0" shapeId="0" xr:uid="{5D53F9AB-476B-42EE-8646-178328EEEB7D}">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<sst xmlns="http://schemas.openxmlformats.org/spreadsheetml/2006/main" count="2884" uniqueCount="1712">
  <si>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</si>
  <si>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</si>
  <si>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</si>
  <si>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</si>
  <si>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</si>
  <si>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</si>
  <si>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</si>
  <si>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</si>
  <si>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</si>
  <si>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</si>
  <si>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</si>
  <si>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</si>
  <si>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external_perimeters_first</t>
  </si>
  <si>
    <t>fill_density</t>
  </si>
  <si>
    <t>fill_pattern</t>
  </si>
  <si>
    <t>rectilinear</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</si>
  <si>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</si>
  <si>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</si>
  <si>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</si>
  <si>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</si>
  <si>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</si>
  <si>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</si>
  <si>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</si>
  <si>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</si>
  <si>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</si>
  <si>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</si>
  <si>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</si>
  <si>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</si>
  <si>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</si>
  <si>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</si>
  <si>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</si>
  <si>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</si>
  <si>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</si>
  <si>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</si>
  <si>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</si>
  <si>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</si>
  <si>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</si>
  <si>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</si>
  <si>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</si>
  <si>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</si>
  <si>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</si>
  <si>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</si>
  <si>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</si>
  <si>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</si>
  <si>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</si>
  <si>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</si>
  <si>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</si>
  <si>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</si>
  <si>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</si>
  <si>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</si>
  <si>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</si>
  <si>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</si>
  <si>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</si>
  <si>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</si>
  <si>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</si>
  <si>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</si>
  <si>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</si>
  <si>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</si>
  <si>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</si>
  <si>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</si>
  <si>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</si>
  <si>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</si>
  <si>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</si>
  <si>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</si>
  <si>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</si>
  <si>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</si>
  <si>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</si>
  <si>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</si>
  <si>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</si>
  <si>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</si>
  <si>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</si>
  <si>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</si>
  <si>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</si>
  <si>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</si>
  <si>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</si>
  <si>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</si>
  <si>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</si>
  <si>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</si>
  <si>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</si>
  <si>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</si>
  <si>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</si>
  <si>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</si>
  <si>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</si>
  <si>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</si>
  <si>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</si>
  <si>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</si>
  <si>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</si>
  <si>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</si>
  <si>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</si>
  <si>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</si>
  <si>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</si>
  <si>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</si>
  <si>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</si>
  <si>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</si>
  <si>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</si>
  <si>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</si>
  <si>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</si>
  <si>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</si>
  <si>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post_process</t>
  </si>
  <si>
    <t>notes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</si>
  <si>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</si>
  <si>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</si>
  <si>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</si>
  <si>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</si>
  <si>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</si>
  <si>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</si>
  <si>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</si>
  <si>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</si>
  <si>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</si>
  <si>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</si>
  <si>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</si>
  <si>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</si>
  <si>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</si>
  <si>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min_fan_speed</t>
  </si>
  <si>
    <t>max_fan_speed</t>
  </si>
  <si>
    <t>bridge_fan_speed</t>
  </si>
  <si>
    <t>disable_fan_first_layers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</si>
  <si>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</si>
  <si>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</si>
  <si>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</si>
  <si>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</si>
  <si>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</si>
  <si>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</si>
  <si>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</si>
  <si>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</si>
  <si>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</si>
  <si>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</si>
  <si>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</si>
  <si>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</si>
  <si>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</si>
  <si>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</si>
  <si>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</si>
  <si>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</si>
  <si>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</si>
  <si>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</si>
  <si>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</si>
  <si>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</si>
  <si>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</si>
  <si>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</si>
  <si>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</si>
  <si>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</si>
  <si>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</si>
  <si>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</si>
  <si>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</si>
  <si>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</si>
  <si>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max_print_height</t>
  </si>
  <si>
    <t>nozzle_diameter</t>
  </si>
  <si>
    <t>single_extruder_multi_material</t>
  </si>
  <si>
    <t>host_type</t>
  </si>
  <si>
    <t>gcode_flavor</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</si>
  <si>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</si>
  <si>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</si>
  <si>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</si>
  <si>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</si>
  <si>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</si>
  <si>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</si>
  <si>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</si>
  <si>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</si>
  <si>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</si>
  <si>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</si>
  <si>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</si>
  <si>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</si>
  <si>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</si>
  <si>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</si>
  <si>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</si>
  <si>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</si>
  <si>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</si>
  <si>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</si>
  <si>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</si>
  <si>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</si>
  <si>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</si>
  <si>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</si>
  <si>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</si>
  <si>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</si>
  <si>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</si>
  <si>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</si>
  <si>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</si>
  <si>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</si>
  <si>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</si>
  <si>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</si>
  <si>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</si>
  <si>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</si>
  <si>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</si>
  <si>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</si>
  <si>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</si>
  <si>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</si>
  <si>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</si>
  <si>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</si>
  <si>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</si>
  <si>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</si>
  <si>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</si>
  <si>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</si>
  <si>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</si>
  <si>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</si>
  <si>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</si>
  <si>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</si>
  <si>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</si>
  <si>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</si>
  <si>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</si>
  <si>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</si>
  <si>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</si>
  <si>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Spec</t>
  </si>
  <si>
    <t>Value</t>
  </si>
  <si>
    <t>FLEX</t>
  </si>
  <si>
    <t>printer_notes</t>
  </si>
  <si>
    <t>Remarks</t>
  </si>
  <si>
    <t>fine</t>
  </si>
  <si>
    <t>quality</t>
  </si>
  <si>
    <t>draft</t>
  </si>
  <si>
    <t>fast</t>
  </si>
  <si>
    <t>medium</t>
  </si>
  <si>
    <t>rough</t>
  </si>
  <si>
    <t>big</t>
  </si>
  <si>
    <t>large</t>
  </si>
  <si>
    <t>giant</t>
  </si>
  <si>
    <t>Slic3r AppData folder</t>
  </si>
  <si>
    <t>Tree</t>
  </si>
  <si>
    <t>Layers and Perimeters</t>
  </si>
  <si>
    <t>Infill</t>
  </si>
  <si>
    <t>Skirt and Brim</t>
  </si>
  <si>
    <t>Support material</t>
  </si>
  <si>
    <t>Speed</t>
  </si>
  <si>
    <t>Multiple Extruders</t>
  </si>
  <si>
    <t>#Extruders</t>
  </si>
  <si>
    <t>Output options</t>
  </si>
  <si>
    <t>Notes</t>
  </si>
  <si>
    <t>Dependencies</t>
  </si>
  <si>
    <t>Add more parameters on sloping walls</t>
  </si>
  <si>
    <t>Add solid infill near sloping surfaces to ensure wall thickness</t>
  </si>
  <si>
    <t>parts do not fit into 2 extrusion so collapse them to single wall</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</si>
  <si>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</si>
  <si>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</si>
  <si>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</si>
  <si>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</si>
  <si>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</si>
  <si>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</si>
  <si>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</si>
  <si>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</si>
  <si>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</si>
  <si>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</si>
  <si>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</si>
  <si>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</si>
  <si>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</si>
  <si>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</si>
  <si>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</si>
  <si>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</si>
  <si>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</si>
  <si>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</si>
  <si>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</si>
  <si>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</si>
  <si>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</si>
  <si>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</si>
  <si>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</si>
  <si>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</si>
  <si>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</si>
  <si>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</si>
  <si>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</si>
  <si>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</si>
  <si>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</si>
  <si>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Enable fan if layer print time is below</t>
  </si>
  <si>
    <t>Delay after unloading</t>
  </si>
  <si>
    <t>Cooling</t>
  </si>
  <si>
    <t>Slow down print speed if layer print time is below</t>
  </si>
  <si>
    <t>Limits overall print speed for this filament</t>
  </si>
  <si>
    <t>Number of cooling moves</t>
  </si>
  <si>
    <t>Speed of first cooling move</t>
  </si>
  <si>
    <t>Speed of last cooling move</t>
  </si>
  <si>
    <t>Minimal purge on wipe tower</t>
  </si>
  <si>
    <t>Ramming parameters</t>
  </si>
  <si>
    <t>Custom G-code</t>
  </si>
  <si>
    <t>General</t>
  </si>
  <si>
    <t>Machine limits</t>
  </si>
  <si>
    <t>Extruder1</t>
  </si>
  <si>
    <t>printhost_apikey</t>
  </si>
  <si>
    <t>print_host</t>
  </si>
  <si>
    <t>printer_vendor</t>
  </si>
  <si>
    <t>printhost_cafile</t>
  </si>
  <si>
    <t>serial_port</t>
  </si>
  <si>
    <t>serial_speed</t>
  </si>
  <si>
    <t>Nylon</t>
  </si>
  <si>
    <t>#3DF266</t>
  </si>
  <si>
    <t>PP</t>
  </si>
  <si>
    <t>#ffc924</t>
  </si>
  <si>
    <t>#f3a112</t>
  </si>
  <si>
    <t>#8cb219</t>
  </si>
  <si>
    <t>#85f9de</t>
  </si>
  <si>
    <t>#B22744</t>
  </si>
  <si>
    <t>money per kg</t>
  </si>
  <si>
    <t>filament_settings_id</t>
  </si>
  <si>
    <t>Overrides</t>
  </si>
  <si>
    <t>gcode_label_objects</t>
  </si>
  <si>
    <t>slice_closing_radius</t>
  </si>
  <si>
    <t>compatible_prints</t>
  </si>
  <si>
    <t>compatible_prints_condition</t>
  </si>
  <si>
    <t>Max Volumetric Speed</t>
  </si>
  <si>
    <t>Unit</t>
  </si>
  <si>
    <t>mm</t>
  </si>
  <si>
    <t>Thickness Per Layer Height (mm)</t>
  </si>
  <si>
    <t>Absolute Min (mm)</t>
  </si>
  <si>
    <t>Thickness Per Layer Height (line count)</t>
  </si>
  <si>
    <t>Layer Type</t>
  </si>
  <si>
    <t>ASA</t>
  </si>
  <si>
    <t>#8cb220</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</si>
  <si>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</si>
  <si>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</si>
  <si>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</si>
  <si>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</si>
  <si>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</si>
  <si>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</si>
  <si>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</si>
  <si>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</si>
  <si>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</si>
  <si>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Recommended</t>
  </si>
  <si>
    <t xml:space="preserve">Filament  </t>
  </si>
  <si>
    <t>Max Volumetric Speed Per Layer Height (mm/s)</t>
  </si>
  <si>
    <t>HIPS</t>
  </si>
  <si>
    <t>Filaments</t>
  </si>
  <si>
    <t>Hotend Temperature</t>
  </si>
  <si>
    <t>Bed Temperature</t>
  </si>
  <si>
    <t>Open</t>
  </si>
  <si>
    <t xml:space="preserve">Enclosure </t>
  </si>
  <si>
    <t>Enclosure Temperature</t>
  </si>
  <si>
    <t>Cooling Layer Start</t>
  </si>
  <si>
    <t>Max Speed</t>
  </si>
  <si>
    <t>Dryer</t>
  </si>
  <si>
    <t>High Hygroscopic</t>
  </si>
  <si>
    <t>Z-Offset</t>
  </si>
  <si>
    <t>Normal</t>
  </si>
  <si>
    <t>TPE</t>
  </si>
  <si>
    <t>Hygroscopic</t>
  </si>
  <si>
    <t>Layer Bonding</t>
  </si>
  <si>
    <t>Maximum service temperature in air (C)</t>
  </si>
  <si>
    <t>Filament Dryer in F</t>
  </si>
  <si>
    <t>Volumetric Speed Of Hotend Type (mm^3/s)</t>
  </si>
  <si>
    <t>CR-10</t>
  </si>
  <si>
    <t>E3D Super Volcano</t>
  </si>
  <si>
    <t>E3D Volcano</t>
  </si>
  <si>
    <t>E3D V6</t>
  </si>
  <si>
    <t>Generic</t>
  </si>
  <si>
    <t>coarse</t>
  </si>
  <si>
    <t>quick</t>
  </si>
  <si>
    <t>grid</t>
  </si>
  <si>
    <t>ForceVolumetric</t>
  </si>
  <si>
    <t>Don't remove the following keywords! These keywords are used in the 'compatible printer' condition of the print and filament profiles to link the particular print and filament profiles to this printer profile.\nPRINTER_VENDOR_ANYCUBIC\nPRINTER_MODEL_4MAXPRO</t>
  </si>
  <si>
    <t>bottom_fill_pattern</t>
  </si>
  <si>
    <t>top_fill_pattern</t>
  </si>
  <si>
    <t>wipe_tower_no_sparse_layers</t>
  </si>
  <si>
    <t>#pressure_advance</t>
  </si>
  <si>
    <t>bed_custom_model</t>
  </si>
  <si>
    <t>bed_custom_texture</t>
  </si>
  <si>
    <t>cooling_tube_length</t>
  </si>
  <si>
    <t>cooling_tube_retraction</t>
  </si>
  <si>
    <t>extra_loading_move</t>
  </si>
  <si>
    <t>high_current_on_filament_swap</t>
  </si>
  <si>
    <t>inherits</t>
  </si>
  <si>
    <t>parking_pos_retraction</t>
  </si>
  <si>
    <t>printer_model</t>
  </si>
  <si>
    <t>printer_technology</t>
  </si>
  <si>
    <t>FFF</t>
  </si>
  <si>
    <t>thumbnails</t>
  </si>
  <si>
    <t>#machine_max_Junction_deviation</t>
  </si>
  <si>
    <t>print_settings_id</t>
  </si>
  <si>
    <t>##Size and coordinates</t>
  </si>
  <si>
    <t>##Capabilities</t>
  </si>
  <si>
    <t>##Printer Host upload</t>
  </si>
  <si>
    <t>##Firmware</t>
  </si>
  <si>
    <t>##Advanced</t>
  </si>
  <si>
    <t>##Maximum feedrates</t>
  </si>
  <si>
    <t>##Maximum accelerations</t>
  </si>
  <si>
    <t>##Jerk limits</t>
  </si>
  <si>
    <t>##Minimum feedrates</t>
  </si>
  <si>
    <t>##Size</t>
  </si>
  <si>
    <t>##Layer height limits</t>
  </si>
  <si>
    <t>##Position (for multi-extruder printers)</t>
  </si>
  <si>
    <t>##Retracttion</t>
  </si>
  <si>
    <t>##Retraction when tool is disabled</t>
  </si>
  <si>
    <t>##Preview</t>
  </si>
  <si>
    <t>##notes</t>
  </si>
  <si>
    <t>##Dependencies</t>
  </si>
  <si>
    <t>##Custom g-code</t>
  </si>
  <si>
    <t>##Filament</t>
  </si>
  <si>
    <t>##Temperature C</t>
  </si>
  <si>
    <t>##Enable</t>
  </si>
  <si>
    <t>##Fan Settings</t>
  </si>
  <si>
    <t>##Cooling thresholds</t>
  </si>
  <si>
    <t>##Toolchange parameters</t>
  </si>
  <si>
    <t>##dependencies</t>
  </si>
  <si>
    <t>##Overrides</t>
  </si>
  <si>
    <t>##Layer height</t>
  </si>
  <si>
    <t>##Vertical shells</t>
  </si>
  <si>
    <t>##Horizontal shells</t>
  </si>
  <si>
    <t>##Quality (slower slicing)</t>
  </si>
  <si>
    <t>##Infill</t>
  </si>
  <si>
    <t>##Reducing print time</t>
  </si>
  <si>
    <t>##Skirt</t>
  </si>
  <si>
    <t>##Brim</t>
  </si>
  <si>
    <t>##Support material</t>
  </si>
  <si>
    <t>##Raft</t>
  </si>
  <si>
    <t>##Options for support material and raft</t>
  </si>
  <si>
    <t>##Speed for print moves</t>
  </si>
  <si>
    <t>##Speed for non-print moves</t>
  </si>
  <si>
    <t>##Modifiers</t>
  </si>
  <si>
    <t>##Acceleration control (advanced)</t>
  </si>
  <si>
    <t>##Autospeed (advanced)</t>
  </si>
  <si>
    <t>##Extruders</t>
  </si>
  <si>
    <t>##Ooze prevention</t>
  </si>
  <si>
    <t>##Wiper tower</t>
  </si>
  <si>
    <t>##Extrusion width</t>
  </si>
  <si>
    <t>##Overlap</t>
  </si>
  <si>
    <t>##Flow</t>
  </si>
  <si>
    <t>##Other</t>
  </si>
  <si>
    <t>##Sequential printing</t>
  </si>
  <si>
    <t>##Output file</t>
  </si>
  <si>
    <t>##Post Processing Scripts</t>
  </si>
  <si>
    <t>##Profile dependencies</t>
  </si>
  <si>
    <t>#cut off speed</t>
  </si>
  <si>
    <t>enter VBA macro name which returns the gcode string, leave empty to not generate gcode</t>
  </si>
  <si>
    <t>z_offset</t>
  </si>
  <si>
    <t>PETG</t>
  </si>
  <si>
    <t>machine_acceleration</t>
  </si>
  <si>
    <t>machine_junction_deviation</t>
  </si>
  <si>
    <t>machine_steps_per_mm_x</t>
  </si>
  <si>
    <t>machine_steps_per_mm_y</t>
  </si>
  <si>
    <t>machine_steps_per_mm_z</t>
  </si>
  <si>
    <t>machine_steps_per_mm_e</t>
  </si>
  <si>
    <t>machine_minimum_feedrate</t>
  </si>
  <si>
    <t>Path</t>
  </si>
  <si>
    <t>machine_min_x</t>
  </si>
  <si>
    <t>machine_max_x</t>
  </si>
  <si>
    <t>machine_min_y</t>
  </si>
  <si>
    <t>machine_max_y</t>
  </si>
  <si>
    <t>machine_min_z</t>
  </si>
  <si>
    <t>machine_max_z</t>
  </si>
  <si>
    <t>Bed Adhesion</t>
  </si>
  <si>
    <t>Environment</t>
  </si>
  <si>
    <t>Heat Deflection (HDT)</t>
  </si>
  <si>
    <t>Glass Transition (Tg)</t>
  </si>
  <si>
    <t>Painters Tape</t>
  </si>
  <si>
    <t>Hairspray</t>
  </si>
  <si>
    <t>PVA-Based Glue</t>
  </si>
  <si>
    <t>PC</t>
  </si>
  <si>
    <t>ULTEM</t>
  </si>
  <si>
    <t>Packing Tape</t>
  </si>
  <si>
    <t>CPE</t>
  </si>
  <si>
    <t>PPSU</t>
  </si>
  <si>
    <t>#B22745</t>
  </si>
  <si>
    <t>#B22746</t>
  </si>
  <si>
    <t>PEEK</t>
  </si>
  <si>
    <t>less cooling makes stronger layer bonding / try reducing oozing through other means</t>
  </si>
  <si>
    <t>#wipe_into_objects</t>
  </si>
  <si>
    <t>#wipe_into_infill</t>
  </si>
  <si>
    <t>filament_retract_lift_above</t>
  </si>
  <si>
    <t>filament_retract_lift_below</t>
  </si>
  <si>
    <t>filament_vendor</t>
  </si>
  <si>
    <t>bottom_solid_min_thickness</t>
  </si>
  <si>
    <t>top_solid_min_thickness</t>
  </si>
  <si>
    <t>NYLON</t>
  </si>
  <si>
    <t>profile</t>
  </si>
  <si>
    <t>name</t>
  </si>
  <si>
    <t>version</t>
  </si>
  <si>
    <t>app</t>
  </si>
  <si>
    <t>baseProfile</t>
  </si>
  <si>
    <t>printMaterial</t>
  </si>
  <si>
    <t>printQuality</t>
  </si>
  <si>
    <t>printExtruders</t>
  </si>
  <si>
    <t>extruder</t>
  </si>
  <si>
    <t>!</t>
  </si>
  <si>
    <t>toolheadNumber</t>
  </si>
  <si>
    <t>diameter</t>
  </si>
  <si>
    <t>autoWidth</t>
  </si>
  <si>
    <t>width</t>
  </si>
  <si>
    <t>extrusionMultiplier</t>
  </si>
  <si>
    <t>useRetract</t>
  </si>
  <si>
    <t>retractionDistance</t>
  </si>
  <si>
    <t>extraRestartDistance</t>
  </si>
  <si>
    <t>retractionZLift</t>
  </si>
  <si>
    <t>retractionSpeed</t>
  </si>
  <si>
    <t>useCoasting</t>
  </si>
  <si>
    <t>coastingDistance</t>
  </si>
  <si>
    <t>useWipe</t>
  </si>
  <si>
    <t>wipeDistance</t>
  </si>
  <si>
    <t>primaryExtruder</t>
  </si>
  <si>
    <t>layerHeight</t>
  </si>
  <si>
    <t>topSolidLayers</t>
  </si>
  <si>
    <t>bottomSolidLayers</t>
  </si>
  <si>
    <t>perimeterOutlines</t>
  </si>
  <si>
    <t>printPerimetersInsideOut</t>
  </si>
  <si>
    <t>startPointOption</t>
  </si>
  <si>
    <t>startPointOriginX</t>
  </si>
  <si>
    <t>startPointOriginY</t>
  </si>
  <si>
    <t>sequentialIslands</t>
  </si>
  <si>
    <t>spiralVaseMode</t>
  </si>
  <si>
    <t>firstLayerHeightPercentage</t>
  </si>
  <si>
    <t>firstLayerWidthPercentage</t>
  </si>
  <si>
    <t>firstLayerUnderspeed</t>
  </si>
  <si>
    <t>useRaft</t>
  </si>
  <si>
    <t>raftExtruder</t>
  </si>
  <si>
    <t>raftTopLayers</t>
  </si>
  <si>
    <t>raftBaseLayers</t>
  </si>
  <si>
    <t>raftOffset</t>
  </si>
  <si>
    <t>raftSeparationDistance</t>
  </si>
  <si>
    <t>raftTopInfill</t>
  </si>
  <si>
    <t>aboveRaftSpeedMultiplier</t>
  </si>
  <si>
    <t>useSkirt</t>
  </si>
  <si>
    <t>skirtExtruder</t>
  </si>
  <si>
    <t>skirtLayers</t>
  </si>
  <si>
    <t>skirtOutlines</t>
  </si>
  <si>
    <t>skirtOffset</t>
  </si>
  <si>
    <t>usePrimePillar</t>
  </si>
  <si>
    <t>primePillarExtruder</t>
  </si>
  <si>
    <t>primePillarWidth</t>
  </si>
  <si>
    <t>primePillarLocation</t>
  </si>
  <si>
    <t>primePillarSpeedMultiplier</t>
  </si>
  <si>
    <t>useOozeShield</t>
  </si>
  <si>
    <t>oozeShieldExtruder</t>
  </si>
  <si>
    <t>oozeShieldOffset</t>
  </si>
  <si>
    <t>oozeShieldOutlines</t>
  </si>
  <si>
    <t>oozeShieldSidewallShape</t>
  </si>
  <si>
    <t>oozeShieldSidewallAngle</t>
  </si>
  <si>
    <t>oozeShieldSpeedMultiplier</t>
  </si>
  <si>
    <t>infillExtruder</t>
  </si>
  <si>
    <t>internalInfillPattern</t>
  </si>
  <si>
    <t>externalInfillPattern</t>
  </si>
  <si>
    <t>Rectilinear</t>
  </si>
  <si>
    <t>infillPercentage</t>
  </si>
  <si>
    <t>outlineOverlapPercentage</t>
  </si>
  <si>
    <t>infillExtrusionWidthPercentage</t>
  </si>
  <si>
    <t>minInfillLength</t>
  </si>
  <si>
    <t>infillLayerInterval</t>
  </si>
  <si>
    <t>internalInfillAngles</t>
  </si>
  <si>
    <t>overlapInternalInfillAngles</t>
  </si>
  <si>
    <t>externalInfillAngles</t>
  </si>
  <si>
    <t>45,-45</t>
  </si>
  <si>
    <t>generateSupport</t>
  </si>
  <si>
    <t>supportExtruder</t>
  </si>
  <si>
    <t>supportInfillPercentage</t>
  </si>
  <si>
    <t>supportExtraInflation</t>
  </si>
  <si>
    <t>supportBaseLayers</t>
  </si>
  <si>
    <t>denseSupportExtruder</t>
  </si>
  <si>
    <t>denseSupportLayers</t>
  </si>
  <si>
    <t>denseSupportInfillPercentage</t>
  </si>
  <si>
    <t>supportLayerInterval</t>
  </si>
  <si>
    <t>supportHorizontalPartOffset</t>
  </si>
  <si>
    <t>supportUpperSeparationLayers</t>
  </si>
  <si>
    <t>supportLowerSeparationLayers</t>
  </si>
  <si>
    <t>supportType</t>
  </si>
  <si>
    <t>supportGridSpacing</t>
  </si>
  <si>
    <t>maxOverhangAngle</t>
  </si>
  <si>
    <t>supportAngles</t>
  </si>
  <si>
    <t>temperatureController</t>
  </si>
  <si>
    <t>Primary Extruder</t>
  </si>
  <si>
    <t>temperatureNumber</t>
  </si>
  <si>
    <t>isHeatedBed</t>
  </si>
  <si>
    <t>stabilizeAtStartup</t>
  </si>
  <si>
    <t>setpoint</t>
  </si>
  <si>
    <t>layer</t>
  </si>
  <si>
    <t>hotbed</t>
  </si>
  <si>
    <t>fanSpeed</t>
  </si>
  <si>
    <t>speed</t>
  </si>
  <si>
    <t>blipFanToFullPower</t>
  </si>
  <si>
    <t>adjustSpeedForCooling</t>
  </si>
  <si>
    <t>minSpeedLayerTime</t>
  </si>
  <si>
    <t>minCoolingSpeedSlowdown</t>
  </si>
  <si>
    <t>increaseFanForCooling</t>
  </si>
  <si>
    <t>minFanLayerTime</t>
  </si>
  <si>
    <t>maxCoolingFanSpeed</t>
  </si>
  <si>
    <t>increaseFanForBridging</t>
  </si>
  <si>
    <t>bridgingFanSpeed</t>
  </si>
  <si>
    <t>use5D</t>
  </si>
  <si>
    <t>relativeEdistances</t>
  </si>
  <si>
    <t>allowEaxisZeroing</t>
  </si>
  <si>
    <t>independentExtruderAxes</t>
  </si>
  <si>
    <t>includeM10123</t>
  </si>
  <si>
    <t>stickySupport</t>
  </si>
  <si>
    <t>applyToolheadOffsets</t>
  </si>
  <si>
    <t>gcodeXoffset</t>
  </si>
  <si>
    <t>gcodeYoffset</t>
  </si>
  <si>
    <t>gcodeZoffset</t>
  </si>
  <si>
    <t>overrideMachineDefinition</t>
  </si>
  <si>
    <t>machineTypeOverride</t>
  </si>
  <si>
    <t>strokeXoverride</t>
  </si>
  <si>
    <t>strokeYoverride</t>
  </si>
  <si>
    <t>strokeZoverride</t>
  </si>
  <si>
    <t>originOffsetXoverride</t>
  </si>
  <si>
    <t>originOffsetYoverride</t>
  </si>
  <si>
    <t>originOffsetZoverride</t>
  </si>
  <si>
    <t>homeXdirOverride</t>
  </si>
  <si>
    <t>homeYdirOverride</t>
  </si>
  <si>
    <t>homeZdirOverride</t>
  </si>
  <si>
    <t>flipXoverride</t>
  </si>
  <si>
    <t>flipYoverride</t>
  </si>
  <si>
    <t>flipZoverride</t>
  </si>
  <si>
    <t>toolheadOffsets</t>
  </si>
  <si>
    <t>0,0|0,0|0,0|0,0|0,0|0,0</t>
  </si>
  <si>
    <t>overrideFirmwareConfiguration</t>
  </si>
  <si>
    <t>firmwareTypeOverride</t>
  </si>
  <si>
    <t>RepRap (Marlin/Repetier/Sprinter)</t>
  </si>
  <si>
    <t>GPXconfigOverride</t>
  </si>
  <si>
    <t>r2</t>
  </si>
  <si>
    <t>baudRateOverride</t>
  </si>
  <si>
    <t>overridePrinterModels</t>
  </si>
  <si>
    <t>printerModelsOverride</t>
  </si>
  <si>
    <t>startingGcode</t>
  </si>
  <si>
    <t>layerChangeGcode</t>
  </si>
  <si>
    <t>s3d_start_gcode</t>
  </si>
  <si>
    <t>retractionGcode</t>
  </si>
  <si>
    <t>s3d_retraction_gcode</t>
  </si>
  <si>
    <t>toolChangeGcode</t>
  </si>
  <si>
    <t>endingGcode</t>
  </si>
  <si>
    <t>exportFileFormat</t>
  </si>
  <si>
    <t>gcode</t>
  </si>
  <si>
    <t>celebration</t>
  </si>
  <si>
    <t>celebrationSong</t>
  </si>
  <si>
    <t>Funky Town</t>
  </si>
  <si>
    <t>postProcessing</t>
  </si>
  <si>
    <t>defaultSpeed</t>
  </si>
  <si>
    <t>outlineUnderspeed</t>
  </si>
  <si>
    <t>solidInfillUnderspeed</t>
  </si>
  <si>
    <t>supportUnderspeed</t>
  </si>
  <si>
    <t>rapidXYspeed</t>
  </si>
  <si>
    <t>rapidZspeed</t>
  </si>
  <si>
    <t>minBridgingArea</t>
  </si>
  <si>
    <t>bridgingExtraInflation</t>
  </si>
  <si>
    <t>bridgingExtrusionMultiplier</t>
  </si>
  <si>
    <t>bridgingSpeedMultiplier</t>
  </si>
  <si>
    <t>useFixedBridgingAngle</t>
  </si>
  <si>
    <t>fixedBridgingAngle</t>
  </si>
  <si>
    <t>applyBridgingToPerimeters</t>
  </si>
  <si>
    <t>filamentDiameters</t>
  </si>
  <si>
    <t>filamentPricesPerKg</t>
  </si>
  <si>
    <t>filamentDensities</t>
  </si>
  <si>
    <t>useMinPrintHeight</t>
  </si>
  <si>
    <t>minPrintHeight</t>
  </si>
  <si>
    <t>useMaxPrintHeight</t>
  </si>
  <si>
    <t>maxPrintHeight</t>
  </si>
  <si>
    <t>useDiaphragm</t>
  </si>
  <si>
    <t>diaphragmLayerInterval</t>
  </si>
  <si>
    <t>robustSlicing</t>
  </si>
  <si>
    <t>mergeAllIntoSolid</t>
  </si>
  <si>
    <t>onlyRetractWhenCrossingOutline</t>
  </si>
  <si>
    <t>retractBetweenLayers</t>
  </si>
  <si>
    <t>useRetractionMinTravel</t>
  </si>
  <si>
    <t>retractionMinTravel</t>
  </si>
  <si>
    <t>retractWhileWiping</t>
  </si>
  <si>
    <t>onlyWipeOutlines</t>
  </si>
  <si>
    <t>avoidCrossingOutline</t>
  </si>
  <si>
    <t>maxMovementDetourFactor</t>
  </si>
  <si>
    <t>toolChangeRetractionDistance</t>
  </si>
  <si>
    <t>toolChangeExtraRestartDistance</t>
  </si>
  <si>
    <t>toolChangeRetractionSpeed</t>
  </si>
  <si>
    <t>externalThinWallType</t>
  </si>
  <si>
    <t>internalThinWallType</t>
  </si>
  <si>
    <t>thinWallAllowedOverlapPercentage</t>
  </si>
  <si>
    <t>singleExtrusionMinLength</t>
  </si>
  <si>
    <t>singleExtrusionMinPrintingWidthPercentage</t>
  </si>
  <si>
    <t>singleExtrusionMaxPrintingWidthPercentage</t>
  </si>
  <si>
    <t>singleExtrusionEndpointExtension</t>
  </si>
  <si>
    <t>horizontalSizeCompensation</t>
  </si>
  <si>
    <t>#max_volumetric_speed</t>
  </si>
  <si>
    <t>#max_print_speed</t>
  </si>
  <si>
    <t>0.24</t>
  </si>
  <si>
    <t>0.28</t>
  </si>
  <si>
    <t>slic3r_layer_gcode</t>
  </si>
  <si>
    <t>slic3r_before_layer_gcode</t>
  </si>
  <si>
    <t>slic3r_end_filament_gcode</t>
  </si>
  <si>
    <t>slic3r_start_filament_gcode</t>
  </si>
  <si>
    <t>slic3r_end_gcode</t>
  </si>
  <si>
    <t>slic3r_start_gcode</t>
  </si>
  <si>
    <t>This setting takes effect for layers that would otherwise print too quickly. For instance, if you printing a pyramid as seen below, you can see that the print speed lowers as the layers get smaller. You can see from the legend on the side, that the dark blue is the slowest speed, it's because the Cooling Speed Overrides are slowing this layer down dramatically because it would take far less than 15 seconds per layer.</t>
  </si>
  <si>
    <t>This is similar to the speed overrides above, but you would just be controlling fan speed. I personally have not used this feature, as I typically like to print with either 0 or 100 % fan speed</t>
  </si>
  <si>
    <t>For bridging it's important to get the material to solidify as fast as possible, setting a fan speed for bridging only can help accomplish this. For the rest of the bridging settings, see the Other tab.</t>
  </si>
  <si>
    <t>You can edit the fan speed on a per layer basis. This is very similar to how the temperature tab works*. The fan speed will only change when there's a command to have it change. Therefore, if you set it to 60% at layer 1, the entire print will run at 60%.</t>
  </si>
  <si>
    <t>This is the diameter of the tip of your nozzle where plastic is extruded from. Traditional values range from .3 mm all the way up to 1 mm for some of the more customized printers. A smaller nozzle is great for thin walls, for printing small miniatures and other things that require fine precise details. Large 1 mm nozzles are great for rapid prototyping, creating large parts quickly and efficiently by pushing out lots of plastic.</t>
  </si>
  <si>
    <t>The extrusion multiplier will multiply the amount of filament extruded for your entire print. This includes skirts, rafts, supports, perimeter and infill extrudes. The default values in the software are .90 for PLA and 1.0 for ABS. If you notice that your Top solid layers are not as filled-in as you'd like them to be, I would recommend increasing the # of top solid layers, and if you still think there's an issue then this is the setting I'd recommend changing.</t>
  </si>
  <si>
    <t>The slicing engine doesn't use your nozzle diameter, but instead uses your Extrusion Width setting. For most cases, keeping this setting on Auto (1.2x your nozzle diameter) is the best route, however for certain cases where you have extremely thin nozzles, you may find it's best to go to Manual and play with lowering the Extrusion Width setting.</t>
  </si>
  <si>
    <t>How much filament will be retracted when the software does a retract. For standard Direct Drive, usually .5 to 2.5 mm will work well. For Bowden extruders, 5 to 8.5 mm seems to work well.</t>
  </si>
  <si>
    <t>When the software does a prime (after retracting), it will prime the same amount as retracted. However, you can modify this by placing an Extra Restart Distance, if you notice that your prints have minor blobs at the starting points, you may find that placing a small negative Extra Restart Distance can help, such as -.2 mm.</t>
  </si>
  <si>
    <t>The nozzle will move up in the Z-axis whenever you do a retract. This is particularly helpful with Delta printers and prints that have a lot of islands, since the delta printers can be prone to running into parts when doing rapids.</t>
  </si>
  <si>
    <t>The speed at which the filament will be retracted/primed. I think 1800 mm/min or 30 mm/sec is about as slow as I'd want to go for standard retracts, that going quicker will help for print quality in most cases.</t>
  </si>
  <si>
    <t>Setting a coasting value can be good if you want to empty out your nozzle before doing a retract. Lets say you're printing a single line that is 100 mm long. If you set a coasting distance of 5 mm, the extruder will be pushing out plastic for the first 95 mm of traveling, but then stop extruding and while it will move over the rest of the line, it will not actually extrude anything for the last 5 mm. It will instead depend on the filaments momentum, and gravity to let the rest of the filament ooze out and fill in the region for the last 5 mm of the line</t>
  </si>
  <si>
    <t>Wiping happens after you've printed your outer most outline (Advanced tab, there's an option that's usually enabled for this). When you print your outer most outline, when it's time to do a retract, there's a good chance that not all of the filament in the extruder nozzle head is going to rise up, that a blob of molten liquid plastic is going to be at the tip of the nozzle still. For this reason, instead of rapidly moving to the next spot right away, you can use the Wipe function, which will wipe over the perimeter and let that filament ooze out, similar to Coasting. However, Coasting is not extruding over areas that need filament (you risk under-extrusion voids if coasting value is too high), Wiping is extruding over areas that have already been printed on(much lower risk of part quality being negatively effected).</t>
  </si>
  <si>
    <t>There's a lot of terms in there, but here's the order they go in for an outer perimeter:
1) Coasting starts __ mm before outer most perimeter is done
2) Finishing printing outer most perimeter
3) Retract __ mm at ____ Retraction Speed
4) Wipe __ mm over the outer most perimeter
5) Vertical lift up __ mm
6) Rapid move at Rapid Move Speed (Other Tab)
7) Vertical lift down __ mm
8) Prime filament. Amount primed is Retraction Distance+ Extra Restart Distance</t>
  </si>
  <si>
    <t>Which extruder you'd like to have the Perimeters printed with.</t>
  </si>
  <si>
    <t xml:space="preserve"> How thick you want each layer to be on the Z-axis. Smaller means finer resolution and better print quality, but also means many more layers you'll have to print, which can dramatically increase print time</t>
  </si>
  <si>
    <t>The number of 100% infill layers that will be placed at the top of your part. If you notice that there's some incomplete filling your top layers, I would recommend raising this value from 3 to 5 and increasing the extrusion multiplier slightly under the Extruder tab if needed.</t>
  </si>
  <si>
    <t>The number of 100% infill layers that will be placed at the bottom of your part</t>
  </si>
  <si>
    <t>Outline shells will trace the outline of your part, and extrude at your extrusion thickness. The printer will print the outline shells, then print Infill afterwards. I traditionally print with 2 Outline Shells.</t>
  </si>
  <si>
    <t>It will print your perimeter shells from the inner shell to the outer most shell. This is very beneficial when printing overhangs, as the print is branching out in the X-Y direction for each layer, It will print your perimeter shells from the outer most shell to the inner most shell. This is better for surface quality finish usually. For instance, if printing a cube, this may be the better route.</t>
  </si>
  <si>
    <t>Lets say you are printing the part below. If you went from pillar to pillar in the most efficient order, you may get to the next layer so quickly there may be issues with heat-build up and the previous layer not being solidified. Therefore, you can turn off optimization, and then it will print the pillars in a random-order therefore helping you prevent from heat-build up.</t>
  </si>
  <si>
    <t xml:space="preserve"> The extruder will print with one outline/perimeter shell and won't make any retracts. This means that it will slowly move up in the Z as it prints, imagine spiraling upwards, instead of printing a static layer, than moving upwards to do another layer. Traditionally with vases the best settings I've found are Zero top solid layers, 3 Bottom Solid Layers, and under the Advanced tab enable "Merge all outlines into a single solid model".</t>
  </si>
  <si>
    <t>This % will take a % of your Primary Layer Height. If you are printing with a small Primary Layer Height like .1 mm I would recommend a First Layer Height of 250%, to get about a resulting .25 mm first layer height
If your First Layer Height is below 100%, the extrusion amount will remain the same, only the Z-will change, but if you increase above 100%, the extrusion amount will scale accordingly.</t>
  </si>
  <si>
    <t>the extrusion width of your first layer, you may find that your first layer sticks better with a thicker extrusion (100%+). I don't have too much experience with this, but I think 125% or 150% would be good starting points.</t>
  </si>
  <si>
    <t xml:space="preserve"> Slows down the First Layer Speed to a percentage of your Default Printing Speed (Other tab)</t>
  </si>
  <si>
    <t>Start Points: Certain printers find that there are very small voids at the starting points. This can create a seam on the print. Start points can options can help for both controlling where these voids (the seam) goes, but also help for print time.
Use Random Start Points for all perimeters: Randomizes the starting points
Optimize Start points for fastest printing speed: Optimizes starting points by finding the closest location for the next starting point. When generating G-Code you can see the travel moves, traditionally this option really minimizes the amount of red lines that signify travel moves you will see on the G-Code previewer
Choose start points closest to specific location: This can be useful if you want to line-up your starting points on a certain part of your print, so the seam isn't obvious or is hidden.</t>
  </si>
  <si>
    <t>For Brim set to Zero, :How far away your skirt will be from your part.</t>
  </si>
  <si>
    <t xml:space="preserve"> How tall your skirt will be. If you want the skirt to be as tall as your part, you can just place 99999 in this field</t>
  </si>
  <si>
    <t xml:space="preserve"> # of perimeter outlines for your skirt.</t>
  </si>
  <si>
    <t>The top and bottom solid layers will be printed with this choice. Either Rectilinear or Concentric. Concentric infill will mimic your perimeter outlines, coming inwards. For a cylinder, it would make smaller and smaller circles.
Rectilinear is the more common choice, it will fill in using straight lines.</t>
  </si>
  <si>
    <t>What % your part you'd like to be filled in.</t>
  </si>
  <si>
    <t>This value will dictate how far into the perimeter the infill goes. If this value was 0, the infill would start of the perimeter and not overlap at all. At 100%, you would have complete overlapping. Calibrating this value, I would say the average value I find that works well is 30% for the printers I've used, but it does vary.</t>
  </si>
  <si>
    <t>This % will modify your extrusion width under the extruder tab for the Infill. If you have a .5 mm extrusion width under the Extruder tab and set a 200% Infill Extrusion Width, your Infill will be 1 mm thick.</t>
  </si>
  <si>
    <t>This is default set to 5 mm, if there are small sections in the G-Code previewer that aren't filling in, you may want to set this to a lower value.</t>
  </si>
  <si>
    <t>If you'd like to only print Infill once every 2 or every 3 layers, then you'd place that number in the input. My experience has been that most printers can print infill at .3 mm just fine. Therefore, if I'm at .1 mm layer height, I'll use 3 sparse layers, and if at .15 mm I'll use 2 sparse layers.</t>
  </si>
  <si>
    <t>Standard angles are 45/-45. That means that layer infill angles and external infill will print at alternating 45 degree angles. These values traditionally don't need to be adjusted, but I'm also a fan of using 0/45/-45/90 as the angle orientations.</t>
  </si>
  <si>
    <t>The Infill % your support will be printed with. For PLA/ABS anywhere from 20 to 40% usually works really well, I've typically left this on the default value.</t>
  </si>
  <si>
    <t>This will increase the amount of support generated in the X-Y plane.</t>
  </si>
  <si>
    <t>How many of the layers closest to your part will be filled with the dense infill percentage</t>
  </si>
  <si>
    <t>The infill percentage for the top layers closest to your part. If you use PVA/HIPS filament, this feature is definitely a must-have, so you can print the bulk of your support at 20-30% support, then bump it up to 60-100% for the layers that will have contact with your part.</t>
  </si>
  <si>
    <t>Similar to spare infill, sparse support means that it will extrude for your support, but only print the support every ___ layers. For instance, if you have .2 mm layer height, and print supported every 2 layers, it will print your support at a .4 mm layer height.</t>
  </si>
  <si>
    <t>How far away on the X-Y plane the support will be generated from your part.</t>
  </si>
  <si>
    <t>How far off in the Z-plane the support will be set from your part. Generally you can keep this set to 1, unless you're using HIPS/PVA, you may want to set it to zero.</t>
  </si>
  <si>
    <t>The size of the pillars generated. This is default at 4 mm, for smaller parts you'll most likely need to lower this to one or two mm to get the support pillars you want.</t>
  </si>
  <si>
    <t>The max overhang angle that will be allowed. I recommend this calibration test piece for figuring out how well your printer works with support generally:</t>
  </si>
  <si>
    <t xml:space="preserve"> 5D firmware means that your printer supports X,Y,Z,Speed and Extrusion amounts. Almost every printer currently on the market does, so this should remain checked for 99% of printers.</t>
  </si>
  <si>
    <t>The options for G-Code creation are absolute or relative extrusion distances. For relative extrusion distances, each line would have an E-value that only applies for that line, whereas for absolute extrusion distances the E-values stack up.</t>
  </si>
  <si>
    <t>When using Absolute extrusion mode, the printer keeps a running virtual position of the extruder. Using the command G92 E0 can reset this virtual position to zero, this command is in most the starting scripts for RepRap machines prior to and after priming. Certain printers have firmware compatibility issues with this command and certain printers (relative extrusion machines) don't need G92 E0 commands, so this command will vary from printer to printer.</t>
  </si>
  <si>
    <t xml:space="preserve"> Certain firmwares (MakerBot/Sailfish) will track the extrusion rates of printers individually, whereas RepRap printers will use a single running tally (not independent) for extrusion rates.</t>
  </si>
  <si>
    <t>The tool-tip states that these are legacy commands and not used by modern printers. In looking up these commands this was what I found they used to do (incase your interested)</t>
  </si>
  <si>
    <t>Sticky commands is a great way of preventing much larger G-code files. The way to think of "sticky" commands is something won't change unless it's told to change</t>
  </si>
  <si>
    <t>If your prints are off-centered or too high off your build-plate the G-Code offsets are a great way to fix that. For instance, if your prints are 2 mm too high off your build plate, apply -2 mm in the Z-axis. If your prints are 10 mm to the right, place -10 mm in the X-axis. You will see these shifts in the G-Code previewer, but since these offsets are what works for your machine then that shouldn't be an issue!</t>
  </si>
  <si>
    <t xml:space="preserve"> There are two ways to set the Machine Definition in Simplify3D. Under Tools--&gt;Options (Windows) or Simplify3D---&gt;Preferences (Mac) and under the FFF Settings window. If you set the Machine Definition under the Options window and then find that it's being overwritten everytime you click on your process, that would mean that this option is enabled and overwriting your build volume with different values.</t>
  </si>
  <si>
    <t>If your origin is at the bottom left of your printer (RepRap), it would be 0,0,0. If your origin is in the center of your machine (MakerBot/Sailfish and Delta printers) you take your build volume # and divide by two to place the origin in the center of your build plate</t>
  </si>
  <si>
    <t>This setting doesn't change the print instructions, but just changes the G-Code previewer. You can set where your homing endstops are relative to your axis that way when Simplify3D has a G28 command (home all axis) it will know where the extruder gantry is.</t>
  </si>
  <si>
    <t>This is for the build area in Simplify3D, generally can leave this as default. If you need to flip one of the axis relative to your origin for your printers configurations you can do so from here.</t>
  </si>
  <si>
    <t>This is the speed at which the Infill of your part will be printed, assuming the Cooling Overrides don't adjust it and that it's not a 100% infill layer.</t>
  </si>
  <si>
    <t>For your perimeters, you print at a % of your Default Printing Speed, this is the %. For instance, if you want to print your Perimeters at 75% of your Default Print Speed.</t>
  </si>
  <si>
    <t>For your any layer that is 100% infill, including Bottom Solid Layers, Top Solid Layers and if you have 100% infill set in your part, you print at a % of your Default Printing Speed.</t>
  </si>
  <si>
    <t>The support material will be printed at a percentage of your default printing speed.</t>
  </si>
  <si>
    <t>This is the speed your printer will move when your printer is not printing in the X-Y axis. When looking at the G-Code previewer, you can see these lines as the Travel Moves</t>
  </si>
  <si>
    <t>The speed at which your Z-axis will move.</t>
  </si>
  <si>
    <t>The diameter of filament your printer uses. This is very important for extrusion values. For instance, if you use 3 mm filament but have 1.75 mm filament in your setting, the software will be turning your extruder motor FAR too much since it will think you are using only 1.75 mm diameter filament. Small tweaks to this would be the same as small tweaks to your extrusion multiplier.</t>
  </si>
  <si>
    <t>Price that you paid for your filament per kg, so that when you slice your file in the G-Code preview you can see the estimated cost.</t>
  </si>
  <si>
    <t>Any area larger than this that is unsupported will have the bridging multipliers applied to the infill in the bridging.</t>
  </si>
  <si>
    <t>If you find that extruding a lot more/less material helps with bridging, then you would set that here.</t>
  </si>
  <si>
    <t>If you find that printing faster/slower helps with bridging, then you would set that here. One trick I use occasionally, is I'll temporarily set the bridging speed multiplier to 999, then slice my file, that way the areas in which the bridging multiplier is taking place are bright red and stand out in the G-Code previewer, that way I have a better idea of where the bridging settings are occurring.</t>
  </si>
  <si>
    <t>Only use perimeters for thin walls: If printing a very thin wall, this means that the software will not add in Infill into a very small crevices. If there's room to fit multiple perimeters, it will print in multiple perimeters, but otherwise you'd be left with a small gap.
Allow gap fill when necessary: This setting will work to add in another perimeter by allowing as long as it's within the overlap setting. Otherwise, it will fill the area with Infill.</t>
  </si>
  <si>
    <t>This is enabled by default for most profiles, since you really only need to do a retraction if you are crossing over an open space, since you would be crossing perimeters and be at risk for stringing.</t>
  </si>
  <si>
    <t>Forces a retraction from layer to layer. This is recommended.</t>
  </si>
  <si>
    <t>If a movement is below this threshold, it won't retract for that movement. This would be if your printer has a lot of problems with retractions, you may need to tweak this, to limit the number of retractions your print has.</t>
  </si>
  <si>
    <t>: This will ensure that you only use the Wipe feature (Extruder tab) when needed, when it would effect the appearance of your model. Therefore, to save time and be efficient it will only wipe the extruder for outer-most perimeters. It may not be helpful to wipe the extruder after doing Infill, however if you wanted the extruder to wipe after Infill you could do that by unchecking this box.</t>
  </si>
  <si>
    <t>Section</t>
  </si>
  <si>
    <t>general</t>
  </si>
  <si>
    <t>Fine</t>
  </si>
  <si>
    <t>Quality</t>
  </si>
  <si>
    <t>Coarse</t>
  </si>
  <si>
    <t>Quick</t>
  </si>
  <si>
    <t>Draft</t>
  </si>
  <si>
    <t>Fast</t>
  </si>
  <si>
    <t>Medium</t>
  </si>
  <si>
    <t>Rough</t>
  </si>
  <si>
    <t>Big</t>
  </si>
  <si>
    <t>Large</t>
  </si>
  <si>
    <t>Giant</t>
  </si>
  <si>
    <t>definition</t>
  </si>
  <si>
    <t>metadata</t>
  </si>
  <si>
    <t>quality_type</t>
  </si>
  <si>
    <t>type</t>
  </si>
  <si>
    <t>setting_version</t>
  </si>
  <si>
    <t>global_quality</t>
  </si>
  <si>
    <t>values</t>
  </si>
  <si>
    <t>The height of each layer in mm.</t>
  </si>
  <si>
    <t>layer_height_0</t>
  </si>
  <si>
    <t>The height of the initial layer in mm.</t>
  </si>
  <si>
    <t>line_width</t>
  </si>
  <si>
    <t>Width of a single line in mm. Generally, the width of each line should correspond to the width of the nozzle. However, slightly reducing this value could produce better prints.</t>
  </si>
  <si>
    <t>wall_line_width</t>
  </si>
  <si>
    <t>Width of a single wall line in mm.</t>
  </si>
  <si>
    <t>skin_line_width</t>
  </si>
  <si>
    <t>Width of a single top/bottom line in mm.</t>
  </si>
  <si>
    <t>skirt_brim_line_width</t>
  </si>
  <si>
    <t>Width of a single skirt or brim line in  mm.</t>
  </si>
  <si>
    <t>support_line_width</t>
  </si>
  <si>
    <t>Width of a single support structure line in mm.</t>
  </si>
  <si>
    <t>support_interface_line_width</t>
  </si>
  <si>
    <t>Width of a single line of support roof or floor in mm.</t>
  </si>
  <si>
    <t>infill_line_width</t>
  </si>
  <si>
    <t>Width of a single infill line in mm.</t>
  </si>
  <si>
    <t>initial_layer_line_width_factor</t>
  </si>
  <si>
    <t>Multiplier of the line width on the first layer. Unit %</t>
  </si>
  <si>
    <t>wall_thickness</t>
  </si>
  <si>
    <t>The thickness of the walls in the horizontal direction in mm. This value divided by the wall line width defines the number of walls.</t>
  </si>
  <si>
    <t>top_bottom_thickness</t>
  </si>
  <si>
    <t>The thickness of the top/bottom layers in the print in mm. This value divided by the layer height defines the number of top/bottom layers.</t>
  </si>
  <si>
    <t>top_bottom_pattern</t>
  </si>
  <si>
    <t>zigzag</t>
  </si>
  <si>
    <t>The pattern of the top/bottom layers. Lines / concentric / zigzag</t>
  </si>
  <si>
    <t>connect_skin_polygons</t>
  </si>
  <si>
    <t>Connect top/bottom skin paths where they run next to each other. For the concentric pattern enabling this setting greatly reduces the travel time, but because the connections can happen midway over infill this feature can reduce the top surface quality.</t>
  </si>
  <si>
    <t>optimize_wall_printing_order</t>
  </si>
  <si>
    <t>Optimize the order in which walls are printed so as to reduce the number of retractions and the distance travelled. Most parts will benefit from this being enabled but some may actually take longer so please compare the print time estimates with and without optimization. First layer is not optimized when choosing brim as build plate adhesion type.</t>
  </si>
  <si>
    <t>outer_inset_first</t>
  </si>
  <si>
    <t>Prints walls in order of outside to inside when enabled. This can help improve dimensional accuracy in X and Y when using a high viscosity plastic like ABS; however it can decrease outer surface print quality, especially on overhangs.</t>
  </si>
  <si>
    <t>alternate_extra_perimeter</t>
  </si>
  <si>
    <t>Prints an extra wall at every other layer. This way infill gets caught between these extra walls, resulting in stronger prints.</t>
  </si>
  <si>
    <t>travel_compensate_overlapping_walls_enabled</t>
  </si>
  <si>
    <t>Compensate the flow for parts of a wall being printed where there is already a wall in place.</t>
  </si>
  <si>
    <t>wall_min_flow</t>
  </si>
  <si>
    <t>Minimum allowed percentage flow for a wall line. The wall overlap compensation reduces a wall's flow when it lies close to an existing wall. Walls whose flow is less than this value will be replaced with a travel move. When using this setting, you must enable the wall overlap compensation and print the outer wall before inner walls.</t>
  </si>
  <si>
    <t>wall_min_flow_retract</t>
  </si>
  <si>
    <t>If enabled, retraction is used rather than combing for travel moves that replace walls whose flow is below the minimum flow threshold.</t>
  </si>
  <si>
    <t>fill_perimeter_gaps</t>
  </si>
  <si>
    <t>Fills the gaps between walls where no walls fit.</t>
  </si>
  <si>
    <t>filter_out_tiny_gaps</t>
  </si>
  <si>
    <t>Filter out tiny gaps to reduce blobs on outside of model.</t>
  </si>
  <si>
    <t>fill_outline_gaps</t>
  </si>
  <si>
    <t>Print pieces of the model which are horizontally thinner than the nozzle size.</t>
  </si>
  <si>
    <t>xy_offset</t>
  </si>
  <si>
    <t>Amount of offset applied to all polygons in each layer. Positive values can compensate for too big holes; negative values can compensate for too small holes.</t>
  </si>
  <si>
    <t>xy_offset_layer_0</t>
  </si>
  <si>
    <t>Amount of offset applied to all polygons in the first layer. A negative value can compensate for squishing of the first layer known as \"elephant's foot\"."</t>
  </si>
  <si>
    <t>z_seam_type</t>
  </si>
  <si>
    <t>Starting point of each path in a layer. When paths in consecutive layers start at the same point a vertical seam may show on the print. When aligning these near a user specified location, the seam is easiest to remove. When placed randomly the inaccuracies at the paths' start will be less noticeable. When taking the shortest path the print will be quicker.</t>
  </si>
  <si>
    <t>z_seam_corner</t>
  </si>
  <si>
    <t>z_seam_corner_weighted</t>
  </si>
  <si>
    <t>Control whether corners on the model outline influence the position of the seam. None means that corners have no influence on the seam position. Hide Seam makes the seam more likely to occur on an inside corner. Expose Seam makes the seam more likely to occur on an outside corner. Hide or Expose Seam makes the seam more likely to occur at an inside or outside corner. Smart Hiding allows both inside and outside corners, but chooses inside corners more frequently, if appropriate.</t>
  </si>
  <si>
    <t>skin_no_small_gaps_heuristic</t>
  </si>
  <si>
    <t>When the model has small vertical gaps of only a few layers, there should normally be skin around those layers in the narrow space. Enable this setting to not generate skin if the vertical gap is very small. This improves printing time and slicing time, but technically leaves infill exposed to the air.</t>
  </si>
  <si>
    <t>ironing_enabled</t>
  </si>
  <si>
    <t>Go over the top surface one additional time, but this time extruding very little material. This is meant to melt the plastic on top further, creating a smoother surface. The pressure in the nozzle chamber is kept high so that the creases in the surface are filled with material.</t>
  </si>
  <si>
    <t>ironing_only_highest_layer</t>
  </si>
  <si>
    <t>Only perform ironing on the very last layer of the mesh. This saves time if the lower layers don't need a smooth surface finish.</t>
  </si>
  <si>
    <t>ironing_flow</t>
  </si>
  <si>
    <t>The amount of material in percent, relative to a normal skin line, to extrude during ironing. Keeping the nozzle filled helps filling some of the crevices of the top surface, but too much results in overextrusion and blips on the side of the surface.</t>
  </si>
  <si>
    <t>skin_overlap</t>
  </si>
  <si>
    <t>in percent Adjust the amount of overlap between the walls and (the endpoints of) the skin-centerlines, as a percentage of the line widths of the skin lines and the innermost wall. A slight overlap allows the walls to connect firmly to the skin. Note that, given an equal skin and wall line-width, any percentage over 50% may already cause any skin to go past the wall, because at that point the position of the nozzle of the skin-extruder may already reach past the middle of the wall.</t>
  </si>
  <si>
    <t>infill_sparse_density</t>
  </si>
  <si>
    <t>Adjusts the density of infill of the print.</t>
  </si>
  <si>
    <t>infill_pattern</t>
  </si>
  <si>
    <t>The pattern of the infill material of the print. The line and zig zag infill swap direction on alternate layers, reducing material cost. The grid, triangle, tri-hexagon, cubic, octet, quarter cubic, cross and concentric patterns are fully printed every layer. Gyroid, cubic, quarter cubic and octet infill change with every layer to provide a more equal distribution of strength over each direction.</t>
  </si>
  <si>
    <t>zig_zaggify_infill</t>
  </si>
  <si>
    <t>Connect the ends where the infill pattern meets the inner wall using a line which follows the shape of the inner wall. Enabling this setting can make the infill adhere to the walls better and reduce the effects of infill on the quality of vertical surfaces. Disabling this setting reduces the amount of material used.</t>
  </si>
  <si>
    <t>connect_infill_polygons</t>
  </si>
  <si>
    <t>Connect infill paths where they run next to each other. For infill patterns which consist of several closed polygons, enabling this setting greatly reduces the travel time.</t>
  </si>
  <si>
    <t>The amount of overlap between the infill and the walls as a percentage of the infill line width. A slight overlap allows the walls to connect firmly to the infill.</t>
  </si>
  <si>
    <t>infill_sparse_thickness</t>
  </si>
  <si>
    <t>The thickness per layer of infill material. This value should always be a multiple of the layer height and is otherwise rounded.</t>
  </si>
  <si>
    <t>infill_before_walls</t>
  </si>
  <si>
    <t>Print the infill before printing the walls. Printing the walls first may lead to more accurate walls, but overhangs print worse. Printing the infill first leads to sturdier walls, but the infill pattern might sometimes show through the surface.</t>
  </si>
  <si>
    <t>min_infill_area</t>
  </si>
  <si>
    <t>Don't generate areas of infill smaller than this (use skin instead).</t>
  </si>
  <si>
    <t>infill_support_enabled</t>
  </si>
  <si>
    <t>Print infill structures only where tops of the model should be supported. Enabling this reduces print time and material usage, but leads to ununiform object strength.</t>
  </si>
  <si>
    <t>material_print_temperature</t>
  </si>
  <si>
    <t>The temperature used for printing.</t>
  </si>
  <si>
    <t>material_print_temperature_layer_0</t>
  </si>
  <si>
    <t>material_bed_temperature</t>
  </si>
  <si>
    <t>The temperature used for the heated build plate. If this is 0, the bed temperature will not be adjusted.</t>
  </si>
  <si>
    <t>material_bed_temperature_layer_0</t>
  </si>
  <si>
    <t>material_flow</t>
  </si>
  <si>
    <t>In Percent, Flow compensation: the amount of material extruded is multiplied by this value.</t>
  </si>
  <si>
    <t>material_flow_layer_0</t>
  </si>
  <si>
    <t>retraction_enable</t>
  </si>
  <si>
    <t>Retract the filament when the nozzle is moving over a non-printed area.</t>
  </si>
  <si>
    <t>retract_at_layer_change</t>
  </si>
  <si>
    <t>Retract the filament when the nozzle is moving to the next layer.</t>
  </si>
  <si>
    <t>retraction_amount</t>
  </si>
  <si>
    <t>The length of material retracted during a retraction move.</t>
  </si>
  <si>
    <t>retraction_retract_speed</t>
  </si>
  <si>
    <t>The speed at which the filament is retracted during a retraction move.</t>
  </si>
  <si>
    <t>retraction_prime_speed</t>
  </si>
  <si>
    <t>The speed at which the filament is primed during a retraction move.</t>
  </si>
  <si>
    <t>retraction_extra_prime_amount</t>
  </si>
  <si>
    <t>Some material can ooze away during a travel move, which can be compensated for here.</t>
  </si>
  <si>
    <t>retraction_min_travel</t>
  </si>
  <si>
    <t>The minimum distance of travel needed for a retraction to happen at all. This helps to get fewer retractions in a small area.</t>
  </si>
  <si>
    <t>retraction_count_max</t>
  </si>
  <si>
    <t>This setting limits the number of retractions occurring within the minimum extrusion distance window. Further retractions within this window will be ignored. This avoids retracting repeatedly on the same piece of filament, as that can flatten the filament and cause grinding issues.</t>
  </si>
  <si>
    <t>retraction_extrusion_window</t>
  </si>
  <si>
    <t>The window in which the maximum retraction count is enforced. This value should be approximately the same as the retraction distance, so that effectively the number of times a retraction passes the same patch of material is limited.</t>
  </si>
  <si>
    <t>limit_support_retractions</t>
  </si>
  <si>
    <t>Omit retraction when moving from support to support in a straight line. Enabling this setting saves print time, but can lead to excessive stringing within the support structure.</t>
  </si>
  <si>
    <t>#Volumetric Max</t>
  </si>
  <si>
    <t>#Manual Max</t>
  </si>
  <si>
    <t>speed_print</t>
  </si>
  <si>
    <t>speed_infill</t>
  </si>
  <si>
    <t>speed_wall</t>
  </si>
  <si>
    <t>speed_wall_0</t>
  </si>
  <si>
    <t>speed_wall_x</t>
  </si>
  <si>
    <t>speed_topbottom</t>
  </si>
  <si>
    <t>speed_support</t>
  </si>
  <si>
    <t>speed_travel</t>
  </si>
  <si>
    <t>speed_layer_0</t>
  </si>
  <si>
    <t>speed_print_layer_0</t>
  </si>
  <si>
    <t>speed_travel_layer_0</t>
  </si>
  <si>
    <t>speed_slowdown_layers</t>
  </si>
  <si>
    <t>speed_equalize_flow_enabled</t>
  </si>
  <si>
    <t>acceleration_enabled</t>
  </si>
  <si>
    <t>acceleration_print</t>
  </si>
  <si>
    <t>acceleration_travel</t>
  </si>
  <si>
    <t>acceleration_layer_0</t>
  </si>
  <si>
    <t>jerk_enabled</t>
  </si>
  <si>
    <t>jerk_print</t>
  </si>
  <si>
    <t>jerk_travel</t>
  </si>
  <si>
    <t>jerk_layer_0</t>
  </si>
  <si>
    <t>retraction_combing</t>
  </si>
  <si>
    <t>Combing keeps the nozzle within already printed areas when traveling.</t>
  </si>
  <si>
    <t>retraction_combing_max_distance</t>
  </si>
  <si>
    <t>When non-zero, combing travel moves that are longer than this distance will use retraction.</t>
  </si>
  <si>
    <t>travel_retract_before_outer_wall</t>
  </si>
  <si>
    <t>Always retract when moving to start an outer wall.</t>
  </si>
  <si>
    <t>travel_avoid_other_parts</t>
  </si>
  <si>
    <t>The nozzle avoids already printed parts when traveling. This option is only available when combing is enabled.</t>
  </si>
  <si>
    <t>travel_avoid_supports</t>
  </si>
  <si>
    <t>The nozzle avoids already printed supports when traveling. This option is only available when combing is enabled.</t>
  </si>
  <si>
    <t>retraction_hop_enabled</t>
  </si>
  <si>
    <t>Whenever a retraction is done, the build plate is lowered to create clearance between the nozzle and the print. It prevents the nozzle from hitting the print during travel moves, reducing the chance to knock the print from the build plate.</t>
  </si>
  <si>
    <t>retraction_hop_only_when_collides</t>
  </si>
  <si>
    <t>Only perform a Z Hop when moving over printed parts which cannot be avoided by horizontal motion by Avoid Printed Parts when Traveling.</t>
  </si>
  <si>
    <t>retraction_hop</t>
  </si>
  <si>
    <t>The height difference when performing a Z Hop.</t>
  </si>
  <si>
    <t>cool_fan_enabled</t>
  </si>
  <si>
    <t>Enables the print cooling fans while printing. The fans improve print quality on layers with short layer times and bridging / overhangs.</t>
  </si>
  <si>
    <t>cool_fan_speed</t>
  </si>
  <si>
    <t>The speed at which the print cooling fans spin.</t>
  </si>
  <si>
    <t>cool_fan_speed_min</t>
  </si>
  <si>
    <t>The speed at which the fans spin before hitting the threshold. When a layer prints faster than the threshold, the fan speed gradually inclines towards the maximum fan speed.</t>
  </si>
  <si>
    <t>cool_fan_speed_max</t>
  </si>
  <si>
    <t>The speed at which the fans spin on the minimum layer time. The fan speed gradually increases between the regular fan speed and maximum fan speed when the threshold is hit.</t>
  </si>
  <si>
    <t>cool_min_layer_time_fan_speed_max</t>
  </si>
  <si>
    <t>The layer time which sets the threshold between regular fan speed and maximum fan speed. Layers that print slower than this time use regular fan speed. For faster layers the fan speed gradually increases towards the maximum fan speed.</t>
  </si>
  <si>
    <t>cool_fan_speed_0</t>
  </si>
  <si>
    <t>The speed at which the fans spin at the start of the print. In subsequent layers the fan speed is gradually increased up to the layer corresponding to Regular Fan Speed at Height.</t>
  </si>
  <si>
    <t>cool_fan_full_at_height</t>
  </si>
  <si>
    <t>The height at which the fans spin on regular fan speed. At the layers below the fan speed gradually increases from Initial Fan Speed to Regular Fan Speed.</t>
  </si>
  <si>
    <t>cool_fan_full_layer</t>
  </si>
  <si>
    <t>The layer at which the fans spin on regular fan speed. If regular fan speed at height is set, this value is calculated and rounded to a whole number.</t>
  </si>
  <si>
    <t>cool_min_layer_time</t>
  </si>
  <si>
    <t>The minimum time spent in a layer. This forces the printer to slow down, to at least spend the time set here in one layer. This allows the printed material to cool down properly before printing the next layer. Layers may still take shorter than the minimal layer time if Lift Head is disabled and if the Minimum Speed would otherwise be violated.</t>
  </si>
  <si>
    <t>cool_min_speed</t>
  </si>
  <si>
    <t>The minimum print speed, despite slowing down due to the minimum layer time. When the printer would slow down too much, the pressure in the nozzle would be too low and result in bad print quality.</t>
  </si>
  <si>
    <t>cool_lift_head</t>
  </si>
  <si>
    <t>When the minimum speed is hit because of minimum layer time, lift the head away from the print and wait the extra time until the minimum layer time is reached.</t>
  </si>
  <si>
    <t>support_enable</t>
  </si>
  <si>
    <t>Generate structures to support parts of the model which have overhangs. Without these structures, such parts would collapse during printing.</t>
  </si>
  <si>
    <t>support_type</t>
  </si>
  <si>
    <t>buildplate</t>
  </si>
  <si>
    <t>Adjusts the placement of the support structures. The placement can be set to touching build plate or everywhere. When set to everywhere the support structures will also be printed on the model.</t>
  </si>
  <si>
    <t>support_angle</t>
  </si>
  <si>
    <t>The minimum angle of overhangs for which support is added. At a value of 0° all overhangs are supported, 90° will not provide any support.</t>
  </si>
  <si>
    <t>support_wall_count</t>
  </si>
  <si>
    <t>The number of walls with which to surround support infill. Adding a wall can make support print more reliably and can support overhangs better, but increases print time and material used.</t>
  </si>
  <si>
    <t>zig_zaggify_support</t>
  </si>
  <si>
    <t>Connect the ends of the support lines together. Enabling this setting can make your support more sturdy and reduce underextrusion, but it will cost more material.</t>
  </si>
  <si>
    <t>support_connect_zigzags</t>
  </si>
  <si>
    <t>Connect the ZigZags. This will increase the strength of the zig zag support structure.</t>
  </si>
  <si>
    <t>support_infill_rate</t>
  </si>
  <si>
    <t>Adjusts the density of the support structure. A higher value results in better overhangs, but the supports are harder to remove.</t>
  </si>
  <si>
    <t>support_brim_enable</t>
  </si>
  <si>
    <t>Generate a brim within the support infill regions of the first layer. This brim is printed underneath the support, not around it. Enabling this setting increases the adhesion of support to the build plate.</t>
  </si>
  <si>
    <t>support_brim_width</t>
  </si>
  <si>
    <t>The width of the brim to print underneath the support. A larger brim enhances adhesion to the build plate, at the cost of some extra material.</t>
  </si>
  <si>
    <t>support_z_distance</t>
  </si>
  <si>
    <t>Distance from the top/bottom of the support structure to the print. This gap provides clearance to remove the supports after the model is printed. This value is rounded up to a multiple of the layer height.</t>
  </si>
  <si>
    <t>support_xy_distance</t>
  </si>
  <si>
    <t>Distance of the support structure from the print in the X/Y directions.</t>
  </si>
  <si>
    <t>support_xy_distance_overhang</t>
  </si>
  <si>
    <t>Distance of the support structure from the overhang in the X/Y directions.</t>
  </si>
  <si>
    <t>support_join_distance</t>
  </si>
  <si>
    <t>The maximum distance between support structures in the X/Y directions. When separate structures are closer together than this value, the structures merge into one.</t>
  </si>
  <si>
    <t>support_offset</t>
  </si>
  <si>
    <t>Amount of offset applied to all support polygons in each layer. Positive values can smooth out the support areas and result in more sturdy support.</t>
  </si>
  <si>
    <t>support_infill_sparse_thickness</t>
  </si>
  <si>
    <t>The thickness per layer of support infill material. This value should always be a multiple of the layer height and is otherwise rounded.</t>
  </si>
  <si>
    <t>minimum_support_area</t>
  </si>
  <si>
    <t>Minimum area size for support polygons. Polygons which have an area smaller than this value will not be generated.</t>
  </si>
  <si>
    <t>support_interface_enable</t>
  </si>
  <si>
    <t>Generate a dense interface between the model and the support. This will create a skin at the top of the support on which the model is printed and at the bottom of the support, where it rests on the model.</t>
  </si>
  <si>
    <t>support_interface_height</t>
  </si>
  <si>
    <t>The thickness of the interface of the support where it touches with the model on the bottom or the top.</t>
  </si>
  <si>
    <t>support_interface_density</t>
  </si>
  <si>
    <t>Adjusts the density of the roofs and floors of the support structure. A higher value results in better overhangs, but the supports are harder to remove.</t>
  </si>
  <si>
    <t>support_roof_line_distance</t>
  </si>
  <si>
    <t>Distance between the printed support roof lines. This setting is calculated by the Support Roof Density, but can be adjusted separately.</t>
  </si>
  <si>
    <t>support_bottom_line_distance</t>
  </si>
  <si>
    <t>Distance between the printed support floor lines. This setting is calculated by the Support Floor Density, but can be adjusted separately.</t>
  </si>
  <si>
    <t>support_interface_pattern</t>
  </si>
  <si>
    <t>The pattern with which the interface of the support with the model is printed.</t>
  </si>
  <si>
    <t>minimum_interface_area</t>
  </si>
  <si>
    <t>Minimum area size for support interface polygons. Polygons which have an area smaller than this value will be printed as normal support.</t>
  </si>
  <si>
    <t>support_interface_offset</t>
  </si>
  <si>
    <t>Amount of offset applied to the support interface polygons.</t>
  </si>
  <si>
    <t>support_fan_enable</t>
  </si>
  <si>
    <t>When enabled, the print cooling fan speed is altered for the skin regions immediately above the support.</t>
  </si>
  <si>
    <t>support_supported_skin_fan_speed</t>
  </si>
  <si>
    <t>Percentage fan speed to use when printing the skin regions immediately above the support. Using a high fan speed can make the support easier to remove.</t>
  </si>
  <si>
    <t>support_use_towers</t>
  </si>
  <si>
    <t>Use specialized towers to support tiny overhang areas. These towers have a larger diameter than the region they support. Near the overhang the towers' diameter decreases, forming a roof.</t>
  </si>
  <si>
    <t>adhesion_type</t>
  </si>
  <si>
    <t>brim</t>
  </si>
  <si>
    <t>Different options that help to improve both priming your extrusion and adhesion to the build plate. Brim adds a single layer flat area around the base of your model to prevent warping. Raft adds a thick grid with a roof below the model. Skirt is a line printed around the model, but not connected to the model.</t>
  </si>
  <si>
    <t>skirt_line_count</t>
  </si>
  <si>
    <t>Multiple skirt lines help to prime your extrusion better for small models. Setting this to 0 will disable the skirt.</t>
  </si>
  <si>
    <t>skirt_gap</t>
  </si>
  <si>
    <t>The horizontal distance between the skirt and the first layer of the print.\nThis is the minimum distance. Multiple skirt lines will extend outwards from this distance.</t>
  </si>
  <si>
    <t>skirt_brim_minimal_length</t>
  </si>
  <si>
    <t>The minimum length of the skirt or brim. If this length is not reached by all skirt or brim lines together, more skirt or brim lines will be added until the minimum length is reached. Note: If the line count is set to 0 this is ignored.</t>
  </si>
  <si>
    <t>The distance from the model to the outermost brim line. A larger brim enhances adhesion to the build plate, but also reduces the effective print area.</t>
  </si>
  <si>
    <t>brim_line_count</t>
  </si>
  <si>
    <t>The number of lines used for a brim. More brim lines enhance adhesion to the build plate, but also reduces the effective print area.</t>
  </si>
  <si>
    <t>brim_replaces_support</t>
  </si>
  <si>
    <t>Enforce brim to be printed around the model even if that space would otherwise be occupied by support. This replaces some regions of the first layer of support by brim regions.</t>
  </si>
  <si>
    <t>brim_outside_only</t>
  </si>
  <si>
    <t>True</t>
  </si>
  <si>
    <t>Only print the brim on the outside of the model. This reduces the amount of brim you need to remove afterwards, while it doesn't reduce the bed adhesion that much.</t>
  </si>
  <si>
    <t>relative_extrusion</t>
  </si>
  <si>
    <t>Use relative extrusion rather than absolute extrusion. Using relative E-steps makes for easier post-processing of the g-code. However, it's not supported by all printers and it may produce very slight deviations in the amount of deposited material compared to absolute E-steps. Irrespective of this setting, the extrusion mode will always be set to absolute before any g-code script is output.</t>
  </si>
  <si>
    <t>False</t>
  </si>
  <si>
    <t>support_tree_branch_distance</t>
  </si>
  <si>
    <t>How far apart the branches need to be when they touch the model. Making this distance small will cause the tree support to touch the model at more points, causing better overhang but making support harder to remove.</t>
  </si>
  <si>
    <t>roofing_line_width</t>
  </si>
  <si>
    <t>Width of a single line of the areas at the top of the print.</t>
  </si>
  <si>
    <t>roofing_pattern</t>
  </si>
  <si>
    <t>The pattern of the top most layers.</t>
  </si>
  <si>
    <t>roofing_angles</t>
  </si>
  <si>
    <t>A list of integer line directions to use when the top surface skin layers use the lines or zig zag pattern. Elements from the list are used sequentially as the layers progress and when the end of the list is reached, it starts at the beginning again. The list items are separated by commas and the whole list is contained in square brackets. Default is an empty list which means use the traditional default angles (45 and 135 degrees).</t>
  </si>
  <si>
    <t>infill_enable_travel_optimization</t>
  </si>
  <si>
    <t>When enabled, the order in which the infill lines are printed is optimized to reduce the distance travelled. The reduction in travel time achieved very much depends on the model being sliced, infill pattern, density, etc. Note that, for some models that have many small areas of infill, the time to slice the model may be greatly increased.</t>
  </si>
  <si>
    <t>support_skip_some_zags</t>
  </si>
  <si>
    <t>Skip some support line connections to make the support structure easier to break away. This setting is applicable to the Zig Zag support infill pattern.</t>
  </si>
  <si>
    <t>draft_shield_enabled</t>
  </si>
  <si>
    <t>This will create a wall around the model, which traps (hot) air and shields against exterior airflow. Especially useful for materials which warp easily.</t>
  </si>
  <si>
    <t>conical_overhang_enabled</t>
  </si>
  <si>
    <t>Change the geometry of the printed model such that minimal support is required. Steep overhangs will become shallow overhangs. Overhanging areas will drop down to become more vertical.</t>
  </si>
  <si>
    <t>coasting_enable</t>
  </si>
  <si>
    <t>Coasting replaces the last part of an extrusion path with a travel path. The oozed material is used to print the last piece of the extrusion path in order to reduce stringing.</t>
  </si>
  <si>
    <t>coasting_volume</t>
  </si>
  <si>
    <t>The volume otherwise oozed. This value should generally be close to the nozzle diameter cubed.</t>
  </si>
  <si>
    <t>coasting_min_volume</t>
  </si>
  <si>
    <t>The smallest volume an extrusion path should have before allowing coasting. For smaller extrusion paths, less pressure has been built up in the bowden tube and so the coasted volume is scaled linearly. This value should always be larger than the Coasting Volume.</t>
  </si>
  <si>
    <t>spaghetti_infill_enabled</t>
  </si>
  <si>
    <t>support_conical_enabled</t>
  </si>
  <si>
    <t>magic_fuzzy_skin_enabled</t>
  </si>
  <si>
    <t>wireframe_enabled</t>
  </si>
  <si>
    <t>adaptive_layer_height_enabled</t>
  </si>
  <si>
    <t>Adaptive layers computes the layer heights depending on the shape of the model.</t>
  </si>
  <si>
    <t>adaptive_layer_height_variation</t>
  </si>
  <si>
    <t>The maximum allowed height different from the base layer height.</t>
  </si>
  <si>
    <t>adaptive_layer_height_variation_step</t>
  </si>
  <si>
    <t>The difference in height of the next layer height compared to the previous one.</t>
  </si>
  <si>
    <t>wall_overhang_angle</t>
  </si>
  <si>
    <t>Walls that overhang more than this angle will be printed using overhanging wall settings. When the value is 90, no walls will be treated as overhanging. Overhang that gets supported by support will not be treated as overhang either.</t>
  </si>
  <si>
    <t>wall_overhang_speed_factor</t>
  </si>
  <si>
    <t>Overhanging walls will be printed at this percentage of their normal print speed.</t>
  </si>
  <si>
    <t>bridge_settings_enabled</t>
  </si>
  <si>
    <t>Detect bridges and modify print speed, flow and fan settings while bridges are printed.</t>
  </si>
  <si>
    <t>bridge_wall_min_length</t>
  </si>
  <si>
    <t>Unsupported walls shorter than this will be printed using the normal wall settings. Longer unsupported walls will be printed using the bridge wall settings.</t>
  </si>
  <si>
    <t>bridge_skin_support_threshold</t>
  </si>
  <si>
    <t>If a skin region is supported for less than this percentage of its area, print it using the bridge settings. Otherwise it is printed using the normal skin settings.</t>
  </si>
  <si>
    <t>bridge_wall_coast</t>
  </si>
  <si>
    <t>This controls the distance the extruder should coast immediately before a bridge wall begins. Coasting before the bridge starts can reduce the pressure in the nozzle and may produce a flatter bridge.</t>
  </si>
  <si>
    <t>bridge_wall_speed</t>
  </si>
  <si>
    <t>The speed at which the bridge walls are printed.</t>
  </si>
  <si>
    <t>bridge_wall_material_flow</t>
  </si>
  <si>
    <t>When printing bridge walls, the amount of material extruded is multiplied by this value.</t>
  </si>
  <si>
    <t>bridge_skin_speed</t>
  </si>
  <si>
    <t>The speed at which bridge skin regions are printed.</t>
  </si>
  <si>
    <t>bridge_skin_material_flow</t>
  </si>
  <si>
    <t>When printing bridge skin regions, the amount of material extruded is multiplied by this value.</t>
  </si>
  <si>
    <t>bridge_skin_density</t>
  </si>
  <si>
    <t>The density of the bridge skin layer. Values less than 100 will increase the gaps between the skin lines.</t>
  </si>
  <si>
    <t>Percentage fan speed to use when printing bridge walls and skin.</t>
  </si>
  <si>
    <t>bridge_enable_more_layers</t>
  </si>
  <si>
    <t>If enabled, the second and third layers above the air are printed using the following settings. Otherwise, those layers are printed using the normal settings.</t>
  </si>
  <si>
    <t>meshfix_maximum_resolution</t>
  </si>
  <si>
    <t>The minimum size of a line segment after slicing. If you increase this, the mesh will have a lower resolution. This may allow the printer to keep up with the speed it has to process g-code and will increase slice speed by removing details of the mesh that it can't process anyway.</t>
  </si>
  <si>
    <t>meshfix_maximum_deviation</t>
  </si>
  <si>
    <t>The maximum deviation allowed when reducing the resolution for the Maximum Resolution setting. If you increase this, the print will be less accurate, but the g-code will be smaller. Maximum Deviation is a limit for Maximum Resolution, so if the two conflict the Maximum Deviation will always be held true.</t>
  </si>
  <si>
    <t>meshfix_maximum_travel_resolution</t>
  </si>
  <si>
    <t>The minimum size of a travel line segment after slicing. If you increase this, the travel moves will have less smooth corners. This may allow the printer to keep up with the speed it has to process g-code, but it may cause model avoidance to become less accurate.</t>
  </si>
  <si>
    <t>speed_z_hop</t>
  </si>
  <si>
    <t>material</t>
  </si>
  <si>
    <t>Max Speed Per Layer Height (mm/s)</t>
  </si>
  <si>
    <t>Slic3r Profile Generation</t>
  </si>
  <si>
    <t>Cura AppData folder</t>
  </si>
  <si>
    <t>Cura Profile Generation</t>
  </si>
  <si>
    <t>S3D Profile Generation</t>
  </si>
  <si>
    <t>S3D AppData folder</t>
  </si>
  <si>
    <t>pressure_advance_adjust</t>
  </si>
  <si>
    <t>adhesion_z_offset_adjust</t>
  </si>
  <si>
    <t>Coasting will turn off your extruder a short distance before the end of the perimeter to relieve the pressure that is built up within the nozzle. Enable this option and increase the value until you no longer notice a defect appearing at the end of each perimeter when the extruder is coming to a stop. Typically, a coasting distance between 0.2-0.5mm is enough to have a noticeable impact.</t>
  </si>
  <si>
    <t>autoConfigureMaterial</t>
  </si>
  <si>
    <t>autoConfigureQuality</t>
  </si>
  <si>
    <t xml:space="preserve"> </t>
  </si>
  <si>
    <t>s3d_layer_gcode</t>
  </si>
  <si>
    <t>s3d_toolChange_gcode</t>
  </si>
  <si>
    <t>s3d_end_gcode</t>
  </si>
  <si>
    <t>Root</t>
  </si>
  <si>
    <t>Level1</t>
  </si>
  <si>
    <t>Level2</t>
  </si>
  <si>
    <t>Level3</t>
  </si>
  <si>
    <t>\</t>
  </si>
  <si>
    <t>Type</t>
  </si>
  <si>
    <t>filament</t>
  </si>
  <si>
    <t>quality,filament</t>
  </si>
  <si>
    <t>#filament type</t>
  </si>
  <si>
    <t>S3D-Software 4.0.0</t>
  </si>
  <si>
    <t>C:\Users\softk\Desktop\Slicer_Config\Test_S3D</t>
  </si>
  <si>
    <t>=math.floor(math.degrees(math.atan(line_width/2.0/layer_height)))</t>
  </si>
  <si>
    <t>support_pattern</t>
  </si>
  <si>
    <t>=wall_line_width_0 * 2</t>
  </si>
  <si>
    <t>=wall_line_width_0</t>
  </si>
  <si>
    <t>=layer_height if layer_height &gt;= 0.16 else layer_height*2</t>
  </si>
  <si>
    <t>support_xy_overrides_z</t>
  </si>
  <si>
    <t>=xy_overrides_z</t>
  </si>
  <si>
    <t>=support_line_width * 4.0</t>
  </si>
  <si>
    <t>=layer_height * 4</t>
  </si>
  <si>
    <t>support_interface_skip_height</t>
  </si>
  <si>
    <t>infill_wipe_dist</t>
  </si>
  <si>
    <t>wall_0_wipe_dist</t>
  </si>
  <si>
    <t>support_roof_enable</t>
  </si>
  <si>
    <t>support_bottom_enable</t>
  </si>
  <si>
    <t>roofing_layer_count</t>
  </si>
  <si>
    <t>The number of top most skin layers. Usually only one top most layer is sufficient to generate higher quality top surfaces.</t>
  </si>
  <si>
    <t>Distance of a travel move inserted after every infill line, to make the infill stick to the walls better. This option is similar to infill overlap, but without extrusion and only on one end of the infill line.</t>
  </si>
  <si>
    <t>Distance of a travel move inserted after the outer wall, to hide the Z seam better.</t>
  </si>
  <si>
    <t>The temperature used for printing the first layer. Set at 0 to disable special handling of the initial layer.</t>
  </si>
  <si>
    <t>The temperature used for the heated build plate at the first layer.</t>
  </si>
  <si>
    <t>Flow compensation for the first layer: the amount of material extruded on the initial layer is multiplied by this value.</t>
  </si>
  <si>
    <t>The speed at which printing happens.</t>
  </si>
  <si>
    <t>The speed at which infill is printed.</t>
  </si>
  <si>
    <t>The speed at which the walls are printed.</t>
  </si>
  <si>
    <t>The speed at which the outermost walls are printed. Printing the outer wall at a lower speed improves the final skin quality. However, having a large difference between the inner wall speed and the outer wall speed will affect quality in a negative way.</t>
  </si>
  <si>
    <t>Printing the outer wall at a lower speed improves the final skin quality. However, having a large difference between the inner wall speed and the outer wall speed will affect quality in a negative way.</t>
  </si>
  <si>
    <t>The speed at which all inner walls are printed. Printing the inner wall faster than the outer wall will reduce printing time. It works well to set this in between the outer wall speed and the infill speed.</t>
  </si>
  <si>
    <t>speed_roofing</t>
  </si>
  <si>
    <t>The speed at which top surface skin layers are printed.</t>
  </si>
  <si>
    <t>The speed at which top/bottom layers are printed.</t>
  </si>
  <si>
    <t>The speed at which the support structure is printed. Printing support at higher speeds can greatly reduce printing time. The surface quality of the support structure is not important since it is removed after printing.</t>
  </si>
  <si>
    <t>The speed at which travel moves are made.</t>
  </si>
  <si>
    <t>The speed for the initial layer. A lower value is advised to improve adhesion to the build plate.</t>
  </si>
  <si>
    <t>The speed at which the vertical Z movement is made for Z Hops. This is typically lower than the print speed since the build plate or machine's gantry is harder to move.</t>
  </si>
  <si>
    <t>The speed of travel moves in the initial layer. A lower value is advised to prevent pulling previously printed parts away from the build plate. The value of this setting can automatically be calculated from the ratio between the Travel Speed and the Print Speed.</t>
  </si>
  <si>
    <t>The speed of printing for the initial layer. A lower value is advised to improve adhesion to the build plate.</t>
  </si>
  <si>
    <t>Print thinner than normal lines faster so that the amount of material extruded per second remains the same. Thin pieces in your model might require lines printed with smaller line width than provided in the settings. This setting controls the speed changes for such lines.</t>
  </si>
  <si>
    <t>The first few layers are printed slower than the rest of the model, to get better adhesion to the build plate and improve the overall success rate of prints. The speed is gradually increased over these layers.</t>
  </si>
  <si>
    <t>Generate a dense slab of material between the top of support and the model. This will create a skin between the model and support.</t>
  </si>
  <si>
    <t>Generate a dense slab of material between the bottom of the support and the model. This will create a skin between the model and support.</t>
  </si>
  <si>
    <t>When checking where there's model above and below the support, take steps of the given height. Lower values will slice slower, while higher values may cause normal support to be printed in some places where there should have been support interface.</t>
  </si>
  <si>
    <t>#Exprimental</t>
  </si>
  <si>
    <t>Make support areas smaller at the bottom than at the overhang.</t>
  </si>
  <si>
    <t>Print the infill every so often, so that the filament will curl up chaotically inside the object. This reduces print time, but the behaviour is rather unpredictable.</t>
  </si>
  <si>
    <t>Randomly jitter while printing the outer wall, so that the surface has a rough and fuzzy look.</t>
  </si>
  <si>
    <t>Print only the outside surface with a sparse webbed structure, printing 'in thin air'. This is realized by horizontally printing the contours of the model at given Z intervals which are connected via upward and diagonally downward lines.</t>
  </si>
  <si>
    <t>small_hole_max_size</t>
  </si>
  <si>
    <t>Holes and part outlines with a diameter smaller than this will be printed using Small Feature Speed.</t>
  </si>
  <si>
    <t>small_feature_speed_factor</t>
  </si>
  <si>
    <t>Small features will be printed at this percentage of their normal print speed. Slower printing can help with adhesion and accuracy.</t>
  </si>
  <si>
    <t>Small features on the first layer will be printed at this percentage of their normal print speed. Slower printing can help with adhesion and accuracy.</t>
  </si>
  <si>
    <t>small_feature_speed_factor_0</t>
  </si>
  <si>
    <t>hole_xy_offset</t>
  </si>
  <si>
    <t>Amount of offset applied to all holes in each layer. Positive values increase the size of the holes, negative values reduce the size of the holes.</t>
  </si>
  <si>
    <t>top_thickness</t>
  </si>
  <si>
    <t>bottom_thickness</t>
  </si>
  <si>
    <t>The thickness of the bottom layers in the print. This value divided by the layer height defines the number of bottom layers.</t>
  </si>
  <si>
    <t>The number of bottom layers. When calculated by the bottom thickness, this value is rounded to a whole number.</t>
  </si>
  <si>
    <t>The number of top layers. When calculated by the top thickness, this value is rounded to a whole number.</t>
  </si>
  <si>
    <t>The thickness of the top layers in the print. This value divided by the layer height defines the number of top layers.</t>
  </si>
  <si>
    <t>The number of walls. When calculated by the wall thickness, this value is rounded to a whole number.</t>
  </si>
  <si>
    <t>Group</t>
  </si>
  <si>
    <t>hotend_type</t>
  </si>
  <si>
    <t>printer_name</t>
  </si>
  <si>
    <t>printer_prefix</t>
  </si>
  <si>
    <t>printer_definition</t>
  </si>
  <si>
    <t>speed_calc_type</t>
  </si>
  <si>
    <t>meterial_thickness_calc_type</t>
  </si>
  <si>
    <t>shell</t>
  </si>
  <si>
    <t>infill</t>
  </si>
  <si>
    <t>#combing</t>
  </si>
  <si>
    <t>travel</t>
  </si>
  <si>
    <t>#retraction/travel</t>
  </si>
  <si>
    <t>#retraction</t>
  </si>
  <si>
    <t>retraction_speed</t>
  </si>
  <si>
    <t>support</t>
  </si>
  <si>
    <t>support_brim_line_count</t>
  </si>
  <si>
    <t>support_top_distance</t>
  </si>
  <si>
    <t>support_bottom_distance</t>
  </si>
  <si>
    <t>platform_adhesion</t>
  </si>
  <si>
    <t>blackmagic</t>
  </si>
  <si>
    <t>experimental</t>
  </si>
  <si>
    <t>#overhang</t>
  </si>
  <si>
    <t>#roofing</t>
  </si>
  <si>
    <t>#other</t>
  </si>
  <si>
    <t>#Adaptive Layer</t>
  </si>
  <si>
    <t>#Coasting</t>
  </si>
  <si>
    <t>#Bridges</t>
  </si>
  <si>
    <t>#Small Feature</t>
  </si>
  <si>
    <t>meshfix</t>
  </si>
  <si>
    <t>print_sequence</t>
  </si>
  <si>
    <t>magic_spiralize</t>
  </si>
  <si>
    <t>material_flow_dependent_temperature</t>
  </si>
  <si>
    <t>Change the temperature for each layer automatically with the average flow speed of that layer.</t>
  </si>
  <si>
    <t>Spiralize smooths out the Z move of the outer edge. This will create a steady Z increase over the whole print. This feature turns a solid model into a single walled print with a solid bottom. This feature should only be enabled when each layer only contains a single part.</t>
  </si>
  <si>
    <t>Whether to print all models one layer at a time or to wait for one model to finish, before moving on to the next. One at a time mode is possible if a) only one extruder is enabled and b) all models are separated in such a way that the whole print head can move in between and all models are lower than the distance between the nozzle and the X/Y axes.</t>
  </si>
  <si>
    <t>Whether the Support X/Y Distance overrides the Support Z Distance or vice versa. When X/Y overrides Z the X/Y distance can push away the support from the model, influencing the actual Z distance to the overhang. We can disable this by not applying the X/Y distance around overhangs.</t>
  </si>
  <si>
    <t>Distance from the top of the support to the print.</t>
  </si>
  <si>
    <t>Distance from the print to the bottom of the support.</t>
  </si>
  <si>
    <t>The number of lines used for the support brim. More brim lines enhance adhesion to the build plate, at the cost of some extra material.</t>
  </si>
  <si>
    <t>The pattern of the support structures of the print. The different options available result in sturdy or easy to remove support.</t>
  </si>
  <si>
    <t>The speed at which the filament is retracted and primed during a retraction move.</t>
  </si>
  <si>
    <t>Enables adjusting the print head acceleration. Increasing the accelerations can reduce printing time at the cost of print quality.</t>
  </si>
  <si>
    <t>The acceleration with which printing happens.</t>
  </si>
  <si>
    <t>The acceleration with which travel moves are made.</t>
  </si>
  <si>
    <t>The acceleration for the initial layer.</t>
  </si>
  <si>
    <t>Enables adjusting the jerk of print head when the velocity in the X or Y axis changes. Increasing the jerk can reduce printing time at the cost of print quality.</t>
  </si>
  <si>
    <t>The maximum instantaneous velocity change of the print head.</t>
  </si>
  <si>
    <t>The maximum instantaneous velocity change with which travel moves are made.</t>
  </si>
  <si>
    <t>The print maximum instantaneous velocity change for the initial layer.</t>
  </si>
  <si>
    <t>quality,quick</t>
  </si>
  <si>
    <t>filament,quick</t>
  </si>
  <si>
    <t>weight</t>
  </si>
  <si>
    <t>infill_randomize_start_location</t>
  </si>
  <si>
    <t>infill_multiplier</t>
  </si>
  <si>
    <t>Randomize which infill line is printed first. This prevents one segment becoming the strongest, but it does so at the cost of an additional travel move.</t>
  </si>
  <si>
    <t>Convert each infill line to this many lines. The extra lines do not cross over each other, but avoid each other. This makes the infill stiffer, but increases print time and material usage.</t>
  </si>
  <si>
    <t>infill_wall_line_count</t>
  </si>
  <si>
    <t>speed_equalize_flow_max</t>
  </si>
  <si>
    <t>Maximum print speed when adjusting the print speed in order to equalize flow.</t>
  </si>
  <si>
    <t>Add extra walls around the infill area. Such walls can make top/bottom skin lines sag down less which means you need less top/bottom skin layers for the same quality at the cost of some extra material.\nThis feature can combine with the Connect Infill Polygons to connect all the infill into a single extrusion path without the need for travels or retractions if configured right.</t>
  </si>
  <si>
    <t>travel_avoid_distance</t>
  </si>
  <si>
    <t>The distance between the nozzle and already printed parts when avoiding during travel moves.</t>
  </si>
  <si>
    <t>coasting_speed</t>
  </si>
  <si>
    <t>The speed by which to move during coasting, relative to the speed of the extrusion path. A value slightly under 100% is advised, since during the coasting move the pressure in the bowden tube drops.</t>
  </si>
  <si>
    <t>wall_line_width_0</t>
  </si>
  <si>
    <t>wall_line_width_x</t>
  </si>
  <si>
    <t>support_roof_line_width</t>
  </si>
  <si>
    <t>support_bottom_line_width</t>
  </si>
  <si>
    <t>Width of a single support floor line.</t>
  </si>
  <si>
    <t>Width of a single support roof line.</t>
  </si>
  <si>
    <t>Width of a single wall line for all wall lines except the outermost one.</t>
  </si>
  <si>
    <t>Width of the outermost wall line. By lowering this value, higher levels of detail can be printed.</t>
  </si>
  <si>
    <t>support_bottom_stair_step_height</t>
  </si>
  <si>
    <t>support_bottom_stair_step_width</t>
  </si>
  <si>
    <t>The height of the steps of the stair-like bottom of support resting on the model. A low value makes the support harder to remove, but too high values can lead to unstable support structures. Set to zero to turn off the stair-like behaviour.</t>
  </si>
  <si>
    <t>support_roof_pattern</t>
  </si>
  <si>
    <t>The pattern with which the roofs of the support are printed.</t>
  </si>
  <si>
    <t>support_tower_diameter</t>
  </si>
  <si>
    <t>The diameter of a special tower.</t>
  </si>
  <si>
    <t>Maximum diameter in the X/Y directions of a small area which is to be supported by a specialized support tower.</t>
  </si>
  <si>
    <t>support_tower_maximum_supported_diameter</t>
  </si>
  <si>
    <t>support_tower_roof_angle</t>
  </si>
  <si>
    <t>The angle of a rooftop of a tower. A higher value results in pointed tower roofs, a lower value results in flattened tower roofs.</t>
  </si>
  <si>
    <t>magic_mesh_surface_mode</t>
  </si>
  <si>
    <t>Treat the model as a surface only, a volume, or volumes with loose surfaces. The normal print mode only prints enclosed volumes. \"Surface\" prints a single wall tracing the mesh surface with no infill and no top/bottom skin. \"Both\" prints enclosed volumes like normal and any remaining polygons as surfaces.</t>
  </si>
  <si>
    <t>smooth_spiralized_contours</t>
  </si>
  <si>
    <t>Smooth the spiralized contours to reduce the visibility of the Z seam (the Z seam should be barely visible on the print but will still be visible in the layer view). Note that smoothing will tend to blur fine surface details.</t>
  </si>
  <si>
    <t>support_conical_angle</t>
  </si>
  <si>
    <t>support_conical_min_width</t>
  </si>
  <si>
    <t>The angle of the tilt of conical support. With 0 degrees being vertical, and 90 degrees being horizontal. Smaller angles cause the support to be more sturdy, but consist of more material. Negative angles cause the base of the support to be wider than the top.</t>
  </si>
  <si>
    <t>Minimum width to which the base of the conical support area is reduced. Small widths can lead to unstable support structures.</t>
  </si>
  <si>
    <t>ATERIAL</t>
  </si>
  <si>
    <t>RECOMMENDED WALL THICKNESS</t>
  </si>
  <si>
    <t>Acetal</t>
  </si>
  <si>
    <t>Acrylic</t>
  </si>
  <si>
    <t>Liquid crystal polymer</t>
  </si>
  <si>
    <t>Long-fiber reinforced plastics</t>
  </si>
  <si>
    <t>Polycarbonate</t>
  </si>
  <si>
    <t>Polyester</t>
  </si>
  <si>
    <t>Polyethylene</t>
  </si>
  <si>
    <t>Polyphenylene sulfide</t>
  </si>
  <si>
    <t>Polypropylene</t>
  </si>
  <si>
    <t>Polystyrene</t>
  </si>
  <si>
    <t>Polyurethane</t>
  </si>
  <si>
    <t>wall_line_count</t>
  </si>
  <si>
    <t>top_layers</t>
  </si>
  <si>
    <t>bottom_layers</t>
  </si>
  <si>
    <t>outer_nozzle_diameter</t>
  </si>
  <si>
    <t>top_bottom_pattern_0</t>
  </si>
  <si>
    <t>The pattern on the bottom of the print on the first layer.</t>
  </si>
  <si>
    <t>skin_outline_count</t>
  </si>
  <si>
    <t>Replaces the outermost part of the top/bottom pattern with a number of concentric lines. Using one or two lines improves roofs that start on infill material.</t>
  </si>
  <si>
    <t>ironing_pattern</t>
  </si>
  <si>
    <t>skin_overlap_mm</t>
  </si>
  <si>
    <t>infill_line_distance</t>
  </si>
  <si>
    <t>infill_overlap_mm</t>
  </si>
  <si>
    <t>The amount of overlap between the infill and the walls. A slight overlap allows the walls to connect firmly to the infill.</t>
  </si>
  <si>
    <t>Distance between the printed infill lines. This setting is calculated by the infill density and the infill line width.</t>
  </si>
  <si>
    <t>Adjust the amount of overlap between the walls and (the endpoints of) the skin-centerlines. A slight overlap allows the walls to connect firmly to the skin. Note that, given an equal skin and wall line-width, any value over half the width of the wall may already cause any skin to go past the wall, because at that point the position of the nozzle of the skin-extruder may already reach past the middle of the wall.</t>
  </si>
  <si>
    <t>The pattern to use for ironing top surfaces.</t>
  </si>
  <si>
    <t>off</t>
  </si>
  <si>
    <t>#filament_coasting_enable</t>
  </si>
  <si>
    <t>#filament_coasting_distance</t>
  </si>
  <si>
    <t>#filament_combingmode</t>
  </si>
  <si>
    <t>#filament_wipe_distance</t>
  </si>
  <si>
    <t>#filament_z_offset</t>
  </si>
  <si>
    <t>#filament_retract_length</t>
  </si>
  <si>
    <t>0.6mm always going to leak, so small coasting will benefit even PA/LA is enabled</t>
  </si>
  <si>
    <t>#filament_bridge_flow</t>
  </si>
  <si>
    <t>gradual_infill_steps</t>
  </si>
  <si>
    <t>gradual_infill_step_height</t>
  </si>
  <si>
    <t>Number of times to reduce the infill density by half when getting further below top surfaces. Areas which are closer to top surfaces get a higher density, up to the Infill Density.</t>
  </si>
  <si>
    <t>The height of infill of a given density before switching to half the density.</t>
  </si>
  <si>
    <t>meshfix_union_all</t>
  </si>
  <si>
    <t>meshfix_extensive_stitching</t>
  </si>
  <si>
    <t>having 50% makes prusa gcode generator to simulate the wipe at the end of each line</t>
  </si>
  <si>
    <t>infill pattern</t>
  </si>
  <si>
    <t>ironing_type</t>
  </si>
  <si>
    <t>ironing_flowrate</t>
  </si>
  <si>
    <t>ironing_spacing</t>
  </si>
  <si>
    <t>ironing_speed</t>
  </si>
  <si>
    <t>ironing</t>
  </si>
  <si>
    <t>##ironing</t>
  </si>
  <si>
    <t>Ender 3</t>
  </si>
  <si>
    <t>4 Max Pro</t>
  </si>
  <si>
    <t>printer_id</t>
  </si>
  <si>
    <t>ender3</t>
  </si>
  <si>
    <t>4maxpro</t>
  </si>
  <si>
    <t>support_structure</t>
  </si>
  <si>
    <t>support_tree_angle</t>
  </si>
  <si>
    <t>skin_preshrink</t>
  </si>
  <si>
    <t>The largest width of skin areas which are to be removed. Every skin area smaller than this value will disappear. This can help in limiting the amount of time and material spent on printing top/bottom skin at slanted surfaces in the model.</t>
  </si>
  <si>
    <t>expand_skins_expand_distance</t>
  </si>
  <si>
    <t>The distance the skins are expanded into the infill. Higher values makes the skin attach better to the infill pattern and makes the walls on neighboring layers adhere better to the skin. Lower values save amount of material used.</t>
  </si>
  <si>
    <t>skin_edge_support_thickness</t>
  </si>
  <si>
    <t>The thickness of the extra infill that supports skin edges.</t>
  </si>
  <si>
    <t>The angle of the branches. Use a lower angle to make them more vertical and more stable. Use a higher angle to be able to have more reach.</t>
  </si>
  <si>
    <t>Chooses between the techniques available to generate support. \"Normal\" support creates a support structure directly below the overhanging parts and drops those areas straight down. \"Tree\" support creates branches towards the overhanging areas that support the model on the tips of those branches, and allows the branches to crawl around the model to support it from the build plate as much as possible.</t>
  </si>
  <si>
    <t>skin_edge_support_layers</t>
  </si>
  <si>
    <t>The number of infill layers that supports skin edges.</t>
  </si>
  <si>
    <t>support_skip_zag_per_mm</t>
  </si>
  <si>
    <t>support_zag_skip_count</t>
  </si>
  <si>
    <t>Leave out a connection between support lines once every N millimeter to make the support structure easier to break away.</t>
  </si>
  <si>
    <t>Skip one in every N connection lines to make the support structure easier to break away.</t>
  </si>
  <si>
    <t>Slicer</t>
  </si>
  <si>
    <t>slicer_id</t>
  </si>
  <si>
    <t>#filament_pressure_advance</t>
  </si>
  <si>
    <t>#filament_type</t>
  </si>
  <si>
    <t>allow_empty_layers</t>
  </si>
  <si>
    <t>avoid_crossing_not_first_layer</t>
  </si>
  <si>
    <t>bridge_overlap</t>
  </si>
  <si>
    <t>bridged_infill_margin</t>
  </si>
  <si>
    <t>brim_ears</t>
  </si>
  <si>
    <t>brim_ears_max_angle</t>
  </si>
  <si>
    <t>brim_ears_pattern</t>
  </si>
  <si>
    <t>brim_inside_holes</t>
  </si>
  <si>
    <t>brim_offset</t>
  </si>
  <si>
    <t>brim_width_interior</t>
  </si>
  <si>
    <t>complete_objects_one_skirt</t>
  </si>
  <si>
    <t>complete_objects_sort</t>
  </si>
  <si>
    <t>curve_smoothing_angle_concave</t>
  </si>
  <si>
    <t>curve_smoothing_angle_convex</t>
  </si>
  <si>
    <t>curve_smoothing_cutoff_dist</t>
  </si>
  <si>
    <t>curve_smoothing_precision</t>
  </si>
  <si>
    <t>draft_shield</t>
  </si>
  <si>
    <t>duplicate_distance</t>
  </si>
  <si>
    <t>enforce_full_fill_volume</t>
  </si>
  <si>
    <t>exact_last_layer_height</t>
  </si>
  <si>
    <t>external_infill_margin</t>
  </si>
  <si>
    <t>external_perimeter_cut_corners</t>
  </si>
  <si>
    <t>external_perimeter_overlap</t>
  </si>
  <si>
    <t>external_perimeters_hole</t>
  </si>
  <si>
    <t>external_perimeters_nothole</t>
  </si>
  <si>
    <t>external_perimeters_vase</t>
  </si>
  <si>
    <t>extra_perimeters_odd_layers</t>
  </si>
  <si>
    <t>extra_perimeters_overhangs</t>
  </si>
  <si>
    <t>fill_angle_increment</t>
  </si>
  <si>
    <t>fill_smooth_distribution</t>
  </si>
  <si>
    <t>fill_smooth_width</t>
  </si>
  <si>
    <t>fill_top_flow_ratio</t>
  </si>
  <si>
    <t>first_layer_flow_ratio</t>
  </si>
  <si>
    <t>first_layer_infill_speed</t>
  </si>
  <si>
    <t>first_layer_size_compensation</t>
  </si>
  <si>
    <t>gap_fill</t>
  </si>
  <si>
    <t>gap_fill_min_area</t>
  </si>
  <si>
    <t>hole_size_compensation</t>
  </si>
  <si>
    <t>hole_to_polyhole</t>
  </si>
  <si>
    <t>infill_dense</t>
  </si>
  <si>
    <t>infill_dense_algo</t>
  </si>
  <si>
    <t>infill_not_connected</t>
  </si>
  <si>
    <t>milling_after_z</t>
  </si>
  <si>
    <t>milling_extra_size</t>
  </si>
  <si>
    <t>milling_post_process</t>
  </si>
  <si>
    <t>milling_speed</t>
  </si>
  <si>
    <t>min_width_top_surface</t>
  </si>
  <si>
    <t>model_precision</t>
  </si>
  <si>
    <t>no_perimeter_unsupported_algo</t>
  </si>
  <si>
    <t>only_one_perimeter_top</t>
  </si>
  <si>
    <t>over_bridge_flow_ratio</t>
  </si>
  <si>
    <t>overhangs_reverse</t>
  </si>
  <si>
    <t>overhangs_reverse_threshold</t>
  </si>
  <si>
    <t>overhangs_width</t>
  </si>
  <si>
    <t>perimeter_bonding</t>
  </si>
  <si>
    <t>perimeter_loop</t>
  </si>
  <si>
    <t>perimeter_loop_seam</t>
  </si>
  <si>
    <t>perimeter_overlap</t>
  </si>
  <si>
    <t>print_extrusion_multiplier</t>
  </si>
  <si>
    <t>seam_travel</t>
  </si>
  <si>
    <t>skirt_extrusion_width</t>
  </si>
  <si>
    <t>support_material_contact_distance_bottom</t>
  </si>
  <si>
    <t>support_material_contact_distance_top</t>
  </si>
  <si>
    <t>support_material_contact_distance_type</t>
  </si>
  <si>
    <t>support_material_interface_pattern</t>
  </si>
  <si>
    <t>support_material_solid_first_layer</t>
  </si>
  <si>
    <t>thin_perimeters</t>
  </si>
  <si>
    <t>thin_perimeters_all</t>
  </si>
  <si>
    <t>thin_walls_merge</t>
  </si>
  <si>
    <t>thin_walls_min_width</t>
  </si>
  <si>
    <t>thin_walls_overlap</t>
  </si>
  <si>
    <t>thin_walls_speed</t>
  </si>
  <si>
    <t>wipe_tower_brim</t>
  </si>
  <si>
    <t>xy_inner_size_compensation</t>
  </si>
  <si>
    <t>##Super Slicer Settings End</t>
  </si>
  <si>
    <t>##Super Slicer Settings Start</t>
  </si>
  <si>
    <t>super</t>
  </si>
  <si>
    <t>Super Slicer</t>
  </si>
  <si>
    <t>##Prusa Slicer Settings End</t>
  </si>
  <si>
    <t>##Prusa Slicer Settings Start</t>
  </si>
  <si>
    <t>chamber_temperature</t>
  </si>
  <si>
    <t>external_perimeter_fan_speed</t>
  </si>
  <si>
    <t>filament_cooling_zone_pause</t>
  </si>
  <si>
    <t>filament_dip_extraction_speed</t>
  </si>
  <si>
    <t>filament_dip_insertion_speed</t>
  </si>
  <si>
    <t>filament_enable_toolchange_part_fan</t>
  </si>
  <si>
    <t>filament_enable_toolchange_temp</t>
  </si>
  <si>
    <t>filament_max_wipe_tower_speed</t>
  </si>
  <si>
    <t>filament_melt_zone_pause</t>
  </si>
  <si>
    <t>filament_shrink</t>
  </si>
  <si>
    <t>filament_skinnydip_distance</t>
  </si>
  <si>
    <t>filament_toolchange_part_fan_speed</t>
  </si>
  <si>
    <t>filament_toolchange_temp</t>
  </si>
  <si>
    <t>filament_use_fast_skinnydip</t>
  </si>
  <si>
    <t>filament_use_skinnydip</t>
  </si>
  <si>
    <t>filament_wipe_advanced_pigment</t>
  </si>
  <si>
    <t>filament_wipe_extra_perimeter</t>
  </si>
  <si>
    <t>max_speed_reduction</t>
  </si>
  <si>
    <t>top_fan_speed</t>
  </si>
  <si>
    <t>fan_speedup_time</t>
  </si>
  <si>
    <t>feature_gcode</t>
  </si>
  <si>
    <t>machine_max_acceleration_travel</t>
  </si>
  <si>
    <t>milling_diameter</t>
  </si>
  <si>
    <t>milling_toolchange_end_gcode</t>
  </si>
  <si>
    <t>milling_toolchange_start_gcode</t>
  </si>
  <si>
    <t>milling_z_lift</t>
  </si>
  <si>
    <t>min_length</t>
  </si>
  <si>
    <t>print_machine_envelope</t>
  </si>
  <si>
    <t>retract_lift_not_last_layer</t>
  </si>
  <si>
    <t>time_estimation_compensation</t>
  </si>
  <si>
    <t>wipe_advanced</t>
  </si>
  <si>
    <t>wipe_advanced_algo</t>
  </si>
  <si>
    <t>wipe_advanced_multiplier</t>
  </si>
  <si>
    <t>wipe_advanced_nozzle_melted_volume</t>
  </si>
  <si>
    <t>wipe_extra_perimeter</t>
  </si>
  <si>
    <t>z_step</t>
  </si>
  <si>
    <t>autosmall</t>
  </si>
  <si>
    <t>Prusa Profile Generation</t>
  </si>
  <si>
    <t>Prusa AppData folder</t>
  </si>
  <si>
    <t>Super Slicer AppData folder</t>
  </si>
  <si>
    <t>Super Profile Generation</t>
  </si>
  <si>
    <t>C:\Users\softk\Desktop\Slicer_Config\Test_Slic3r</t>
  </si>
  <si>
    <t>Creality</t>
  </si>
  <si>
    <t>Anycubic</t>
  </si>
  <si>
    <t>marlin value,0.05,0.08,0.05,0.05</t>
  </si>
  <si>
    <t>machine_bound_min_x</t>
  </si>
  <si>
    <t>machine_bound_max_x</t>
  </si>
  <si>
    <t>machine_bound_min_y</t>
  </si>
  <si>
    <t>machine_bound_max_y</t>
  </si>
  <si>
    <t>machine_bound_min_z</t>
  </si>
  <si>
    <t>machine_bound_max_z</t>
  </si>
  <si>
    <t>machine_start_gcode_travel</t>
  </si>
  <si>
    <t>machine_start_gcode_print</t>
  </si>
  <si>
    <t>machine_filament_diameter</t>
  </si>
  <si>
    <t>machine_start_gcode_end</t>
  </si>
  <si>
    <t>machine_start_gcode_layer_height</t>
  </si>
  <si>
    <t>machine_end_gcode_ypos</t>
  </si>
  <si>
    <t>machine_end_gcode_xpos</t>
  </si>
  <si>
    <t>machine_end_gcode_zpos</t>
  </si>
  <si>
    <t>filament_spool_weight</t>
  </si>
  <si>
    <t>full_fan_speed_layer</t>
  </si>
  <si>
    <t>E:\3D_Printer_Tools\Slic3rPortable\Data\AppData_Slic3r</t>
  </si>
  <si>
    <t>[input_filename_base]_[filament_type]_[nozzle_diameter]mm_[layer_height]mm.gcode</t>
  </si>
  <si>
    <t>E:\3D_Printer_Tools\SuperSlicerAlphaPortable\Data\AppData\SuperSlicer-alpha</t>
  </si>
  <si>
    <t>raft_margin</t>
  </si>
  <si>
    <t>raft_airgap</t>
  </si>
  <si>
    <t>If the raft is enabled, this is the extra raft area around the model which is also given a raft. Increasing this margin will create a stronger raft while using more material and leaving less area for your print.</t>
  </si>
  <si>
    <t>The gap between the final raft layer and the first layer of the model. Only the first layer is raised by this amount to lower the bonding between the raft layer and the model. Makes it easier to peel off the raft.</t>
  </si>
  <si>
    <t>shortest</t>
  </si>
  <si>
    <t>seam_position</t>
  </si>
  <si>
    <t>prusa</t>
  </si>
  <si>
    <t>extrusion_width_calc_type</t>
  </si>
  <si>
    <t>infill_anchor</t>
  </si>
  <si>
    <t>infill_anchor_max</t>
  </si>
  <si>
    <t>kg</t>
  </si>
  <si>
    <t>machine_gcode_comments</t>
  </si>
  <si>
    <t>machine_gcode_label_objects</t>
  </si>
  <si>
    <t>-ive value move the head towards the bed and +ive value lift the head away from bed</t>
  </si>
  <si>
    <t>Material properties</t>
  </si>
  <si>
    <t>Low temperature makes Brittle</t>
  </si>
  <si>
    <t>Brittle (No Flex Compare to ABS)</t>
  </si>
  <si>
    <t>Exposed to heat makes Brittle (Compare to ABS)</t>
  </si>
  <si>
    <t>avoid_crossing_perimeters_max_detour</t>
  </si>
  <si>
    <t>bridge_speed_internal</t>
  </si>
  <si>
    <t>brim_ears_detection_length</t>
  </si>
  <si>
    <t>external_perimeter_extrusion_spacing</t>
  </si>
  <si>
    <t>extrusion_spacing</t>
  </si>
  <si>
    <t>first_layer_extrusion_spacing</t>
  </si>
  <si>
    <t>gap_fill_overlap</t>
  </si>
  <si>
    <t>hole_size_threshold</t>
  </si>
  <si>
    <t>hole_to_polyhole_threshold</t>
  </si>
  <si>
    <t>infill_connection</t>
  </si>
  <si>
    <t>infill_connection_bottom</t>
  </si>
  <si>
    <t>infill_connection_solid</t>
  </si>
  <si>
    <t>infill_connection_top</t>
  </si>
  <si>
    <t>infill_extrusion_spacing</t>
  </si>
  <si>
    <t>ironing_angle</t>
  </si>
  <si>
    <t>only_one_perimeter_top_other_algo</t>
  </si>
  <si>
    <t>overhangs_speed</t>
  </si>
  <si>
    <t>overhangs_width_speed</t>
  </si>
  <si>
    <t>perimeter_extrusion_spacing</t>
  </si>
  <si>
    <t>perimeter_round_corners</t>
  </si>
  <si>
    <t>print_retract_length</t>
  </si>
  <si>
    <t>print_retract_lift</t>
  </si>
  <si>
    <t>print_temperature</t>
  </si>
  <si>
    <t>seam_angle_cost</t>
  </si>
  <si>
    <t>seam_travel_cost</t>
  </si>
  <si>
    <t>small_perimeter_max_length</t>
  </si>
  <si>
    <t>small_perimeter_min_length</t>
  </si>
  <si>
    <t>solid_infill_extrusion_spacing</t>
  </si>
  <si>
    <t>top_infill_extrusion_spacing</t>
  </si>
  <si>
    <t>travel_speed_z</t>
  </si>
  <si>
    <t>##External perimeter first</t>
  </si>
  <si>
    <t>Slicing</t>
  </si>
  <si>
    <t>##Filtering</t>
  </si>
  <si>
    <t>##Modifying Slices</t>
  </si>
  <si>
    <t>##Advanced infill options</t>
  </si>
  <si>
    <t>##Options for support material interface</t>
  </si>
  <si>
    <t>Advanced / Width &amp; Flow</t>
  </si>
  <si>
    <t>##Post-Processing milling</t>
  </si>
  <si>
    <t>sawtooth</t>
  </si>
  <si>
    <t>##Filament Properties</t>
  </si>
  <si>
    <t>##Print Speed Override</t>
  </si>
  <si>
    <t>filament_max_speed</t>
  </si>
  <si>
    <t>milling_count</t>
  </si>
  <si>
    <t>color_change_gcode</t>
  </si>
  <si>
    <t>extruder_fan_offset</t>
  </si>
  <si>
    <t>extruder_temperature_offset</t>
  </si>
  <si>
    <t>fan_kickstart</t>
  </si>
  <si>
    <t>fan_percentage</t>
  </si>
  <si>
    <t>fan_speedup_overhangs</t>
  </si>
  <si>
    <t>gcode_precision_e</t>
  </si>
  <si>
    <t>gcode_precision_xyz</t>
  </si>
  <si>
    <t>machine_limits_usage</t>
  </si>
  <si>
    <t>pause_print_gcode</t>
  </si>
  <si>
    <t>printhost_port</t>
  </si>
  <si>
    <t>retract_lift_first_layer</t>
  </si>
  <si>
    <t>retract_lift_top</t>
  </si>
  <si>
    <t>start_gcode_manual</t>
  </si>
  <si>
    <t>template_custom_gcode</t>
  </si>
  <si>
    <t>thumbnails_color</t>
  </si>
  <si>
    <t>#018aff</t>
  </si>
  <si>
    <t>thumbnails_custom_color</t>
  </si>
  <si>
    <t>thumbnails_with_bed</t>
  </si>
  <si>
    <t>tool_name</t>
  </si>
  <si>
    <t>##Cooling Fan</t>
  </si>
  <si>
    <t>##Thumbnails</t>
  </si>
  <si>
    <t>64x64,400x300</t>
  </si>
  <si>
    <t>##Firmware Compensation</t>
  </si>
  <si>
    <t>##Machine Limits</t>
  </si>
  <si>
    <t>klipper</t>
  </si>
  <si>
    <t>machine_firmware_gcode_type</t>
  </si>
  <si>
    <t>profile_type</t>
  </si>
  <si>
    <t>aligned</t>
  </si>
  <si>
    <t>Extrusion Type</t>
  </si>
  <si>
    <t>Profile Name</t>
  </si>
  <si>
    <t>Recommended Thickness (mm)</t>
  </si>
  <si>
    <t>Brittle (Low Toughness), Under Load it will deform over period of time, Low temperature resistance</t>
  </si>
  <si>
    <t>Low temperature resistance (Compare to ABS), Might Flex Bit more than ABS, so part design should consider that</t>
  </si>
  <si>
    <t>Hard to Print, Idle for mechanical part, High temperature resistance, Toxic Fume,  great choice for “wear and tear” 3D prints.</t>
  </si>
  <si>
    <t>Hard to Print, Idle for mechanical part, High temperature resistance, excellent strength to flexibility ratio, very little warpage, without post processing over the period will absorb moisture and become soft and rubbery</t>
  </si>
  <si>
    <t>Parts</t>
  </si>
  <si>
    <t>Model</t>
  </si>
  <si>
    <t>Line Type</t>
  </si>
  <si>
    <t>Extrusion Width Calc Type</t>
  </si>
  <si>
    <t>default</t>
  </si>
  <si>
    <t>#EndofSpec</t>
  </si>
  <si>
    <t>3</t>
  </si>
  <si>
    <t>4</t>
  </si>
  <si>
    <t>machine_max_travel_feedrate</t>
  </si>
  <si>
    <t>preset_name</t>
  </si>
  <si>
    <t>printhost_authorization_type</t>
  </si>
  <si>
    <t>key</t>
  </si>
  <si>
    <t>printhost_password</t>
  </si>
  <si>
    <t>printhost_user</t>
  </si>
  <si>
    <t>192.168.0.109</t>
  </si>
  <si>
    <t>octoprint</t>
  </si>
  <si>
    <t>#physical_printer_start</t>
  </si>
  <si>
    <t>#physical_printer_end</t>
  </si>
  <si>
    <t>Stock creality 9mm3/s</t>
  </si>
  <si>
    <t>V6 13mm3/s</t>
  </si>
  <si>
    <t>volcano 25mm3/s</t>
  </si>
  <si>
    <t>mosquito/dragon 20mm3/s</t>
  </si>
  <si>
    <t>mosquito mag/dragon HF 30mm3/s</t>
  </si>
  <si>
    <t>monotonic</t>
  </si>
  <si>
    <t>DragonSF</t>
  </si>
  <si>
    <t>DragonHF</t>
  </si>
  <si>
    <t>thick_bridges</t>
  </si>
  <si>
    <t>fuzzy_skin</t>
  </si>
  <si>
    <t>fuzzy_skin_thickness</t>
  </si>
  <si>
    <t>##Fuzzy Skin</t>
  </si>
  <si>
    <t>brim_type</t>
  </si>
  <si>
    <t>brim_separation</t>
  </si>
  <si>
    <t>raft_first_layer_density</t>
  </si>
  <si>
    <t>raft_first_layer_expansion</t>
  </si>
  <si>
    <t>raft_contact_distance</t>
  </si>
  <si>
    <t>raft_expansion</t>
  </si>
  <si>
    <t>support_material_style</t>
  </si>
  <si>
    <t>support_material_bottom_contact_distance</t>
  </si>
  <si>
    <t>support_material_closing_radius</t>
  </si>
  <si>
    <t>support_material_bottom_interface_layers</t>
  </si>
  <si>
    <t>first_layer_speed_over_raft</t>
  </si>
  <si>
    <t>first_layer_acceleration_over_raft</t>
  </si>
  <si>
    <t>slicing_mode</t>
  </si>
  <si>
    <t>Advanced</t>
  </si>
  <si>
    <t>gap_fill_enabled</t>
  </si>
  <si>
    <t>super,prusa</t>
  </si>
  <si>
    <t>fuzzy_skin_point_dist</t>
  </si>
  <si>
    <t>wipe_tower_brim_width</t>
  </si>
  <si>
    <t>##Unknown settings</t>
  </si>
  <si>
    <t>Unknown Settings</t>
  </si>
  <si>
    <t>Generate All</t>
  </si>
  <si>
    <t>ProfileType</t>
  </si>
  <si>
    <t>slic3r</t>
  </si>
  <si>
    <t>cura</t>
  </si>
  <si>
    <t>s3d</t>
  </si>
  <si>
    <t>snug</t>
  </si>
  <si>
    <t>AnyCubic E3D V6 General</t>
  </si>
  <si>
    <t>slic3r_feature_gcode</t>
  </si>
  <si>
    <t>#filament_brim_width</t>
  </si>
  <si>
    <t>E:\3D_Printer_Tools\PrusaSlicerBetaPortable\Data\AppData\PrusaSlicer-beta</t>
  </si>
  <si>
    <t>travel_acceleration</t>
  </si>
  <si>
    <t>Factor</t>
  </si>
  <si>
    <t>192.168.0.112</t>
  </si>
  <si>
    <t>#filament_z_offset_layer0</t>
  </si>
  <si>
    <t>E:\3D_Printer_Tools\Cura_Portable\Data\AppData\cura\5.0</t>
  </si>
  <si>
    <t>gcode_resolution</t>
  </si>
  <si>
    <t>gcode_substitutions</t>
  </si>
  <si>
    <t>max_volumetric_extrusion_rate_slope_negative</t>
  </si>
  <si>
    <t>max_volumetric_extrusion_rate_slope_positive</t>
  </si>
  <si>
    <t>min_bead_width</t>
  </si>
  <si>
    <t>min_feature_size</t>
  </si>
  <si>
    <t>mmu_segmented_region_max_width</t>
  </si>
  <si>
    <t>perimeter_generator</t>
  </si>
  <si>
    <t>wall_distribution_count</t>
  </si>
  <si>
    <t>wall_transition_angle</t>
  </si>
  <si>
    <t>wall_transition_filter_deviation</t>
  </si>
  <si>
    <t>wall_transition_length</t>
  </si>
  <si>
    <t>thumbnails_format</t>
  </si>
  <si>
    <t>PNG</t>
  </si>
  <si>
    <t>##Arachne perimeter generator</t>
  </si>
  <si>
    <t>prusa,super</t>
  </si>
  <si>
    <t>only_one_perimeter_first_layer</t>
  </si>
  <si>
    <t>solid_over_perimeters</t>
  </si>
  <si>
    <t>s_wall_thickness</t>
  </si>
  <si>
    <t>##overhangs</t>
  </si>
  <si>
    <t>s_overhangs</t>
  </si>
  <si>
    <t>gap_fill_last</t>
  </si>
  <si>
    <t>gap_fill_extension</t>
  </si>
  <si>
    <t>gap_fill_min_length</t>
  </si>
  <si>
    <t>gap_fill_max_width</t>
  </si>
  <si>
    <t>s_seam_position</t>
  </si>
  <si>
    <t>resolution_internal</t>
  </si>
  <si>
    <t>first_layer_size_compensation_layers</t>
  </si>
  <si>
    <t>hole_to_polyhole_twisted</t>
  </si>
  <si>
    <t>solid_fill_pattern</t>
  </si>
  <si>
    <t>enforce_retract_first_layer</t>
  </si>
  <si>
    <t>skirt_distance_from_brim</t>
  </si>
  <si>
    <t>raft_layer_height</t>
  </si>
  <si>
    <t>raft_interface_layer_height</t>
  </si>
  <si>
    <t>support_material_interface_angle</t>
  </si>
  <si>
    <t>support_material_interface_angle_increment</t>
  </si>
  <si>
    <t>brim_speed</t>
  </si>
  <si>
    <t>gap_fill_flow_match_perimeter</t>
  </si>
  <si>
    <t>first_layer_min_speed</t>
  </si>
  <si>
    <t>external_perimeter_acceleration</t>
  </si>
  <si>
    <t>solid_infill_acceleration</t>
  </si>
  <si>
    <t>top_solid_infill_acceleration</t>
  </si>
  <si>
    <t>support_material_acceleration</t>
  </si>
  <si>
    <t>support_material_interface_acceleration</t>
  </si>
  <si>
    <t>brim_acceleration</t>
  </si>
  <si>
    <t>bridge_internal_acceleration</t>
  </si>
  <si>
    <t>overhangs_acceleration</t>
  </si>
  <si>
    <t>gap_fill_acceleration</t>
  </si>
  <si>
    <t>thin_walls_acceleration</t>
  </si>
  <si>
    <t>ironing_acceleration</t>
  </si>
  <si>
    <t>travel_deceleration_use_target</t>
  </si>
  <si>
    <t>solid_infill_overlap</t>
  </si>
  <si>
    <t>bridge_overlap_min</t>
  </si>
  <si>
    <t>bridge_type</t>
  </si>
  <si>
    <t>s_not_thick_bridge</t>
  </si>
  <si>
    <t>##Plater</t>
  </si>
  <si>
    <t>complete_objects_one_brim</t>
  </si>
  <si>
    <t>print_custom_variables</t>
  </si>
  <si>
    <t>default_speed</t>
  </si>
  <si>
    <t>bridge_fill_pattern</t>
  </si>
  <si>
    <t>infill_connection_bridge</t>
  </si>
  <si>
    <t>gap_fill_min_width</t>
  </si>
  <si>
    <t>skirt_brim</t>
  </si>
  <si>
    <t>support_material_angle_height</t>
  </si>
  <si>
    <t>support_material_interface_layer_height</t>
  </si>
  <si>
    <t>support_material_layer_height</t>
  </si>
  <si>
    <t>wall_add_middle_threshold</t>
  </si>
  <si>
    <t>wall_split_middle_threshold</t>
  </si>
  <si>
    <t>rectilineargapfill</t>
  </si>
  <si>
    <t>machine_firmware_type</t>
  </si>
  <si>
    <t>ender3_bed.stl</t>
  </si>
  <si>
    <t>ender3_texture.svg</t>
  </si>
  <si>
    <t>4MAXPRO20_bed.stl</t>
  </si>
  <si>
    <t>4MAXPRO20_texture.svg</t>
  </si>
  <si>
    <t>AnyCubic E3D V6 General 0.4 mm</t>
  </si>
  <si>
    <t>anycubic_e3d_v6_general_0_4_mm</t>
  </si>
  <si>
    <t>E:\3D_Printer_Tools\PrusaSlicerPortable\Data\AppData\PrusaSlicer</t>
  </si>
  <si>
    <t>E:\3D_Printer_Tools\SuperSlicerPortable\Data\AppData\SuperSlicer</t>
  </si>
  <si>
    <t>marlin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</si>
</sst>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
      <b/>
      <sz val="11"/>
      <color theme="1"/>
      <name val="Calibri"/>
      <family val="2"/>
      <scheme val="minor"/>
    </font>
    <font>
      <sz val="11"/>
      <color theme="0"/>
      <name val="Calibri"/>
      <family val="2"/>
      <scheme val="minor"/>
    </font>
  </fonts>
  <fills count="12">
    <fill>
      <patternFill patternType="none"/>
    </fill>
    <fill>
      <patternFill patternType="gray125"/>
    </fill>
    <fill>
      <patternFill patternType="solid">
        <fgColor rgb="FF92D050"/>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A6A6A6"/>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D9E1F2"/>
        <bgColor theme="4" tint="0.59999389629810485"/>
      </patternFill>
    </fill>
    <fill>
      <patternFill patternType="solid">
        <fgColor rgb="FFB4C6E7"/>
        <bgColor theme="4" tint="0.79998168889431442"/>
      </patternFill>
    </fill>
    <fill>
      <patternFill patternType="solid">
        <fgColor rgb="FFFFC000"/>
        <bgColor indexed="64"/>
      </patternFill>
    </fill>
  </fills>
  <borders count="2">
    <border>
      <left/>
      <right/>
      <top/>
      <bottom/>
      <diagonal/>
    </border>
    <border>
      <left style="thin">
        <color rgb="FFFFFFFF"/>
      </left>
      <right style="thin">
        <color rgb="FFFFFFFF"/>
      </right>
      <top style="thin">
        <color rgb="FFFFFFFF"/>
      </top>
      <bottom style="thin">
        <color rgb="FFFFFFFF"/>
      </bottom>
      <diagonal/>
    </border>
  </borders>
  <cellStyleXfs count="1">
    <xf numFmtId="0" fontId="0" fillId="0" borderId="0"/>
  </cellStyleXfs>
  <cellXfs count="139">
    <xf numFmtId="0" fontId="0" fillId="0" borderId="0" xfId="0"/>
    <xf numFmtId="1" fontId="0" fillId="0" borderId="0" xfId="0" applyNumberFormat="1" applyBorder="1"/>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3" borderId="1" xfId="0" applyFill="1" applyBorder="1" applyAlignment="1">
      <alignment wrapText="1"/>
    </xf>
    <xf numFmtId="1" fontId="0" fillId="6" borderId="1" xfId="0" applyNumberFormat="1" applyFill="1" applyBorder="1"/>
    <xf numFmtId="0" fontId="0" fillId="4" borderId="1" xfId="0" applyFill="1" applyBorder="1" applyAlignment="1">
      <alignment wrapText="1"/>
    </xf>
    <xf numFmtId="0" fontId="1" fillId="3" borderId="1" xfId="0" applyFont="1" applyFill="1" applyBorder="1"/>
    <xf numFmtId="1" fontId="0" fillId="4" borderId="1" xfId="0" applyNumberFormat="1" applyFill="1" applyBorder="1"/>
    <xf numFmtId="1" fontId="0" fillId="5" borderId="1" xfId="0" applyNumberFormat="1" applyFill="1" applyBorder="1"/>
    <xf numFmtId="2" fontId="0" fillId="4" borderId="1" xfId="0" applyNumberFormat="1" applyFill="1" applyBorder="1"/>
    <xf numFmtId="2" fontId="0" fillId="5" borderId="1" xfId="0" applyNumberFormat="1" applyFill="1" applyBorder="1"/>
    <xf numFmtId="0" fontId="0" fillId="7" borderId="1" xfId="0" applyFont="1" applyFill="1" applyBorder="1"/>
    <xf numFmtId="0" fontId="0" fillId="9" borderId="1" xfId="0" applyFont="1" applyFill="1" applyBorder="1"/>
    <xf numFmtId="0" fontId="0" fillId="10" borderId="1" xfId="0" applyFont="1" applyFill="1" applyBorder="1"/>
    <xf numFmtId="0" fontId="0" fillId="7" borderId="1" xfId="0" applyFill="1" applyBorder="1"/>
    <xf numFmtId="0" fontId="0" fillId="9" borderId="1" xfId="0" applyFill="1" applyBorder="1"/>
    <xf numFmtId="0" fontId="0" fillId="8" borderId="1" xfId="0" applyFill="1" applyBorder="1"/>
    <xf numFmtId="0" fontId="0" fillId="10" borderId="1" xfId="0" applyFill="1" applyBorder="1"/>
    <xf numFmtId="0" fontId="0" fillId="4" borderId="1" xfId="0" applyFill="1" applyBorder="1" applyAlignment="1">
      <alignment horizontal="right"/>
    </xf>
    <xf numFmtId="0" fontId="0" fillId="7" borderId="1" xfId="0" applyFont="1" applyFill="1" applyBorder="1" applyAlignment="1">
      <alignment horizontal="right"/>
    </xf>
    <xf numFmtId="0" fontId="0" fillId="9" borderId="1" xfId="0" applyFont="1" applyFill="1" applyBorder="1" applyAlignment="1">
      <alignment horizontal="right"/>
    </xf>
    <xf numFmtId="0" fontId="0" fillId="5" borderId="1" xfId="0" applyFill="1" applyBorder="1" applyAlignment="1">
      <alignment horizontal="right"/>
    </xf>
    <xf numFmtId="0" fontId="0" fillId="4" borderId="1" xfId="0" applyFont="1" applyFill="1" applyBorder="1" applyAlignment="1">
      <alignment horizontal="right"/>
    </xf>
    <xf numFmtId="0" fontId="0" fillId="5" borderId="1" xfId="0" applyFont="1" applyFill="1" applyBorder="1" applyAlignment="1">
      <alignment horizontal="right"/>
    </xf>
    <xf numFmtId="0" fontId="0" fillId="9" borderId="1" xfId="0" applyFill="1" applyBorder="1" applyAlignment="1">
      <alignment horizontal="right"/>
    </xf>
    <xf numFmtId="0" fontId="0" fillId="7" borderId="1" xfId="0" applyFill="1" applyBorder="1" applyAlignment="1">
      <alignment horizontal="right"/>
    </xf>
    <xf numFmtId="0" fontId="0" fillId="10" borderId="1" xfId="0" applyFill="1" applyBorder="1" applyAlignment="1">
      <alignment horizontal="right"/>
    </xf>
    <xf numFmtId="0" fontId="0" fillId="8" borderId="1" xfId="0" applyFill="1" applyBorder="1" applyAlignment="1">
      <alignment horizontal="right"/>
    </xf>
    <xf numFmtId="0" fontId="0" fillId="3" borderId="1" xfId="0" applyFill="1" applyBorder="1" applyAlignment="1">
      <alignment horizontal="right"/>
    </xf>
    <xf numFmtId="0" fontId="0" fillId="6" borderId="1" xfId="0" applyFill="1" applyBorder="1" applyAlignment="1">
      <alignment horizontal="right"/>
    </xf>
    <xf numFmtId="9" fontId="0" fillId="4" borderId="1" xfId="0" applyNumberFormat="1" applyFill="1" applyBorder="1" applyAlignment="1">
      <alignment horizontal="right"/>
    </xf>
    <xf numFmtId="0" fontId="0" fillId="0" borderId="0" xfId="0" applyAlignment="1">
      <alignment horizontal="right"/>
    </xf>
    <xf numFmtId="0" fontId="0" fillId="4" borderId="1" xfId="0" applyNumberFormat="1" applyFill="1" applyBorder="1" applyAlignment="1">
      <alignment horizontal="right"/>
    </xf>
    <xf numFmtId="49" fontId="0" fillId="3" borderId="1" xfId="0" applyNumberFormat="1" applyFill="1" applyBorder="1"/>
    <xf numFmtId="49" fontId="0" fillId="4" borderId="1" xfId="0" applyNumberFormat="1" applyFill="1" applyBorder="1"/>
    <xf numFmtId="49" fontId="0" fillId="5" borderId="1" xfId="0" applyNumberFormat="1" applyFill="1" applyBorder="1"/>
    <xf numFmtId="49" fontId="0" fillId="6" borderId="1" xfId="0" applyNumberFormat="1" applyFill="1" applyBorder="1"/>
    <xf numFmtId="49" fontId="0" fillId="0" borderId="0" xfId="0" applyNumberFormat="1"/>
    <xf numFmtId="0" fontId="0" fillId="4" borderId="1" xfId="0" applyNumberFormat="1" applyFill="1" applyBorder="1"/>
    <xf numFmtId="49" fontId="1" fillId="3" borderId="1" xfId="0" applyNumberFormat="1" applyFont="1" applyFill="1" applyBorder="1"/>
    <xf numFmtId="49" fontId="0" fillId="3" borderId="1" xfId="0" applyNumberFormat="1" applyFill="1" applyBorder="1" applyAlignment="1">
      <alignment wrapText="1"/>
    </xf>
    <xf numFmtId="49" fontId="0" fillId="7" borderId="1" xfId="0" applyNumberFormat="1" applyFont="1" applyFill="1" applyBorder="1"/>
    <xf numFmtId="49" fontId="0" fillId="9" borderId="1" xfId="0" applyNumberFormat="1" applyFont="1" applyFill="1" applyBorder="1"/>
    <xf numFmtId="49" fontId="0" fillId="7" borderId="1" xfId="0" applyNumberFormat="1" applyFill="1" applyBorder="1"/>
    <xf numFmtId="49" fontId="0" fillId="9" borderId="1" xfId="0" applyNumberFormat="1" applyFill="1" applyBorder="1"/>
    <xf numFmtId="49" fontId="0" fillId="8" borderId="1" xfId="0" applyNumberFormat="1" applyFill="1" applyBorder="1"/>
    <xf numFmtId="49" fontId="0" fillId="10" borderId="1" xfId="0" applyNumberFormat="1" applyFill="1" applyBorder="1"/>
    <xf numFmtId="49" fontId="0" fillId="10" borderId="1" xfId="0" applyNumberFormat="1" applyFont="1" applyFill="1" applyBorder="1"/>
    <xf numFmtId="9" fontId="0" fillId="5" borderId="1" xfId="0" applyNumberFormat="1" applyFill="1" applyBorder="1" applyAlignment="1">
      <alignment horizontal="right"/>
    </xf>
    <xf numFmtId="0" fontId="0" fillId="5" borderId="1" xfId="0" applyNumberFormat="1" applyFill="1" applyBorder="1"/>
    <xf numFmtId="49" fontId="0" fillId="3" borderId="1" xfId="0" quotePrefix="1" applyNumberFormat="1" applyFill="1" applyBorder="1" applyAlignment="1">
      <alignment horizontal="right"/>
    </xf>
    <xf numFmtId="49" fontId="0" fillId="3" borderId="1" xfId="0" applyNumberFormat="1" applyFill="1" applyBorder="1" applyAlignment="1">
      <alignment horizontal="right"/>
    </xf>
    <xf numFmtId="0" fontId="0" fillId="0" borderId="0" xfId="0" applyFill="1" applyBorder="1"/>
    <xf numFmtId="0" fontId="5" fillId="3" borderId="1" xfId="0" applyFont="1" applyFill="1" applyBorder="1"/>
    <xf numFmtId="0" fontId="5" fillId="3" borderId="1" xfId="0" applyFont="1" applyFill="1" applyBorder="1" applyAlignment="1">
      <alignment horizontal="left"/>
    </xf>
    <xf numFmtId="0" fontId="5" fillId="3" borderId="1" xfId="0" applyFont="1" applyFill="1" applyBorder="1" applyAlignment="1">
      <alignment horizontal="right"/>
    </xf>
    <xf numFmtId="0" fontId="0" fillId="4" borderId="1" xfId="0" applyFill="1" applyBorder="1" applyAlignment="1">
      <alignment horizontal="left"/>
    </xf>
    <xf numFmtId="0" fontId="0" fillId="5" borderId="1" xfId="0" applyFill="1" applyBorder="1" applyAlignment="1">
      <alignment horizontal="left"/>
    </xf>
    <xf numFmtId="0" fontId="0" fillId="5" borderId="1" xfId="0" quotePrefix="1" applyFill="1" applyBorder="1" applyAlignment="1">
      <alignment horizontal="right"/>
    </xf>
    <xf numFmtId="0" fontId="0" fillId="0" borderId="0" xfId="0" applyAlignment="1">
      <alignment horizontal="left"/>
    </xf>
    <xf numFmtId="49" fontId="5" fillId="3" borderId="1" xfId="0" quotePrefix="1" applyNumberFormat="1" applyFont="1" applyFill="1" applyBorder="1" applyAlignment="1">
      <alignment horizontal="left"/>
    </xf>
    <xf numFmtId="0" fontId="0" fillId="8" borderId="1" xfId="0" applyFont="1" applyFill="1" applyBorder="1"/>
    <xf numFmtId="0" fontId="0" fillId="5" borderId="1" xfId="0" applyFill="1" applyBorder="1" applyAlignment="1">
      <alignment wrapText="1"/>
    </xf>
    <xf numFmtId="0" fontId="0" fillId="5" borderId="1" xfId="0" applyNumberFormat="1" applyFill="1" applyBorder="1" applyAlignment="1">
      <alignment horizontal="right"/>
    </xf>
    <xf numFmtId="49" fontId="0" fillId="5" borderId="1" xfId="0" quotePrefix="1" applyNumberFormat="1" applyFill="1" applyBorder="1" applyAlignment="1">
      <alignment horizontal="right"/>
    </xf>
    <xf numFmtId="49" fontId="0" fillId="5" borderId="1" xfId="0" applyNumberFormat="1" applyFill="1" applyBorder="1" applyAlignment="1">
      <alignment horizontal="right"/>
    </xf>
    <xf numFmtId="0" fontId="0" fillId="4" borderId="1" xfId="0" quotePrefix="1" applyFill="1" applyBorder="1" applyAlignment="1">
      <alignment horizontal="left"/>
    </xf>
    <xf numFmtId="0" fontId="6" fillId="0" borderId="0" xfId="0" applyFont="1" applyFill="1" applyBorder="1"/>
    <xf numFmtId="0" fontId="0" fillId="4" borderId="1" xfId="0" quotePrefix="1" applyFill="1" applyBorder="1" applyAlignment="1">
      <alignment horizontal="right"/>
    </xf>
    <xf numFmtId="0" fontId="0" fillId="6" borderId="1" xfId="0" applyFill="1" applyBorder="1" applyAlignment="1">
      <alignment horizontal="left"/>
    </xf>
    <xf numFmtId="0" fontId="0" fillId="6" borderId="1" xfId="0" quotePrefix="1" applyFill="1" applyBorder="1" applyAlignment="1">
      <alignment horizontal="right"/>
    </xf>
    <xf numFmtId="49" fontId="0" fillId="4" borderId="1" xfId="0" applyNumberFormat="1" applyFill="1" applyBorder="1" applyAlignment="1">
      <alignment horizontal="left"/>
    </xf>
    <xf numFmtId="1" fontId="0" fillId="6" borderId="1" xfId="0" applyNumberFormat="1" applyFill="1" applyBorder="1" applyAlignment="1">
      <alignment horizontal="left"/>
    </xf>
    <xf numFmtId="0" fontId="1" fillId="3" borderId="1" xfId="0" applyFont="1" applyFill="1" applyBorder="1" applyAlignment="1">
      <alignment wrapText="1"/>
    </xf>
    <xf numFmtId="49" fontId="1" fillId="3" borderId="1" xfId="0" applyNumberFormat="1" applyFont="1" applyFill="1" applyBorder="1" applyAlignment="1">
      <alignment wrapText="1"/>
    </xf>
    <xf numFmtId="49" fontId="0" fillId="0" borderId="0" xfId="0" applyNumberFormat="1" applyFont="1" applyFill="1" applyBorder="1"/>
    <xf numFmtId="49" fontId="0" fillId="0" borderId="0" xfId="0" applyNumberFormat="1" applyFill="1" applyBorder="1"/>
    <xf numFmtId="0" fontId="0" fillId="10" borderId="1" xfId="0" applyFont="1" applyFill="1" applyBorder="1" applyAlignment="1">
      <alignment horizontal="right"/>
    </xf>
    <xf numFmtId="49" fontId="1" fillId="4" borderId="1" xfId="0" applyNumberFormat="1" applyFont="1" applyFill="1" applyBorder="1"/>
    <xf numFmtId="0" fontId="1" fillId="4" borderId="1" xfId="0" applyFont="1" applyFill="1" applyBorder="1"/>
    <xf numFmtId="49" fontId="1" fillId="0" borderId="0" xfId="0" applyNumberFormat="1" applyFont="1" applyFill="1" applyBorder="1"/>
    <xf numFmtId="0" fontId="1" fillId="0" borderId="0" xfId="0" applyFont="1" applyFill="1" applyBorder="1"/>
    <xf numFmtId="2" fontId="0" fillId="0" borderId="0" xfId="0" applyNumberFormat="1" applyFill="1" applyBorder="1"/>
    <xf numFmtId="49" fontId="0" fillId="0" borderId="0" xfId="0" applyNumberFormat="1" applyBorder="1"/>
    <xf numFmtId="0" fontId="0" fillId="0" borderId="0" xfId="0" applyBorder="1"/>
    <xf numFmtId="0" fontId="0" fillId="0" borderId="0" xfId="0" applyFill="1" applyBorder="1" applyAlignment="1"/>
    <xf numFmtId="0" fontId="0" fillId="4" borderId="1" xfId="0" applyFill="1" applyBorder="1" applyAlignment="1">
      <alignment vertical="center"/>
    </xf>
    <xf numFmtId="2" fontId="0" fillId="5" borderId="1" xfId="0" applyNumberFormat="1" applyFill="1" applyBorder="1" applyAlignment="1">
      <alignment horizontal="right"/>
    </xf>
    <xf numFmtId="2" fontId="0" fillId="4" borderId="1" xfId="0" applyNumberFormat="1" applyFill="1" applyBorder="1" applyAlignment="1">
      <alignment horizontal="right"/>
    </xf>
    <xf numFmtId="1" fontId="0" fillId="4" borderId="1" xfId="0" applyNumberFormat="1" applyFill="1" applyBorder="1" applyAlignment="1">
      <alignment horizontal="right"/>
    </xf>
    <xf numFmtId="1" fontId="0" fillId="5" borderId="1" xfId="0" applyNumberFormat="1" applyFill="1" applyBorder="1" applyAlignment="1">
      <alignment horizontal="right"/>
    </xf>
    <xf numFmtId="0" fontId="0" fillId="0" borderId="0" xfId="0"/>
    <xf numFmtId="0" fontId="0" fillId="3" borderId="1" xfId="0" applyFill="1" applyBorder="1"/>
    <xf numFmtId="0" fontId="0" fillId="4" borderId="1" xfId="0" applyFill="1" applyBorder="1"/>
    <xf numFmtId="0" fontId="0" fillId="5" borderId="1" xfId="0" applyFill="1" applyBorder="1"/>
    <xf numFmtId="0" fontId="0" fillId="2" borderId="1" xfId="0" applyFill="1" applyBorder="1"/>
    <xf numFmtId="0" fontId="0" fillId="6" borderId="1" xfId="0" applyFill="1" applyBorder="1"/>
    <xf numFmtId="1" fontId="0" fillId="6" borderId="1" xfId="0" applyNumberFormat="1" applyFill="1" applyBorder="1"/>
    <xf numFmtId="0" fontId="0" fillId="4" borderId="1" xfId="0" applyFill="1" applyBorder="1" applyAlignment="1">
      <alignment wrapText="1"/>
    </xf>
    <xf numFmtId="0" fontId="0" fillId="4" borderId="1" xfId="0" applyFill="1" applyBorder="1" applyAlignment="1">
      <alignment horizontal="right"/>
    </xf>
    <xf numFmtId="0" fontId="0" fillId="5" borderId="1" xfId="0" applyFill="1" applyBorder="1" applyAlignment="1">
      <alignment horizontal="right"/>
    </xf>
    <xf numFmtId="0" fontId="0" fillId="3" borderId="1" xfId="0" applyFill="1" applyBorder="1" applyAlignment="1">
      <alignment horizontal="right"/>
    </xf>
    <xf numFmtId="0" fontId="0" fillId="2" borderId="1" xfId="0" applyFill="1" applyBorder="1" applyAlignment="1">
      <alignment horizontal="right"/>
    </xf>
    <xf numFmtId="0" fontId="0" fillId="6" borderId="1" xfId="0" applyFill="1" applyBorder="1" applyAlignment="1">
      <alignment horizontal="right"/>
    </xf>
    <xf numFmtId="9" fontId="0" fillId="4" borderId="1" xfId="0" applyNumberFormat="1" applyFill="1" applyBorder="1" applyAlignment="1">
      <alignment horizontal="right"/>
    </xf>
    <xf numFmtId="0" fontId="0" fillId="4" borderId="1" xfId="0" applyFill="1" applyBorder="1" applyAlignment="1">
      <alignment horizontal="right" wrapText="1"/>
    </xf>
    <xf numFmtId="0" fontId="0" fillId="5" borderId="1" xfId="0" applyFill="1" applyBorder="1" applyAlignment="1">
      <alignment horizontal="right" wrapText="1"/>
    </xf>
    <xf numFmtId="9" fontId="0" fillId="4" borderId="1" xfId="0" applyNumberFormat="1" applyFill="1" applyBorder="1"/>
    <xf numFmtId="0" fontId="0" fillId="4" borderId="1" xfId="0" applyNumberFormat="1" applyFill="1" applyBorder="1" applyAlignment="1">
      <alignment horizontal="right"/>
    </xf>
    <xf numFmtId="49" fontId="0" fillId="3" borderId="1" xfId="0" applyNumberFormat="1" applyFill="1" applyBorder="1"/>
    <xf numFmtId="49" fontId="0" fillId="4" borderId="1" xfId="0" applyNumberFormat="1" applyFill="1" applyBorder="1"/>
    <xf numFmtId="49" fontId="0" fillId="5" borderId="1" xfId="0" applyNumberFormat="1" applyFill="1" applyBorder="1"/>
    <xf numFmtId="49" fontId="0" fillId="2" borderId="1" xfId="0" applyNumberFormat="1" applyFill="1" applyBorder="1"/>
    <xf numFmtId="49" fontId="0" fillId="6" borderId="1" xfId="0" applyNumberFormat="1" applyFill="1" applyBorder="1"/>
    <xf numFmtId="0" fontId="0" fillId="4" borderId="1" xfId="0" applyNumberFormat="1" applyFill="1" applyBorder="1"/>
    <xf numFmtId="9" fontId="0" fillId="5" borderId="1" xfId="0" applyNumberFormat="1" applyFill="1" applyBorder="1"/>
    <xf numFmtId="9" fontId="0" fillId="5" borderId="1" xfId="0" applyNumberFormat="1" applyFill="1" applyBorder="1" applyAlignment="1">
      <alignment horizontal="right"/>
    </xf>
    <xf numFmtId="0" fontId="0" fillId="5" borderId="1" xfId="0" applyNumberFormat="1" applyFill="1" applyBorder="1"/>
    <xf numFmtId="0" fontId="0" fillId="3" borderId="1" xfId="0" quotePrefix="1" applyFill="1" applyBorder="1"/>
    <xf numFmtId="0" fontId="0" fillId="5" borderId="1" xfId="0" applyNumberFormat="1" applyFill="1" applyBorder="1" applyAlignment="1">
      <alignment horizontal="right"/>
    </xf>
    <xf numFmtId="49" fontId="0" fillId="5" borderId="1" xfId="0" applyNumberFormat="1" applyFill="1" applyBorder="1" applyAlignment="1">
      <alignment horizontal="right"/>
    </xf>
    <xf numFmtId="0" fontId="0" fillId="4" borderId="1" xfId="0" quotePrefix="1" applyFill="1" applyBorder="1" applyAlignment="1">
      <alignment horizontal="right"/>
    </xf>
    <xf numFmtId="49" fontId="0" fillId="4" borderId="1" xfId="0" applyNumberFormat="1" applyFill="1" applyBorder="1" applyAlignment="1">
      <alignment horizontal="right"/>
    </xf>
    <xf numFmtId="0" fontId="0" fillId="6" borderId="1" xfId="0" quotePrefix="1" applyFill="1" applyBorder="1"/>
    <xf numFmtId="9" fontId="0" fillId="2" borderId="1" xfId="0" applyNumberFormat="1" applyFill="1" applyBorder="1"/>
    <xf numFmtId="9" fontId="0" fillId="2" borderId="1" xfId="0" applyNumberFormat="1" applyFill="1" applyBorder="1" applyAlignment="1">
      <alignment horizontal="right"/>
    </xf>
    <xf numFmtId="0" fontId="0" fillId="10" borderId="1" xfId="0" applyNumberFormat="1" applyFill="1" applyBorder="1" applyAlignment="1">
      <alignment horizontal="right"/>
    </xf>
    <xf numFmtId="9" fontId="0" fillId="0" borderId="0" xfId="0" applyNumberFormat="1" applyAlignment="1">
      <alignment horizontal="right"/>
    </xf>
    <xf numFmtId="49" fontId="0" fillId="3" borderId="1" xfId="0" applyNumberFormat="1" applyFill="1" applyBorder="1" applyAlignment="1">
      <alignment horizontal="left"/>
    </xf>
    <xf numFmtId="49" fontId="0" fillId="6" borderId="1" xfId="0" applyNumberFormat="1" applyFill="1" applyBorder="1" applyAlignment="1">
      <alignment horizontal="left"/>
    </xf>
    <xf numFmtId="49" fontId="0" fillId="2" borderId="1" xfId="0" applyNumberFormat="1" applyFill="1" applyBorder="1" applyAlignment="1">
      <alignment horizontal="left"/>
    </xf>
    <xf numFmtId="49" fontId="0" fillId="5" borderId="1" xfId="0" applyNumberFormat="1" applyFill="1" applyBorder="1" applyAlignment="1">
      <alignment horizontal="left"/>
    </xf>
    <xf numFmtId="49" fontId="0" fillId="0" borderId="0" xfId="0" applyNumberFormat="1" applyAlignment="1">
      <alignment horizontal="left"/>
    </xf>
    <xf numFmtId="0" fontId="0" fillId="8" borderId="1" xfId="0" applyNumberFormat="1" applyFill="1" applyBorder="1" applyAlignment="1">
      <alignment horizontal="right"/>
    </xf>
    <xf numFmtId="0" fontId="0" fillId="3" borderId="1" xfId="0" applyFill="1" applyBorder="1" applyAlignment="1">
      <alignment horizontal="center"/>
    </xf>
    <xf numFmtId="0" fontId="0" fillId="11" borderId="1"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F9750-AE01-42C8-90F5-4307154B886E}">
  <sheetPr codeName="Sheet16"/>
  <dimension ref="A1:H44"/>
  <sheetViews>
    <sheetView workbookViewId="0">
      <selection activeCell="B16" sqref="B16"/>
    </sheetView>
  </sheetViews>
  <sheetFormatPr defaultRowHeight="14.4" x14ac:dyDescent="0.3"/>
  <cols>
    <col min="1" max="1" width="25.88671875" bestFit="1" customWidth="1"/>
    <col min="2" max="2" width="74" style="40" bestFit="1" customWidth="1"/>
    <col min="3" max="3" width="11.33203125" bestFit="1" customWidth="1"/>
    <col min="4" max="4" width="22.88671875" customWidth="1"/>
    <col min="5" max="5" width="44.44140625" bestFit="1" customWidth="1"/>
    <col min="7" max="7" width="22.88671875" customWidth="1"/>
    <col min="8" max="8" width="64.33203125" customWidth="1"/>
  </cols>
  <sheetData>
    <row r="1" spans="1:8" x14ac:dyDescent="0.3">
      <c r="A1" s="9" t="s">
        <v>1073</v>
      </c>
      <c r="B1" s="42" t="s">
        <v>426</v>
      </c>
      <c r="C1" s="95" t="s">
        <v>1619</v>
      </c>
      <c r="E1" s="78"/>
      <c r="F1" s="55"/>
      <c r="G1" s="55"/>
      <c r="H1" s="55"/>
    </row>
    <row r="2" spans="1:8" x14ac:dyDescent="0.3">
      <c r="A2" s="16" t="s">
        <v>215</v>
      </c>
      <c r="B2" s="50" t="s">
        <v>1448</v>
      </c>
      <c r="C2" s="96" t="s">
        <v>1620</v>
      </c>
      <c r="E2" s="55"/>
      <c r="F2" s="55"/>
      <c r="G2" s="55"/>
      <c r="H2" s="55"/>
    </row>
    <row r="3" spans="1:8" x14ac:dyDescent="0.3">
      <c r="A3" s="64"/>
      <c r="B3" s="64" t="s">
        <v>1468</v>
      </c>
      <c r="C3" s="97" t="s">
        <v>1620</v>
      </c>
      <c r="E3" s="78"/>
      <c r="F3" s="55"/>
      <c r="G3" s="55"/>
      <c r="H3" s="55"/>
    </row>
    <row r="4" spans="1:8" x14ac:dyDescent="0.3">
      <c r="A4" s="14"/>
      <c r="B4" s="44"/>
      <c r="C4" s="96" t="s">
        <v>1620</v>
      </c>
      <c r="E4" s="78"/>
      <c r="F4" s="55"/>
      <c r="G4" s="55"/>
      <c r="H4" s="55"/>
    </row>
    <row r="5" spans="1:8" s="94" customFormat="1" x14ac:dyDescent="0.3">
      <c r="A5" s="15"/>
      <c r="B5" s="45"/>
      <c r="C5" s="97" t="s">
        <v>1620</v>
      </c>
      <c r="E5" s="78"/>
      <c r="F5" s="55"/>
      <c r="G5" s="55"/>
      <c r="H5" s="55"/>
    </row>
    <row r="6" spans="1:8" x14ac:dyDescent="0.3">
      <c r="A6" s="96"/>
      <c r="B6" s="113"/>
      <c r="C6" s="96" t="s">
        <v>1620</v>
      </c>
      <c r="E6" s="55"/>
      <c r="F6" s="55"/>
      <c r="G6" s="55"/>
      <c r="H6" s="70"/>
    </row>
    <row r="7" spans="1:8" x14ac:dyDescent="0.3">
      <c r="A7" s="9" t="s">
        <v>1444</v>
      </c>
      <c r="B7" s="42" t="s">
        <v>426</v>
      </c>
      <c r="C7" s="95"/>
      <c r="E7" s="78"/>
      <c r="F7" s="55"/>
      <c r="G7" s="55"/>
      <c r="H7" s="70"/>
    </row>
    <row r="8" spans="1:8" x14ac:dyDescent="0.3">
      <c r="A8" s="16" t="s">
        <v>1445</v>
      </c>
      <c r="B8" s="50" t="s">
        <v>1709</v>
      </c>
      <c r="C8" s="96" t="s">
        <v>1477</v>
      </c>
      <c r="E8" s="55"/>
      <c r="F8" s="55"/>
      <c r="G8" s="55"/>
      <c r="H8" s="70"/>
    </row>
    <row r="9" spans="1:8" x14ac:dyDescent="0.3">
      <c r="A9" s="64"/>
      <c r="B9" s="64"/>
      <c r="C9" s="97" t="s">
        <v>1477</v>
      </c>
      <c r="E9" s="55"/>
      <c r="F9" s="55"/>
      <c r="G9" s="55"/>
      <c r="H9" s="70"/>
    </row>
    <row r="10" spans="1:8" x14ac:dyDescent="0.3">
      <c r="A10" s="16"/>
      <c r="B10" s="16"/>
      <c r="C10" s="96" t="s">
        <v>1477</v>
      </c>
      <c r="E10" s="55"/>
      <c r="F10" s="55"/>
      <c r="G10" s="55"/>
      <c r="H10" s="70"/>
    </row>
    <row r="11" spans="1:8" x14ac:dyDescent="0.3">
      <c r="A11" s="15"/>
      <c r="B11" s="45" t="s">
        <v>1627</v>
      </c>
      <c r="C11" s="97" t="s">
        <v>1477</v>
      </c>
      <c r="E11" s="55"/>
      <c r="F11" s="55"/>
      <c r="G11" s="55"/>
      <c r="H11" s="70"/>
    </row>
    <row r="12" spans="1:8" x14ac:dyDescent="0.3">
      <c r="A12" s="96"/>
      <c r="B12" s="113"/>
      <c r="C12" s="96" t="s">
        <v>1477</v>
      </c>
      <c r="E12" s="55"/>
      <c r="F12" s="55"/>
      <c r="G12" s="55"/>
      <c r="H12" s="55"/>
    </row>
    <row r="13" spans="1:8" s="94" customFormat="1" x14ac:dyDescent="0.3">
      <c r="A13" s="97"/>
      <c r="B13" s="114"/>
      <c r="C13" s="97" t="s">
        <v>1477</v>
      </c>
      <c r="E13" s="55"/>
      <c r="F13" s="55"/>
      <c r="G13" s="55"/>
      <c r="H13" s="55"/>
    </row>
    <row r="14" spans="1:8" x14ac:dyDescent="0.3">
      <c r="A14" s="9" t="s">
        <v>1447</v>
      </c>
      <c r="B14" s="42" t="s">
        <v>426</v>
      </c>
      <c r="C14" s="95"/>
      <c r="E14" s="55"/>
      <c r="F14" s="55"/>
      <c r="G14" s="55"/>
      <c r="H14" s="55"/>
    </row>
    <row r="15" spans="1:8" x14ac:dyDescent="0.3">
      <c r="A15" s="16" t="s">
        <v>1446</v>
      </c>
      <c r="B15" s="50" t="s">
        <v>1710</v>
      </c>
      <c r="C15" s="96" t="s">
        <v>1403</v>
      </c>
      <c r="E15" s="55"/>
      <c r="F15" s="55"/>
      <c r="G15" s="55"/>
      <c r="H15" s="55"/>
    </row>
    <row r="16" spans="1:8" x14ac:dyDescent="0.3">
      <c r="A16" s="64"/>
      <c r="B16" s="64"/>
      <c r="C16" s="97" t="s">
        <v>1403</v>
      </c>
      <c r="E16" s="55"/>
      <c r="F16" s="55"/>
      <c r="G16" s="55"/>
      <c r="H16" s="55"/>
    </row>
    <row r="17" spans="1:8" x14ac:dyDescent="0.3">
      <c r="A17" s="14"/>
      <c r="B17" s="44" t="s">
        <v>1470</v>
      </c>
      <c r="C17" s="96" t="s">
        <v>1403</v>
      </c>
      <c r="E17" s="55"/>
      <c r="F17" s="55"/>
      <c r="G17" s="55"/>
      <c r="H17" s="55"/>
    </row>
    <row r="18" spans="1:8" s="94" customFormat="1" x14ac:dyDescent="0.3">
      <c r="A18" s="15"/>
      <c r="B18" s="45"/>
      <c r="C18" s="97" t="s">
        <v>1403</v>
      </c>
      <c r="E18" s="55"/>
      <c r="F18" s="55"/>
      <c r="G18" s="55"/>
      <c r="H18" s="55"/>
    </row>
    <row r="19" spans="1:8" s="94" customFormat="1" x14ac:dyDescent="0.3">
      <c r="A19" s="14"/>
      <c r="B19" s="44"/>
      <c r="C19" s="96" t="s">
        <v>1403</v>
      </c>
      <c r="E19" s="55"/>
      <c r="F19" s="55"/>
      <c r="G19" s="55"/>
      <c r="H19" s="55"/>
    </row>
    <row r="20" spans="1:8" x14ac:dyDescent="0.3">
      <c r="A20" s="97"/>
      <c r="B20" s="114"/>
      <c r="C20" s="97" t="s">
        <v>1403</v>
      </c>
      <c r="E20" s="55"/>
      <c r="F20" s="55"/>
      <c r="G20" s="55"/>
      <c r="H20" s="55"/>
    </row>
    <row r="21" spans="1:8" x14ac:dyDescent="0.3">
      <c r="A21" s="9" t="s">
        <v>1075</v>
      </c>
      <c r="B21" s="9" t="s">
        <v>426</v>
      </c>
      <c r="C21" s="95"/>
      <c r="E21" s="55"/>
      <c r="F21" s="55"/>
      <c r="G21" s="55"/>
      <c r="H21" s="55"/>
    </row>
    <row r="22" spans="1:8" x14ac:dyDescent="0.3">
      <c r="A22" s="20" t="s">
        <v>1074</v>
      </c>
      <c r="B22" s="17" t="s">
        <v>1632</v>
      </c>
      <c r="C22" s="96" t="s">
        <v>1621</v>
      </c>
      <c r="E22" s="55"/>
      <c r="F22" s="55"/>
      <c r="G22" s="55"/>
      <c r="H22" s="55"/>
    </row>
    <row r="23" spans="1:8" x14ac:dyDescent="0.3">
      <c r="A23" s="97"/>
      <c r="B23" s="97"/>
      <c r="C23" s="97" t="s">
        <v>1621</v>
      </c>
      <c r="E23" s="55"/>
      <c r="F23" s="55"/>
      <c r="G23" s="55"/>
      <c r="H23" s="55"/>
    </row>
    <row r="24" spans="1:8" x14ac:dyDescent="0.3">
      <c r="A24" s="96"/>
      <c r="B24" s="96"/>
      <c r="C24" s="96" t="s">
        <v>1621</v>
      </c>
      <c r="E24" s="55"/>
      <c r="F24" s="55"/>
      <c r="G24" s="55"/>
      <c r="H24" s="55"/>
    </row>
    <row r="25" spans="1:8" s="94" customFormat="1" x14ac:dyDescent="0.3">
      <c r="A25" s="97"/>
      <c r="B25" s="97"/>
      <c r="C25" s="97" t="s">
        <v>1621</v>
      </c>
      <c r="E25" s="55"/>
      <c r="F25" s="55"/>
      <c r="G25" s="55"/>
      <c r="H25" s="55"/>
    </row>
    <row r="26" spans="1:8" x14ac:dyDescent="0.3">
      <c r="A26" s="96"/>
      <c r="B26" s="113"/>
      <c r="C26" s="96" t="s">
        <v>1621</v>
      </c>
      <c r="E26" s="55"/>
      <c r="F26" s="55"/>
      <c r="G26" s="55"/>
      <c r="H26" s="55"/>
    </row>
    <row r="27" spans="1:8" x14ac:dyDescent="0.3">
      <c r="A27" s="9" t="s">
        <v>1076</v>
      </c>
      <c r="B27" s="9" t="s">
        <v>426</v>
      </c>
      <c r="C27" s="95"/>
      <c r="E27" s="55"/>
      <c r="F27" s="55"/>
      <c r="G27" s="55"/>
      <c r="H27" s="55"/>
    </row>
    <row r="28" spans="1:8" x14ac:dyDescent="0.3">
      <c r="A28" s="20" t="s">
        <v>1077</v>
      </c>
      <c r="B28" s="17" t="s">
        <v>1097</v>
      </c>
      <c r="C28" s="96" t="s">
        <v>1622</v>
      </c>
      <c r="E28" s="55"/>
      <c r="F28" s="55"/>
      <c r="G28" s="55"/>
      <c r="H28" s="55"/>
    </row>
    <row r="29" spans="1:8" x14ac:dyDescent="0.3">
      <c r="A29" s="97"/>
      <c r="B29" s="97"/>
      <c r="C29" s="97" t="s">
        <v>1622</v>
      </c>
      <c r="E29" s="55"/>
      <c r="F29" s="55"/>
      <c r="G29" s="55"/>
      <c r="H29" s="79"/>
    </row>
    <row r="30" spans="1:8" s="94" customFormat="1" x14ac:dyDescent="0.3">
      <c r="A30" s="96"/>
      <c r="B30" s="96"/>
      <c r="C30" s="96" t="s">
        <v>1622</v>
      </c>
      <c r="E30" s="55"/>
      <c r="F30" s="55"/>
      <c r="G30" s="55"/>
      <c r="H30" s="79"/>
    </row>
    <row r="31" spans="1:8" x14ac:dyDescent="0.3">
      <c r="A31" s="97"/>
      <c r="B31" s="97"/>
      <c r="C31" s="97" t="s">
        <v>1622</v>
      </c>
      <c r="E31" s="55"/>
      <c r="F31" s="55"/>
      <c r="G31" s="55"/>
      <c r="H31" s="78"/>
    </row>
    <row r="32" spans="1:8" x14ac:dyDescent="0.3">
      <c r="E32" s="55"/>
      <c r="F32" s="55"/>
      <c r="G32" s="55"/>
      <c r="H32" s="78"/>
    </row>
    <row r="33" spans="1:8" x14ac:dyDescent="0.3">
      <c r="A33" t="s">
        <v>1618</v>
      </c>
      <c r="E33" s="55"/>
      <c r="F33" s="55"/>
      <c r="G33" s="55"/>
      <c r="H33" s="78"/>
    </row>
    <row r="34" spans="1:8" x14ac:dyDescent="0.3">
      <c r="E34" s="55"/>
      <c r="F34" s="55"/>
      <c r="G34" s="55"/>
      <c r="H34" s="78"/>
    </row>
    <row r="35" spans="1:8" x14ac:dyDescent="0.3">
      <c r="E35" s="55"/>
      <c r="F35" s="55"/>
      <c r="G35" s="55"/>
      <c r="H35" s="79"/>
    </row>
    <row r="36" spans="1:8" x14ac:dyDescent="0.3">
      <c r="E36" s="55"/>
      <c r="F36" s="55"/>
      <c r="G36" s="55"/>
      <c r="H36" s="79"/>
    </row>
    <row r="37" spans="1:8" x14ac:dyDescent="0.3">
      <c r="E37" s="55"/>
      <c r="F37" s="55"/>
      <c r="G37" s="55"/>
      <c r="H37" s="79"/>
    </row>
    <row r="38" spans="1:8" x14ac:dyDescent="0.3">
      <c r="E38" s="55"/>
      <c r="F38" s="55"/>
      <c r="G38" s="55"/>
      <c r="H38" s="79"/>
    </row>
    <row r="39" spans="1:8" x14ac:dyDescent="0.3">
      <c r="E39" s="55"/>
      <c r="F39" s="55"/>
      <c r="G39" s="55"/>
      <c r="H39" s="78"/>
    </row>
    <row r="40" spans="1:8" x14ac:dyDescent="0.3">
      <c r="E40" s="55"/>
      <c r="F40" s="55"/>
      <c r="G40" s="55"/>
      <c r="H40" s="78"/>
    </row>
    <row r="41" spans="1:8" x14ac:dyDescent="0.3">
      <c r="E41" s="55"/>
      <c r="F41" s="55"/>
      <c r="G41" s="55"/>
      <c r="H41" s="79"/>
    </row>
    <row r="42" spans="1:8" x14ac:dyDescent="0.3">
      <c r="E42" s="55"/>
      <c r="F42" s="55"/>
      <c r="G42" s="55"/>
      <c r="H42" s="79"/>
    </row>
    <row r="43" spans="1:8" x14ac:dyDescent="0.3">
      <c r="E43" s="55"/>
      <c r="F43" s="55"/>
      <c r="G43" s="55"/>
      <c r="H43" s="78"/>
    </row>
    <row r="44" spans="1:8" x14ac:dyDescent="0.3">
      <c r="E44" s="55"/>
      <c r="F44" s="55"/>
      <c r="G44" s="55"/>
      <c r="H44" s="7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H87"/>
  <sheetViews>
    <sheetView topLeftCell="A64" workbookViewId="0">
      <selection activeCell="F76" sqref="F76"/>
    </sheetView>
  </sheetViews>
  <sheetFormatPr defaultRowHeight="14.4" x14ac:dyDescent="0.3"/>
  <cols>
    <col min="1" max="1" width="35.5546875" style="40" bestFit="1" customWidth="1"/>
    <col min="2" max="2" width="51" bestFit="1" customWidth="1"/>
    <col min="3" max="3" width="32.44140625" bestFit="1" customWidth="1"/>
    <col min="4" max="4" width="32.44140625" style="94" customWidth="1"/>
    <col min="5" max="5" width="32.88671875" bestFit="1" customWidth="1"/>
    <col min="6" max="6" width="32.88671875" style="94" customWidth="1"/>
    <col min="7" max="8" width="9.88671875" customWidth="1"/>
    <col min="11" max="11" width="23" customWidth="1"/>
    <col min="12" max="12" width="12.6640625" bestFit="1" customWidth="1"/>
    <col min="13" max="14" width="12.6640625" customWidth="1"/>
    <col min="23" max="23" width="7.88671875" bestFit="1" customWidth="1"/>
    <col min="24" max="24" width="18.109375" bestFit="1" customWidth="1"/>
    <col min="25" max="25" width="21.109375" bestFit="1" customWidth="1"/>
  </cols>
  <sheetData>
    <row r="1" spans="1:8" x14ac:dyDescent="0.3">
      <c r="A1" s="42" t="s">
        <v>201</v>
      </c>
      <c r="B1" s="9" t="s">
        <v>202</v>
      </c>
      <c r="C1" s="9" t="s">
        <v>1302</v>
      </c>
      <c r="D1" s="9" t="s">
        <v>1302</v>
      </c>
      <c r="E1" s="9" t="s">
        <v>1303</v>
      </c>
      <c r="F1" s="9" t="s">
        <v>1303</v>
      </c>
      <c r="G1" s="9" t="s">
        <v>295</v>
      </c>
      <c r="H1" s="9" t="s">
        <v>205</v>
      </c>
    </row>
    <row r="2" spans="1:8" x14ac:dyDescent="0.3">
      <c r="A2" s="44" t="s">
        <v>146</v>
      </c>
      <c r="B2" s="25">
        <v>0.4</v>
      </c>
      <c r="C2" s="25">
        <v>0.4</v>
      </c>
      <c r="D2" s="25">
        <v>0.6</v>
      </c>
      <c r="E2" s="25">
        <v>0.4</v>
      </c>
      <c r="F2" s="25">
        <v>0.6</v>
      </c>
      <c r="G2" s="14" t="s">
        <v>296</v>
      </c>
      <c r="H2" s="14"/>
    </row>
    <row r="3" spans="1:8" x14ac:dyDescent="0.3">
      <c r="A3" s="45" t="s">
        <v>1266</v>
      </c>
      <c r="B3" s="26"/>
      <c r="C3" s="26"/>
      <c r="D3" s="26"/>
      <c r="E3" s="26"/>
      <c r="F3" s="26"/>
      <c r="G3" s="15"/>
      <c r="H3" s="15"/>
    </row>
    <row r="4" spans="1:8" x14ac:dyDescent="0.3">
      <c r="A4" s="44" t="s">
        <v>79</v>
      </c>
      <c r="B4" s="25">
        <v>0.4</v>
      </c>
      <c r="C4" s="25">
        <v>0.4</v>
      </c>
      <c r="D4" s="25">
        <v>0.6</v>
      </c>
      <c r="E4" s="25">
        <v>0.4</v>
      </c>
      <c r="F4" s="25">
        <v>0.6</v>
      </c>
      <c r="G4" s="14" t="s">
        <v>296</v>
      </c>
      <c r="H4" s="14"/>
    </row>
    <row r="5" spans="1:8" x14ac:dyDescent="0.3">
      <c r="A5" s="45" t="s">
        <v>275</v>
      </c>
      <c r="B5" s="26" t="s">
        <v>1450</v>
      </c>
      <c r="C5" s="26" t="s">
        <v>1449</v>
      </c>
      <c r="D5" s="26" t="s">
        <v>1449</v>
      </c>
      <c r="E5" s="26" t="s">
        <v>1450</v>
      </c>
      <c r="F5" s="26" t="s">
        <v>1450</v>
      </c>
      <c r="G5" s="15"/>
      <c r="H5" s="15"/>
    </row>
    <row r="6" spans="1:8" x14ac:dyDescent="0.3">
      <c r="A6" s="50" t="s">
        <v>1161</v>
      </c>
      <c r="B6" s="80" t="s">
        <v>1624</v>
      </c>
      <c r="C6" s="80" t="str">
        <f>"Ender 3 " &amp;C16&amp;" "&amp;C10</f>
        <v>Ender 3 E3D V6 General</v>
      </c>
      <c r="D6" s="80" t="str">
        <f>"Ender 3 " &amp;D16&amp;" "&amp;D10</f>
        <v>Ender 3 E3D V6 General</v>
      </c>
      <c r="E6" s="80" t="str">
        <f>"AnyCubic " &amp;E16&amp;" "&amp;E10</f>
        <v>AnyCubic E3D V6 General</v>
      </c>
      <c r="F6" s="80" t="str">
        <f>"AnyCubic " &amp;F16&amp;" "&amp;F10</f>
        <v>AnyCubic E3D V6 General</v>
      </c>
      <c r="G6" s="16"/>
      <c r="H6" s="16"/>
    </row>
    <row r="7" spans="1:8" x14ac:dyDescent="0.3">
      <c r="A7" s="45" t="s">
        <v>1162</v>
      </c>
      <c r="B7" s="26" t="s">
        <v>1707</v>
      </c>
      <c r="C7" s="26" t="str">
        <f>C6 &amp; " " &amp; C2 &amp; " mm"</f>
        <v>Ender 3 E3D V6 General 0.4 mm</v>
      </c>
      <c r="D7" s="26" t="str">
        <f>D6 &amp; " " &amp; D2 &amp; " mm"</f>
        <v>Ender 3 E3D V6 General 0.6 mm</v>
      </c>
      <c r="E7" s="26" t="str">
        <f>E6 &amp; " " &amp; E2 &amp; " mm"</f>
        <v>AnyCubic E3D V6 General 0.4 mm</v>
      </c>
      <c r="F7" s="26" t="str">
        <f>F6 &amp; " " &amp; F2 &amp; " mm"</f>
        <v>AnyCubic E3D V6 General 0.6 mm</v>
      </c>
      <c r="G7" s="15"/>
      <c r="H7" s="15"/>
    </row>
    <row r="8" spans="1:8" x14ac:dyDescent="0.3">
      <c r="A8" s="44" t="s">
        <v>1304</v>
      </c>
      <c r="B8" s="25" t="s">
        <v>1306</v>
      </c>
      <c r="C8" s="25" t="s">
        <v>1305</v>
      </c>
      <c r="D8" s="25" t="s">
        <v>1305</v>
      </c>
      <c r="E8" s="25" t="s">
        <v>1306</v>
      </c>
      <c r="F8" s="25" t="s">
        <v>1306</v>
      </c>
      <c r="G8" s="14"/>
      <c r="H8" s="14"/>
    </row>
    <row r="9" spans="1:8" x14ac:dyDescent="0.3">
      <c r="A9" s="45" t="s">
        <v>1324</v>
      </c>
      <c r="B9" s="26" t="s">
        <v>1477</v>
      </c>
      <c r="C9" s="26" t="s">
        <v>1477</v>
      </c>
      <c r="D9" s="26" t="s">
        <v>1477</v>
      </c>
      <c r="E9" s="26" t="s">
        <v>1477</v>
      </c>
      <c r="F9" s="26" t="s">
        <v>1477</v>
      </c>
      <c r="G9" s="15"/>
      <c r="H9" s="15"/>
    </row>
    <row r="10" spans="1:8" x14ac:dyDescent="0.3">
      <c r="A10" s="44" t="s">
        <v>1559</v>
      </c>
      <c r="B10" s="25" t="s">
        <v>270</v>
      </c>
      <c r="C10" s="25" t="s">
        <v>270</v>
      </c>
      <c r="D10" s="25" t="s">
        <v>270</v>
      </c>
      <c r="E10" s="25" t="s">
        <v>270</v>
      </c>
      <c r="F10" s="25" t="s">
        <v>270</v>
      </c>
      <c r="G10" s="14"/>
      <c r="H10" s="14"/>
    </row>
    <row r="11" spans="1:8" x14ac:dyDescent="0.3">
      <c r="A11" s="45" t="s">
        <v>1163</v>
      </c>
      <c r="B11" s="26" t="s">
        <v>1708</v>
      </c>
      <c r="C11" s="26" t="str">
        <f>LOWER(SUBSTITUTE(SUBSTITUTE(TRIM(C7)," ","_"),".","_"))</f>
        <v>ender_3_e3d_v6_general_0_4_mm</v>
      </c>
      <c r="D11" s="26" t="str">
        <f>LOWER(SUBSTITUTE(SUBSTITUTE(TRIM(D7)," ","_"),".","_"))</f>
        <v>ender_3_e3d_v6_general_0_6_mm</v>
      </c>
      <c r="E11" s="26" t="str">
        <f>LOWER(SUBSTITUTE(SUBSTITUTE(TRIM(E7)," ","_"),".","_"))</f>
        <v>anycubic_e3d_v6_general_0_4_mm</v>
      </c>
      <c r="F11" s="26" t="str">
        <f>LOWER(SUBSTITUTE(SUBSTITUTE(TRIM(F7)," ","_"),".","_"))</f>
        <v>anycubic_e3d_v6_general_0_6_mm</v>
      </c>
      <c r="G11" s="15"/>
      <c r="H11" s="15"/>
    </row>
    <row r="12" spans="1:8" x14ac:dyDescent="0.3">
      <c r="A12" s="50" t="s">
        <v>177</v>
      </c>
      <c r="B12" s="25">
        <v>8.0000000000000016E-2</v>
      </c>
      <c r="C12" s="25">
        <f>IF(C2*0.2 &lt; 0.12, 0.12, C2*0.2)</f>
        <v>0.12</v>
      </c>
      <c r="D12" s="25">
        <f>IF(D2*0.2 &lt; 0.12, 0.12, D2*0.2)</f>
        <v>0.12</v>
      </c>
      <c r="E12" s="25">
        <f>E2*0.2</f>
        <v>8.0000000000000016E-2</v>
      </c>
      <c r="F12" s="25">
        <f>F2*0.2</f>
        <v>0.12</v>
      </c>
      <c r="G12" s="16" t="s">
        <v>296</v>
      </c>
      <c r="H12" s="16"/>
    </row>
    <row r="13" spans="1:8" x14ac:dyDescent="0.3">
      <c r="A13" s="45" t="s">
        <v>178</v>
      </c>
      <c r="B13" s="26">
        <v>0.32000000000000006</v>
      </c>
      <c r="C13" s="26">
        <f>C2*0.8</f>
        <v>0.32000000000000006</v>
      </c>
      <c r="D13" s="26">
        <f>D2*0.8</f>
        <v>0.48</v>
      </c>
      <c r="E13" s="26">
        <f>E2*0.8</f>
        <v>0.32000000000000006</v>
      </c>
      <c r="F13" s="26">
        <f>F2*0.8</f>
        <v>0.48</v>
      </c>
      <c r="G13" s="15" t="s">
        <v>296</v>
      </c>
      <c r="H13" s="15"/>
    </row>
    <row r="14" spans="1:8" x14ac:dyDescent="0.3">
      <c r="A14" s="44" t="s">
        <v>1164</v>
      </c>
      <c r="B14" s="22" t="s">
        <v>342</v>
      </c>
      <c r="C14" s="22" t="s">
        <v>342</v>
      </c>
      <c r="D14" s="22" t="s">
        <v>342</v>
      </c>
      <c r="E14" s="22" t="s">
        <v>342</v>
      </c>
      <c r="F14" s="22" t="s">
        <v>342</v>
      </c>
      <c r="G14" s="14"/>
      <c r="H14" s="14"/>
    </row>
    <row r="15" spans="1:8" x14ac:dyDescent="0.3">
      <c r="A15" s="45" t="s">
        <v>1165</v>
      </c>
      <c r="B15" s="23" t="s">
        <v>312</v>
      </c>
      <c r="C15" s="23" t="s">
        <v>312</v>
      </c>
      <c r="D15" s="23" t="s">
        <v>312</v>
      </c>
      <c r="E15" s="23" t="s">
        <v>312</v>
      </c>
      <c r="F15" s="23" t="s">
        <v>312</v>
      </c>
      <c r="G15" s="15"/>
      <c r="H15" s="15"/>
    </row>
    <row r="16" spans="1:8" x14ac:dyDescent="0.3">
      <c r="A16" s="44" t="s">
        <v>1160</v>
      </c>
      <c r="B16" s="22" t="s">
        <v>337</v>
      </c>
      <c r="C16" s="22" t="s">
        <v>337</v>
      </c>
      <c r="D16" s="22" t="s">
        <v>337</v>
      </c>
      <c r="E16" s="22" t="s">
        <v>337</v>
      </c>
      <c r="F16" s="22" t="s">
        <v>337</v>
      </c>
      <c r="G16" s="14"/>
      <c r="H16" s="14"/>
    </row>
    <row r="17" spans="1:8" x14ac:dyDescent="0.3">
      <c r="A17" s="47" t="s">
        <v>1478</v>
      </c>
      <c r="B17" s="27" t="s">
        <v>1477</v>
      </c>
      <c r="C17" s="27" t="s">
        <v>1477</v>
      </c>
      <c r="D17" s="27" t="s">
        <v>1477</v>
      </c>
      <c r="E17" s="27" t="s">
        <v>1477</v>
      </c>
      <c r="F17" s="27" t="s">
        <v>1477</v>
      </c>
      <c r="G17" s="18"/>
      <c r="H17" s="15"/>
    </row>
    <row r="18" spans="1:8" x14ac:dyDescent="0.3">
      <c r="A18" s="46" t="s">
        <v>161</v>
      </c>
      <c r="B18" s="28">
        <v>300</v>
      </c>
      <c r="C18" s="28">
        <v>200</v>
      </c>
      <c r="D18" s="28">
        <v>200</v>
      </c>
      <c r="E18" s="28">
        <v>300</v>
      </c>
      <c r="F18" s="28">
        <v>300</v>
      </c>
      <c r="G18" s="17"/>
      <c r="H18" s="14"/>
    </row>
    <row r="19" spans="1:8" x14ac:dyDescent="0.3">
      <c r="A19" s="47" t="s">
        <v>162</v>
      </c>
      <c r="B19" s="27">
        <v>300</v>
      </c>
      <c r="C19" s="27">
        <v>200</v>
      </c>
      <c r="D19" s="27">
        <v>200</v>
      </c>
      <c r="E19" s="27">
        <v>300</v>
      </c>
      <c r="F19" s="27">
        <v>300</v>
      </c>
      <c r="G19" s="18"/>
      <c r="H19" s="15"/>
    </row>
    <row r="20" spans="1:8" x14ac:dyDescent="0.3">
      <c r="A20" s="46" t="s">
        <v>163</v>
      </c>
      <c r="B20" s="28">
        <v>20</v>
      </c>
      <c r="C20" s="28">
        <v>20</v>
      </c>
      <c r="D20" s="28">
        <v>20</v>
      </c>
      <c r="E20" s="28">
        <v>20</v>
      </c>
      <c r="F20" s="28">
        <v>20</v>
      </c>
      <c r="G20" s="17"/>
      <c r="H20" s="14"/>
    </row>
    <row r="21" spans="1:8" x14ac:dyDescent="0.3">
      <c r="A21" s="48" t="s">
        <v>164</v>
      </c>
      <c r="B21" s="30">
        <v>300</v>
      </c>
      <c r="C21" s="30">
        <v>120</v>
      </c>
      <c r="D21" s="30">
        <v>120</v>
      </c>
      <c r="E21" s="30">
        <v>300</v>
      </c>
      <c r="F21" s="30">
        <v>300</v>
      </c>
      <c r="G21" s="19"/>
      <c r="H21" s="64"/>
    </row>
    <row r="22" spans="1:8" x14ac:dyDescent="0.3">
      <c r="A22" s="49" t="s">
        <v>1576</v>
      </c>
      <c r="B22" s="29">
        <v>300</v>
      </c>
      <c r="C22" s="29">
        <v>150</v>
      </c>
      <c r="D22" s="29">
        <v>150</v>
      </c>
      <c r="E22" s="29">
        <v>300</v>
      </c>
      <c r="F22" s="29">
        <v>300</v>
      </c>
      <c r="G22" s="20"/>
      <c r="H22" s="16"/>
    </row>
    <row r="23" spans="1:8" x14ac:dyDescent="0.3">
      <c r="A23" s="47" t="s">
        <v>419</v>
      </c>
      <c r="B23" s="23">
        <v>3000</v>
      </c>
      <c r="C23" s="23">
        <v>1000</v>
      </c>
      <c r="D23" s="23">
        <v>1000</v>
      </c>
      <c r="E23" s="23">
        <v>3000</v>
      </c>
      <c r="F23" s="23">
        <v>3000</v>
      </c>
      <c r="G23" s="18"/>
      <c r="H23" s="15"/>
    </row>
    <row r="24" spans="1:8" s="94" customFormat="1" x14ac:dyDescent="0.3">
      <c r="A24" s="113" t="s">
        <v>57</v>
      </c>
      <c r="B24" s="22">
        <v>2000</v>
      </c>
      <c r="C24" s="22">
        <v>1000</v>
      </c>
      <c r="D24" s="22">
        <v>1000</v>
      </c>
      <c r="E24" s="22">
        <v>2000</v>
      </c>
      <c r="F24" s="22">
        <v>2000</v>
      </c>
      <c r="G24" s="17"/>
      <c r="H24" s="14"/>
    </row>
    <row r="25" spans="1:8" s="94" customFormat="1" x14ac:dyDescent="0.3">
      <c r="A25" s="114" t="s">
        <v>58</v>
      </c>
      <c r="B25" s="23">
        <v>3000</v>
      </c>
      <c r="C25" s="23">
        <v>1000</v>
      </c>
      <c r="D25" s="23">
        <v>1000</v>
      </c>
      <c r="E25" s="23">
        <v>3000</v>
      </c>
      <c r="F25" s="23">
        <v>3000</v>
      </c>
      <c r="G25" s="18"/>
      <c r="H25" s="15"/>
    </row>
    <row r="26" spans="1:8" s="94" customFormat="1" x14ac:dyDescent="0.3">
      <c r="A26" s="113" t="s">
        <v>59</v>
      </c>
      <c r="B26" s="22">
        <v>3000</v>
      </c>
      <c r="C26" s="22">
        <v>1000</v>
      </c>
      <c r="D26" s="22">
        <v>1000</v>
      </c>
      <c r="E26" s="22">
        <v>3000</v>
      </c>
      <c r="F26" s="22">
        <v>3000</v>
      </c>
      <c r="G26" s="17"/>
      <c r="H26" s="14"/>
    </row>
    <row r="27" spans="1:8" s="94" customFormat="1" x14ac:dyDescent="0.3">
      <c r="A27" s="114" t="s">
        <v>60</v>
      </c>
      <c r="B27" s="23">
        <v>2000</v>
      </c>
      <c r="C27" s="23">
        <v>1000</v>
      </c>
      <c r="D27" s="23">
        <v>1000</v>
      </c>
      <c r="E27" s="23">
        <v>2000</v>
      </c>
      <c r="F27" s="23">
        <v>2000</v>
      </c>
      <c r="G27" s="18"/>
      <c r="H27" s="15"/>
    </row>
    <row r="28" spans="1:8" s="94" customFormat="1" x14ac:dyDescent="0.3">
      <c r="A28" s="113" t="s">
        <v>1628</v>
      </c>
      <c r="B28" s="22">
        <v>3000</v>
      </c>
      <c r="C28" s="22">
        <v>1000</v>
      </c>
      <c r="D28" s="22">
        <v>1000</v>
      </c>
      <c r="E28" s="22">
        <v>3000</v>
      </c>
      <c r="F28" s="22">
        <v>3000</v>
      </c>
      <c r="G28" s="17"/>
      <c r="H28" s="14"/>
    </row>
    <row r="29" spans="1:8" s="94" customFormat="1" x14ac:dyDescent="0.3">
      <c r="A29" s="114" t="s">
        <v>61</v>
      </c>
      <c r="B29" s="23">
        <v>3000</v>
      </c>
      <c r="C29" s="23">
        <v>1000</v>
      </c>
      <c r="D29" s="23">
        <v>1000</v>
      </c>
      <c r="E29" s="23">
        <v>3000</v>
      </c>
      <c r="F29" s="23">
        <v>3000</v>
      </c>
      <c r="G29" s="18"/>
      <c r="H29" s="15"/>
    </row>
    <row r="30" spans="1:8" x14ac:dyDescent="0.3">
      <c r="A30" s="46" t="s">
        <v>165</v>
      </c>
      <c r="B30" s="28">
        <v>3000</v>
      </c>
      <c r="C30" s="22">
        <f>C23</f>
        <v>1000</v>
      </c>
      <c r="D30" s="22">
        <f>D23</f>
        <v>1000</v>
      </c>
      <c r="E30" s="28">
        <f>E23</f>
        <v>3000</v>
      </c>
      <c r="F30" s="28">
        <f>F23</f>
        <v>3000</v>
      </c>
      <c r="G30" s="17"/>
      <c r="H30" s="16"/>
    </row>
    <row r="31" spans="1:8" x14ac:dyDescent="0.3">
      <c r="A31" s="48" t="s">
        <v>166</v>
      </c>
      <c r="B31" s="30">
        <v>3000</v>
      </c>
      <c r="C31" s="23">
        <f>C23</f>
        <v>1000</v>
      </c>
      <c r="D31" s="23">
        <f>D23</f>
        <v>1000</v>
      </c>
      <c r="E31" s="30">
        <f>E23</f>
        <v>3000</v>
      </c>
      <c r="F31" s="30">
        <f>F23</f>
        <v>3000</v>
      </c>
      <c r="G31" s="19"/>
      <c r="H31" s="15"/>
    </row>
    <row r="32" spans="1:8" x14ac:dyDescent="0.3">
      <c r="A32" s="46" t="s">
        <v>167</v>
      </c>
      <c r="B32" s="28">
        <v>200</v>
      </c>
      <c r="C32" s="28">
        <v>200</v>
      </c>
      <c r="D32" s="28">
        <v>200</v>
      </c>
      <c r="E32" s="28">
        <v>200</v>
      </c>
      <c r="F32" s="28">
        <v>200</v>
      </c>
      <c r="G32" s="17"/>
      <c r="H32" s="16"/>
    </row>
    <row r="33" spans="1:8" x14ac:dyDescent="0.3">
      <c r="A33" s="48" t="s">
        <v>168</v>
      </c>
      <c r="B33" s="30">
        <v>10000</v>
      </c>
      <c r="C33" s="30">
        <v>10000</v>
      </c>
      <c r="D33" s="30">
        <v>10000</v>
      </c>
      <c r="E33" s="136">
        <v>10000</v>
      </c>
      <c r="F33" s="136">
        <v>10000</v>
      </c>
      <c r="G33" s="19"/>
      <c r="H33" s="15"/>
    </row>
    <row r="34" spans="1:8" x14ac:dyDescent="0.3">
      <c r="A34" s="113" t="s">
        <v>169</v>
      </c>
      <c r="B34" s="129">
        <v>10000</v>
      </c>
      <c r="C34" s="129">
        <v>10000</v>
      </c>
      <c r="D34" s="129">
        <v>10000</v>
      </c>
      <c r="E34" s="129">
        <v>10000</v>
      </c>
      <c r="F34" s="129">
        <v>10000</v>
      </c>
      <c r="G34" s="113"/>
      <c r="H34" s="113"/>
    </row>
    <row r="35" spans="1:8" x14ac:dyDescent="0.3">
      <c r="A35" s="114" t="s">
        <v>170</v>
      </c>
      <c r="B35" s="103">
        <v>10000</v>
      </c>
      <c r="C35" s="103">
        <v>10000</v>
      </c>
      <c r="D35" s="103">
        <v>10000</v>
      </c>
      <c r="E35" s="136">
        <v>10000</v>
      </c>
      <c r="F35" s="136">
        <v>10000</v>
      </c>
      <c r="G35" s="97"/>
      <c r="H35" s="64"/>
    </row>
    <row r="36" spans="1:8" x14ac:dyDescent="0.3">
      <c r="A36" s="113" t="s">
        <v>1428</v>
      </c>
      <c r="B36" s="129">
        <v>3000</v>
      </c>
      <c r="C36" s="129">
        <f>C23</f>
        <v>1000</v>
      </c>
      <c r="D36" s="129">
        <f>D23</f>
        <v>1000</v>
      </c>
      <c r="E36" s="129">
        <f>E23</f>
        <v>3000</v>
      </c>
      <c r="F36" s="129">
        <f>F23</f>
        <v>3000</v>
      </c>
      <c r="G36" s="113"/>
      <c r="H36" s="113"/>
    </row>
    <row r="37" spans="1:8" x14ac:dyDescent="0.3">
      <c r="A37" s="114" t="s">
        <v>171</v>
      </c>
      <c r="B37" s="103">
        <v>8</v>
      </c>
      <c r="C37" s="103">
        <v>8</v>
      </c>
      <c r="D37" s="103">
        <v>8</v>
      </c>
      <c r="E37" s="103">
        <v>8</v>
      </c>
      <c r="F37" s="103">
        <v>8</v>
      </c>
      <c r="G37" s="97"/>
      <c r="H37" s="64"/>
    </row>
    <row r="38" spans="1:8" x14ac:dyDescent="0.3">
      <c r="A38" s="113" t="s">
        <v>172</v>
      </c>
      <c r="B38" s="102">
        <v>8</v>
      </c>
      <c r="C38" s="102">
        <v>8</v>
      </c>
      <c r="D38" s="102">
        <v>8</v>
      </c>
      <c r="E38" s="102">
        <v>8</v>
      </c>
      <c r="F38" s="102">
        <v>8</v>
      </c>
      <c r="G38" s="96"/>
      <c r="H38" s="16"/>
    </row>
    <row r="39" spans="1:8" x14ac:dyDescent="0.3">
      <c r="A39" s="114" t="s">
        <v>173</v>
      </c>
      <c r="B39" s="103">
        <v>0.4</v>
      </c>
      <c r="C39" s="103">
        <v>0.4</v>
      </c>
      <c r="D39" s="103">
        <v>0.4</v>
      </c>
      <c r="E39" s="103">
        <v>0.4</v>
      </c>
      <c r="F39" s="103">
        <v>0.4</v>
      </c>
      <c r="G39" s="97"/>
      <c r="H39" s="15"/>
    </row>
    <row r="40" spans="1:8" x14ac:dyDescent="0.3">
      <c r="A40" s="113" t="s">
        <v>174</v>
      </c>
      <c r="B40" s="102">
        <v>10</v>
      </c>
      <c r="C40" s="102">
        <v>10</v>
      </c>
      <c r="D40" s="102">
        <v>10</v>
      </c>
      <c r="E40" s="102">
        <v>10</v>
      </c>
      <c r="F40" s="102">
        <v>10</v>
      </c>
      <c r="G40" s="96"/>
      <c r="H40" s="16"/>
    </row>
    <row r="41" spans="1:8" x14ac:dyDescent="0.3">
      <c r="A41" s="114" t="s">
        <v>420</v>
      </c>
      <c r="B41" s="103">
        <v>0.08</v>
      </c>
      <c r="C41" s="103">
        <v>0.08</v>
      </c>
      <c r="D41" s="103">
        <v>0.08</v>
      </c>
      <c r="E41" s="103">
        <v>0.08</v>
      </c>
      <c r="F41" s="103">
        <v>0.08</v>
      </c>
      <c r="G41" s="97"/>
      <c r="H41" s="97"/>
    </row>
    <row r="42" spans="1:8" x14ac:dyDescent="0.3">
      <c r="A42" s="113" t="s">
        <v>421</v>
      </c>
      <c r="B42" s="102">
        <v>100</v>
      </c>
      <c r="C42" s="102">
        <v>80</v>
      </c>
      <c r="D42" s="102">
        <v>80</v>
      </c>
      <c r="E42" s="102">
        <v>100</v>
      </c>
      <c r="F42" s="102">
        <v>100</v>
      </c>
      <c r="G42" s="96"/>
      <c r="H42" s="96"/>
    </row>
    <row r="43" spans="1:8" x14ac:dyDescent="0.3">
      <c r="A43" s="114" t="s">
        <v>422</v>
      </c>
      <c r="B43" s="103">
        <v>80</v>
      </c>
      <c r="C43" s="103">
        <v>80</v>
      </c>
      <c r="D43" s="103">
        <v>80</v>
      </c>
      <c r="E43" s="103">
        <v>80</v>
      </c>
      <c r="F43" s="103">
        <v>80</v>
      </c>
      <c r="G43" s="97"/>
      <c r="H43" s="97"/>
    </row>
    <row r="44" spans="1:8" x14ac:dyDescent="0.3">
      <c r="A44" s="113" t="s">
        <v>423</v>
      </c>
      <c r="B44" s="102">
        <v>800</v>
      </c>
      <c r="C44" s="102">
        <v>400</v>
      </c>
      <c r="D44" s="102">
        <v>400</v>
      </c>
      <c r="E44" s="102">
        <v>800</v>
      </c>
      <c r="F44" s="102">
        <v>800</v>
      </c>
      <c r="G44" s="96"/>
      <c r="H44" s="96"/>
    </row>
    <row r="45" spans="1:8" x14ac:dyDescent="0.3">
      <c r="A45" s="114" t="s">
        <v>424</v>
      </c>
      <c r="B45" s="103">
        <v>418</v>
      </c>
      <c r="C45" s="103">
        <v>418</v>
      </c>
      <c r="D45" s="103">
        <v>418</v>
      </c>
      <c r="E45" s="103">
        <v>418</v>
      </c>
      <c r="F45" s="103">
        <v>418</v>
      </c>
      <c r="G45" s="97"/>
      <c r="H45" s="97"/>
    </row>
    <row r="46" spans="1:8" x14ac:dyDescent="0.3">
      <c r="A46" s="113" t="s">
        <v>425</v>
      </c>
      <c r="B46" s="102">
        <v>15</v>
      </c>
      <c r="C46" s="102">
        <v>15</v>
      </c>
      <c r="D46" s="102">
        <v>15</v>
      </c>
      <c r="E46" s="102">
        <v>15</v>
      </c>
      <c r="F46" s="102">
        <v>15</v>
      </c>
      <c r="G46" s="96"/>
      <c r="H46" s="96"/>
    </row>
    <row r="47" spans="1:8" x14ac:dyDescent="0.3">
      <c r="A47" s="114" t="s">
        <v>427</v>
      </c>
      <c r="B47" s="103">
        <v>0</v>
      </c>
      <c r="C47" s="103">
        <v>0</v>
      </c>
      <c r="D47" s="103">
        <v>0</v>
      </c>
      <c r="E47" s="103">
        <v>0</v>
      </c>
      <c r="F47" s="103">
        <v>0</v>
      </c>
      <c r="G47" s="97"/>
      <c r="H47" s="97"/>
    </row>
    <row r="48" spans="1:8" x14ac:dyDescent="0.3">
      <c r="A48" s="113" t="s">
        <v>428</v>
      </c>
      <c r="B48" s="102">
        <v>270</v>
      </c>
      <c r="C48" s="102">
        <v>230</v>
      </c>
      <c r="D48" s="102">
        <v>230</v>
      </c>
      <c r="E48" s="102">
        <v>270</v>
      </c>
      <c r="F48" s="102">
        <v>270</v>
      </c>
      <c r="G48" s="96"/>
      <c r="H48" s="96"/>
    </row>
    <row r="49" spans="1:8" x14ac:dyDescent="0.3">
      <c r="A49" s="114" t="s">
        <v>429</v>
      </c>
      <c r="B49" s="103">
        <v>0</v>
      </c>
      <c r="C49" s="103">
        <v>0</v>
      </c>
      <c r="D49" s="103">
        <v>0</v>
      </c>
      <c r="E49" s="103">
        <v>0</v>
      </c>
      <c r="F49" s="103">
        <v>0</v>
      </c>
      <c r="G49" s="97"/>
      <c r="H49" s="97"/>
    </row>
    <row r="50" spans="1:8" x14ac:dyDescent="0.3">
      <c r="A50" s="113" t="s">
        <v>430</v>
      </c>
      <c r="B50" s="102">
        <v>200</v>
      </c>
      <c r="C50" s="102">
        <v>200</v>
      </c>
      <c r="D50" s="102">
        <v>200</v>
      </c>
      <c r="E50" s="102">
        <v>200</v>
      </c>
      <c r="F50" s="102">
        <v>200</v>
      </c>
      <c r="G50" s="96"/>
      <c r="H50" s="96"/>
    </row>
    <row r="51" spans="1:8" x14ac:dyDescent="0.3">
      <c r="A51" s="114" t="s">
        <v>431</v>
      </c>
      <c r="B51" s="103">
        <v>0</v>
      </c>
      <c r="C51" s="103">
        <v>0</v>
      </c>
      <c r="D51" s="103">
        <v>0</v>
      </c>
      <c r="E51" s="103">
        <v>0</v>
      </c>
      <c r="F51" s="103">
        <v>0</v>
      </c>
      <c r="G51" s="97"/>
      <c r="H51" s="97"/>
    </row>
    <row r="52" spans="1:8" x14ac:dyDescent="0.3">
      <c r="A52" s="113" t="s">
        <v>432</v>
      </c>
      <c r="B52" s="102">
        <v>200</v>
      </c>
      <c r="C52" s="102">
        <v>200</v>
      </c>
      <c r="D52" s="102">
        <v>200</v>
      </c>
      <c r="E52" s="102">
        <v>200</v>
      </c>
      <c r="F52" s="102">
        <v>200</v>
      </c>
      <c r="G52" s="96"/>
      <c r="H52" s="96"/>
    </row>
    <row r="53" spans="1:8" x14ac:dyDescent="0.3">
      <c r="A53" s="114" t="s">
        <v>1452</v>
      </c>
      <c r="B53" s="97">
        <v>0</v>
      </c>
      <c r="C53" s="103">
        <v>0</v>
      </c>
      <c r="D53" s="103">
        <v>0</v>
      </c>
      <c r="E53" s="103">
        <v>0</v>
      </c>
      <c r="F53" s="103">
        <v>0</v>
      </c>
      <c r="G53" s="97"/>
      <c r="H53" s="97"/>
    </row>
    <row r="54" spans="1:8" x14ac:dyDescent="0.3">
      <c r="A54" s="113" t="s">
        <v>1453</v>
      </c>
      <c r="B54" s="96">
        <v>270</v>
      </c>
      <c r="C54" s="102">
        <v>230</v>
      </c>
      <c r="D54" s="102">
        <v>230</v>
      </c>
      <c r="E54" s="102">
        <v>270</v>
      </c>
      <c r="F54" s="102">
        <v>270</v>
      </c>
      <c r="G54" s="96"/>
      <c r="H54" s="96"/>
    </row>
    <row r="55" spans="1:8" x14ac:dyDescent="0.3">
      <c r="A55" s="114" t="s">
        <v>1454</v>
      </c>
      <c r="B55" s="97">
        <v>0</v>
      </c>
      <c r="C55" s="103">
        <v>0</v>
      </c>
      <c r="D55" s="103">
        <v>0</v>
      </c>
      <c r="E55" s="97">
        <v>0</v>
      </c>
      <c r="F55" s="97">
        <v>0</v>
      </c>
      <c r="G55" s="97"/>
      <c r="H55" s="97"/>
    </row>
    <row r="56" spans="1:8" x14ac:dyDescent="0.3">
      <c r="A56" s="113" t="s">
        <v>1455</v>
      </c>
      <c r="B56" s="96">
        <v>200</v>
      </c>
      <c r="C56" s="102">
        <v>200</v>
      </c>
      <c r="D56" s="102">
        <v>200</v>
      </c>
      <c r="E56" s="96">
        <v>200</v>
      </c>
      <c r="F56" s="96">
        <v>200</v>
      </c>
      <c r="G56" s="96"/>
      <c r="H56" s="96"/>
    </row>
    <row r="57" spans="1:8" x14ac:dyDescent="0.3">
      <c r="A57" s="114" t="s">
        <v>1456</v>
      </c>
      <c r="B57" s="97">
        <v>0</v>
      </c>
      <c r="C57" s="103">
        <v>0</v>
      </c>
      <c r="D57" s="103">
        <v>0</v>
      </c>
      <c r="E57" s="97">
        <v>0</v>
      </c>
      <c r="F57" s="97">
        <v>0</v>
      </c>
      <c r="G57" s="97"/>
      <c r="H57" s="97"/>
    </row>
    <row r="58" spans="1:8" x14ac:dyDescent="0.3">
      <c r="A58" s="113" t="s">
        <v>1457</v>
      </c>
      <c r="B58" s="96">
        <v>200</v>
      </c>
      <c r="C58" s="102">
        <v>200</v>
      </c>
      <c r="D58" s="102">
        <v>200</v>
      </c>
      <c r="E58" s="96">
        <v>200</v>
      </c>
      <c r="F58" s="96">
        <v>200</v>
      </c>
      <c r="G58" s="96"/>
      <c r="H58" s="96"/>
    </row>
    <row r="59" spans="1:8" x14ac:dyDescent="0.3">
      <c r="A59" s="114" t="s">
        <v>1458</v>
      </c>
      <c r="B59" s="97">
        <v>120</v>
      </c>
      <c r="C59" s="103">
        <v>120</v>
      </c>
      <c r="D59" s="103">
        <v>120</v>
      </c>
      <c r="E59" s="97">
        <v>120</v>
      </c>
      <c r="F59" s="97">
        <v>120</v>
      </c>
      <c r="G59" s="97"/>
      <c r="H59" s="97"/>
    </row>
    <row r="60" spans="1:8" x14ac:dyDescent="0.3">
      <c r="A60" s="113" t="s">
        <v>1459</v>
      </c>
      <c r="B60" s="96">
        <v>30</v>
      </c>
      <c r="C60" s="102">
        <v>30</v>
      </c>
      <c r="D60" s="102">
        <v>30</v>
      </c>
      <c r="E60" s="96">
        <v>30</v>
      </c>
      <c r="F60" s="96">
        <v>30</v>
      </c>
      <c r="G60" s="96"/>
      <c r="H60" s="96"/>
    </row>
    <row r="61" spans="1:8" x14ac:dyDescent="0.3">
      <c r="A61" s="114" t="s">
        <v>1460</v>
      </c>
      <c r="B61" s="97">
        <v>1.75</v>
      </c>
      <c r="C61" s="103">
        <v>1.75</v>
      </c>
      <c r="D61" s="103">
        <v>1.75</v>
      </c>
      <c r="E61" s="97">
        <v>1.75</v>
      </c>
      <c r="F61" s="97">
        <v>1.75</v>
      </c>
      <c r="G61" s="97"/>
      <c r="H61" s="97"/>
    </row>
    <row r="62" spans="1:8" x14ac:dyDescent="0.3">
      <c r="A62" s="113" t="s">
        <v>1461</v>
      </c>
      <c r="B62" s="96">
        <v>100</v>
      </c>
      <c r="C62" s="102">
        <v>100</v>
      </c>
      <c r="D62" s="102">
        <v>100</v>
      </c>
      <c r="E62" s="96">
        <v>100</v>
      </c>
      <c r="F62" s="96">
        <v>100</v>
      </c>
      <c r="G62" s="96"/>
      <c r="H62" s="96"/>
    </row>
    <row r="63" spans="1:8" x14ac:dyDescent="0.3">
      <c r="A63" s="114" t="s">
        <v>1462</v>
      </c>
      <c r="B63" s="97">
        <v>0.2</v>
      </c>
      <c r="C63" s="103">
        <v>0.2</v>
      </c>
      <c r="D63" s="103">
        <v>0.2</v>
      </c>
      <c r="E63" s="97">
        <v>0.2</v>
      </c>
      <c r="F63" s="97">
        <v>0.2</v>
      </c>
      <c r="G63" s="97"/>
      <c r="H63" s="97"/>
    </row>
    <row r="64" spans="1:8" x14ac:dyDescent="0.3">
      <c r="A64" s="113" t="s">
        <v>1464</v>
      </c>
      <c r="B64" s="96">
        <v>0</v>
      </c>
      <c r="C64" s="102">
        <v>0</v>
      </c>
      <c r="D64" s="102">
        <v>0</v>
      </c>
      <c r="E64" s="96">
        <v>0</v>
      </c>
      <c r="F64" s="96">
        <v>0</v>
      </c>
      <c r="G64" s="96"/>
      <c r="H64" s="96"/>
    </row>
    <row r="65" spans="1:8" x14ac:dyDescent="0.3">
      <c r="A65" s="114" t="s">
        <v>1463</v>
      </c>
      <c r="B65" s="97">
        <v>0</v>
      </c>
      <c r="C65" s="103">
        <v>200</v>
      </c>
      <c r="D65" s="103">
        <v>200</v>
      </c>
      <c r="E65" s="97">
        <v>0</v>
      </c>
      <c r="F65" s="97">
        <v>0</v>
      </c>
      <c r="G65" s="97"/>
      <c r="H65" s="97"/>
    </row>
    <row r="66" spans="1:8" x14ac:dyDescent="0.3">
      <c r="A66" s="113" t="s">
        <v>1465</v>
      </c>
      <c r="B66" s="96">
        <v>180</v>
      </c>
      <c r="C66" s="102">
        <v>150</v>
      </c>
      <c r="D66" s="102">
        <v>150</v>
      </c>
      <c r="E66" s="96">
        <v>180</v>
      </c>
      <c r="F66" s="96">
        <v>180</v>
      </c>
      <c r="G66" s="96"/>
      <c r="H66" s="96"/>
    </row>
    <row r="67" spans="1:8" x14ac:dyDescent="0.3">
      <c r="A67" s="114" t="s">
        <v>1482</v>
      </c>
      <c r="B67" s="97">
        <v>0</v>
      </c>
      <c r="C67" s="97">
        <v>1</v>
      </c>
      <c r="D67" s="97">
        <v>1</v>
      </c>
      <c r="E67" s="97">
        <v>0</v>
      </c>
      <c r="F67" s="97">
        <v>0</v>
      </c>
      <c r="G67" s="97"/>
      <c r="H67" s="97"/>
    </row>
    <row r="68" spans="1:8" x14ac:dyDescent="0.3">
      <c r="A68" s="113" t="s">
        <v>1483</v>
      </c>
      <c r="B68" s="96">
        <v>0</v>
      </c>
      <c r="C68" s="96">
        <v>1</v>
      </c>
      <c r="D68" s="96">
        <v>1</v>
      </c>
      <c r="E68" s="96">
        <v>0</v>
      </c>
      <c r="F68" s="96">
        <v>0</v>
      </c>
      <c r="G68" s="96"/>
      <c r="H68" s="96"/>
    </row>
    <row r="69" spans="1:8" x14ac:dyDescent="0.3">
      <c r="A69" s="114" t="s">
        <v>359</v>
      </c>
      <c r="B69" s="103" t="s">
        <v>1554</v>
      </c>
      <c r="C69" s="103" t="s">
        <v>1554</v>
      </c>
      <c r="D69" s="103" t="s">
        <v>1554</v>
      </c>
      <c r="E69" s="103" t="s">
        <v>1554</v>
      </c>
      <c r="F69" s="103" t="s">
        <v>1554</v>
      </c>
      <c r="G69" s="97"/>
      <c r="H69" s="97"/>
    </row>
    <row r="70" spans="1:8" x14ac:dyDescent="0.3">
      <c r="A70" s="113" t="s">
        <v>96</v>
      </c>
      <c r="B70" s="102">
        <v>1</v>
      </c>
      <c r="C70" s="102">
        <v>1</v>
      </c>
      <c r="D70" s="102">
        <v>1</v>
      </c>
      <c r="E70" s="96">
        <v>1</v>
      </c>
      <c r="F70" s="96">
        <v>1</v>
      </c>
      <c r="G70" s="96"/>
      <c r="H70" s="96"/>
    </row>
    <row r="71" spans="1:8" x14ac:dyDescent="0.3">
      <c r="A71" s="114" t="s">
        <v>290</v>
      </c>
      <c r="B71" s="103">
        <v>1</v>
      </c>
      <c r="C71" s="103">
        <v>1</v>
      </c>
      <c r="D71" s="103">
        <v>1</v>
      </c>
      <c r="E71" s="97">
        <v>1</v>
      </c>
      <c r="F71" s="97">
        <v>1</v>
      </c>
      <c r="G71" s="97"/>
      <c r="H71" s="97"/>
    </row>
    <row r="72" spans="1:8" x14ac:dyDescent="0.3">
      <c r="A72" s="113" t="s">
        <v>1558</v>
      </c>
      <c r="B72" s="102" t="s">
        <v>1711</v>
      </c>
      <c r="C72" s="102" t="str">
        <f>IF(C9="super","klipper","marlin")</f>
        <v>marlin</v>
      </c>
      <c r="D72" s="102" t="str">
        <f>IF(D9="super","klipper","marlin")</f>
        <v>marlin</v>
      </c>
      <c r="E72" s="102" t="str">
        <f>IF(E9="super","klipper","marlin")</f>
        <v>marlin</v>
      </c>
      <c r="F72" s="102" t="str">
        <f>IF(F9="super","klipper","marlin")</f>
        <v>marlin</v>
      </c>
      <c r="G72" s="96"/>
      <c r="H72" s="96"/>
    </row>
    <row r="73" spans="1:8" s="94" customFormat="1" x14ac:dyDescent="0.3">
      <c r="A73" s="114" t="s">
        <v>1702</v>
      </c>
      <c r="B73" s="103" t="s">
        <v>1557</v>
      </c>
      <c r="C73" s="103" t="s">
        <v>1557</v>
      </c>
      <c r="D73" s="103" t="s">
        <v>1557</v>
      </c>
      <c r="E73" s="103" t="s">
        <v>1557</v>
      </c>
      <c r="F73" s="103" t="s">
        <v>1557</v>
      </c>
      <c r="G73" s="97"/>
      <c r="H73" s="97"/>
    </row>
    <row r="74" spans="1:8" s="94" customFormat="1" x14ac:dyDescent="0.3">
      <c r="A74" s="113" t="s">
        <v>348</v>
      </c>
      <c r="B74" s="102" t="s">
        <v>1705</v>
      </c>
      <c r="C74" s="102" t="s">
        <v>1703</v>
      </c>
      <c r="D74" s="102" t="s">
        <v>1703</v>
      </c>
      <c r="E74" s="102" t="s">
        <v>1705</v>
      </c>
      <c r="F74" s="102" t="s">
        <v>1705</v>
      </c>
      <c r="G74" s="96"/>
      <c r="H74" s="96"/>
    </row>
    <row r="75" spans="1:8" s="94" customFormat="1" x14ac:dyDescent="0.3">
      <c r="A75" s="114" t="s">
        <v>349</v>
      </c>
      <c r="B75" s="103" t="s">
        <v>1706</v>
      </c>
      <c r="C75" s="103" t="s">
        <v>1704</v>
      </c>
      <c r="D75" s="103" t="s">
        <v>1704</v>
      </c>
      <c r="E75" s="103" t="s">
        <v>1706</v>
      </c>
      <c r="F75" s="103" t="s">
        <v>1706</v>
      </c>
      <c r="G75" s="97"/>
      <c r="H75" s="97"/>
    </row>
    <row r="76" spans="1:8" x14ac:dyDescent="0.3">
      <c r="A76" s="113" t="s">
        <v>1584</v>
      </c>
      <c r="B76" s="102"/>
      <c r="C76" s="102"/>
      <c r="D76" s="102"/>
      <c r="E76" s="102"/>
      <c r="F76" s="102"/>
      <c r="G76" s="96"/>
      <c r="H76" s="96"/>
    </row>
    <row r="77" spans="1:8" x14ac:dyDescent="0.3">
      <c r="A77" s="114" t="s">
        <v>148</v>
      </c>
      <c r="B77" s="103" t="s">
        <v>1583</v>
      </c>
      <c r="C77" s="103" t="s">
        <v>1583</v>
      </c>
      <c r="D77" s="103" t="s">
        <v>1583</v>
      </c>
      <c r="E77" s="103" t="s">
        <v>1583</v>
      </c>
      <c r="F77" s="103" t="s">
        <v>1583</v>
      </c>
      <c r="G77" s="97"/>
      <c r="H77" s="97"/>
    </row>
    <row r="78" spans="1:8" x14ac:dyDescent="0.3">
      <c r="A78" s="113" t="s">
        <v>1577</v>
      </c>
      <c r="B78" s="102"/>
      <c r="C78" s="102"/>
      <c r="D78" s="102"/>
      <c r="E78" s="102"/>
      <c r="F78" s="102"/>
      <c r="G78" s="96"/>
      <c r="H78" s="96"/>
    </row>
    <row r="79" spans="1:8" x14ac:dyDescent="0.3">
      <c r="A79" s="114" t="s">
        <v>274</v>
      </c>
      <c r="B79" s="103" t="s">
        <v>1582</v>
      </c>
      <c r="C79" s="103" t="s">
        <v>1630</v>
      </c>
      <c r="D79" s="103" t="s">
        <v>1630</v>
      </c>
      <c r="E79" s="103" t="s">
        <v>1582</v>
      </c>
      <c r="F79" s="103" t="s">
        <v>1582</v>
      </c>
      <c r="G79" s="97"/>
      <c r="H79" s="97"/>
    </row>
    <row r="80" spans="1:8" x14ac:dyDescent="0.3">
      <c r="A80" s="113" t="s">
        <v>357</v>
      </c>
      <c r="B80" s="102" t="s">
        <v>358</v>
      </c>
      <c r="C80" s="102" t="s">
        <v>358</v>
      </c>
      <c r="D80" s="102" t="s">
        <v>358</v>
      </c>
      <c r="E80" s="102" t="s">
        <v>358</v>
      </c>
      <c r="F80" s="102" t="s">
        <v>358</v>
      </c>
      <c r="G80" s="96"/>
      <c r="H80" s="96"/>
    </row>
    <row r="81" spans="1:8" x14ac:dyDescent="0.3">
      <c r="A81" s="114" t="s">
        <v>273</v>
      </c>
      <c r="B81" s="103"/>
      <c r="C81" s="103"/>
      <c r="D81" s="103"/>
      <c r="E81" s="103"/>
      <c r="F81" s="103"/>
      <c r="G81" s="97"/>
      <c r="H81" s="97"/>
    </row>
    <row r="82" spans="1:8" x14ac:dyDescent="0.3">
      <c r="A82" s="113" t="s">
        <v>1578</v>
      </c>
      <c r="B82" s="102" t="s">
        <v>1579</v>
      </c>
      <c r="C82" s="102" t="s">
        <v>1579</v>
      </c>
      <c r="D82" s="102" t="s">
        <v>1579</v>
      </c>
      <c r="E82" s="102" t="s">
        <v>1579</v>
      </c>
      <c r="F82" s="102" t="s">
        <v>1579</v>
      </c>
      <c r="G82" s="96"/>
      <c r="H82" s="96"/>
    </row>
    <row r="83" spans="1:8" x14ac:dyDescent="0.3">
      <c r="A83" s="114" t="s">
        <v>276</v>
      </c>
      <c r="B83" s="103"/>
      <c r="C83" s="103"/>
      <c r="D83" s="103"/>
      <c r="E83" s="103"/>
      <c r="F83" s="103"/>
      <c r="G83" s="97"/>
      <c r="H83" s="97"/>
    </row>
    <row r="84" spans="1:8" x14ac:dyDescent="0.3">
      <c r="A84" s="113" t="s">
        <v>1580</v>
      </c>
      <c r="B84" s="102"/>
      <c r="C84" s="102"/>
      <c r="D84" s="102"/>
      <c r="E84" s="102"/>
      <c r="F84" s="102"/>
      <c r="G84" s="96"/>
      <c r="H84" s="96"/>
    </row>
    <row r="85" spans="1:8" x14ac:dyDescent="0.3">
      <c r="A85" s="114" t="s">
        <v>1542</v>
      </c>
      <c r="B85" s="103"/>
      <c r="C85" s="103"/>
      <c r="D85" s="103"/>
      <c r="E85" s="103"/>
      <c r="F85" s="103"/>
      <c r="G85" s="97"/>
      <c r="H85" s="97"/>
    </row>
    <row r="86" spans="1:8" x14ac:dyDescent="0.3">
      <c r="A86" s="113" t="s">
        <v>1581</v>
      </c>
      <c r="B86" s="102"/>
      <c r="C86" s="102"/>
      <c r="D86" s="102"/>
      <c r="E86" s="102"/>
      <c r="F86" s="102"/>
      <c r="G86" s="96"/>
      <c r="H86" s="96"/>
    </row>
    <row r="87" spans="1:8" x14ac:dyDescent="0.3">
      <c r="A87" s="114" t="s">
        <v>1585</v>
      </c>
      <c r="B87" s="103"/>
      <c r="C87" s="103"/>
      <c r="D87" s="103"/>
      <c r="E87" s="103"/>
      <c r="F87" s="103"/>
      <c r="G87" s="97"/>
      <c r="H87" s="97"/>
    </row>
  </sheetData>
  <dataValidations count="5">
    <dataValidation type="list" allowBlank="1" showInputMessage="1" showErrorMessage="1" sqref="B2:F3" xr:uid="{E3E925ED-0E0D-40C2-A029-5018B37F33A7}">
      <formula1>"0.4,0.5,0.6,0.8,1.0"</formula1>
    </dataValidation>
    <dataValidation type="list" allowBlank="1" showInputMessage="1" showErrorMessage="1" sqref="B14:F14" xr:uid="{46FA8B79-A3D5-4B60-934D-A3C0041161FA}">
      <formula1>"ForceVolumetric,AutoVolumetric,Manual"</formula1>
    </dataValidation>
    <dataValidation type="list" allowBlank="1" showInputMessage="1" showErrorMessage="1" sqref="B15:F15" xr:uid="{63E5D475-50A7-42C0-A232-E90DB7D8BFAC}">
      <formula1>"Recommended,Min"</formula1>
    </dataValidation>
    <dataValidation type="list" allowBlank="1" showInputMessage="1" showErrorMessage="1" sqref="C17:F17" xr:uid="{24BE939B-E335-4FEE-83B3-AE1A389B67FF}">
      <formula1>"slic3r,s3d,prusa,default"</formula1>
    </dataValidation>
    <dataValidation type="list" allowBlank="1" showInputMessage="1" showErrorMessage="1" sqref="C72:F73" xr:uid="{FB0E5F6F-5DE4-46B2-928C-B5479A52E108}">
      <formula1>"klipper,marlin,reprap"</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47AC6208-2A12-46E9-B8BA-37A5E1901704}">
          <x14:formula1>
            <xm:f>spec_filament!$C$2:$F$2</xm:f>
          </x14:formula1>
          <xm:sqref>B16:F16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F155"/>
  <sheetViews>
    <sheetView workbookViewId="0">
      <pane ySplit="1" topLeftCell="A2" activePane="bottomLeft" state="frozen"/>
      <selection activeCell="B30" sqref="B30"/>
      <selection pane="bottomLeft" activeCell="E19" sqref="E19"/>
    </sheetView>
  </sheetViews>
  <sheetFormatPr defaultRowHeight="14.4" x14ac:dyDescent="0.3"/>
  <cols>
    <col min="1" max="1" width="17.33203125" style="40" bestFit="1" customWidth="1"/>
    <col min="2" max="2" width="13.6640625" style="40" customWidth="1"/>
    <col min="3" max="3" width="36.33203125" style="40" customWidth="1"/>
    <col min="4" max="4" width="34.44140625" style="34" bestFit="1" customWidth="1"/>
    <col min="5" max="5" width="118.6640625" bestFit="1" customWidth="1"/>
  </cols>
  <sheetData>
    <row r="1" spans="1:6" x14ac:dyDescent="0.3">
      <c r="A1" s="112" t="s">
        <v>216</v>
      </c>
      <c r="B1" s="112" t="s">
        <v>1323</v>
      </c>
      <c r="C1" s="112" t="s">
        <v>199</v>
      </c>
      <c r="D1" s="104" t="s">
        <v>202</v>
      </c>
      <c r="E1" s="95" t="s">
        <v>205</v>
      </c>
      <c r="F1" s="95"/>
    </row>
    <row r="2" spans="1:6" x14ac:dyDescent="0.3">
      <c r="A2" s="115" t="s">
        <v>270</v>
      </c>
      <c r="B2" s="115"/>
      <c r="C2" s="115" t="s">
        <v>362</v>
      </c>
      <c r="D2" s="105"/>
      <c r="E2" s="98"/>
      <c r="F2" s="98"/>
    </row>
    <row r="3" spans="1:6" x14ac:dyDescent="0.3">
      <c r="A3" s="115"/>
      <c r="B3" s="115"/>
      <c r="C3" s="115" t="s">
        <v>1406</v>
      </c>
      <c r="D3" s="105"/>
      <c r="E3" s="98"/>
      <c r="F3" s="98"/>
    </row>
    <row r="4" spans="1:6" x14ac:dyDescent="0.3">
      <c r="A4" s="113"/>
      <c r="B4" s="113"/>
      <c r="C4" s="113" t="s">
        <v>356</v>
      </c>
      <c r="D4" s="102"/>
      <c r="E4" s="96"/>
      <c r="F4" s="96"/>
    </row>
    <row r="5" spans="1:6" x14ac:dyDescent="0.3">
      <c r="A5" s="114"/>
      <c r="B5" s="114"/>
      <c r="C5" s="114" t="s">
        <v>357</v>
      </c>
      <c r="D5" s="103" t="s">
        <v>358</v>
      </c>
      <c r="E5" s="97"/>
      <c r="F5" s="97"/>
    </row>
    <row r="6" spans="1:6" x14ac:dyDescent="0.3">
      <c r="A6" s="113"/>
      <c r="B6" s="113"/>
      <c r="C6" s="113" t="s">
        <v>144</v>
      </c>
      <c r="D6" s="102" t="str">
        <f>GetPrusaBedShape()</f>
        <v>0x0,270x0,270x200,0x200</v>
      </c>
      <c r="E6" s="96"/>
      <c r="F6" s="96"/>
    </row>
    <row r="7" spans="1:6" x14ac:dyDescent="0.3">
      <c r="A7" s="114"/>
      <c r="B7" s="114"/>
      <c r="C7" s="114" t="s">
        <v>348</v>
      </c>
      <c r="D7" s="103"/>
      <c r="E7" s="97"/>
      <c r="F7" s="97"/>
    </row>
    <row r="8" spans="1:6" x14ac:dyDescent="0.3">
      <c r="A8" s="113"/>
      <c r="B8" s="113"/>
      <c r="C8" s="113" t="s">
        <v>349</v>
      </c>
      <c r="D8" s="102"/>
      <c r="E8" s="96"/>
      <c r="F8" s="96"/>
    </row>
    <row r="9" spans="1:6" x14ac:dyDescent="0.3">
      <c r="A9" s="114"/>
      <c r="B9" s="114"/>
      <c r="C9" s="114" t="s">
        <v>145</v>
      </c>
      <c r="D9" s="103" t="str">
        <f>Get_Machine_Spec("machine_max_z")</f>
        <v>200</v>
      </c>
      <c r="E9" s="97"/>
      <c r="F9" s="97"/>
    </row>
    <row r="10" spans="1:6" x14ac:dyDescent="0.3">
      <c r="A10" s="113"/>
      <c r="B10" s="113"/>
      <c r="C10" s="113" t="s">
        <v>417</v>
      </c>
      <c r="D10" s="102"/>
      <c r="E10" s="96"/>
      <c r="F10" s="96"/>
    </row>
    <row r="11" spans="1:6" x14ac:dyDescent="0.3">
      <c r="A11" s="114"/>
      <c r="B11" s="114" t="s">
        <v>1403</v>
      </c>
      <c r="C11" s="114" t="s">
        <v>1442</v>
      </c>
      <c r="D11" s="122">
        <v>0.04</v>
      </c>
      <c r="E11" s="97"/>
      <c r="F11" s="97"/>
    </row>
    <row r="12" spans="1:6" x14ac:dyDescent="0.3">
      <c r="A12" s="115"/>
      <c r="B12" s="115"/>
      <c r="C12" s="115" t="s">
        <v>363</v>
      </c>
      <c r="D12" s="105"/>
      <c r="E12" s="98"/>
      <c r="F12" s="98"/>
    </row>
    <row r="13" spans="1:6" x14ac:dyDescent="0.3">
      <c r="A13" s="116"/>
      <c r="B13" s="116"/>
      <c r="C13" s="116" t="s">
        <v>223</v>
      </c>
      <c r="D13" s="106">
        <v>1</v>
      </c>
      <c r="E13" s="99"/>
      <c r="F13" s="99"/>
    </row>
    <row r="14" spans="1:6" x14ac:dyDescent="0.3">
      <c r="A14" s="113"/>
      <c r="B14" s="113"/>
      <c r="C14" s="113" t="s">
        <v>147</v>
      </c>
      <c r="D14" s="102">
        <v>0</v>
      </c>
      <c r="E14" s="96"/>
      <c r="F14" s="96"/>
    </row>
    <row r="15" spans="1:6" x14ac:dyDescent="0.3">
      <c r="A15" s="114"/>
      <c r="B15" s="114" t="s">
        <v>1403</v>
      </c>
      <c r="C15" s="114" t="s">
        <v>1531</v>
      </c>
      <c r="D15" s="103"/>
      <c r="E15" s="97"/>
      <c r="F15" s="97"/>
    </row>
    <row r="16" spans="1:6" x14ac:dyDescent="0.3">
      <c r="A16" s="115"/>
      <c r="B16" s="115"/>
      <c r="C16" s="115" t="s">
        <v>364</v>
      </c>
      <c r="D16" s="105"/>
      <c r="E16" s="98"/>
      <c r="F16" s="98"/>
    </row>
    <row r="17" spans="1:6" x14ac:dyDescent="0.3">
      <c r="A17" s="113"/>
      <c r="B17" s="113"/>
      <c r="C17" s="113" t="s">
        <v>148</v>
      </c>
      <c r="D17" s="102"/>
      <c r="E17" s="96"/>
      <c r="F17" s="96"/>
    </row>
    <row r="18" spans="1:6" x14ac:dyDescent="0.3">
      <c r="A18" s="114"/>
      <c r="B18" s="114"/>
      <c r="C18" s="114" t="s">
        <v>274</v>
      </c>
      <c r="D18" s="103"/>
      <c r="E18" s="97"/>
      <c r="F18" s="97"/>
    </row>
    <row r="19" spans="1:6" x14ac:dyDescent="0.3">
      <c r="A19" s="113"/>
      <c r="B19" s="113"/>
      <c r="C19" s="113" t="s">
        <v>273</v>
      </c>
      <c r="D19" s="102"/>
      <c r="E19" s="96"/>
      <c r="F19" s="96"/>
    </row>
    <row r="20" spans="1:6" x14ac:dyDescent="0.3">
      <c r="A20" s="115"/>
      <c r="B20" s="115"/>
      <c r="C20" s="115" t="s">
        <v>365</v>
      </c>
      <c r="D20" s="105"/>
      <c r="E20" s="98"/>
      <c r="F20" s="98"/>
    </row>
    <row r="21" spans="1:6" x14ac:dyDescent="0.3">
      <c r="A21" s="113"/>
      <c r="B21" s="113"/>
      <c r="C21" s="113" t="s">
        <v>149</v>
      </c>
      <c r="D21" s="102" t="str">
        <f>Get_Machine_Spec("machine_firmware_gcode_type")</f>
        <v>marlin</v>
      </c>
      <c r="E21" s="96"/>
      <c r="F21" s="96"/>
    </row>
    <row r="22" spans="1:6" x14ac:dyDescent="0.3">
      <c r="A22" s="114"/>
      <c r="B22" s="114"/>
      <c r="C22" s="114" t="s">
        <v>150</v>
      </c>
      <c r="D22" s="103">
        <v>0</v>
      </c>
      <c r="E22" s="97"/>
      <c r="F22" s="97"/>
    </row>
    <row r="23" spans="1:6" x14ac:dyDescent="0.3">
      <c r="A23" s="113"/>
      <c r="B23" s="113"/>
      <c r="C23" s="113" t="s">
        <v>151</v>
      </c>
      <c r="D23" s="102"/>
      <c r="E23" s="96"/>
      <c r="F23" s="96"/>
    </row>
    <row r="24" spans="1:6" x14ac:dyDescent="0.3">
      <c r="A24" s="114"/>
      <c r="B24" s="114" t="s">
        <v>1403</v>
      </c>
      <c r="C24" s="114" t="s">
        <v>1538</v>
      </c>
      <c r="D24" s="103"/>
      <c r="E24" s="97"/>
      <c r="F24" s="97"/>
    </row>
    <row r="25" spans="1:6" x14ac:dyDescent="0.3">
      <c r="A25" s="113"/>
      <c r="B25" s="113" t="s">
        <v>1403</v>
      </c>
      <c r="C25" s="113" t="s">
        <v>1539</v>
      </c>
      <c r="D25" s="102"/>
      <c r="E25" s="96"/>
      <c r="F25" s="96"/>
    </row>
    <row r="26" spans="1:6" x14ac:dyDescent="0.3">
      <c r="A26" s="115"/>
      <c r="B26" s="115"/>
      <c r="C26" s="115" t="s">
        <v>1552</v>
      </c>
      <c r="D26" s="105"/>
      <c r="E26" s="98"/>
      <c r="F26" s="98"/>
    </row>
    <row r="27" spans="1:6" x14ac:dyDescent="0.3">
      <c r="A27" s="113"/>
      <c r="B27" s="113" t="s">
        <v>1403</v>
      </c>
      <c r="C27" s="113" t="s">
        <v>1426</v>
      </c>
      <c r="D27" s="111"/>
      <c r="E27" s="96"/>
      <c r="F27" s="96"/>
    </row>
    <row r="28" spans="1:6" x14ac:dyDescent="0.3">
      <c r="A28" s="114"/>
      <c r="B28" s="114" t="s">
        <v>1403</v>
      </c>
      <c r="C28" s="114" t="s">
        <v>1535</v>
      </c>
      <c r="D28" s="103"/>
      <c r="E28" s="97"/>
      <c r="F28" s="97"/>
    </row>
    <row r="29" spans="1:6" x14ac:dyDescent="0.3">
      <c r="A29" s="113"/>
      <c r="B29" s="113" t="s">
        <v>1403</v>
      </c>
      <c r="C29" s="113" t="s">
        <v>1536</v>
      </c>
      <c r="D29" s="102"/>
      <c r="E29" s="96"/>
      <c r="F29" s="96"/>
    </row>
    <row r="30" spans="1:6" x14ac:dyDescent="0.3">
      <c r="A30" s="114"/>
      <c r="B30" s="114" t="s">
        <v>1403</v>
      </c>
      <c r="C30" s="114" t="s">
        <v>1537</v>
      </c>
      <c r="D30" s="103"/>
      <c r="E30" s="97"/>
      <c r="F30" s="97"/>
    </row>
    <row r="31" spans="1:6" x14ac:dyDescent="0.3">
      <c r="A31" s="115"/>
      <c r="B31" s="115"/>
      <c r="C31" s="115" t="s">
        <v>1553</v>
      </c>
      <c r="D31" s="105"/>
      <c r="E31" s="98"/>
      <c r="F31" s="98"/>
    </row>
    <row r="32" spans="1:6" x14ac:dyDescent="0.3">
      <c r="A32" s="113"/>
      <c r="B32" s="113"/>
      <c r="C32" s="113" t="s">
        <v>359</v>
      </c>
      <c r="D32" s="102" t="str">
        <f>Get_Machine_Spec(C32)</f>
        <v>64x64,400x300</v>
      </c>
      <c r="E32" s="96"/>
      <c r="F32" s="96"/>
    </row>
    <row r="33" spans="1:6" x14ac:dyDescent="0.3">
      <c r="A33" s="114"/>
      <c r="B33" s="114"/>
      <c r="C33" s="114" t="s">
        <v>1645</v>
      </c>
      <c r="D33" s="103" t="s">
        <v>1646</v>
      </c>
      <c r="E33" s="97"/>
      <c r="F33" s="97"/>
    </row>
    <row r="34" spans="1:6" s="94" customFormat="1" x14ac:dyDescent="0.3">
      <c r="A34" s="113"/>
      <c r="B34" s="113" t="s">
        <v>1403</v>
      </c>
      <c r="C34" s="113" t="s">
        <v>1547</v>
      </c>
      <c r="D34" s="102" t="s">
        <v>1548</v>
      </c>
      <c r="E34" s="96"/>
      <c r="F34" s="96"/>
    </row>
    <row r="35" spans="1:6" x14ac:dyDescent="0.3">
      <c r="A35" s="114"/>
      <c r="B35" s="114" t="s">
        <v>1403</v>
      </c>
      <c r="C35" s="114" t="s">
        <v>1549</v>
      </c>
      <c r="D35" s="103"/>
      <c r="E35" s="97"/>
      <c r="F35" s="97"/>
    </row>
    <row r="36" spans="1:6" x14ac:dyDescent="0.3">
      <c r="A36" s="113"/>
      <c r="B36" s="113" t="s">
        <v>1403</v>
      </c>
      <c r="C36" s="113" t="s">
        <v>1550</v>
      </c>
      <c r="D36" s="102"/>
      <c r="E36" s="96"/>
      <c r="F36" s="96"/>
    </row>
    <row r="37" spans="1:6" x14ac:dyDescent="0.3">
      <c r="A37" s="115"/>
      <c r="B37" s="115"/>
      <c r="C37" s="115" t="s">
        <v>366</v>
      </c>
      <c r="D37" s="105"/>
      <c r="E37" s="98"/>
      <c r="F37" s="98"/>
    </row>
    <row r="38" spans="1:6" x14ac:dyDescent="0.3">
      <c r="A38" s="113"/>
      <c r="B38" s="113"/>
      <c r="C38" s="113" t="s">
        <v>152</v>
      </c>
      <c r="D38" s="102">
        <v>1</v>
      </c>
      <c r="E38" s="96"/>
      <c r="F38" s="96"/>
    </row>
    <row r="39" spans="1:6" x14ac:dyDescent="0.3">
      <c r="A39" s="114"/>
      <c r="B39" s="114"/>
      <c r="C39" s="114" t="s">
        <v>153</v>
      </c>
      <c r="D39" s="103">
        <v>0</v>
      </c>
      <c r="E39" s="97"/>
      <c r="F39" s="97"/>
    </row>
    <row r="40" spans="1:6" x14ac:dyDescent="0.3">
      <c r="A40" s="113"/>
      <c r="B40" s="113"/>
      <c r="C40" s="113" t="s">
        <v>154</v>
      </c>
      <c r="D40" s="102">
        <v>0</v>
      </c>
      <c r="E40" s="96"/>
      <c r="F40" s="96"/>
    </row>
    <row r="41" spans="1:6" x14ac:dyDescent="0.3">
      <c r="A41" s="114"/>
      <c r="B41" s="114" t="s">
        <v>1403</v>
      </c>
      <c r="C41" s="114" t="s">
        <v>1433</v>
      </c>
      <c r="D41" s="122"/>
      <c r="E41" s="97"/>
      <c r="F41" s="97"/>
    </row>
    <row r="42" spans="1:6" x14ac:dyDescent="0.3">
      <c r="A42" s="113"/>
      <c r="B42" s="113"/>
      <c r="C42" s="113" t="s">
        <v>155</v>
      </c>
      <c r="D42" s="102">
        <v>1</v>
      </c>
      <c r="E42" s="96"/>
      <c r="F42" s="96"/>
    </row>
    <row r="43" spans="1:6" x14ac:dyDescent="0.3">
      <c r="A43" s="116"/>
      <c r="B43" s="116"/>
      <c r="C43" s="116" t="s">
        <v>347</v>
      </c>
      <c r="D43" s="106"/>
      <c r="E43" s="99" t="str">
        <f>"=Matchfill(INDEX(filament!$A$1:$K$96,MATCH(B26,filament!$B$1:$B$96,0),MATCH(FILAMENT_NAME,filament!$A$1:$K$1,0)),filament!$C$1)"</f>
        <v>=Matchfill(INDEX(filament!$A$1:$K$96,MATCH(B26,filament!$B$1:$B$96,0),MATCH(FILAMENT_NAME,filament!$A$1:$K$1,0)),filament!$C$1)</v>
      </c>
      <c r="F43" s="99"/>
    </row>
    <row r="44" spans="1:6" x14ac:dyDescent="0.3">
      <c r="A44" s="115" t="s">
        <v>271</v>
      </c>
      <c r="B44" s="115"/>
      <c r="C44" s="115" t="s">
        <v>1555</v>
      </c>
      <c r="D44" s="105"/>
      <c r="E44" s="98"/>
      <c r="F44" s="98"/>
    </row>
    <row r="45" spans="1:6" x14ac:dyDescent="0.3">
      <c r="A45" s="113"/>
      <c r="B45" s="113" t="s">
        <v>1403</v>
      </c>
      <c r="C45" s="113" t="s">
        <v>1436</v>
      </c>
      <c r="D45" s="107"/>
      <c r="E45" s="96"/>
      <c r="F45" s="96"/>
    </row>
    <row r="46" spans="1:6" x14ac:dyDescent="0.3">
      <c r="A46" s="115"/>
      <c r="B46" s="115"/>
      <c r="C46" s="115" t="s">
        <v>1556</v>
      </c>
      <c r="D46" s="128"/>
      <c r="E46" s="98"/>
      <c r="F46" s="98"/>
    </row>
    <row r="47" spans="1:6" x14ac:dyDescent="0.3">
      <c r="A47" s="113"/>
      <c r="B47" s="113" t="s">
        <v>1613</v>
      </c>
      <c r="C47" s="113" t="s">
        <v>1540</v>
      </c>
      <c r="D47" s="102"/>
      <c r="E47" s="96"/>
      <c r="F47" s="96"/>
    </row>
    <row r="48" spans="1:6" x14ac:dyDescent="0.3">
      <c r="A48" s="115"/>
      <c r="B48" s="115"/>
      <c r="C48" s="115" t="s">
        <v>367</v>
      </c>
      <c r="D48" s="105"/>
      <c r="E48" s="98"/>
      <c r="F48" s="98"/>
    </row>
    <row r="49" spans="1:6" x14ac:dyDescent="0.3">
      <c r="A49" s="113"/>
      <c r="B49" s="113"/>
      <c r="C49" s="113" t="s">
        <v>161</v>
      </c>
      <c r="D49" s="102" t="str">
        <f>Get_Machine_Spec(C49)</f>
        <v>300</v>
      </c>
      <c r="E49" s="96"/>
      <c r="F49" s="96"/>
    </row>
    <row r="50" spans="1:6" x14ac:dyDescent="0.3">
      <c r="A50" s="114"/>
      <c r="B50" s="114"/>
      <c r="C50" s="114" t="s">
        <v>162</v>
      </c>
      <c r="D50" s="103" t="str">
        <f t="shared" ref="D50:D64" si="0">Get_Machine_Spec(C50)</f>
        <v>300</v>
      </c>
      <c r="E50" s="97"/>
      <c r="F50" s="97"/>
    </row>
    <row r="51" spans="1:6" x14ac:dyDescent="0.3">
      <c r="A51" s="113"/>
      <c r="B51" s="113"/>
      <c r="C51" s="113" t="s">
        <v>163</v>
      </c>
      <c r="D51" s="102" t="str">
        <f>Get_Machine_Spec(C51)</f>
        <v>20</v>
      </c>
      <c r="E51" s="96"/>
      <c r="F51" s="96"/>
    </row>
    <row r="52" spans="1:6" x14ac:dyDescent="0.3">
      <c r="A52" s="114"/>
      <c r="B52" s="114"/>
      <c r="C52" s="114" t="s">
        <v>164</v>
      </c>
      <c r="D52" s="103" t="str">
        <f t="shared" si="0"/>
        <v>300</v>
      </c>
      <c r="E52" s="97"/>
      <c r="F52" s="97"/>
    </row>
    <row r="53" spans="1:6" x14ac:dyDescent="0.3">
      <c r="A53" s="115"/>
      <c r="B53" s="115"/>
      <c r="C53" s="115" t="s">
        <v>368</v>
      </c>
      <c r="D53" s="105"/>
      <c r="E53" s="98"/>
      <c r="F53" s="98"/>
    </row>
    <row r="54" spans="1:6" x14ac:dyDescent="0.3">
      <c r="A54" s="113"/>
      <c r="B54" s="113"/>
      <c r="C54" s="113" t="s">
        <v>165</v>
      </c>
      <c r="D54" s="102" t="str">
        <f>Get_Machine_Spec(C54)</f>
        <v>3000</v>
      </c>
      <c r="E54" s="96"/>
      <c r="F54" s="96"/>
    </row>
    <row r="55" spans="1:6" x14ac:dyDescent="0.3">
      <c r="A55" s="114"/>
      <c r="B55" s="114"/>
      <c r="C55" s="114" t="s">
        <v>166</v>
      </c>
      <c r="D55" s="103" t="str">
        <f t="shared" si="0"/>
        <v>3000</v>
      </c>
      <c r="E55" s="97"/>
      <c r="F55" s="97"/>
    </row>
    <row r="56" spans="1:6" x14ac:dyDescent="0.3">
      <c r="A56" s="113"/>
      <c r="B56" s="113"/>
      <c r="C56" s="113" t="s">
        <v>167</v>
      </c>
      <c r="D56" s="102" t="str">
        <f t="shared" si="0"/>
        <v>200</v>
      </c>
      <c r="E56" s="96"/>
      <c r="F56" s="96"/>
    </row>
    <row r="57" spans="1:6" x14ac:dyDescent="0.3">
      <c r="A57" s="114"/>
      <c r="B57" s="114"/>
      <c r="C57" s="114" t="s">
        <v>168</v>
      </c>
      <c r="D57" s="103" t="str">
        <f t="shared" si="0"/>
        <v>10000</v>
      </c>
      <c r="E57" s="97"/>
      <c r="F57" s="97"/>
    </row>
    <row r="58" spans="1:6" x14ac:dyDescent="0.3">
      <c r="A58" s="113"/>
      <c r="B58" s="113"/>
      <c r="C58" s="113" t="s">
        <v>169</v>
      </c>
      <c r="D58" s="102" t="str">
        <f>Get_Machine_Spec(C58)</f>
        <v>10000</v>
      </c>
      <c r="E58" s="96"/>
      <c r="F58" s="96"/>
    </row>
    <row r="59" spans="1:6" x14ac:dyDescent="0.3">
      <c r="A59" s="114"/>
      <c r="B59" s="114"/>
      <c r="C59" s="114" t="s">
        <v>170</v>
      </c>
      <c r="D59" s="103" t="str">
        <f t="shared" si="0"/>
        <v>10000</v>
      </c>
      <c r="E59" s="97"/>
      <c r="F59" s="97"/>
    </row>
    <row r="60" spans="1:6" x14ac:dyDescent="0.3">
      <c r="A60" s="115"/>
      <c r="B60" s="115"/>
      <c r="C60" s="115" t="s">
        <v>369</v>
      </c>
      <c r="D60" s="105"/>
      <c r="E60" s="98"/>
      <c r="F60" s="98"/>
    </row>
    <row r="61" spans="1:6" x14ac:dyDescent="0.3">
      <c r="A61" s="113"/>
      <c r="B61" s="113"/>
      <c r="C61" s="113" t="s">
        <v>171</v>
      </c>
      <c r="D61" s="102" t="str">
        <f t="shared" si="0"/>
        <v>8</v>
      </c>
      <c r="E61" s="96"/>
      <c r="F61" s="96"/>
    </row>
    <row r="62" spans="1:6" x14ac:dyDescent="0.3">
      <c r="A62" s="114"/>
      <c r="B62" s="114"/>
      <c r="C62" s="114" t="s">
        <v>172</v>
      </c>
      <c r="D62" s="103" t="str">
        <f t="shared" si="0"/>
        <v>8</v>
      </c>
      <c r="E62" s="97"/>
      <c r="F62" s="97"/>
    </row>
    <row r="63" spans="1:6" x14ac:dyDescent="0.3">
      <c r="A63" s="113"/>
      <c r="B63" s="113"/>
      <c r="C63" s="113" t="s">
        <v>173</v>
      </c>
      <c r="D63" s="102" t="str">
        <f t="shared" si="0"/>
        <v>0.4</v>
      </c>
      <c r="E63" s="96"/>
      <c r="F63" s="96"/>
    </row>
    <row r="64" spans="1:6" x14ac:dyDescent="0.3">
      <c r="A64" s="114"/>
      <c r="B64" s="114"/>
      <c r="C64" s="114" t="s">
        <v>174</v>
      </c>
      <c r="D64" s="103" t="str">
        <f t="shared" si="0"/>
        <v>10</v>
      </c>
      <c r="E64" s="97"/>
      <c r="F64" s="97"/>
    </row>
    <row r="65" spans="1:6" x14ac:dyDescent="0.3">
      <c r="A65" s="116"/>
      <c r="B65" s="116"/>
      <c r="C65" s="116" t="s">
        <v>360</v>
      </c>
      <c r="D65" s="106" t="str">
        <f>Get_Machine_Spec("machine_junction_deviation")</f>
        <v>0.08</v>
      </c>
      <c r="E65" s="99"/>
      <c r="F65" s="99"/>
    </row>
    <row r="66" spans="1:6" x14ac:dyDescent="0.3">
      <c r="A66" s="115"/>
      <c r="B66" s="115"/>
      <c r="C66" s="115" t="s">
        <v>370</v>
      </c>
      <c r="D66" s="105"/>
      <c r="E66" s="98"/>
      <c r="F66" s="98"/>
    </row>
    <row r="67" spans="1:6" x14ac:dyDescent="0.3">
      <c r="A67" s="113"/>
      <c r="B67" s="113"/>
      <c r="C67" s="113" t="s">
        <v>175</v>
      </c>
      <c r="D67" s="102"/>
      <c r="E67" s="96"/>
      <c r="F67" s="96"/>
    </row>
    <row r="68" spans="1:6" x14ac:dyDescent="0.3">
      <c r="A68" s="114"/>
      <c r="B68" s="114"/>
      <c r="C68" s="114" t="s">
        <v>176</v>
      </c>
      <c r="D68" s="103"/>
      <c r="E68" s="97"/>
      <c r="F68" s="97"/>
    </row>
    <row r="69" spans="1:6" x14ac:dyDescent="0.3">
      <c r="A69" s="115" t="s">
        <v>272</v>
      </c>
      <c r="B69" s="115"/>
      <c r="C69" s="115" t="s">
        <v>371</v>
      </c>
      <c r="D69" s="105"/>
      <c r="E69" s="98"/>
      <c r="F69" s="98"/>
    </row>
    <row r="70" spans="1:6" x14ac:dyDescent="0.3">
      <c r="A70" s="113"/>
      <c r="B70" s="113"/>
      <c r="C70" s="113" t="s">
        <v>146</v>
      </c>
      <c r="D70" s="102">
        <f>Nozzle_Diameter</f>
        <v>0.4</v>
      </c>
      <c r="E70" s="96"/>
      <c r="F70" s="96"/>
    </row>
    <row r="71" spans="1:6" x14ac:dyDescent="0.3">
      <c r="A71" s="115"/>
      <c r="B71" s="115"/>
      <c r="C71" s="115" t="s">
        <v>372</v>
      </c>
      <c r="D71" s="105"/>
      <c r="E71" s="98"/>
      <c r="F71" s="98"/>
    </row>
    <row r="72" spans="1:6" x14ac:dyDescent="0.3">
      <c r="A72" s="113"/>
      <c r="B72" s="113"/>
      <c r="C72" s="113" t="s">
        <v>177</v>
      </c>
      <c r="D72" s="102">
        <f>Min_Layer_Height</f>
        <v>8.0000000000000016E-2</v>
      </c>
      <c r="E72" s="96"/>
      <c r="F72" s="96"/>
    </row>
    <row r="73" spans="1:6" x14ac:dyDescent="0.3">
      <c r="A73" s="114"/>
      <c r="B73" s="114"/>
      <c r="C73" s="114" t="s">
        <v>178</v>
      </c>
      <c r="D73" s="103">
        <f>Max_Layer_Height</f>
        <v>0.32000000000000006</v>
      </c>
      <c r="E73" s="97"/>
      <c r="F73" s="97"/>
    </row>
    <row r="74" spans="1:6" x14ac:dyDescent="0.3">
      <c r="A74" s="115"/>
      <c r="B74" s="115"/>
      <c r="C74" s="115" t="s">
        <v>373</v>
      </c>
      <c r="D74" s="105"/>
      <c r="E74" s="98"/>
      <c r="F74" s="98"/>
    </row>
    <row r="75" spans="1:6" x14ac:dyDescent="0.3">
      <c r="A75" s="113"/>
      <c r="B75" s="113"/>
      <c r="C75" s="113" t="s">
        <v>179</v>
      </c>
      <c r="D75" s="102"/>
      <c r="E75" s="96"/>
      <c r="F75" s="96"/>
    </row>
    <row r="76" spans="1:6" x14ac:dyDescent="0.3">
      <c r="A76" s="115"/>
      <c r="B76" s="115"/>
      <c r="C76" s="115" t="s">
        <v>374</v>
      </c>
      <c r="D76" s="105"/>
      <c r="E76" s="98"/>
      <c r="F76" s="98"/>
    </row>
    <row r="77" spans="1:6" x14ac:dyDescent="0.3">
      <c r="A77" s="113"/>
      <c r="B77" s="113"/>
      <c r="C77" s="113" t="s">
        <v>180</v>
      </c>
      <c r="D77" s="102">
        <v>0.4</v>
      </c>
      <c r="E77" s="96"/>
      <c r="F77" s="96"/>
    </row>
    <row r="78" spans="1:6" x14ac:dyDescent="0.3">
      <c r="A78" s="114"/>
      <c r="B78" s="114"/>
      <c r="C78" s="114" t="s">
        <v>181</v>
      </c>
      <c r="D78" s="103">
        <v>0.6</v>
      </c>
      <c r="E78" s="97"/>
      <c r="F78" s="97"/>
    </row>
    <row r="79" spans="1:6" x14ac:dyDescent="0.3">
      <c r="A79" s="113"/>
      <c r="B79" s="113"/>
      <c r="C79" s="113" t="s">
        <v>182</v>
      </c>
      <c r="D79" s="102">
        <v>0</v>
      </c>
      <c r="E79" s="96"/>
      <c r="F79" s="96"/>
    </row>
    <row r="80" spans="1:6" x14ac:dyDescent="0.3">
      <c r="A80" s="114"/>
      <c r="B80" s="114"/>
      <c r="C80" s="114" t="s">
        <v>183</v>
      </c>
      <c r="D80" s="103" t="str">
        <f>Get_Machine_Spec("machine_max_z")</f>
        <v>200</v>
      </c>
      <c r="E80" s="97"/>
      <c r="F80" s="97"/>
    </row>
    <row r="81" spans="1:6" x14ac:dyDescent="0.3">
      <c r="A81" s="113"/>
      <c r="B81" s="113"/>
      <c r="C81" s="113" t="s">
        <v>184</v>
      </c>
      <c r="D81" s="102">
        <v>50</v>
      </c>
      <c r="E81" s="96"/>
      <c r="F81" s="96"/>
    </row>
    <row r="82" spans="1:6" x14ac:dyDescent="0.3">
      <c r="A82" s="114"/>
      <c r="B82" s="114"/>
      <c r="C82" s="114" t="s">
        <v>185</v>
      </c>
      <c r="D82" s="103">
        <v>30</v>
      </c>
      <c r="E82" s="97"/>
      <c r="F82" s="97"/>
    </row>
    <row r="83" spans="1:6" x14ac:dyDescent="0.3">
      <c r="A83" s="113"/>
      <c r="B83" s="113"/>
      <c r="C83" s="113" t="s">
        <v>186</v>
      </c>
      <c r="D83" s="102">
        <v>0</v>
      </c>
      <c r="E83" s="96"/>
      <c r="F83" s="96"/>
    </row>
    <row r="84" spans="1:6" x14ac:dyDescent="0.3">
      <c r="A84" s="114"/>
      <c r="B84" s="114"/>
      <c r="C84" s="114" t="s">
        <v>187</v>
      </c>
      <c r="D84" s="103">
        <v>3</v>
      </c>
      <c r="E84" s="97" t="str">
        <f>IFERROR(Matchfill(INDEX(filament!$A$1:$N$111,MATCH("filament_" &amp; $C84,filament!$C$1:$C$111,0),MATCH(FILAMENT_NAME,filament!$A$1:$N$1,0)),filament!$D$1),"")</f>
        <v/>
      </c>
      <c r="F84" s="97"/>
    </row>
    <row r="85" spans="1:6" x14ac:dyDescent="0.3">
      <c r="A85" s="113"/>
      <c r="B85" s="113"/>
      <c r="C85" s="113" t="s">
        <v>188</v>
      </c>
      <c r="D85" s="102">
        <v>1</v>
      </c>
      <c r="E85" s="96"/>
      <c r="F85" s="96"/>
    </row>
    <row r="86" spans="1:6" x14ac:dyDescent="0.3">
      <c r="A86" s="114"/>
      <c r="B86" s="114"/>
      <c r="C86" s="114" t="s">
        <v>189</v>
      </c>
      <c r="D86" s="103">
        <v>1</v>
      </c>
      <c r="E86" s="97"/>
      <c r="F86" s="97"/>
    </row>
    <row r="87" spans="1:6" x14ac:dyDescent="0.3">
      <c r="A87" s="116"/>
      <c r="B87" s="116"/>
      <c r="C87" s="116" t="s">
        <v>449</v>
      </c>
      <c r="D87" s="106"/>
      <c r="E87" s="99"/>
      <c r="F87" s="99"/>
    </row>
    <row r="88" spans="1:6" x14ac:dyDescent="0.3">
      <c r="A88" s="116"/>
      <c r="B88" s="116"/>
      <c r="C88" s="116" t="s">
        <v>450</v>
      </c>
      <c r="D88" s="106"/>
      <c r="E88" s="99"/>
      <c r="F88" s="99"/>
    </row>
    <row r="89" spans="1:6" x14ac:dyDescent="0.3">
      <c r="A89" s="113"/>
      <c r="B89" s="113"/>
      <c r="C89" s="113" t="s">
        <v>190</v>
      </c>
      <c r="D89" s="102">
        <v>0</v>
      </c>
      <c r="E89" s="96"/>
      <c r="F89" s="96"/>
    </row>
    <row r="90" spans="1:6" x14ac:dyDescent="0.3">
      <c r="A90" s="115"/>
      <c r="B90" s="115"/>
      <c r="C90" s="115" t="s">
        <v>375</v>
      </c>
      <c r="D90" s="105"/>
      <c r="E90" s="98"/>
      <c r="F90" s="98"/>
    </row>
    <row r="91" spans="1:6" x14ac:dyDescent="0.3">
      <c r="A91" s="113"/>
      <c r="B91" s="113"/>
      <c r="C91" s="113" t="s">
        <v>191</v>
      </c>
      <c r="D91" s="102"/>
      <c r="E91" s="96"/>
      <c r="F91" s="96"/>
    </row>
    <row r="92" spans="1:6" x14ac:dyDescent="0.3">
      <c r="A92" s="114"/>
      <c r="B92" s="114"/>
      <c r="C92" s="114" t="s">
        <v>192</v>
      </c>
      <c r="D92" s="103"/>
      <c r="E92" s="97"/>
      <c r="F92" s="97"/>
    </row>
    <row r="93" spans="1:6" x14ac:dyDescent="0.3">
      <c r="A93" s="115"/>
      <c r="B93" s="115"/>
      <c r="C93" s="115" t="s">
        <v>376</v>
      </c>
      <c r="D93" s="105"/>
      <c r="E93" s="98"/>
      <c r="F93" s="98"/>
    </row>
    <row r="94" spans="1:6" x14ac:dyDescent="0.3">
      <c r="A94" s="113"/>
      <c r="B94" s="113"/>
      <c r="C94" s="113" t="s">
        <v>193</v>
      </c>
      <c r="D94" s="102" t="s">
        <v>194</v>
      </c>
      <c r="E94" s="96"/>
      <c r="F94" s="96"/>
    </row>
    <row r="95" spans="1:6" x14ac:dyDescent="0.3">
      <c r="A95" s="115" t="s">
        <v>225</v>
      </c>
      <c r="B95" s="115"/>
      <c r="C95" s="115" t="s">
        <v>377</v>
      </c>
      <c r="D95" s="105"/>
      <c r="E95" s="98"/>
      <c r="F95" s="98"/>
    </row>
    <row r="96" spans="1:6" ht="28.8" x14ac:dyDescent="0.3">
      <c r="A96" s="113"/>
      <c r="B96" s="113"/>
      <c r="C96" s="113" t="s">
        <v>204</v>
      </c>
      <c r="D96" s="102"/>
      <c r="E96" s="101" t="s">
        <v>343</v>
      </c>
      <c r="F96" s="96"/>
    </row>
    <row r="97" spans="1:6" x14ac:dyDescent="0.3">
      <c r="A97" s="115" t="s">
        <v>226</v>
      </c>
      <c r="B97" s="115"/>
      <c r="C97" s="115" t="s">
        <v>378</v>
      </c>
      <c r="D97" s="105"/>
      <c r="E97" s="98"/>
      <c r="F97" s="98"/>
    </row>
    <row r="98" spans="1:6" x14ac:dyDescent="0.3">
      <c r="A98" s="113"/>
      <c r="B98" s="113"/>
      <c r="C98" s="113" t="s">
        <v>198</v>
      </c>
      <c r="D98" s="102"/>
      <c r="E98" s="96"/>
      <c r="F98" s="96"/>
    </row>
    <row r="99" spans="1:6" x14ac:dyDescent="0.3">
      <c r="A99" s="114"/>
      <c r="B99" s="114"/>
      <c r="C99" s="114" t="s">
        <v>197</v>
      </c>
      <c r="D99" s="103"/>
      <c r="E99" s="97"/>
      <c r="F99" s="97"/>
    </row>
    <row r="100" spans="1:6" s="94" customFormat="1" x14ac:dyDescent="0.3">
      <c r="A100" s="113"/>
      <c r="B100" s="113"/>
      <c r="C100" s="113" t="s">
        <v>354</v>
      </c>
      <c r="D100" s="102"/>
      <c r="E100" s="96"/>
      <c r="F100" s="96"/>
    </row>
    <row r="101" spans="1:6" x14ac:dyDescent="0.3">
      <c r="A101" s="114"/>
      <c r="B101" s="114"/>
      <c r="C101" s="114" t="s">
        <v>196</v>
      </c>
      <c r="D101" s="103">
        <f>D70</f>
        <v>0.4</v>
      </c>
      <c r="E101" s="97"/>
      <c r="F101" s="97"/>
    </row>
    <row r="102" spans="1:6" x14ac:dyDescent="0.3">
      <c r="A102" s="113"/>
      <c r="B102" s="113"/>
      <c r="C102" s="113" t="s">
        <v>275</v>
      </c>
      <c r="D102" s="102" t="str">
        <f>Get_Machine_Spec("printer_vendor")</f>
        <v>Anycubic</v>
      </c>
      <c r="E102" s="96"/>
      <c r="F102" s="96"/>
    </row>
    <row r="103" spans="1:6" x14ac:dyDescent="0.3">
      <c r="A103" s="114"/>
      <c r="B103" s="114"/>
      <c r="C103" s="114" t="s">
        <v>195</v>
      </c>
      <c r="D103" s="103"/>
      <c r="E103" s="97"/>
      <c r="F103" s="97"/>
    </row>
    <row r="104" spans="1:6" x14ac:dyDescent="0.3">
      <c r="A104" s="113"/>
      <c r="B104" s="113"/>
      <c r="C104" s="113" t="s">
        <v>276</v>
      </c>
      <c r="D104" s="102"/>
      <c r="E104" s="96"/>
      <c r="F104" s="96"/>
    </row>
    <row r="105" spans="1:6" x14ac:dyDescent="0.3">
      <c r="A105" s="114"/>
      <c r="B105" s="114"/>
      <c r="C105" s="114" t="s">
        <v>277</v>
      </c>
      <c r="D105" s="103"/>
      <c r="E105" s="97"/>
      <c r="F105" s="97"/>
    </row>
    <row r="106" spans="1:6" x14ac:dyDescent="0.3">
      <c r="A106" s="113"/>
      <c r="B106" s="113"/>
      <c r="C106" s="113" t="s">
        <v>278</v>
      </c>
      <c r="D106" s="102"/>
      <c r="E106" s="96"/>
      <c r="F106" s="96"/>
    </row>
    <row r="107" spans="1:6" x14ac:dyDescent="0.3">
      <c r="A107" s="115" t="s">
        <v>269</v>
      </c>
      <c r="B107" s="115"/>
      <c r="C107" s="115" t="s">
        <v>379</v>
      </c>
      <c r="D107" s="105"/>
      <c r="E107" s="98"/>
      <c r="F107" s="98"/>
    </row>
    <row r="108" spans="1:6" x14ac:dyDescent="0.3">
      <c r="A108" s="113"/>
      <c r="B108" s="113"/>
      <c r="C108" s="113" t="s">
        <v>156</v>
      </c>
      <c r="D108" s="108" t="s">
        <v>667</v>
      </c>
      <c r="E108" s="96" t="s">
        <v>416</v>
      </c>
      <c r="F108" s="96"/>
    </row>
    <row r="109" spans="1:6" x14ac:dyDescent="0.3">
      <c r="A109" s="114"/>
      <c r="B109" s="114"/>
      <c r="C109" s="114" t="s">
        <v>157</v>
      </c>
      <c r="D109" s="109" t="s">
        <v>666</v>
      </c>
      <c r="E109" s="97" t="s">
        <v>416</v>
      </c>
      <c r="F109" s="97"/>
    </row>
    <row r="110" spans="1:6" x14ac:dyDescent="0.3">
      <c r="A110" s="113"/>
      <c r="B110" s="113"/>
      <c r="C110" s="113" t="s">
        <v>158</v>
      </c>
      <c r="D110" s="102" t="s">
        <v>663</v>
      </c>
      <c r="E110" s="96" t="s">
        <v>416</v>
      </c>
      <c r="F110" s="96"/>
    </row>
    <row r="111" spans="1:6" x14ac:dyDescent="0.3">
      <c r="A111" s="114"/>
      <c r="B111" s="114"/>
      <c r="C111" s="114" t="s">
        <v>159</v>
      </c>
      <c r="D111" s="103" t="s">
        <v>662</v>
      </c>
      <c r="E111" s="97" t="s">
        <v>416</v>
      </c>
      <c r="F111" s="97"/>
    </row>
    <row r="112" spans="1:6" x14ac:dyDescent="0.3">
      <c r="A112" s="113"/>
      <c r="B112" s="113"/>
      <c r="C112" s="113" t="s">
        <v>160</v>
      </c>
      <c r="D112" s="102"/>
      <c r="E112" s="96" t="s">
        <v>416</v>
      </c>
      <c r="F112" s="96"/>
    </row>
    <row r="113" spans="1:6" x14ac:dyDescent="0.3">
      <c r="A113" s="114"/>
      <c r="B113" s="114"/>
      <c r="C113" s="114" t="s">
        <v>200</v>
      </c>
      <c r="D113" s="103"/>
      <c r="E113" s="97" t="s">
        <v>416</v>
      </c>
      <c r="F113" s="97"/>
    </row>
    <row r="114" spans="1:6" s="94" customFormat="1" x14ac:dyDescent="0.3">
      <c r="A114" s="115" t="s">
        <v>1617</v>
      </c>
      <c r="B114" s="115"/>
      <c r="C114" s="115" t="s">
        <v>1616</v>
      </c>
      <c r="D114" s="105"/>
      <c r="E114" s="98"/>
      <c r="F114" s="98"/>
    </row>
    <row r="115" spans="1:6" s="94" customFormat="1" x14ac:dyDescent="0.3">
      <c r="A115" s="113"/>
      <c r="B115" s="113"/>
      <c r="C115" s="113" t="s">
        <v>350</v>
      </c>
      <c r="D115" s="102"/>
      <c r="E115" s="96"/>
      <c r="F115" s="96"/>
    </row>
    <row r="116" spans="1:6" s="94" customFormat="1" x14ac:dyDescent="0.3">
      <c r="A116" s="114"/>
      <c r="B116" s="114"/>
      <c r="C116" s="114" t="s">
        <v>351</v>
      </c>
      <c r="D116" s="103"/>
      <c r="E116" s="97"/>
      <c r="F116" s="97"/>
    </row>
    <row r="117" spans="1:6" s="94" customFormat="1" x14ac:dyDescent="0.3">
      <c r="A117" s="113"/>
      <c r="B117" s="113"/>
      <c r="C117" s="113" t="s">
        <v>352</v>
      </c>
      <c r="D117" s="102"/>
      <c r="E117" s="96"/>
      <c r="F117" s="96"/>
    </row>
    <row r="118" spans="1:6" s="94" customFormat="1" x14ac:dyDescent="0.3">
      <c r="A118" s="114"/>
      <c r="B118" s="114"/>
      <c r="C118" s="114" t="s">
        <v>353</v>
      </c>
      <c r="D118" s="103"/>
      <c r="E118" s="97"/>
      <c r="F118" s="97"/>
    </row>
    <row r="119" spans="1:6" s="94" customFormat="1" x14ac:dyDescent="0.3">
      <c r="A119" s="113"/>
      <c r="B119" s="113"/>
      <c r="C119" s="113" t="s">
        <v>355</v>
      </c>
      <c r="D119" s="102"/>
      <c r="E119" s="96"/>
      <c r="F119" s="96"/>
    </row>
    <row r="120" spans="1:6" x14ac:dyDescent="0.3">
      <c r="A120" s="115"/>
      <c r="B120" s="115"/>
      <c r="C120" s="115" t="s">
        <v>1405</v>
      </c>
      <c r="D120" s="105"/>
      <c r="E120" s="98"/>
      <c r="F120" s="98"/>
    </row>
    <row r="121" spans="1:6" x14ac:dyDescent="0.3">
      <c r="A121" s="115" t="s">
        <v>1404</v>
      </c>
      <c r="B121" s="115"/>
      <c r="C121" s="115" t="s">
        <v>1402</v>
      </c>
      <c r="D121" s="105"/>
      <c r="E121" s="98"/>
      <c r="F121" s="98"/>
    </row>
    <row r="122" spans="1:6" x14ac:dyDescent="0.3">
      <c r="A122" s="113"/>
      <c r="B122" s="113" t="s">
        <v>1403</v>
      </c>
      <c r="C122" s="113" t="s">
        <v>1427</v>
      </c>
      <c r="D122" s="111" t="s">
        <v>1625</v>
      </c>
      <c r="E122" s="96"/>
      <c r="F122" s="96"/>
    </row>
    <row r="123" spans="1:6" x14ac:dyDescent="0.3">
      <c r="A123" s="114"/>
      <c r="B123" s="114" t="s">
        <v>1613</v>
      </c>
      <c r="C123" s="114" t="s">
        <v>1428</v>
      </c>
      <c r="D123" s="122" t="str">
        <f>Get_Machine_Spec("machine_max_acceleration_travel")</f>
        <v>3000</v>
      </c>
      <c r="E123" s="97"/>
      <c r="F123" s="97"/>
    </row>
    <row r="124" spans="1:6" x14ac:dyDescent="0.3">
      <c r="A124" s="113"/>
      <c r="B124" s="113" t="s">
        <v>1403</v>
      </c>
      <c r="C124" s="113" t="s">
        <v>1429</v>
      </c>
      <c r="D124" s="111"/>
      <c r="E124" s="96"/>
      <c r="F124" s="96"/>
    </row>
    <row r="125" spans="1:6" x14ac:dyDescent="0.3">
      <c r="A125" s="114"/>
      <c r="B125" s="114" t="s">
        <v>1403</v>
      </c>
      <c r="C125" s="114" t="s">
        <v>1430</v>
      </c>
      <c r="D125" s="123"/>
      <c r="E125" s="97"/>
      <c r="F125" s="97"/>
    </row>
    <row r="126" spans="1:6" x14ac:dyDescent="0.3">
      <c r="A126" s="113"/>
      <c r="B126" s="113" t="s">
        <v>1403</v>
      </c>
      <c r="C126" s="113" t="s">
        <v>1431</v>
      </c>
      <c r="D126" s="125"/>
      <c r="E126" s="96"/>
      <c r="F126" s="96"/>
    </row>
    <row r="127" spans="1:6" x14ac:dyDescent="0.3">
      <c r="A127" s="114"/>
      <c r="B127" s="114" t="s">
        <v>1403</v>
      </c>
      <c r="C127" s="114" t="s">
        <v>1432</v>
      </c>
      <c r="D127" s="122"/>
      <c r="E127" s="97"/>
      <c r="F127" s="97"/>
    </row>
    <row r="128" spans="1:6" x14ac:dyDescent="0.3">
      <c r="A128" s="113"/>
      <c r="B128" s="113" t="s">
        <v>1403</v>
      </c>
      <c r="C128" s="113" t="s">
        <v>1434</v>
      </c>
      <c r="D128" s="111"/>
      <c r="E128" s="96"/>
      <c r="F128" s="96"/>
    </row>
    <row r="129" spans="1:6" ht="17.25" customHeight="1" x14ac:dyDescent="0.3">
      <c r="A129" s="114"/>
      <c r="B129" s="114" t="s">
        <v>1403</v>
      </c>
      <c r="C129" s="114" t="s">
        <v>1435</v>
      </c>
      <c r="D129" s="122"/>
      <c r="E129" s="97"/>
      <c r="F129" s="97"/>
    </row>
    <row r="130" spans="1:6" x14ac:dyDescent="0.3">
      <c r="A130" s="113"/>
      <c r="B130" s="113" t="s">
        <v>1403</v>
      </c>
      <c r="C130" s="113" t="s">
        <v>1437</v>
      </c>
      <c r="D130" s="102"/>
      <c r="E130" s="96"/>
      <c r="F130" s="96"/>
    </row>
    <row r="131" spans="1:6" x14ac:dyDescent="0.3">
      <c r="A131" s="114"/>
      <c r="B131" s="114" t="s">
        <v>1403</v>
      </c>
      <c r="C131" s="114" t="s">
        <v>1438</v>
      </c>
      <c r="D131" s="123"/>
      <c r="E131" s="97"/>
      <c r="F131" s="97"/>
    </row>
    <row r="132" spans="1:6" x14ac:dyDescent="0.3">
      <c r="A132" s="113"/>
      <c r="B132" s="113" t="s">
        <v>1403</v>
      </c>
      <c r="C132" s="113" t="s">
        <v>1439</v>
      </c>
      <c r="D132" s="111"/>
      <c r="E132" s="96"/>
      <c r="F132" s="96"/>
    </row>
    <row r="133" spans="1:6" x14ac:dyDescent="0.3">
      <c r="A133" s="114"/>
      <c r="B133" s="114" t="s">
        <v>1403</v>
      </c>
      <c r="C133" s="114" t="s">
        <v>1440</v>
      </c>
      <c r="D133" s="122"/>
      <c r="E133" s="97"/>
      <c r="F133" s="97"/>
    </row>
    <row r="134" spans="1:6" x14ac:dyDescent="0.3">
      <c r="A134" s="113"/>
      <c r="B134" s="113" t="s">
        <v>1403</v>
      </c>
      <c r="C134" s="113" t="s">
        <v>1441</v>
      </c>
      <c r="D134" s="111"/>
      <c r="E134" s="96"/>
      <c r="F134" s="96"/>
    </row>
    <row r="135" spans="1:6" x14ac:dyDescent="0.3">
      <c r="A135" s="114"/>
      <c r="B135" s="114" t="s">
        <v>1613</v>
      </c>
      <c r="C135" s="114" t="s">
        <v>1532</v>
      </c>
      <c r="D135" s="103"/>
      <c r="E135" s="97"/>
      <c r="F135" s="97"/>
    </row>
    <row r="136" spans="1:6" x14ac:dyDescent="0.3">
      <c r="A136" s="113"/>
      <c r="B136" s="113" t="s">
        <v>1403</v>
      </c>
      <c r="C136" s="113" t="s">
        <v>1533</v>
      </c>
      <c r="D136" s="107"/>
      <c r="E136" s="96"/>
      <c r="F136" s="96"/>
    </row>
    <row r="137" spans="1:6" x14ac:dyDescent="0.3">
      <c r="A137" s="114"/>
      <c r="B137" s="114" t="s">
        <v>1403</v>
      </c>
      <c r="C137" s="114" t="s">
        <v>1534</v>
      </c>
      <c r="D137" s="103"/>
      <c r="E137" s="97"/>
      <c r="F137" s="97"/>
    </row>
    <row r="138" spans="1:6" x14ac:dyDescent="0.3">
      <c r="A138" s="113"/>
      <c r="B138" s="113" t="s">
        <v>1613</v>
      </c>
      <c r="C138" s="113" t="s">
        <v>1541</v>
      </c>
      <c r="D138" s="102"/>
      <c r="E138" s="96"/>
      <c r="F138" s="96"/>
    </row>
    <row r="139" spans="1:6" x14ac:dyDescent="0.3">
      <c r="A139" s="114"/>
      <c r="B139" s="114" t="s">
        <v>1403</v>
      </c>
      <c r="C139" s="114" t="s">
        <v>1542</v>
      </c>
      <c r="D139" s="103"/>
      <c r="E139" s="97"/>
      <c r="F139" s="97"/>
    </row>
    <row r="140" spans="1:6" x14ac:dyDescent="0.3">
      <c r="A140" s="113"/>
      <c r="B140" s="113" t="s">
        <v>1403</v>
      </c>
      <c r="C140" s="113" t="s">
        <v>1543</v>
      </c>
      <c r="D140" s="102"/>
      <c r="E140" s="96"/>
      <c r="F140" s="96"/>
    </row>
    <row r="141" spans="1:6" x14ac:dyDescent="0.3">
      <c r="A141" s="114"/>
      <c r="B141" s="114" t="s">
        <v>1403</v>
      </c>
      <c r="C141" s="114" t="s">
        <v>1544</v>
      </c>
      <c r="D141" s="103"/>
      <c r="E141" s="97"/>
      <c r="F141" s="97"/>
    </row>
    <row r="142" spans="1:6" x14ac:dyDescent="0.3">
      <c r="A142" s="113"/>
      <c r="B142" s="113" t="s">
        <v>1403</v>
      </c>
      <c r="C142" s="113" t="s">
        <v>1545</v>
      </c>
      <c r="D142" s="102"/>
      <c r="E142" s="96"/>
      <c r="F142" s="96"/>
    </row>
    <row r="143" spans="1:6" x14ac:dyDescent="0.3">
      <c r="A143" s="114"/>
      <c r="B143" s="114" t="s">
        <v>1613</v>
      </c>
      <c r="C143" s="114" t="s">
        <v>1546</v>
      </c>
      <c r="D143" s="103"/>
      <c r="E143" s="97"/>
      <c r="F143" s="97"/>
    </row>
    <row r="144" spans="1:6" x14ac:dyDescent="0.3">
      <c r="A144" s="113"/>
      <c r="B144" s="113" t="s">
        <v>1403</v>
      </c>
      <c r="C144" s="113" t="s">
        <v>1551</v>
      </c>
      <c r="D144" s="102"/>
      <c r="E144" s="96"/>
      <c r="F144" s="96"/>
    </row>
    <row r="145" spans="1:6" x14ac:dyDescent="0.3">
      <c r="A145" s="115"/>
      <c r="B145" s="115"/>
      <c r="C145" s="115" t="s">
        <v>1401</v>
      </c>
      <c r="D145" s="105"/>
      <c r="E145" s="98"/>
      <c r="F145" s="98"/>
    </row>
    <row r="146" spans="1:6" x14ac:dyDescent="0.3">
      <c r="A146" s="113"/>
      <c r="B146" s="113"/>
      <c r="C146" s="113"/>
      <c r="D146" s="102"/>
      <c r="E146" s="96"/>
      <c r="F146" s="96"/>
    </row>
    <row r="147" spans="1:6" x14ac:dyDescent="0.3">
      <c r="A147" s="114"/>
      <c r="B147" s="114"/>
      <c r="C147" s="114"/>
      <c r="D147" s="103"/>
      <c r="E147" s="97"/>
      <c r="F147" s="97"/>
    </row>
    <row r="148" spans="1:6" x14ac:dyDescent="0.3">
      <c r="A148" s="113"/>
      <c r="B148" s="113"/>
      <c r="C148" s="113"/>
      <c r="D148" s="102"/>
      <c r="E148" s="96"/>
      <c r="F148" s="96"/>
    </row>
    <row r="149" spans="1:6" x14ac:dyDescent="0.3">
      <c r="A149" s="114"/>
      <c r="B149" s="114"/>
      <c r="C149" s="114"/>
      <c r="D149" s="103"/>
      <c r="E149" s="97"/>
      <c r="F149" s="97"/>
    </row>
    <row r="150" spans="1:6" x14ac:dyDescent="0.3">
      <c r="A150" s="113"/>
      <c r="B150" s="113"/>
      <c r="C150" s="113"/>
      <c r="D150" s="102"/>
      <c r="E150" s="96"/>
      <c r="F150" s="96"/>
    </row>
    <row r="151" spans="1:6" x14ac:dyDescent="0.3">
      <c r="A151" s="114"/>
      <c r="B151" s="114"/>
      <c r="C151" s="114"/>
      <c r="D151" s="103"/>
      <c r="E151" s="97"/>
      <c r="F151" s="97"/>
    </row>
    <row r="152" spans="1:6" x14ac:dyDescent="0.3">
      <c r="A152" s="113"/>
      <c r="B152" s="113"/>
      <c r="C152" s="113"/>
      <c r="D152" s="102"/>
      <c r="E152" s="96"/>
      <c r="F152" s="96"/>
    </row>
    <row r="153" spans="1:6" x14ac:dyDescent="0.3">
      <c r="A153" s="114"/>
      <c r="B153" s="114"/>
      <c r="C153" s="114"/>
      <c r="D153" s="103"/>
      <c r="E153" s="97"/>
      <c r="F153" s="97"/>
    </row>
    <row r="154" spans="1:6" x14ac:dyDescent="0.3">
      <c r="A154" s="113"/>
      <c r="B154" s="113"/>
      <c r="C154" s="113"/>
      <c r="D154" s="102"/>
      <c r="E154" s="96"/>
      <c r="F154" s="96"/>
    </row>
    <row r="155" spans="1:6" x14ac:dyDescent="0.3">
      <c r="A155" s="114"/>
      <c r="B155" s="114"/>
      <c r="C155" s="114"/>
      <c r="D155" s="103"/>
      <c r="E155" s="97"/>
      <c r="F155" s="97"/>
    </row>
  </sheetData>
  <dataValidations count="4">
    <dataValidation type="list" allowBlank="1" showInputMessage="1" showErrorMessage="1" sqref="D17" xr:uid="{DBA48198-24E8-4186-BA5E-F544F397903E}">
      <formula1>"octoprint,duet,flashair,astrobox"</formula1>
    </dataValidation>
    <dataValidation type="list" allowBlank="1" showInputMessage="1" showErrorMessage="1" sqref="D21" xr:uid="{4BA02800-4BB4-4E84-9FD9-6B5DC0F82ECF}">
      <formula1>"reprap,repetier,teacup,makerware,marlin,klipper,sailfish,smoothie,mach3,machinekit,no-extrusion,marlin2"</formula1>
    </dataValidation>
    <dataValidation type="list" allowBlank="1" showInputMessage="1" showErrorMessage="1" sqref="D131" xr:uid="{3D84F772-2327-40E3-9428-EDB684A60D23}">
      <formula1>"linear,quadra,expo"</formula1>
    </dataValidation>
    <dataValidation type="list" allowBlank="1" showInputMessage="1" showErrorMessage="1" sqref="D47" xr:uid="{7FA3F4CE-5744-4EA1-A15D-F0E6EF82B722}">
      <formula1>"emit_to_gcode,time_estimate_only,limits,ignore"</formula1>
    </dataValidation>
  </dataValidation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O113"/>
  <sheetViews>
    <sheetView workbookViewId="0">
      <pane ySplit="1" topLeftCell="A41" activePane="bottomLeft" state="frozen"/>
      <selection activeCell="B30" sqref="B30"/>
      <selection pane="bottomLeft" activeCell="E65" sqref="E65"/>
    </sheetView>
  </sheetViews>
  <sheetFormatPr defaultRowHeight="14.4" x14ac:dyDescent="0.3"/>
  <cols>
    <col min="1" max="2" width="16.6640625" style="40" customWidth="1"/>
    <col min="3" max="3" width="35.33203125" style="40" bestFit="1" customWidth="1"/>
    <col min="4" max="4" width="9.109375" customWidth="1"/>
    <col min="5" max="5" width="8.109375" customWidth="1"/>
    <col min="11" max="11" width="8.5546875" customWidth="1"/>
    <col min="12" max="12" width="8.33203125" customWidth="1"/>
    <col min="13" max="13" width="8.109375" customWidth="1"/>
    <col min="14" max="14" width="76.88671875" customWidth="1"/>
  </cols>
  <sheetData>
    <row r="1" spans="1:15" x14ac:dyDescent="0.3">
      <c r="A1" s="112" t="s">
        <v>216</v>
      </c>
      <c r="B1" s="112" t="s">
        <v>1323</v>
      </c>
      <c r="C1" s="112" t="s">
        <v>199</v>
      </c>
      <c r="D1" s="95" t="s">
        <v>100</v>
      </c>
      <c r="E1" s="95" t="s">
        <v>141</v>
      </c>
      <c r="F1" s="95" t="s">
        <v>418</v>
      </c>
      <c r="G1" s="95" t="s">
        <v>142</v>
      </c>
      <c r="H1" s="95" t="s">
        <v>301</v>
      </c>
      <c r="I1" s="95" t="s">
        <v>279</v>
      </c>
      <c r="J1" s="95" t="s">
        <v>281</v>
      </c>
      <c r="K1" s="95" t="s">
        <v>143</v>
      </c>
      <c r="L1" s="95" t="s">
        <v>315</v>
      </c>
      <c r="M1" s="95" t="s">
        <v>440</v>
      </c>
      <c r="N1" s="95" t="s">
        <v>205</v>
      </c>
      <c r="O1" s="95"/>
    </row>
    <row r="2" spans="1:15" x14ac:dyDescent="0.3">
      <c r="A2" s="115" t="s">
        <v>258</v>
      </c>
      <c r="B2" s="115"/>
      <c r="C2" s="115" t="s">
        <v>380</v>
      </c>
      <c r="D2" s="98"/>
      <c r="E2" s="98" t="s">
        <v>141</v>
      </c>
      <c r="F2" s="98" t="s">
        <v>418</v>
      </c>
      <c r="G2" s="98" t="s">
        <v>142</v>
      </c>
      <c r="H2" s="98"/>
      <c r="I2" s="98"/>
      <c r="J2" s="98"/>
      <c r="K2" s="98"/>
      <c r="L2" s="98"/>
      <c r="M2" s="98"/>
      <c r="N2" s="98"/>
      <c r="O2" s="98"/>
    </row>
    <row r="3" spans="1:15" x14ac:dyDescent="0.3">
      <c r="A3" s="115"/>
      <c r="B3" s="115"/>
      <c r="C3" s="115" t="s">
        <v>1406</v>
      </c>
      <c r="D3" s="98"/>
      <c r="E3" s="98"/>
      <c r="F3" s="98"/>
      <c r="G3" s="98"/>
      <c r="H3" s="98"/>
      <c r="I3" s="98"/>
      <c r="J3" s="98"/>
      <c r="K3" s="98"/>
      <c r="L3" s="98"/>
      <c r="M3" s="98"/>
      <c r="N3" s="98"/>
      <c r="O3" s="98"/>
    </row>
    <row r="4" spans="1:15" x14ac:dyDescent="0.3">
      <c r="A4" s="113"/>
      <c r="B4" s="113"/>
      <c r="C4" s="113" t="s">
        <v>101</v>
      </c>
      <c r="D4" s="96" t="s">
        <v>102</v>
      </c>
      <c r="E4" s="96" t="s">
        <v>282</v>
      </c>
      <c r="F4" s="96" t="s">
        <v>283</v>
      </c>
      <c r="G4" s="96" t="s">
        <v>284</v>
      </c>
      <c r="H4" s="96" t="s">
        <v>302</v>
      </c>
      <c r="I4" s="96" t="s">
        <v>280</v>
      </c>
      <c r="J4" s="96" t="s">
        <v>285</v>
      </c>
      <c r="K4" s="96" t="s">
        <v>286</v>
      </c>
      <c r="L4" s="96" t="s">
        <v>445</v>
      </c>
      <c r="M4" s="96" t="s">
        <v>446</v>
      </c>
      <c r="N4" s="96"/>
      <c r="O4" s="96"/>
    </row>
    <row r="5" spans="1:15" x14ac:dyDescent="0.3">
      <c r="A5" s="114"/>
      <c r="B5" s="114"/>
      <c r="C5" s="114" t="s">
        <v>103</v>
      </c>
      <c r="D5" s="97">
        <v>1.75</v>
      </c>
      <c r="E5" s="97"/>
      <c r="F5" s="97"/>
      <c r="G5" s="97"/>
      <c r="H5" s="97"/>
      <c r="I5" s="97"/>
      <c r="J5" s="97"/>
      <c r="K5" s="97"/>
      <c r="L5" s="97"/>
      <c r="M5" s="97"/>
      <c r="N5" s="97"/>
      <c r="O5" s="97"/>
    </row>
    <row r="6" spans="1:15" x14ac:dyDescent="0.3">
      <c r="A6" s="113"/>
      <c r="B6" s="113"/>
      <c r="C6" s="113" t="s">
        <v>104</v>
      </c>
      <c r="D6" s="96">
        <v>1</v>
      </c>
      <c r="E6" s="96"/>
      <c r="F6" s="96"/>
      <c r="G6" s="96"/>
      <c r="H6" s="96"/>
      <c r="I6" s="96"/>
      <c r="J6" s="96"/>
      <c r="K6" s="96">
        <v>1.1499999999999999</v>
      </c>
      <c r="L6" s="96"/>
      <c r="M6" s="96"/>
      <c r="N6" s="96"/>
      <c r="O6" s="96"/>
    </row>
    <row r="7" spans="1:15" x14ac:dyDescent="0.3">
      <c r="A7" s="114"/>
      <c r="B7" s="114"/>
      <c r="C7" s="114" t="s">
        <v>105</v>
      </c>
      <c r="D7" s="97"/>
      <c r="E7" s="97">
        <v>1.24</v>
      </c>
      <c r="F7" s="97">
        <v>1.23</v>
      </c>
      <c r="G7" s="97">
        <v>1.04</v>
      </c>
      <c r="H7" s="97">
        <v>1.07</v>
      </c>
      <c r="I7" s="97">
        <v>1.1299999999999999</v>
      </c>
      <c r="J7" s="97">
        <v>0.89</v>
      </c>
      <c r="K7" s="97">
        <v>1.22</v>
      </c>
      <c r="L7" s="97">
        <v>1.04</v>
      </c>
      <c r="M7" s="97">
        <v>1.2</v>
      </c>
      <c r="N7" s="97"/>
      <c r="O7" s="97"/>
    </row>
    <row r="8" spans="1:15" x14ac:dyDescent="0.3">
      <c r="A8" s="113"/>
      <c r="B8" s="113"/>
      <c r="C8" s="113" t="s">
        <v>106</v>
      </c>
      <c r="D8" s="96"/>
      <c r="E8" s="96">
        <v>20</v>
      </c>
      <c r="F8" s="96">
        <v>25</v>
      </c>
      <c r="G8" s="96">
        <v>20</v>
      </c>
      <c r="H8" s="96">
        <v>30</v>
      </c>
      <c r="I8" s="96">
        <v>40</v>
      </c>
      <c r="J8" s="96">
        <v>25</v>
      </c>
      <c r="K8" s="96">
        <v>25</v>
      </c>
      <c r="L8" s="96">
        <v>25</v>
      </c>
      <c r="M8" s="96">
        <v>25</v>
      </c>
      <c r="N8" s="96" t="s">
        <v>287</v>
      </c>
      <c r="O8" s="96"/>
    </row>
    <row r="9" spans="1:15" x14ac:dyDescent="0.3">
      <c r="A9" s="114"/>
      <c r="B9" s="114"/>
      <c r="C9" s="114" t="s">
        <v>1466</v>
      </c>
      <c r="D9" s="97"/>
      <c r="E9" s="97">
        <v>1</v>
      </c>
      <c r="F9" s="97">
        <v>1</v>
      </c>
      <c r="G9" s="97">
        <v>1</v>
      </c>
      <c r="H9" s="97">
        <v>1</v>
      </c>
      <c r="I9" s="97">
        <v>1</v>
      </c>
      <c r="J9" s="97">
        <v>1</v>
      </c>
      <c r="K9" s="97">
        <v>1</v>
      </c>
      <c r="L9" s="97">
        <v>1</v>
      </c>
      <c r="M9" s="97">
        <v>1</v>
      </c>
      <c r="N9" s="97" t="s">
        <v>1481</v>
      </c>
      <c r="O9" s="97"/>
    </row>
    <row r="10" spans="1:15" x14ac:dyDescent="0.3">
      <c r="A10" s="115"/>
      <c r="B10" s="115"/>
      <c r="C10" s="115" t="s">
        <v>381</v>
      </c>
      <c r="D10" s="98"/>
      <c r="E10" s="98"/>
      <c r="F10" s="98"/>
      <c r="G10" s="98"/>
      <c r="H10" s="98"/>
      <c r="I10" s="98"/>
      <c r="J10" s="98"/>
      <c r="K10" s="98"/>
      <c r="L10" s="98"/>
      <c r="M10" s="98"/>
      <c r="N10" s="98"/>
      <c r="O10" s="98"/>
    </row>
    <row r="11" spans="1:15" x14ac:dyDescent="0.3">
      <c r="A11" s="113"/>
      <c r="B11" s="113"/>
      <c r="C11" s="113" t="s">
        <v>107</v>
      </c>
      <c r="D11" s="96">
        <v>225</v>
      </c>
      <c r="E11" s="96">
        <v>210</v>
      </c>
      <c r="F11" s="96">
        <v>240</v>
      </c>
      <c r="G11" s="96">
        <v>240</v>
      </c>
      <c r="H11" s="96">
        <v>260</v>
      </c>
      <c r="I11" s="96">
        <v>240</v>
      </c>
      <c r="J11" s="96">
        <v>220</v>
      </c>
      <c r="K11" s="96">
        <v>240</v>
      </c>
      <c r="L11" s="96">
        <v>230</v>
      </c>
      <c r="M11" s="96">
        <v>270</v>
      </c>
      <c r="N11" s="96"/>
      <c r="O11" s="96"/>
    </row>
    <row r="12" spans="1:15" x14ac:dyDescent="0.3">
      <c r="A12" s="114"/>
      <c r="B12" s="114"/>
      <c r="C12" s="114" t="s">
        <v>108</v>
      </c>
      <c r="D12" s="97">
        <v>220</v>
      </c>
      <c r="E12" s="97">
        <v>205</v>
      </c>
      <c r="F12" s="97">
        <v>235</v>
      </c>
      <c r="G12" s="97">
        <v>245</v>
      </c>
      <c r="H12" s="97">
        <v>260</v>
      </c>
      <c r="I12" s="97">
        <v>250</v>
      </c>
      <c r="J12" s="97">
        <v>220</v>
      </c>
      <c r="K12" s="97">
        <v>240</v>
      </c>
      <c r="L12" s="97">
        <v>230</v>
      </c>
      <c r="M12" s="97">
        <v>270</v>
      </c>
      <c r="N12" s="97"/>
      <c r="O12" s="97"/>
    </row>
    <row r="13" spans="1:15" x14ac:dyDescent="0.3">
      <c r="A13" s="113"/>
      <c r="B13" s="113"/>
      <c r="C13" s="113" t="s">
        <v>109</v>
      </c>
      <c r="D13" s="96">
        <v>80</v>
      </c>
      <c r="E13" s="96">
        <v>55</v>
      </c>
      <c r="F13" s="96">
        <v>75</v>
      </c>
      <c r="G13" s="96">
        <v>105</v>
      </c>
      <c r="H13" s="96">
        <v>105</v>
      </c>
      <c r="I13" s="96">
        <v>60</v>
      </c>
      <c r="J13" s="96">
        <v>100</v>
      </c>
      <c r="K13" s="96">
        <v>50</v>
      </c>
      <c r="L13" s="96">
        <v>100</v>
      </c>
      <c r="M13" s="96">
        <v>100</v>
      </c>
      <c r="N13" s="96"/>
      <c r="O13" s="96"/>
    </row>
    <row r="14" spans="1:15" x14ac:dyDescent="0.3">
      <c r="A14" s="114"/>
      <c r="B14" s="114"/>
      <c r="C14" s="114" t="s">
        <v>110</v>
      </c>
      <c r="D14" s="97">
        <v>80</v>
      </c>
      <c r="E14" s="97">
        <v>55</v>
      </c>
      <c r="F14" s="97">
        <v>70</v>
      </c>
      <c r="G14" s="97">
        <v>95</v>
      </c>
      <c r="H14" s="97">
        <v>95</v>
      </c>
      <c r="I14" s="97">
        <v>90</v>
      </c>
      <c r="J14" s="97">
        <v>100</v>
      </c>
      <c r="K14" s="97">
        <v>50</v>
      </c>
      <c r="L14" s="97">
        <v>110</v>
      </c>
      <c r="M14" s="97">
        <v>115</v>
      </c>
      <c r="N14" s="97"/>
      <c r="O14" s="97"/>
    </row>
    <row r="15" spans="1:15" x14ac:dyDescent="0.3">
      <c r="A15" s="113"/>
      <c r="B15" s="113" t="s">
        <v>1403</v>
      </c>
      <c r="C15" s="113" t="s">
        <v>1407</v>
      </c>
      <c r="D15" s="96"/>
      <c r="E15" s="96"/>
      <c r="F15" s="96"/>
      <c r="G15" s="96"/>
      <c r="H15" s="96"/>
      <c r="I15" s="96"/>
      <c r="J15" s="96"/>
      <c r="K15" s="96"/>
      <c r="L15" s="96"/>
      <c r="M15" s="96"/>
      <c r="N15" s="96"/>
      <c r="O15" s="96"/>
    </row>
    <row r="16" spans="1:15" x14ac:dyDescent="0.3">
      <c r="A16" s="115"/>
      <c r="B16" s="115"/>
      <c r="C16" s="115" t="s">
        <v>1528</v>
      </c>
      <c r="D16" s="98"/>
      <c r="E16" s="98"/>
      <c r="F16" s="98"/>
      <c r="G16" s="98"/>
      <c r="H16" s="98"/>
      <c r="I16" s="98"/>
      <c r="J16" s="98"/>
      <c r="K16" s="98"/>
      <c r="L16" s="98"/>
      <c r="M16" s="98"/>
      <c r="N16" s="98"/>
      <c r="O16" s="98"/>
    </row>
    <row r="17" spans="1:15" x14ac:dyDescent="0.3">
      <c r="A17" s="113"/>
      <c r="B17" s="113"/>
      <c r="C17" s="113" t="s">
        <v>120</v>
      </c>
      <c r="D17" s="96"/>
      <c r="E17" s="96" t="s">
        <v>141</v>
      </c>
      <c r="F17" s="96" t="s">
        <v>140</v>
      </c>
      <c r="G17" s="96" t="s">
        <v>142</v>
      </c>
      <c r="H17" s="96" t="s">
        <v>301</v>
      </c>
      <c r="I17" s="96" t="s">
        <v>456</v>
      </c>
      <c r="J17" s="96" t="s">
        <v>281</v>
      </c>
      <c r="K17" s="96" t="s">
        <v>203</v>
      </c>
      <c r="L17" s="96" t="s">
        <v>315</v>
      </c>
      <c r="M17" s="96" t="s">
        <v>440</v>
      </c>
      <c r="N17" s="96"/>
      <c r="O17" s="96"/>
    </row>
    <row r="18" spans="1:15" x14ac:dyDescent="0.3">
      <c r="A18" s="114"/>
      <c r="B18" s="114"/>
      <c r="C18" s="114" t="s">
        <v>121</v>
      </c>
      <c r="D18" s="97"/>
      <c r="E18" s="97">
        <v>0</v>
      </c>
      <c r="F18" s="97">
        <v>0</v>
      </c>
      <c r="G18" s="97">
        <v>0</v>
      </c>
      <c r="H18" s="97">
        <v>0</v>
      </c>
      <c r="I18" s="97">
        <v>0</v>
      </c>
      <c r="J18" s="97">
        <v>0</v>
      </c>
      <c r="K18" s="97">
        <v>0</v>
      </c>
      <c r="L18" s="97">
        <v>0</v>
      </c>
      <c r="M18" s="97">
        <v>0</v>
      </c>
      <c r="N18" s="97"/>
      <c r="O18" s="97"/>
    </row>
    <row r="19" spans="1:15" x14ac:dyDescent="0.3">
      <c r="A19" s="113"/>
      <c r="B19" s="113" t="s">
        <v>1403</v>
      </c>
      <c r="C19" s="113" t="s">
        <v>1416</v>
      </c>
      <c r="D19" s="110"/>
      <c r="E19" s="96"/>
      <c r="F19" s="96"/>
      <c r="G19" s="96"/>
      <c r="H19" s="96"/>
      <c r="I19" s="96"/>
      <c r="J19" s="96"/>
      <c r="K19" s="96"/>
      <c r="L19" s="96"/>
      <c r="M19" s="96"/>
      <c r="N19" s="96"/>
      <c r="O19" s="96"/>
    </row>
    <row r="20" spans="1:15" x14ac:dyDescent="0.3">
      <c r="A20" s="115"/>
      <c r="B20" s="115"/>
      <c r="C20" s="115" t="s">
        <v>1529</v>
      </c>
      <c r="D20" s="127"/>
      <c r="E20" s="98"/>
      <c r="F20" s="98"/>
      <c r="G20" s="98"/>
      <c r="H20" s="98"/>
      <c r="I20" s="98"/>
      <c r="J20" s="98"/>
      <c r="K20" s="98"/>
      <c r="L20" s="98"/>
      <c r="M20" s="98"/>
      <c r="N20" s="98"/>
      <c r="O20" s="98"/>
    </row>
    <row r="21" spans="1:15" x14ac:dyDescent="0.3">
      <c r="A21" s="113"/>
      <c r="B21" s="113"/>
      <c r="C21" s="113" t="s">
        <v>1530</v>
      </c>
      <c r="D21" s="110"/>
      <c r="E21" s="96"/>
      <c r="F21" s="96"/>
      <c r="G21" s="96"/>
      <c r="H21" s="96"/>
      <c r="I21" s="96"/>
      <c r="J21" s="96"/>
      <c r="K21" s="96"/>
      <c r="L21" s="96"/>
      <c r="M21" s="96"/>
      <c r="N21" s="96"/>
      <c r="O21" s="96"/>
    </row>
    <row r="22" spans="1:15" x14ac:dyDescent="0.3">
      <c r="A22" s="114"/>
      <c r="B22" s="114"/>
      <c r="C22" s="114" t="s">
        <v>122</v>
      </c>
      <c r="D22" s="97"/>
      <c r="E22" s="97" t="str">
        <f>IF(SpeedType = "Manual","",Matchfill(INDEX(spec_filament!$A$25:$B$39,MATCH(E$1,spec_filament!$A$25:$A$39,0),2),$D:$D))</f>
        <v>13</v>
      </c>
      <c r="F22" s="97" t="str">
        <f>IF(SpeedType = "Manual","",Matchfill(INDEX(spec_filament!$A$25:$B$39,MATCH(F$1,spec_filament!$A$25:$A$39,0),2),$D:$D))</f>
        <v>8</v>
      </c>
      <c r="G22" s="97" t="str">
        <f>IF(SpeedType = "Manual","",Matchfill(INDEX(spec_filament!$A$25:$B$39,MATCH(G$1,spec_filament!$A$25:$A$39,0),2),$D:$D))</f>
        <v>11</v>
      </c>
      <c r="H22" s="97" t="str">
        <f>IF(SpeedType = "Manual","",Matchfill(INDEX(spec_filament!$A$25:$B$39,MATCH(H$1,spec_filament!$A$25:$A$39,0),2),$D:$D))</f>
        <v>11</v>
      </c>
      <c r="I22" s="97" t="str">
        <f>IF(SpeedType = "Manual","",Matchfill(INDEX(spec_filament!$A$25:$B$39,MATCH(I$1,spec_filament!$A$25:$A$39,0),2),$D:$D))</f>
        <v>10</v>
      </c>
      <c r="J22" s="97" t="str">
        <f>IF(SpeedType = "Manual","",Matchfill(INDEX(spec_filament!$A$25:$B$39,MATCH(J$1,spec_filament!$A$25:$A$39,0),2),$D:$D))</f>
        <v>5</v>
      </c>
      <c r="K22" s="97" t="str">
        <f>IF(SpeedType = "Manual","",Matchfill(INDEX(spec_filament!$A$25:$B$39,MATCH(K$1,spec_filament!$A$25:$A$39,0),2),$D:$D))</f>
        <v>1.35</v>
      </c>
      <c r="L22" s="97" t="str">
        <f>IF(SpeedType = "Manual","",Matchfill(INDEX(spec_filament!$A$25:$B$39,MATCH(L$1,spec_filament!$A$25:$A$39,0),2),$D:$D))</f>
        <v>11</v>
      </c>
      <c r="M22" s="97" t="str">
        <f>IF(SpeedType = "Manual","",Matchfill(INDEX(spec_filament!$A$25:$B$39,MATCH(M$1,spec_filament!$A$25:$A$39,0),2),$D:$D))</f>
        <v>8</v>
      </c>
      <c r="N22" s="97" t="s">
        <v>263</v>
      </c>
      <c r="O22" s="97"/>
    </row>
    <row r="23" spans="1:15" x14ac:dyDescent="0.3">
      <c r="A23" s="115" t="s">
        <v>261</v>
      </c>
      <c r="B23" s="115"/>
      <c r="C23" s="115" t="s">
        <v>382</v>
      </c>
      <c r="D23" s="98"/>
      <c r="E23" s="98"/>
      <c r="F23" s="98"/>
      <c r="G23" s="98"/>
      <c r="H23" s="98"/>
      <c r="I23" s="98"/>
      <c r="J23" s="98"/>
      <c r="K23" s="98"/>
      <c r="L23" s="98"/>
      <c r="M23" s="98"/>
      <c r="N23" s="98"/>
      <c r="O23" s="98"/>
    </row>
    <row r="24" spans="1:15" x14ac:dyDescent="0.3">
      <c r="A24" s="113"/>
      <c r="B24" s="113"/>
      <c r="C24" s="113" t="s">
        <v>111</v>
      </c>
      <c r="D24" s="96"/>
      <c r="E24" s="96">
        <v>1</v>
      </c>
      <c r="F24" s="96">
        <v>1</v>
      </c>
      <c r="G24" s="96">
        <v>1</v>
      </c>
      <c r="H24" s="96">
        <v>1</v>
      </c>
      <c r="I24" s="96">
        <v>0</v>
      </c>
      <c r="J24" s="96">
        <v>1</v>
      </c>
      <c r="K24" s="96">
        <v>0</v>
      </c>
      <c r="L24" s="96">
        <v>1</v>
      </c>
      <c r="M24" s="96">
        <v>0</v>
      </c>
      <c r="N24" s="96"/>
      <c r="O24" s="96"/>
    </row>
    <row r="25" spans="1:15" x14ac:dyDescent="0.3">
      <c r="A25" s="114"/>
      <c r="B25" s="114"/>
      <c r="C25" s="114" t="s">
        <v>112</v>
      </c>
      <c r="D25" s="97"/>
      <c r="E25" s="97">
        <v>1</v>
      </c>
      <c r="F25" s="97">
        <v>1</v>
      </c>
      <c r="G25" s="97">
        <v>1</v>
      </c>
      <c r="H25" s="97">
        <v>1</v>
      </c>
      <c r="I25" s="97">
        <v>0</v>
      </c>
      <c r="J25" s="97">
        <v>1</v>
      </c>
      <c r="K25" s="97">
        <v>0</v>
      </c>
      <c r="L25" s="97">
        <v>1</v>
      </c>
      <c r="M25" s="97">
        <v>0</v>
      </c>
      <c r="N25" s="97"/>
      <c r="O25" s="97"/>
    </row>
    <row r="26" spans="1:15" x14ac:dyDescent="0.3">
      <c r="A26" s="115"/>
      <c r="B26" s="115"/>
      <c r="C26" s="115" t="s">
        <v>383</v>
      </c>
      <c r="D26" s="98"/>
      <c r="E26" s="98"/>
      <c r="F26" s="98"/>
      <c r="G26" s="98"/>
      <c r="H26" s="98"/>
      <c r="I26" s="98"/>
      <c r="J26" s="98"/>
      <c r="K26" s="98"/>
      <c r="L26" s="98"/>
      <c r="M26" s="98"/>
      <c r="N26" s="98"/>
      <c r="O26" s="98"/>
    </row>
    <row r="27" spans="1:15" x14ac:dyDescent="0.3">
      <c r="A27" s="113"/>
      <c r="B27" s="113"/>
      <c r="C27" s="113" t="s">
        <v>113</v>
      </c>
      <c r="D27" s="110"/>
      <c r="E27" s="110">
        <v>1</v>
      </c>
      <c r="F27" s="110">
        <v>0.3</v>
      </c>
      <c r="G27" s="110">
        <v>0.3</v>
      </c>
      <c r="H27" s="110">
        <v>0.3</v>
      </c>
      <c r="I27" s="110">
        <v>0</v>
      </c>
      <c r="J27" s="110">
        <v>1</v>
      </c>
      <c r="K27" s="110">
        <v>0.7</v>
      </c>
      <c r="L27" s="110">
        <v>0.2</v>
      </c>
      <c r="M27" s="110">
        <v>0.2</v>
      </c>
      <c r="N27" s="96" t="s">
        <v>448</v>
      </c>
      <c r="O27" s="96"/>
    </row>
    <row r="28" spans="1:15" x14ac:dyDescent="0.3">
      <c r="A28" s="114"/>
      <c r="B28" s="114"/>
      <c r="C28" s="114" t="s">
        <v>114</v>
      </c>
      <c r="D28" s="118"/>
      <c r="E28" s="118">
        <v>1</v>
      </c>
      <c r="F28" s="118">
        <v>0.8</v>
      </c>
      <c r="G28" s="118">
        <v>0.8</v>
      </c>
      <c r="H28" s="118">
        <v>0.8</v>
      </c>
      <c r="I28" s="118">
        <v>0.05</v>
      </c>
      <c r="J28" s="118">
        <v>1</v>
      </c>
      <c r="K28" s="118">
        <v>0.9</v>
      </c>
      <c r="L28" s="118">
        <v>0.2</v>
      </c>
      <c r="M28" s="118">
        <v>0.3</v>
      </c>
      <c r="N28" s="97"/>
      <c r="O28" s="97"/>
    </row>
    <row r="29" spans="1:15" x14ac:dyDescent="0.3">
      <c r="A29" s="113"/>
      <c r="B29" s="113"/>
      <c r="C29" s="113" t="s">
        <v>115</v>
      </c>
      <c r="D29" s="110"/>
      <c r="E29" s="110">
        <v>1</v>
      </c>
      <c r="F29" s="110">
        <v>0.8</v>
      </c>
      <c r="G29" s="110">
        <v>0.8</v>
      </c>
      <c r="H29" s="110">
        <v>0.8</v>
      </c>
      <c r="I29" s="110">
        <v>0.4</v>
      </c>
      <c r="J29" s="110">
        <v>1</v>
      </c>
      <c r="K29" s="110">
        <v>0.8</v>
      </c>
      <c r="L29" s="110">
        <v>0.5</v>
      </c>
      <c r="M29" s="110">
        <v>0</v>
      </c>
      <c r="N29" s="96"/>
      <c r="O29" s="96"/>
    </row>
    <row r="30" spans="1:15" x14ac:dyDescent="0.3">
      <c r="A30" s="114"/>
      <c r="B30" s="114" t="s">
        <v>1403</v>
      </c>
      <c r="C30" s="114" t="s">
        <v>1425</v>
      </c>
      <c r="D30" s="97"/>
      <c r="E30" s="118"/>
      <c r="F30" s="118"/>
      <c r="G30" s="120"/>
      <c r="H30" s="97"/>
      <c r="I30" s="97"/>
      <c r="J30" s="97"/>
      <c r="K30" s="97"/>
      <c r="L30" s="97"/>
      <c r="M30" s="97"/>
      <c r="N30" s="97"/>
      <c r="O30" s="97"/>
    </row>
    <row r="31" spans="1:15" x14ac:dyDescent="0.3">
      <c r="A31" s="113"/>
      <c r="B31" s="113" t="s">
        <v>1403</v>
      </c>
      <c r="C31" s="113" t="s">
        <v>1408</v>
      </c>
      <c r="D31" s="96"/>
      <c r="E31" s="96"/>
      <c r="F31" s="96"/>
      <c r="G31" s="117"/>
      <c r="H31" s="96"/>
      <c r="I31" s="96"/>
      <c r="J31" s="96"/>
      <c r="K31" s="96"/>
      <c r="L31" s="96"/>
      <c r="M31" s="96"/>
      <c r="N31" s="96"/>
      <c r="O31" s="96"/>
    </row>
    <row r="32" spans="1:15" x14ac:dyDescent="0.3">
      <c r="A32" s="114"/>
      <c r="B32" s="114"/>
      <c r="C32" s="114" t="s">
        <v>116</v>
      </c>
      <c r="D32" s="97"/>
      <c r="E32" s="97">
        <v>1</v>
      </c>
      <c r="F32" s="97">
        <v>3</v>
      </c>
      <c r="G32" s="97">
        <v>5</v>
      </c>
      <c r="H32" s="97">
        <v>4</v>
      </c>
      <c r="I32" s="97">
        <v>3</v>
      </c>
      <c r="J32" s="97">
        <v>2</v>
      </c>
      <c r="K32" s="97">
        <v>3</v>
      </c>
      <c r="L32" s="97">
        <v>3</v>
      </c>
      <c r="M32" s="97">
        <v>3</v>
      </c>
      <c r="N32" s="97"/>
      <c r="O32" s="97"/>
    </row>
    <row r="33" spans="1:15" x14ac:dyDescent="0.3">
      <c r="A33" s="113"/>
      <c r="B33" s="113"/>
      <c r="C33" s="113" t="s">
        <v>1467</v>
      </c>
      <c r="D33" s="96"/>
      <c r="E33" s="96">
        <v>2</v>
      </c>
      <c r="F33" s="96">
        <v>6</v>
      </c>
      <c r="G33" s="96">
        <v>0</v>
      </c>
      <c r="H33" s="96">
        <v>0</v>
      </c>
      <c r="I33" s="96">
        <v>0</v>
      </c>
      <c r="J33" s="96">
        <v>0</v>
      </c>
      <c r="K33" s="96">
        <v>0</v>
      </c>
      <c r="L33" s="96">
        <v>0</v>
      </c>
      <c r="M33" s="96">
        <v>0</v>
      </c>
      <c r="N33" s="96"/>
      <c r="O33" s="96"/>
    </row>
    <row r="34" spans="1:15" x14ac:dyDescent="0.3">
      <c r="A34" s="115"/>
      <c r="B34" s="115"/>
      <c r="C34" s="115" t="s">
        <v>384</v>
      </c>
      <c r="D34" s="98"/>
      <c r="E34" s="98"/>
      <c r="F34" s="98"/>
      <c r="G34" s="98"/>
      <c r="H34" s="98"/>
      <c r="I34" s="98"/>
      <c r="J34" s="98"/>
      <c r="K34" s="98"/>
      <c r="L34" s="98"/>
      <c r="M34" s="98"/>
      <c r="N34" s="98"/>
      <c r="O34" s="98"/>
    </row>
    <row r="35" spans="1:15" x14ac:dyDescent="0.3">
      <c r="A35" s="113"/>
      <c r="B35" s="113"/>
      <c r="C35" s="113" t="s">
        <v>117</v>
      </c>
      <c r="D35" s="96">
        <v>100</v>
      </c>
      <c r="E35" s="96">
        <v>100</v>
      </c>
      <c r="F35" s="96">
        <v>100</v>
      </c>
      <c r="G35" s="96">
        <v>45</v>
      </c>
      <c r="H35" s="96">
        <v>20</v>
      </c>
      <c r="I35" s="96">
        <v>20</v>
      </c>
      <c r="J35" s="96">
        <v>100</v>
      </c>
      <c r="K35" s="96">
        <v>100</v>
      </c>
      <c r="L35" s="96">
        <v>10</v>
      </c>
      <c r="M35" s="96">
        <v>20</v>
      </c>
      <c r="N35" s="96" t="s">
        <v>259</v>
      </c>
      <c r="O35" s="96"/>
    </row>
    <row r="36" spans="1:15" x14ac:dyDescent="0.3">
      <c r="A36" s="114"/>
      <c r="B36" s="114"/>
      <c r="C36" s="114" t="s">
        <v>118</v>
      </c>
      <c r="D36" s="97">
        <v>20</v>
      </c>
      <c r="E36" s="97">
        <v>20</v>
      </c>
      <c r="F36" s="97">
        <v>20</v>
      </c>
      <c r="G36" s="97">
        <v>15</v>
      </c>
      <c r="H36" s="97">
        <v>15</v>
      </c>
      <c r="I36" s="97">
        <v>20</v>
      </c>
      <c r="J36" s="97">
        <v>20</v>
      </c>
      <c r="K36" s="97">
        <v>20</v>
      </c>
      <c r="L36" s="97">
        <v>20</v>
      </c>
      <c r="M36" s="97">
        <v>20</v>
      </c>
      <c r="N36" s="97" t="s">
        <v>262</v>
      </c>
      <c r="O36" s="97"/>
    </row>
    <row r="37" spans="1:15" x14ac:dyDescent="0.3">
      <c r="A37" s="113"/>
      <c r="B37" s="113" t="s">
        <v>1403</v>
      </c>
      <c r="C37" s="113" t="s">
        <v>1424</v>
      </c>
      <c r="D37" s="96"/>
      <c r="E37" s="110"/>
      <c r="F37" s="110"/>
      <c r="G37" s="110"/>
      <c r="H37" s="96"/>
      <c r="I37" s="96"/>
      <c r="J37" s="96"/>
      <c r="K37" s="96"/>
      <c r="L37" s="96"/>
      <c r="M37" s="96"/>
      <c r="N37" s="96"/>
      <c r="O37" s="96"/>
    </row>
    <row r="38" spans="1:15" x14ac:dyDescent="0.3">
      <c r="A38" s="114"/>
      <c r="B38" s="114"/>
      <c r="C38" s="114" t="s">
        <v>119</v>
      </c>
      <c r="D38" s="97"/>
      <c r="E38" s="97"/>
      <c r="F38" s="97"/>
      <c r="G38" s="97"/>
      <c r="H38" s="97"/>
      <c r="I38" s="97"/>
      <c r="J38" s="97"/>
      <c r="K38" s="97"/>
      <c r="L38" s="97"/>
      <c r="M38" s="97"/>
      <c r="N38" s="97"/>
      <c r="O38" s="97"/>
    </row>
    <row r="39" spans="1:15" x14ac:dyDescent="0.3">
      <c r="A39" s="115" t="s">
        <v>1611</v>
      </c>
      <c r="B39" s="115"/>
      <c r="C39" s="115" t="s">
        <v>385</v>
      </c>
      <c r="D39" s="98"/>
      <c r="E39" s="98"/>
      <c r="F39" s="98"/>
      <c r="G39" s="98"/>
      <c r="H39" s="98"/>
      <c r="I39" s="98"/>
      <c r="J39" s="98"/>
      <c r="K39" s="98"/>
      <c r="L39" s="98"/>
      <c r="M39" s="98"/>
      <c r="N39" s="98"/>
      <c r="O39" s="98"/>
    </row>
    <row r="40" spans="1:15" x14ac:dyDescent="0.3">
      <c r="A40" s="113"/>
      <c r="B40" s="113"/>
      <c r="C40" s="113" t="s">
        <v>123</v>
      </c>
      <c r="D40" s="96"/>
      <c r="E40" s="96"/>
      <c r="F40" s="96"/>
      <c r="G40" s="96"/>
      <c r="H40" s="96"/>
      <c r="I40" s="96"/>
      <c r="J40" s="96"/>
      <c r="K40" s="96"/>
      <c r="L40" s="96"/>
      <c r="M40" s="96"/>
      <c r="N40" s="96"/>
      <c r="O40" s="96"/>
    </row>
    <row r="41" spans="1:15" x14ac:dyDescent="0.3">
      <c r="A41" s="114"/>
      <c r="B41" s="114"/>
      <c r="C41" s="114" t="s">
        <v>124</v>
      </c>
      <c r="D41" s="97"/>
      <c r="E41" s="97"/>
      <c r="F41" s="97"/>
      <c r="G41" s="97"/>
      <c r="H41" s="97"/>
      <c r="I41" s="97"/>
      <c r="J41" s="97"/>
      <c r="K41" s="97"/>
      <c r="L41" s="97"/>
      <c r="M41" s="97"/>
      <c r="N41" s="97"/>
      <c r="O41" s="97"/>
    </row>
    <row r="42" spans="1:15" x14ac:dyDescent="0.3">
      <c r="A42" s="113"/>
      <c r="B42" s="113"/>
      <c r="C42" s="113" t="s">
        <v>125</v>
      </c>
      <c r="D42" s="96"/>
      <c r="E42" s="96"/>
      <c r="F42" s="96"/>
      <c r="G42" s="96"/>
      <c r="H42" s="96"/>
      <c r="I42" s="96"/>
      <c r="J42" s="96"/>
      <c r="K42" s="96"/>
      <c r="L42" s="96"/>
      <c r="M42" s="96"/>
      <c r="N42" s="96"/>
      <c r="O42" s="96"/>
    </row>
    <row r="43" spans="1:15" x14ac:dyDescent="0.3">
      <c r="A43" s="114"/>
      <c r="B43" s="114"/>
      <c r="C43" s="114" t="s">
        <v>126</v>
      </c>
      <c r="D43" s="97"/>
      <c r="E43" s="97"/>
      <c r="F43" s="97"/>
      <c r="G43" s="97"/>
      <c r="H43" s="97"/>
      <c r="I43" s="97"/>
      <c r="J43" s="97"/>
      <c r="K43" s="97"/>
      <c r="L43" s="97"/>
      <c r="M43" s="97"/>
      <c r="N43" s="97"/>
      <c r="O43" s="97"/>
    </row>
    <row r="44" spans="1:15" x14ac:dyDescent="0.3">
      <c r="A44" s="113"/>
      <c r="B44" s="113"/>
      <c r="C44" s="113" t="s">
        <v>127</v>
      </c>
      <c r="D44" s="96"/>
      <c r="E44" s="96"/>
      <c r="F44" s="96"/>
      <c r="G44" s="96"/>
      <c r="H44" s="96"/>
      <c r="I44" s="96"/>
      <c r="J44" s="96"/>
      <c r="K44" s="96"/>
      <c r="L44" s="96"/>
      <c r="M44" s="96"/>
      <c r="N44" s="96"/>
      <c r="O44" s="96"/>
    </row>
    <row r="45" spans="1:15" x14ac:dyDescent="0.3">
      <c r="A45" s="114"/>
      <c r="B45" s="114"/>
      <c r="C45" s="114" t="s">
        <v>128</v>
      </c>
      <c r="D45" s="97"/>
      <c r="E45" s="97"/>
      <c r="F45" s="97"/>
      <c r="G45" s="97"/>
      <c r="H45" s="97"/>
      <c r="I45" s="97"/>
      <c r="J45" s="97"/>
      <c r="K45" s="97"/>
      <c r="L45" s="97"/>
      <c r="M45" s="97"/>
      <c r="N45" s="97"/>
      <c r="O45" s="97"/>
    </row>
    <row r="46" spans="1:15" x14ac:dyDescent="0.3">
      <c r="A46" s="113"/>
      <c r="B46" s="113"/>
      <c r="C46" s="113" t="s">
        <v>129</v>
      </c>
      <c r="D46" s="96"/>
      <c r="E46" s="96"/>
      <c r="F46" s="96"/>
      <c r="G46" s="96"/>
      <c r="H46" s="96"/>
      <c r="I46" s="96"/>
      <c r="J46" s="96"/>
      <c r="K46" s="96"/>
      <c r="L46" s="96"/>
      <c r="M46" s="96"/>
      <c r="N46" s="96" t="s">
        <v>260</v>
      </c>
      <c r="O46" s="96"/>
    </row>
    <row r="47" spans="1:15" x14ac:dyDescent="0.3">
      <c r="A47" s="114"/>
      <c r="B47" s="114"/>
      <c r="C47" s="114" t="s">
        <v>130</v>
      </c>
      <c r="D47" s="97"/>
      <c r="E47" s="97"/>
      <c r="F47" s="97"/>
      <c r="G47" s="97"/>
      <c r="H47" s="97"/>
      <c r="I47" s="97"/>
      <c r="J47" s="97"/>
      <c r="K47" s="97"/>
      <c r="L47" s="97"/>
      <c r="M47" s="97"/>
      <c r="N47" s="97" t="s">
        <v>264</v>
      </c>
      <c r="O47" s="97"/>
    </row>
    <row r="48" spans="1:15" x14ac:dyDescent="0.3">
      <c r="A48" s="113"/>
      <c r="B48" s="113"/>
      <c r="C48" s="113" t="s">
        <v>131</v>
      </c>
      <c r="D48" s="96"/>
      <c r="E48" s="96"/>
      <c r="F48" s="96"/>
      <c r="G48" s="96"/>
      <c r="H48" s="96"/>
      <c r="I48" s="96"/>
      <c r="J48" s="96"/>
      <c r="K48" s="96"/>
      <c r="L48" s="96"/>
      <c r="M48" s="96"/>
      <c r="N48" s="96" t="s">
        <v>265</v>
      </c>
      <c r="O48" s="96"/>
    </row>
    <row r="49" spans="1:15" x14ac:dyDescent="0.3">
      <c r="A49" s="114"/>
      <c r="B49" s="114"/>
      <c r="C49" s="114" t="s">
        <v>132</v>
      </c>
      <c r="D49" s="97"/>
      <c r="E49" s="97"/>
      <c r="F49" s="97"/>
      <c r="G49" s="97"/>
      <c r="H49" s="97"/>
      <c r="I49" s="97"/>
      <c r="J49" s="97"/>
      <c r="K49" s="97"/>
      <c r="L49" s="97"/>
      <c r="M49" s="97"/>
      <c r="N49" s="97" t="s">
        <v>266</v>
      </c>
      <c r="O49" s="97"/>
    </row>
    <row r="50" spans="1:15" x14ac:dyDescent="0.3">
      <c r="A50" s="113"/>
      <c r="B50" s="113"/>
      <c r="C50" s="113" t="s">
        <v>133</v>
      </c>
      <c r="D50" s="96"/>
      <c r="E50" s="96"/>
      <c r="F50" s="96"/>
      <c r="G50" s="96"/>
      <c r="H50" s="96"/>
      <c r="I50" s="96"/>
      <c r="J50" s="96"/>
      <c r="K50" s="96"/>
      <c r="L50" s="96"/>
      <c r="M50" s="96"/>
      <c r="N50" s="96" t="s">
        <v>267</v>
      </c>
      <c r="O50" s="96"/>
    </row>
    <row r="51" spans="1:15" x14ac:dyDescent="0.3">
      <c r="A51" s="114"/>
      <c r="B51" s="114"/>
      <c r="C51" s="114" t="s">
        <v>134</v>
      </c>
      <c r="D51" s="97"/>
      <c r="E51" s="97"/>
      <c r="F51" s="97"/>
      <c r="G51" s="97"/>
      <c r="H51" s="97"/>
      <c r="I51" s="97"/>
      <c r="J51" s="97"/>
      <c r="K51" s="97"/>
      <c r="L51" s="97"/>
      <c r="M51" s="97"/>
      <c r="N51" s="97" t="s">
        <v>268</v>
      </c>
      <c r="O51" s="97"/>
    </row>
    <row r="52" spans="1:15" x14ac:dyDescent="0.3">
      <c r="A52" s="115" t="s">
        <v>225</v>
      </c>
      <c r="B52" s="115"/>
      <c r="C52" s="115" t="s">
        <v>377</v>
      </c>
      <c r="D52" s="98"/>
      <c r="E52" s="98"/>
      <c r="F52" s="98"/>
      <c r="G52" s="98"/>
      <c r="H52" s="98"/>
      <c r="I52" s="98"/>
      <c r="J52" s="98"/>
      <c r="K52" s="98"/>
      <c r="L52" s="98"/>
      <c r="M52" s="98"/>
      <c r="N52" s="98"/>
      <c r="O52" s="98"/>
    </row>
    <row r="53" spans="1:15" x14ac:dyDescent="0.3">
      <c r="A53" s="113"/>
      <c r="B53" s="113"/>
      <c r="C53" s="113" t="s">
        <v>137</v>
      </c>
      <c r="D53" s="96"/>
      <c r="E53" s="96"/>
      <c r="F53" s="96"/>
      <c r="G53" s="96"/>
      <c r="H53" s="96"/>
      <c r="I53" s="96"/>
      <c r="J53" s="96"/>
      <c r="K53" s="96"/>
      <c r="L53" s="96"/>
      <c r="M53" s="96"/>
      <c r="N53" s="96"/>
      <c r="O53" s="96"/>
    </row>
    <row r="54" spans="1:15" x14ac:dyDescent="0.3">
      <c r="A54" s="115" t="s">
        <v>226</v>
      </c>
      <c r="B54" s="115"/>
      <c r="C54" s="115" t="s">
        <v>386</v>
      </c>
      <c r="D54" s="98"/>
      <c r="E54" s="98"/>
      <c r="F54" s="98"/>
      <c r="G54" s="98"/>
      <c r="H54" s="98"/>
      <c r="I54" s="98"/>
      <c r="J54" s="98"/>
      <c r="K54" s="98"/>
      <c r="L54" s="98"/>
      <c r="M54" s="98"/>
      <c r="N54" s="98"/>
      <c r="O54" s="98"/>
    </row>
    <row r="55" spans="1:15" x14ac:dyDescent="0.3">
      <c r="A55" s="113"/>
      <c r="B55" s="113"/>
      <c r="C55" s="113" t="s">
        <v>288</v>
      </c>
      <c r="D55" s="96"/>
      <c r="E55" s="96"/>
      <c r="F55" s="96"/>
      <c r="G55" s="96"/>
      <c r="H55" s="96"/>
      <c r="I55" s="96"/>
      <c r="J55" s="96"/>
      <c r="K55" s="96"/>
      <c r="L55" s="96"/>
      <c r="M55" s="96"/>
      <c r="N55" s="96"/>
      <c r="O55" s="96"/>
    </row>
    <row r="56" spans="1:15" x14ac:dyDescent="0.3">
      <c r="A56" s="114"/>
      <c r="B56" s="114"/>
      <c r="C56" s="114" t="s">
        <v>138</v>
      </c>
      <c r="D56" s="97" t="str">
        <f t="shared" ref="D56:M56" si="0">Printer_Name &amp; " " &amp; LOWER(D$1)</f>
        <v>AnyCubic E3D V6 General 0.4 mm common</v>
      </c>
      <c r="E56" s="97" t="str">
        <f t="shared" si="0"/>
        <v>AnyCubic E3D V6 General 0.4 mm pla</v>
      </c>
      <c r="F56" s="97" t="str">
        <f t="shared" si="0"/>
        <v>AnyCubic E3D V6 General 0.4 mm petg</v>
      </c>
      <c r="G56" s="97" t="str">
        <f t="shared" si="0"/>
        <v>AnyCubic E3D V6 General 0.4 mm abs</v>
      </c>
      <c r="H56" s="97" t="str">
        <f t="shared" si="0"/>
        <v>AnyCubic E3D V6 General 0.4 mm asa</v>
      </c>
      <c r="I56" s="97" t="str">
        <f t="shared" si="0"/>
        <v>AnyCubic E3D V6 General 0.4 mm nylon</v>
      </c>
      <c r="J56" s="97" t="str">
        <f t="shared" si="0"/>
        <v>AnyCubic E3D V6 General 0.4 mm pp</v>
      </c>
      <c r="K56" s="97" t="str">
        <f t="shared" si="0"/>
        <v>AnyCubic E3D V6 General 0.4 mm tpu</v>
      </c>
      <c r="L56" s="97" t="str">
        <f t="shared" si="0"/>
        <v>AnyCubic E3D V6 General 0.4 mm hips</v>
      </c>
      <c r="M56" s="97" t="str">
        <f t="shared" si="0"/>
        <v>AnyCubic E3D V6 General 0.4 mm pc</v>
      </c>
      <c r="N56" s="97"/>
      <c r="O56" s="97"/>
    </row>
    <row r="57" spans="1:15" x14ac:dyDescent="0.3">
      <c r="A57" s="113"/>
      <c r="B57" s="113"/>
      <c r="C57" s="113" t="s">
        <v>139</v>
      </c>
      <c r="D57" s="96"/>
      <c r="E57" s="96"/>
      <c r="F57" s="96"/>
      <c r="G57" s="96"/>
      <c r="H57" s="96"/>
      <c r="I57" s="96"/>
      <c r="J57" s="96"/>
      <c r="K57" s="96"/>
      <c r="L57" s="96"/>
      <c r="M57" s="96"/>
      <c r="N57" s="96"/>
      <c r="O57" s="96"/>
    </row>
    <row r="58" spans="1:15" x14ac:dyDescent="0.3">
      <c r="A58" s="114"/>
      <c r="B58" s="114"/>
      <c r="C58" s="114" t="s">
        <v>292</v>
      </c>
      <c r="D58" s="97"/>
      <c r="E58" s="97"/>
      <c r="F58" s="97"/>
      <c r="G58" s="97"/>
      <c r="H58" s="97"/>
      <c r="I58" s="97"/>
      <c r="J58" s="97"/>
      <c r="K58" s="97"/>
      <c r="L58" s="97"/>
      <c r="M58" s="97"/>
      <c r="N58" s="97"/>
      <c r="O58" s="97"/>
    </row>
    <row r="59" spans="1:15" x14ac:dyDescent="0.3">
      <c r="A59" s="113"/>
      <c r="B59" s="113"/>
      <c r="C59" s="113" t="s">
        <v>293</v>
      </c>
      <c r="D59" s="96"/>
      <c r="E59" s="96"/>
      <c r="F59" s="96"/>
      <c r="G59" s="96"/>
      <c r="H59" s="96"/>
      <c r="I59" s="96"/>
      <c r="J59" s="96"/>
      <c r="K59" s="96"/>
      <c r="L59" s="96"/>
      <c r="M59" s="96"/>
      <c r="N59" s="96"/>
      <c r="O59" s="96"/>
    </row>
    <row r="60" spans="1:15" x14ac:dyDescent="0.3">
      <c r="A60" s="115" t="s">
        <v>289</v>
      </c>
      <c r="B60" s="115"/>
      <c r="C60" s="115" t="s">
        <v>387</v>
      </c>
      <c r="D60" s="98"/>
      <c r="E60" s="98"/>
      <c r="F60" s="98"/>
      <c r="G60" s="98"/>
      <c r="H60" s="98"/>
      <c r="I60" s="98"/>
      <c r="J60" s="98"/>
      <c r="K60" s="98"/>
      <c r="L60" s="98"/>
      <c r="M60" s="98"/>
      <c r="N60" s="98"/>
      <c r="O60" s="98"/>
    </row>
    <row r="61" spans="1:15" x14ac:dyDescent="0.3">
      <c r="A61" s="116"/>
      <c r="B61" s="116"/>
      <c r="C61" s="116" t="s">
        <v>1325</v>
      </c>
      <c r="D61" s="99">
        <v>0</v>
      </c>
      <c r="E61" s="99">
        <v>0.04</v>
      </c>
      <c r="F61" s="99">
        <v>0.04</v>
      </c>
      <c r="G61" s="99">
        <v>0.04</v>
      </c>
      <c r="H61" s="99"/>
      <c r="I61" s="99"/>
      <c r="J61" s="99"/>
      <c r="K61" s="99"/>
      <c r="L61" s="99"/>
      <c r="M61" s="99"/>
      <c r="N61" s="99" t="s">
        <v>1451</v>
      </c>
      <c r="O61" s="99"/>
    </row>
    <row r="62" spans="1:15" x14ac:dyDescent="0.3">
      <c r="A62" s="116"/>
      <c r="B62" s="116"/>
      <c r="C62" s="116" t="s">
        <v>1626</v>
      </c>
      <c r="D62" s="99">
        <f>Nozzle_Diameter*4</f>
        <v>1.6</v>
      </c>
      <c r="E62" s="99"/>
      <c r="F62" s="99"/>
      <c r="G62" s="99">
        <f>Nozzle_Diameter*10</f>
        <v>4</v>
      </c>
      <c r="H62" s="99"/>
      <c r="I62" s="99"/>
      <c r="J62" s="99"/>
      <c r="K62" s="99"/>
      <c r="L62" s="99"/>
      <c r="M62" s="99"/>
      <c r="N62" s="99" t="s">
        <v>1451</v>
      </c>
      <c r="O62" s="99"/>
    </row>
    <row r="63" spans="1:15" x14ac:dyDescent="0.3">
      <c r="A63" s="116"/>
      <c r="B63" s="116"/>
      <c r="C63" s="116" t="s">
        <v>1631</v>
      </c>
      <c r="D63" s="99">
        <v>0</v>
      </c>
      <c r="E63" s="99">
        <v>0.2</v>
      </c>
      <c r="F63" s="99">
        <v>0.24</v>
      </c>
      <c r="G63" s="99">
        <v>0.2</v>
      </c>
      <c r="H63" s="99"/>
      <c r="I63" s="99"/>
      <c r="J63" s="99"/>
      <c r="K63" s="99"/>
      <c r="L63" s="99"/>
      <c r="M63" s="99"/>
      <c r="N63" s="126" t="s">
        <v>1484</v>
      </c>
      <c r="O63" s="99"/>
    </row>
    <row r="64" spans="1:15" s="94" customFormat="1" x14ac:dyDescent="0.3">
      <c r="A64" s="116"/>
      <c r="B64" s="116"/>
      <c r="C64" s="116" t="s">
        <v>1284</v>
      </c>
      <c r="D64" s="99">
        <v>0</v>
      </c>
      <c r="E64" s="99">
        <v>0.24</v>
      </c>
      <c r="F64" s="99">
        <v>0.24</v>
      </c>
      <c r="G64" s="99">
        <v>0.24</v>
      </c>
      <c r="H64" s="99"/>
      <c r="I64" s="99"/>
      <c r="J64" s="99"/>
      <c r="K64" s="99"/>
      <c r="L64" s="99"/>
      <c r="M64" s="99"/>
      <c r="N64" s="126"/>
      <c r="O64" s="99"/>
    </row>
    <row r="65" spans="1:15" x14ac:dyDescent="0.3">
      <c r="A65" s="116"/>
      <c r="B65" s="116"/>
      <c r="C65" s="116" t="s">
        <v>1287</v>
      </c>
      <c r="D65" s="99">
        <v>1</v>
      </c>
      <c r="E65" s="99"/>
      <c r="F65" s="99"/>
      <c r="G65" s="99"/>
      <c r="H65" s="99"/>
      <c r="I65" s="99"/>
      <c r="J65" s="99"/>
      <c r="K65" s="99"/>
      <c r="L65" s="99"/>
      <c r="M65" s="99"/>
      <c r="N65" s="99"/>
      <c r="O65" s="99"/>
    </row>
    <row r="66" spans="1:15" x14ac:dyDescent="0.3">
      <c r="A66" s="116"/>
      <c r="B66" s="116"/>
      <c r="C66" s="116" t="s">
        <v>1280</v>
      </c>
      <c r="D66" s="99">
        <v>0</v>
      </c>
      <c r="E66" s="99"/>
      <c r="F66" s="99"/>
      <c r="G66" s="99"/>
      <c r="H66" s="99"/>
      <c r="I66" s="99"/>
      <c r="J66" s="99"/>
      <c r="K66" s="99"/>
      <c r="L66" s="99"/>
      <c r="M66" s="99"/>
      <c r="N66" s="99" t="s">
        <v>1286</v>
      </c>
      <c r="O66" s="99"/>
    </row>
    <row r="67" spans="1:15" x14ac:dyDescent="0.3">
      <c r="A67" s="116"/>
      <c r="B67" s="116"/>
      <c r="C67" s="116" t="s">
        <v>1281</v>
      </c>
      <c r="D67" s="99">
        <v>0.2</v>
      </c>
      <c r="E67" s="99"/>
      <c r="F67" s="99"/>
      <c r="G67" s="99"/>
      <c r="H67" s="99"/>
      <c r="I67" s="99"/>
      <c r="J67" s="99"/>
      <c r="K67" s="99"/>
      <c r="L67" s="99"/>
      <c r="M67" s="99"/>
      <c r="N67" s="99"/>
      <c r="O67" s="99"/>
    </row>
    <row r="68" spans="1:15" x14ac:dyDescent="0.3">
      <c r="A68" s="116"/>
      <c r="B68" s="116"/>
      <c r="C68" s="116" t="s">
        <v>1282</v>
      </c>
      <c r="D68" s="106" t="s">
        <v>1279</v>
      </c>
      <c r="E68" s="106"/>
      <c r="F68" s="106"/>
      <c r="G68" s="106"/>
      <c r="H68" s="106"/>
      <c r="I68" s="106"/>
      <c r="J68" s="106"/>
      <c r="K68" s="106"/>
      <c r="L68" s="106"/>
      <c r="M68" s="106"/>
      <c r="N68" s="99"/>
      <c r="O68" s="99"/>
    </row>
    <row r="69" spans="1:15" x14ac:dyDescent="0.3">
      <c r="A69" s="116"/>
      <c r="B69" s="116"/>
      <c r="C69" s="116" t="s">
        <v>1285</v>
      </c>
      <c r="D69" s="106">
        <v>0.6</v>
      </c>
      <c r="E69" s="106"/>
      <c r="F69" s="106"/>
      <c r="G69" s="106"/>
      <c r="H69" s="106"/>
      <c r="I69" s="106"/>
      <c r="J69" s="106"/>
      <c r="K69" s="106"/>
      <c r="L69" s="106"/>
      <c r="M69" s="106"/>
      <c r="N69" s="99"/>
      <c r="O69" s="99"/>
    </row>
    <row r="70" spans="1:15" x14ac:dyDescent="0.3">
      <c r="A70" s="113"/>
      <c r="B70" s="113"/>
      <c r="C70" s="113" t="s">
        <v>303</v>
      </c>
      <c r="D70" s="96">
        <v>0.6</v>
      </c>
      <c r="E70" s="96" t="str">
        <f>IF(E69*2 &gt; 0, E69*2,"")</f>
        <v/>
      </c>
      <c r="F70" s="96" t="str">
        <f>IF(F69*2 &gt; 0, F69*2,"")</f>
        <v/>
      </c>
      <c r="G70" s="96" t="str">
        <f t="shared" ref="G70:M70" si="1">IF(G69*2 &gt; 0, G69*2,"")</f>
        <v/>
      </c>
      <c r="H70" s="96" t="str">
        <f t="shared" si="1"/>
        <v/>
      </c>
      <c r="I70" s="96" t="str">
        <f t="shared" si="1"/>
        <v/>
      </c>
      <c r="J70" s="96" t="str">
        <f t="shared" si="1"/>
        <v/>
      </c>
      <c r="K70" s="96" t="str">
        <f t="shared" si="1"/>
        <v/>
      </c>
      <c r="L70" s="96" t="str">
        <f t="shared" si="1"/>
        <v/>
      </c>
      <c r="M70" s="96" t="str">
        <f t="shared" si="1"/>
        <v/>
      </c>
      <c r="N70" s="96"/>
      <c r="O70" s="96"/>
    </row>
    <row r="71" spans="1:15" x14ac:dyDescent="0.3">
      <c r="A71" s="114"/>
      <c r="B71" s="114"/>
      <c r="C71" s="114" t="s">
        <v>304</v>
      </c>
      <c r="D71" s="97">
        <v>0</v>
      </c>
      <c r="E71" s="97">
        <v>0.4</v>
      </c>
      <c r="F71" s="97">
        <v>0.6</v>
      </c>
      <c r="G71" s="97">
        <v>0.4</v>
      </c>
      <c r="H71" s="97"/>
      <c r="I71" s="97"/>
      <c r="J71" s="97"/>
      <c r="K71" s="97"/>
      <c r="L71" s="97"/>
      <c r="M71" s="97"/>
      <c r="N71" s="97"/>
      <c r="O71" s="97"/>
    </row>
    <row r="72" spans="1:15" x14ac:dyDescent="0.3">
      <c r="A72" s="113"/>
      <c r="B72" s="113"/>
      <c r="C72" s="113" t="s">
        <v>451</v>
      </c>
      <c r="D72" s="96"/>
      <c r="E72" s="96"/>
      <c r="F72" s="96"/>
      <c r="G72" s="96"/>
      <c r="H72" s="96"/>
      <c r="I72" s="96"/>
      <c r="J72" s="96"/>
      <c r="K72" s="96"/>
      <c r="L72" s="96"/>
      <c r="M72" s="96"/>
      <c r="N72" s="96"/>
      <c r="O72" s="96"/>
    </row>
    <row r="73" spans="1:15" x14ac:dyDescent="0.3">
      <c r="A73" s="114"/>
      <c r="B73" s="114"/>
      <c r="C73" s="114" t="s">
        <v>452</v>
      </c>
      <c r="D73" s="97"/>
      <c r="E73" s="97"/>
      <c r="F73" s="97"/>
      <c r="G73" s="97"/>
      <c r="H73" s="97"/>
      <c r="I73" s="97"/>
      <c r="J73" s="97"/>
      <c r="K73" s="97"/>
      <c r="L73" s="97"/>
      <c r="M73" s="97"/>
      <c r="N73" s="97"/>
      <c r="O73" s="97"/>
    </row>
    <row r="74" spans="1:15" x14ac:dyDescent="0.3">
      <c r="A74" s="113"/>
      <c r="B74" s="113"/>
      <c r="C74" s="113" t="s">
        <v>305</v>
      </c>
      <c r="D74" s="96">
        <v>35</v>
      </c>
      <c r="E74" s="96"/>
      <c r="F74" s="96"/>
      <c r="G74" s="96">
        <v>50</v>
      </c>
      <c r="H74" s="96"/>
      <c r="I74" s="96"/>
      <c r="J74" s="96"/>
      <c r="K74" s="96"/>
      <c r="L74" s="96"/>
      <c r="M74" s="96"/>
      <c r="N74" s="96"/>
      <c r="O74" s="96"/>
    </row>
    <row r="75" spans="1:15" x14ac:dyDescent="0.3">
      <c r="A75" s="114"/>
      <c r="B75" s="114"/>
      <c r="C75" s="114" t="s">
        <v>306</v>
      </c>
      <c r="D75" s="97">
        <v>25</v>
      </c>
      <c r="E75" s="97"/>
      <c r="F75" s="97"/>
      <c r="G75" s="97">
        <v>30</v>
      </c>
      <c r="H75" s="97"/>
      <c r="I75" s="97"/>
      <c r="J75" s="97"/>
      <c r="K75" s="97"/>
      <c r="L75" s="97"/>
      <c r="M75" s="97"/>
      <c r="N75" s="97"/>
      <c r="O75" s="97"/>
    </row>
    <row r="76" spans="1:15" x14ac:dyDescent="0.3">
      <c r="A76" s="113"/>
      <c r="B76" s="113"/>
      <c r="C76" s="113" t="s">
        <v>307</v>
      </c>
      <c r="D76" s="96">
        <v>0</v>
      </c>
      <c r="E76" s="96"/>
      <c r="F76" s="96"/>
      <c r="G76" s="96"/>
      <c r="H76" s="96"/>
      <c r="I76" s="96"/>
      <c r="J76" s="96"/>
      <c r="K76" s="96"/>
      <c r="L76" s="96"/>
      <c r="M76" s="96"/>
      <c r="N76" s="96"/>
      <c r="O76" s="96"/>
    </row>
    <row r="77" spans="1:15" x14ac:dyDescent="0.3">
      <c r="A77" s="114"/>
      <c r="B77" s="114"/>
      <c r="C77" s="114" t="s">
        <v>309</v>
      </c>
      <c r="D77" s="97">
        <v>3</v>
      </c>
      <c r="E77" s="97"/>
      <c r="F77" s="97"/>
      <c r="G77" s="97"/>
      <c r="H77" s="97"/>
      <c r="I77" s="97"/>
      <c r="J77" s="97"/>
      <c r="K77" s="97"/>
      <c r="L77" s="97"/>
      <c r="M77" s="97"/>
      <c r="N77" s="97"/>
      <c r="O77" s="97"/>
    </row>
    <row r="78" spans="1:15" x14ac:dyDescent="0.3">
      <c r="A78" s="113"/>
      <c r="B78" s="113"/>
      <c r="C78" s="113" t="s">
        <v>308</v>
      </c>
      <c r="D78" s="96">
        <v>1</v>
      </c>
      <c r="E78" s="96"/>
      <c r="F78" s="96"/>
      <c r="G78" s="96"/>
      <c r="H78" s="96"/>
      <c r="I78" s="96"/>
      <c r="J78" s="96"/>
      <c r="K78" s="96"/>
      <c r="L78" s="96"/>
      <c r="M78" s="96"/>
      <c r="N78" s="96"/>
      <c r="O78" s="96"/>
    </row>
    <row r="79" spans="1:15" x14ac:dyDescent="0.3">
      <c r="A79" s="114"/>
      <c r="B79" s="114"/>
      <c r="C79" s="114" t="s">
        <v>310</v>
      </c>
      <c r="D79" s="97">
        <v>0</v>
      </c>
      <c r="E79" s="97"/>
      <c r="F79" s="97"/>
      <c r="G79" s="97"/>
      <c r="H79" s="97"/>
      <c r="I79" s="97"/>
      <c r="J79" s="97"/>
      <c r="K79" s="97"/>
      <c r="L79" s="97"/>
      <c r="M79" s="97"/>
      <c r="N79" s="97"/>
      <c r="O79" s="97"/>
    </row>
    <row r="80" spans="1:15" x14ac:dyDescent="0.3">
      <c r="A80" s="116"/>
      <c r="B80" s="116"/>
      <c r="C80" s="116" t="s">
        <v>1283</v>
      </c>
      <c r="D80" s="99">
        <v>0</v>
      </c>
      <c r="E80" s="99"/>
      <c r="F80" s="99"/>
      <c r="G80" s="99"/>
      <c r="H80" s="99"/>
      <c r="I80" s="99"/>
      <c r="J80" s="99"/>
      <c r="K80" s="99"/>
      <c r="L80" s="99"/>
      <c r="M80" s="99"/>
      <c r="N80" s="99"/>
      <c r="O80" s="99"/>
    </row>
    <row r="81" spans="1:15" x14ac:dyDescent="0.3">
      <c r="A81" s="113"/>
      <c r="B81" s="113"/>
      <c r="C81" s="113" t="s">
        <v>311</v>
      </c>
      <c r="D81" s="110">
        <v>0</v>
      </c>
      <c r="E81" s="110"/>
      <c r="F81" s="110"/>
      <c r="G81" s="110"/>
      <c r="H81" s="110"/>
      <c r="I81" s="110"/>
      <c r="J81" s="110"/>
      <c r="K81" s="110"/>
      <c r="L81" s="110"/>
      <c r="M81" s="110"/>
      <c r="N81" s="96" t="s">
        <v>1294</v>
      </c>
      <c r="O81" s="96"/>
    </row>
    <row r="82" spans="1:15" x14ac:dyDescent="0.3">
      <c r="A82" s="114"/>
      <c r="B82" s="114" t="s">
        <v>1403</v>
      </c>
      <c r="C82" s="114" t="s">
        <v>1530</v>
      </c>
      <c r="D82" s="103"/>
      <c r="E82" s="118"/>
      <c r="F82" s="118"/>
      <c r="G82" s="118"/>
      <c r="H82" s="118"/>
      <c r="I82" s="118"/>
      <c r="J82" s="118"/>
      <c r="K82" s="118"/>
      <c r="L82" s="118"/>
      <c r="M82" s="118"/>
      <c r="N82" s="97"/>
      <c r="O82" s="97"/>
    </row>
    <row r="83" spans="1:15" x14ac:dyDescent="0.3">
      <c r="A83" s="115" t="s">
        <v>269</v>
      </c>
      <c r="B83" s="115"/>
      <c r="C83" s="115" t="s">
        <v>379</v>
      </c>
      <c r="D83" s="98"/>
      <c r="E83" s="98"/>
      <c r="F83" s="98"/>
      <c r="G83" s="98"/>
      <c r="H83" s="98"/>
      <c r="I83" s="98"/>
      <c r="J83" s="98"/>
      <c r="K83" s="98"/>
      <c r="L83" s="98"/>
      <c r="M83" s="98"/>
      <c r="N83" s="98"/>
      <c r="O83" s="98"/>
    </row>
    <row r="84" spans="1:15" x14ac:dyDescent="0.3">
      <c r="A84" s="113"/>
      <c r="B84" s="113"/>
      <c r="C84" s="113" t="s">
        <v>135</v>
      </c>
      <c r="D84" s="96" t="s">
        <v>665</v>
      </c>
      <c r="E84" s="96" t="str">
        <f>$D$84</f>
        <v>slic3r_start_filament_gcode</v>
      </c>
      <c r="F84" s="96" t="str">
        <f t="shared" ref="F84:M84" si="2">$D$84</f>
        <v>slic3r_start_filament_gcode</v>
      </c>
      <c r="G84" s="96" t="str">
        <f t="shared" si="2"/>
        <v>slic3r_start_filament_gcode</v>
      </c>
      <c r="H84" s="96" t="str">
        <f t="shared" si="2"/>
        <v>slic3r_start_filament_gcode</v>
      </c>
      <c r="I84" s="96" t="str">
        <f t="shared" si="2"/>
        <v>slic3r_start_filament_gcode</v>
      </c>
      <c r="J84" s="96" t="str">
        <f t="shared" si="2"/>
        <v>slic3r_start_filament_gcode</v>
      </c>
      <c r="K84" s="96" t="str">
        <f t="shared" si="2"/>
        <v>slic3r_start_filament_gcode</v>
      </c>
      <c r="L84" s="96" t="str">
        <f t="shared" si="2"/>
        <v>slic3r_start_filament_gcode</v>
      </c>
      <c r="M84" s="96" t="str">
        <f t="shared" si="2"/>
        <v>slic3r_start_filament_gcode</v>
      </c>
      <c r="N84" s="96" t="s">
        <v>416</v>
      </c>
      <c r="O84" s="96"/>
    </row>
    <row r="85" spans="1:15" x14ac:dyDescent="0.3">
      <c r="A85" s="114"/>
      <c r="B85" s="114"/>
      <c r="C85" s="114" t="s">
        <v>136</v>
      </c>
      <c r="D85" s="97" t="s">
        <v>664</v>
      </c>
      <c r="E85" s="97" t="str">
        <f>$D$85</f>
        <v>slic3r_end_filament_gcode</v>
      </c>
      <c r="F85" s="97" t="str">
        <f t="shared" ref="F85:M85" si="3">$D$85</f>
        <v>slic3r_end_filament_gcode</v>
      </c>
      <c r="G85" s="97" t="str">
        <f t="shared" si="3"/>
        <v>slic3r_end_filament_gcode</v>
      </c>
      <c r="H85" s="97" t="str">
        <f t="shared" si="3"/>
        <v>slic3r_end_filament_gcode</v>
      </c>
      <c r="I85" s="97" t="str">
        <f t="shared" si="3"/>
        <v>slic3r_end_filament_gcode</v>
      </c>
      <c r="J85" s="97" t="str">
        <f t="shared" si="3"/>
        <v>slic3r_end_filament_gcode</v>
      </c>
      <c r="K85" s="97" t="str">
        <f t="shared" si="3"/>
        <v>slic3r_end_filament_gcode</v>
      </c>
      <c r="L85" s="97" t="str">
        <f t="shared" si="3"/>
        <v>slic3r_end_filament_gcode</v>
      </c>
      <c r="M85" s="97" t="str">
        <f t="shared" si="3"/>
        <v>slic3r_end_filament_gcode</v>
      </c>
      <c r="N85" s="97" t="s">
        <v>416</v>
      </c>
      <c r="O85" s="97"/>
    </row>
    <row r="86" spans="1:15" x14ac:dyDescent="0.3">
      <c r="A86" s="113"/>
      <c r="B86" s="113"/>
      <c r="C86" s="113" t="s">
        <v>453</v>
      </c>
      <c r="D86" s="96"/>
      <c r="E86" s="96"/>
      <c r="F86" s="96"/>
      <c r="G86" s="96"/>
      <c r="H86" s="96"/>
      <c r="I86" s="96"/>
      <c r="J86" s="96"/>
      <c r="K86" s="96"/>
      <c r="L86" s="96"/>
      <c r="M86" s="96"/>
      <c r="N86" s="96"/>
      <c r="O86" s="96"/>
    </row>
    <row r="87" spans="1:15" x14ac:dyDescent="0.3">
      <c r="A87" s="114"/>
      <c r="B87" s="114"/>
      <c r="C87" s="114" t="s">
        <v>354</v>
      </c>
      <c r="D87" s="97"/>
      <c r="E87" s="97"/>
      <c r="F87" s="97"/>
      <c r="G87" s="97"/>
      <c r="H87" s="97"/>
      <c r="I87" s="97"/>
      <c r="J87" s="97"/>
      <c r="K87" s="97"/>
      <c r="L87" s="97"/>
      <c r="M87" s="97"/>
      <c r="N87" s="97"/>
      <c r="O87" s="97"/>
    </row>
    <row r="88" spans="1:15" x14ac:dyDescent="0.3">
      <c r="A88" s="115"/>
      <c r="B88" s="115"/>
      <c r="C88" s="115" t="s">
        <v>1405</v>
      </c>
      <c r="D88" s="98"/>
      <c r="E88" s="98"/>
      <c r="F88" s="98"/>
      <c r="G88" s="98"/>
      <c r="H88" s="98"/>
      <c r="I88" s="98"/>
      <c r="J88" s="98"/>
      <c r="K88" s="98"/>
      <c r="L88" s="98"/>
      <c r="M88" s="98"/>
      <c r="N88" s="98"/>
      <c r="O88" s="98"/>
    </row>
    <row r="89" spans="1:15" x14ac:dyDescent="0.3">
      <c r="A89" s="115" t="s">
        <v>1404</v>
      </c>
      <c r="B89" s="115"/>
      <c r="C89" s="115" t="s">
        <v>1402</v>
      </c>
      <c r="D89" s="98"/>
      <c r="E89" s="98"/>
      <c r="F89" s="98"/>
      <c r="G89" s="98"/>
      <c r="H89" s="98"/>
      <c r="I89" s="98"/>
      <c r="J89" s="98"/>
      <c r="K89" s="98"/>
      <c r="L89" s="98"/>
      <c r="M89" s="98"/>
      <c r="N89" s="98"/>
      <c r="O89" s="98"/>
    </row>
    <row r="90" spans="1:15" x14ac:dyDescent="0.3">
      <c r="A90" s="113"/>
      <c r="B90" s="113" t="s">
        <v>1403</v>
      </c>
      <c r="C90" s="113" t="s">
        <v>1409</v>
      </c>
      <c r="D90" s="96"/>
      <c r="E90" s="96"/>
      <c r="F90" s="96"/>
      <c r="G90" s="96"/>
      <c r="H90" s="96"/>
      <c r="I90" s="96"/>
      <c r="J90" s="96"/>
      <c r="K90" s="96"/>
      <c r="L90" s="96"/>
      <c r="M90" s="96"/>
      <c r="N90" s="96"/>
      <c r="O90" s="96"/>
    </row>
    <row r="91" spans="1:15" x14ac:dyDescent="0.3">
      <c r="A91" s="114"/>
      <c r="B91" s="114" t="s">
        <v>1403</v>
      </c>
      <c r="C91" s="114" t="s">
        <v>1410</v>
      </c>
      <c r="D91" s="97"/>
      <c r="E91" s="97"/>
      <c r="F91" s="97"/>
      <c r="G91" s="97"/>
      <c r="H91" s="97"/>
      <c r="I91" s="97"/>
      <c r="J91" s="97"/>
      <c r="K91" s="97"/>
      <c r="L91" s="97"/>
      <c r="M91" s="97"/>
      <c r="N91" s="97"/>
      <c r="O91" s="97"/>
    </row>
    <row r="92" spans="1:15" x14ac:dyDescent="0.3">
      <c r="A92" s="113"/>
      <c r="B92" s="113" t="s">
        <v>1403</v>
      </c>
      <c r="C92" s="113" t="s">
        <v>1411</v>
      </c>
      <c r="D92" s="96"/>
      <c r="E92" s="96"/>
      <c r="F92" s="96"/>
      <c r="G92" s="96"/>
      <c r="H92" s="96"/>
      <c r="I92" s="96"/>
      <c r="J92" s="96"/>
      <c r="K92" s="96"/>
      <c r="L92" s="96"/>
      <c r="M92" s="96"/>
      <c r="N92" s="96"/>
      <c r="O92" s="96"/>
    </row>
    <row r="93" spans="1:15" x14ac:dyDescent="0.3">
      <c r="A93" s="114"/>
      <c r="B93" s="114" t="s">
        <v>1403</v>
      </c>
      <c r="C93" s="114" t="s">
        <v>1412</v>
      </c>
      <c r="D93" s="97"/>
      <c r="E93" s="97"/>
      <c r="F93" s="97"/>
      <c r="G93" s="97"/>
      <c r="H93" s="97"/>
      <c r="I93" s="97"/>
      <c r="J93" s="97"/>
      <c r="K93" s="97"/>
      <c r="L93" s="97"/>
      <c r="M93" s="97"/>
      <c r="N93" s="97"/>
      <c r="O93" s="97"/>
    </row>
    <row r="94" spans="1:15" x14ac:dyDescent="0.3">
      <c r="A94" s="113"/>
      <c r="B94" s="113" t="s">
        <v>1403</v>
      </c>
      <c r="C94" s="113" t="s">
        <v>1413</v>
      </c>
      <c r="D94" s="96"/>
      <c r="E94" s="96"/>
      <c r="F94" s="96"/>
      <c r="G94" s="96"/>
      <c r="H94" s="96"/>
      <c r="I94" s="96"/>
      <c r="J94" s="96"/>
      <c r="K94" s="96"/>
      <c r="L94" s="96"/>
      <c r="M94" s="96"/>
      <c r="N94" s="96"/>
      <c r="O94" s="96"/>
    </row>
    <row r="95" spans="1:15" x14ac:dyDescent="0.3">
      <c r="A95" s="114"/>
      <c r="B95" s="114" t="s">
        <v>1403</v>
      </c>
      <c r="C95" s="114" t="s">
        <v>1414</v>
      </c>
      <c r="D95" s="97"/>
      <c r="E95" s="97"/>
      <c r="F95" s="97"/>
      <c r="G95" s="97"/>
      <c r="H95" s="97"/>
      <c r="I95" s="97"/>
      <c r="J95" s="97"/>
      <c r="K95" s="97"/>
      <c r="L95" s="97"/>
      <c r="M95" s="97"/>
      <c r="N95" s="97"/>
      <c r="O95" s="97"/>
    </row>
    <row r="96" spans="1:15" x14ac:dyDescent="0.3">
      <c r="A96" s="113"/>
      <c r="B96" s="113" t="s">
        <v>1403</v>
      </c>
      <c r="C96" s="113" t="s">
        <v>1415</v>
      </c>
      <c r="D96" s="96"/>
      <c r="E96" s="96"/>
      <c r="F96" s="96"/>
      <c r="G96" s="96"/>
      <c r="H96" s="96"/>
      <c r="I96" s="96"/>
      <c r="J96" s="96"/>
      <c r="K96" s="96"/>
      <c r="L96" s="96"/>
      <c r="M96" s="96"/>
      <c r="N96" s="96"/>
      <c r="O96" s="96"/>
    </row>
    <row r="97" spans="1:15" x14ac:dyDescent="0.3">
      <c r="A97" s="114"/>
      <c r="B97" s="114" t="s">
        <v>1403</v>
      </c>
      <c r="C97" s="114" t="s">
        <v>1417</v>
      </c>
      <c r="D97" s="97"/>
      <c r="E97" s="97"/>
      <c r="F97" s="97"/>
      <c r="G97" s="97"/>
      <c r="H97" s="97"/>
      <c r="I97" s="97"/>
      <c r="J97" s="97"/>
      <c r="K97" s="97"/>
      <c r="L97" s="97"/>
      <c r="M97" s="97"/>
      <c r="N97" s="97"/>
      <c r="O97" s="97"/>
    </row>
    <row r="98" spans="1:15" x14ac:dyDescent="0.3">
      <c r="A98" s="113"/>
      <c r="B98" s="113" t="s">
        <v>1403</v>
      </c>
      <c r="C98" s="113" t="s">
        <v>1418</v>
      </c>
      <c r="D98" s="96"/>
      <c r="E98" s="96"/>
      <c r="F98" s="96"/>
      <c r="G98" s="96"/>
      <c r="H98" s="96"/>
      <c r="I98" s="96"/>
      <c r="J98" s="96"/>
      <c r="K98" s="96"/>
      <c r="L98" s="96"/>
      <c r="M98" s="96"/>
      <c r="N98" s="96"/>
      <c r="O98" s="96"/>
    </row>
    <row r="99" spans="1:15" x14ac:dyDescent="0.3">
      <c r="A99" s="114"/>
      <c r="B99" s="114" t="s">
        <v>1403</v>
      </c>
      <c r="C99" s="114" t="s">
        <v>1419</v>
      </c>
      <c r="D99" s="97"/>
      <c r="E99" s="97"/>
      <c r="F99" s="97"/>
      <c r="G99" s="97"/>
      <c r="H99" s="97"/>
      <c r="I99" s="97"/>
      <c r="J99" s="97"/>
      <c r="K99" s="97"/>
      <c r="L99" s="97"/>
      <c r="M99" s="97"/>
      <c r="N99" s="97"/>
      <c r="O99" s="97"/>
    </row>
    <row r="100" spans="1:15" x14ac:dyDescent="0.3">
      <c r="A100" s="113"/>
      <c r="B100" s="113" t="s">
        <v>1403</v>
      </c>
      <c r="C100" s="113" t="s">
        <v>1420</v>
      </c>
      <c r="D100" s="96"/>
      <c r="E100" s="96"/>
      <c r="F100" s="96"/>
      <c r="G100" s="96"/>
      <c r="H100" s="96"/>
      <c r="I100" s="96"/>
      <c r="J100" s="96"/>
      <c r="K100" s="96"/>
      <c r="L100" s="96"/>
      <c r="M100" s="96"/>
      <c r="N100" s="96"/>
      <c r="O100" s="96"/>
    </row>
    <row r="101" spans="1:15" x14ac:dyDescent="0.3">
      <c r="A101" s="114"/>
      <c r="B101" s="114" t="s">
        <v>1403</v>
      </c>
      <c r="C101" s="114" t="s">
        <v>1421</v>
      </c>
      <c r="D101" s="97"/>
      <c r="E101" s="97"/>
      <c r="F101" s="97"/>
      <c r="G101" s="97"/>
      <c r="H101" s="97"/>
      <c r="I101" s="97"/>
      <c r="J101" s="97"/>
      <c r="K101" s="97"/>
      <c r="L101" s="97"/>
      <c r="M101" s="97"/>
      <c r="N101" s="97"/>
      <c r="O101" s="97"/>
    </row>
    <row r="102" spans="1:15" x14ac:dyDescent="0.3">
      <c r="A102" s="113"/>
      <c r="B102" s="113" t="s">
        <v>1403</v>
      </c>
      <c r="C102" s="113" t="s">
        <v>1422</v>
      </c>
      <c r="D102" s="96"/>
      <c r="E102" s="96"/>
      <c r="F102" s="96"/>
      <c r="G102" s="96"/>
      <c r="H102" s="96"/>
      <c r="I102" s="96"/>
      <c r="J102" s="96"/>
      <c r="K102" s="96"/>
      <c r="L102" s="96"/>
      <c r="M102" s="96"/>
      <c r="N102" s="96"/>
      <c r="O102" s="96"/>
    </row>
    <row r="103" spans="1:15" x14ac:dyDescent="0.3">
      <c r="A103" s="114"/>
      <c r="B103" s="114" t="s">
        <v>1403</v>
      </c>
      <c r="C103" s="114" t="s">
        <v>1423</v>
      </c>
      <c r="D103" s="97"/>
      <c r="E103" s="97"/>
      <c r="F103" s="97"/>
      <c r="G103" s="97"/>
      <c r="H103" s="97"/>
      <c r="I103" s="97"/>
      <c r="J103" s="97"/>
      <c r="K103" s="97"/>
      <c r="L103" s="97"/>
      <c r="M103" s="97"/>
      <c r="N103" s="97"/>
      <c r="O103" s="97"/>
    </row>
    <row r="104" spans="1:15" x14ac:dyDescent="0.3">
      <c r="A104" s="115"/>
      <c r="B104" s="115"/>
      <c r="C104" s="115" t="s">
        <v>1401</v>
      </c>
      <c r="D104" s="98"/>
      <c r="E104" s="98"/>
      <c r="F104" s="98"/>
      <c r="G104" s="98"/>
      <c r="H104" s="98"/>
      <c r="I104" s="98"/>
      <c r="J104" s="98"/>
      <c r="K104" s="98"/>
      <c r="L104" s="98"/>
      <c r="M104" s="98"/>
      <c r="N104" s="98"/>
      <c r="O104" s="98"/>
    </row>
    <row r="105" spans="1:15" x14ac:dyDescent="0.3">
      <c r="A105" s="113"/>
      <c r="B105" s="113"/>
      <c r="C105" s="113"/>
      <c r="D105" s="96"/>
      <c r="E105" s="96"/>
      <c r="F105" s="96"/>
      <c r="G105" s="96"/>
      <c r="H105" s="96"/>
      <c r="I105" s="96"/>
      <c r="J105" s="96"/>
      <c r="K105" s="96"/>
      <c r="L105" s="96"/>
      <c r="M105" s="96"/>
      <c r="N105" s="96"/>
      <c r="O105" s="96"/>
    </row>
    <row r="106" spans="1:15" x14ac:dyDescent="0.3">
      <c r="A106" s="114"/>
      <c r="B106" s="114"/>
      <c r="C106" s="114"/>
      <c r="D106" s="97"/>
      <c r="E106" s="97"/>
      <c r="F106" s="97"/>
      <c r="G106" s="97"/>
      <c r="H106" s="97"/>
      <c r="I106" s="97"/>
      <c r="J106" s="97"/>
      <c r="K106" s="97"/>
      <c r="L106" s="97"/>
      <c r="M106" s="97"/>
      <c r="N106" s="97"/>
      <c r="O106" s="97"/>
    </row>
    <row r="107" spans="1:15" x14ac:dyDescent="0.3">
      <c r="A107" s="113"/>
      <c r="B107" s="113"/>
      <c r="C107" s="113"/>
      <c r="D107" s="96"/>
      <c r="E107" s="96"/>
      <c r="F107" s="96"/>
      <c r="G107" s="96"/>
      <c r="H107" s="96"/>
      <c r="I107" s="96"/>
      <c r="J107" s="96"/>
      <c r="K107" s="96"/>
      <c r="L107" s="96"/>
      <c r="M107" s="96"/>
      <c r="N107" s="96"/>
      <c r="O107" s="96"/>
    </row>
    <row r="108" spans="1:15" x14ac:dyDescent="0.3">
      <c r="A108" s="114"/>
      <c r="B108" s="114"/>
      <c r="C108" s="114"/>
      <c r="D108" s="97"/>
      <c r="E108" s="97"/>
      <c r="F108" s="97"/>
      <c r="G108" s="97"/>
      <c r="H108" s="97"/>
      <c r="I108" s="97"/>
      <c r="J108" s="97"/>
      <c r="K108" s="97"/>
      <c r="L108" s="97"/>
      <c r="M108" s="97"/>
      <c r="N108" s="97"/>
      <c r="O108" s="97"/>
    </row>
    <row r="109" spans="1:15" x14ac:dyDescent="0.3">
      <c r="A109" s="113"/>
      <c r="B109" s="113"/>
      <c r="C109" s="113"/>
      <c r="D109" s="110"/>
      <c r="E109" s="96"/>
      <c r="F109" s="96"/>
      <c r="G109" s="96"/>
      <c r="H109" s="96"/>
      <c r="I109" s="96"/>
      <c r="J109" s="96"/>
      <c r="K109" s="96"/>
      <c r="L109" s="96"/>
      <c r="M109" s="96"/>
      <c r="N109" s="96"/>
      <c r="O109" s="96"/>
    </row>
    <row r="110" spans="1:15" x14ac:dyDescent="0.3">
      <c r="A110" s="114"/>
      <c r="B110" s="114"/>
      <c r="C110" s="114"/>
      <c r="D110" s="97"/>
      <c r="E110" s="97"/>
      <c r="F110" s="97"/>
      <c r="G110" s="97"/>
      <c r="H110" s="97"/>
      <c r="I110" s="97"/>
      <c r="J110" s="97"/>
      <c r="K110" s="97"/>
      <c r="L110" s="97"/>
      <c r="M110" s="97"/>
      <c r="N110" s="97"/>
      <c r="O110" s="97"/>
    </row>
    <row r="111" spans="1:15" x14ac:dyDescent="0.3">
      <c r="A111" s="113"/>
      <c r="B111" s="113"/>
      <c r="C111" s="113"/>
      <c r="D111" s="96"/>
      <c r="E111" s="96"/>
      <c r="F111" s="96"/>
      <c r="G111" s="96"/>
      <c r="H111" s="96"/>
      <c r="I111" s="96"/>
      <c r="J111" s="96"/>
      <c r="K111" s="96"/>
      <c r="L111" s="96"/>
      <c r="M111" s="96"/>
      <c r="N111" s="96"/>
      <c r="O111" s="96"/>
    </row>
    <row r="112" spans="1:15" x14ac:dyDescent="0.3">
      <c r="A112" s="114"/>
      <c r="B112" s="114"/>
      <c r="C112" s="114"/>
      <c r="D112" s="97"/>
      <c r="E112" s="97"/>
      <c r="F112" s="97"/>
      <c r="G112" s="97"/>
      <c r="H112" s="97"/>
      <c r="I112" s="97"/>
      <c r="J112" s="97"/>
      <c r="K112" s="97"/>
      <c r="L112" s="97"/>
      <c r="M112" s="97"/>
      <c r="N112" s="97"/>
      <c r="O112" s="97"/>
    </row>
    <row r="113" spans="1:15" x14ac:dyDescent="0.3">
      <c r="A113" s="113"/>
      <c r="B113" s="113"/>
      <c r="C113" s="113"/>
      <c r="D113" s="96"/>
      <c r="E113" s="96"/>
      <c r="F113" s="96"/>
      <c r="G113" s="96"/>
      <c r="H113" s="96"/>
      <c r="I113" s="96"/>
      <c r="J113" s="96"/>
      <c r="K113" s="96"/>
      <c r="L113" s="96"/>
      <c r="M113" s="96"/>
      <c r="N113" s="96"/>
      <c r="O113" s="96"/>
    </row>
  </sheetData>
  <dataConsolidate/>
  <phoneticPr fontId="2" type="noConversion"/>
  <dataValidations count="1">
    <dataValidation type="list" allowBlank="1" showInputMessage="1" showErrorMessage="1" sqref="D68:M68" xr:uid="{A727941B-A0B0-4071-BFBE-F35DBA66976A}">
      <formula1>"off,all,noskin,infill"</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Q417"/>
  <sheetViews>
    <sheetView tabSelected="1" workbookViewId="0">
      <pane ySplit="1" topLeftCell="A287" activePane="bottomLeft" state="frozen"/>
      <selection activeCell="B30" sqref="B30"/>
      <selection pane="bottomLeft" activeCell="F59" sqref="F59"/>
    </sheetView>
  </sheetViews>
  <sheetFormatPr defaultRowHeight="14.4" x14ac:dyDescent="0.3"/>
  <cols>
    <col min="1" max="1" width="23.88671875" style="40" bestFit="1" customWidth="1"/>
    <col min="2" max="2" width="19.109375" style="135" customWidth="1"/>
    <col min="3" max="3" width="39.6640625" style="40" customWidth="1"/>
    <col min="4" max="4" width="16.33203125" style="34" customWidth="1"/>
    <col min="5" max="5" width="11.6640625" bestFit="1" customWidth="1"/>
    <col min="6" max="6" width="13.44140625" bestFit="1" customWidth="1"/>
    <col min="7" max="8" width="13.44140625" customWidth="1"/>
    <col min="9" max="9" width="12.6640625" bestFit="1" customWidth="1"/>
    <col min="10" max="10" width="10.44140625" bestFit="1" customWidth="1"/>
    <col min="11" max="11" width="14.6640625" bestFit="1" customWidth="1"/>
    <col min="12" max="12" width="12.6640625" bestFit="1" customWidth="1"/>
    <col min="13" max="13" width="10.44140625" bestFit="1" customWidth="1"/>
    <col min="14" max="14" width="12.109375" bestFit="1" customWidth="1"/>
    <col min="15" max="15" width="11.109375" bestFit="1" customWidth="1"/>
    <col min="16" max="16" width="91.6640625" customWidth="1"/>
    <col min="17" max="17" width="17.33203125" bestFit="1" customWidth="1"/>
  </cols>
  <sheetData>
    <row r="1" spans="1:17" x14ac:dyDescent="0.3">
      <c r="A1" s="112" t="s">
        <v>216</v>
      </c>
      <c r="B1" s="131" t="s">
        <v>1323</v>
      </c>
      <c r="C1" s="112" t="s">
        <v>199</v>
      </c>
      <c r="D1" s="104" t="s">
        <v>100</v>
      </c>
      <c r="E1" s="121" t="s">
        <v>234</v>
      </c>
      <c r="F1" s="121" t="s">
        <v>235</v>
      </c>
      <c r="G1" s="121" t="s">
        <v>660</v>
      </c>
      <c r="H1" s="121" t="s">
        <v>661</v>
      </c>
      <c r="I1" s="121" t="s">
        <v>236</v>
      </c>
      <c r="J1" s="121" t="s">
        <v>237</v>
      </c>
      <c r="K1" s="121" t="s">
        <v>238</v>
      </c>
      <c r="L1" s="121" t="s">
        <v>239</v>
      </c>
      <c r="M1" s="121" t="s">
        <v>240</v>
      </c>
      <c r="N1" s="121" t="s">
        <v>241</v>
      </c>
      <c r="O1" s="121" t="s">
        <v>242</v>
      </c>
      <c r="P1" s="95" t="s">
        <v>205</v>
      </c>
      <c r="Q1" s="95"/>
    </row>
    <row r="2" spans="1:17" x14ac:dyDescent="0.3">
      <c r="A2" s="116"/>
      <c r="B2" s="132"/>
      <c r="C2" s="116" t="s">
        <v>1326</v>
      </c>
      <c r="D2" s="106" t="s">
        <v>142</v>
      </c>
      <c r="E2" s="99" t="s">
        <v>206</v>
      </c>
      <c r="F2" s="99" t="s">
        <v>207</v>
      </c>
      <c r="G2" s="99" t="s">
        <v>339</v>
      </c>
      <c r="H2" s="99" t="s">
        <v>340</v>
      </c>
      <c r="I2" s="99" t="s">
        <v>208</v>
      </c>
      <c r="J2" s="99" t="s">
        <v>209</v>
      </c>
      <c r="K2" s="99" t="s">
        <v>210</v>
      </c>
      <c r="L2" s="99" t="s">
        <v>211</v>
      </c>
      <c r="M2" s="99" t="s">
        <v>212</v>
      </c>
      <c r="N2" s="99" t="s">
        <v>213</v>
      </c>
      <c r="O2" s="99" t="s">
        <v>214</v>
      </c>
      <c r="P2" s="99"/>
      <c r="Q2" s="99"/>
    </row>
    <row r="3" spans="1:17" x14ac:dyDescent="0.3">
      <c r="A3" s="115"/>
      <c r="B3" s="133"/>
      <c r="C3" s="115" t="s">
        <v>1406</v>
      </c>
      <c r="D3" s="105">
        <v>4</v>
      </c>
      <c r="E3" s="98"/>
      <c r="F3" s="98"/>
      <c r="G3" s="98"/>
      <c r="H3" s="98"/>
      <c r="I3" s="98"/>
      <c r="J3" s="98"/>
      <c r="K3" s="98"/>
      <c r="L3" s="98"/>
      <c r="M3" s="98"/>
      <c r="N3" s="98"/>
      <c r="O3" s="98"/>
      <c r="P3" s="98"/>
      <c r="Q3" s="98"/>
    </row>
    <row r="4" spans="1:17" x14ac:dyDescent="0.3">
      <c r="A4" s="113"/>
      <c r="B4" s="74"/>
      <c r="C4" s="113" t="s">
        <v>0</v>
      </c>
      <c r="D4" s="102">
        <v>8</v>
      </c>
      <c r="E4" s="96"/>
      <c r="F4" s="96"/>
      <c r="G4" s="96"/>
      <c r="H4" s="96"/>
      <c r="I4" s="96"/>
      <c r="J4" s="96"/>
      <c r="K4" s="96"/>
      <c r="L4" s="96"/>
      <c r="M4" s="96"/>
      <c r="N4" s="96"/>
      <c r="O4" s="96"/>
      <c r="P4" s="96"/>
      <c r="Q4" s="96"/>
    </row>
    <row r="5" spans="1:17" x14ac:dyDescent="0.3">
      <c r="A5" s="115" t="s">
        <v>217</v>
      </c>
      <c r="B5" s="133"/>
      <c r="C5" s="115" t="s">
        <v>388</v>
      </c>
      <c r="D5" s="105"/>
      <c r="E5" s="98"/>
      <c r="F5" s="98"/>
      <c r="G5" s="98"/>
      <c r="H5" s="98"/>
      <c r="I5" s="98"/>
      <c r="J5" s="98"/>
      <c r="K5" s="98"/>
      <c r="L5" s="98"/>
      <c r="M5" s="98"/>
      <c r="N5" s="98"/>
      <c r="O5" s="98"/>
      <c r="P5" s="98"/>
      <c r="Q5" s="98"/>
    </row>
    <row r="6" spans="1:17" x14ac:dyDescent="0.3">
      <c r="A6" s="113"/>
      <c r="B6" s="74"/>
      <c r="C6" s="113" t="s">
        <v>1</v>
      </c>
      <c r="D6" s="102">
        <f>MAX(0.2,Min_Layer_Height)</f>
        <v>0.2</v>
      </c>
      <c r="E6" s="96">
        <f>VALUE(E$1)</f>
        <v>0.12</v>
      </c>
      <c r="F6" s="96">
        <f t="shared" ref="F6:O6" si="0">VALUE(F$1)</f>
        <v>0.2</v>
      </c>
      <c r="G6" s="96">
        <f t="shared" si="0"/>
        <v>0.24</v>
      </c>
      <c r="H6" s="96">
        <f t="shared" si="0"/>
        <v>0.28000000000000003</v>
      </c>
      <c r="I6" s="96">
        <f t="shared" si="0"/>
        <v>0.32</v>
      </c>
      <c r="J6" s="96">
        <f t="shared" si="0"/>
        <v>0.4</v>
      </c>
      <c r="K6" s="96">
        <f t="shared" si="0"/>
        <v>0.48</v>
      </c>
      <c r="L6" s="96">
        <f t="shared" si="0"/>
        <v>0.56000000000000005</v>
      </c>
      <c r="M6" s="96">
        <f t="shared" si="0"/>
        <v>0.64</v>
      </c>
      <c r="N6" s="96">
        <f t="shared" si="0"/>
        <v>0.72</v>
      </c>
      <c r="O6" s="96">
        <f t="shared" si="0"/>
        <v>0.8</v>
      </c>
      <c r="P6" s="96"/>
      <c r="Q6" s="96"/>
    </row>
    <row r="7" spans="1:17" x14ac:dyDescent="0.3">
      <c r="A7" s="114"/>
      <c r="B7" s="134"/>
      <c r="C7" s="114" t="s">
        <v>2</v>
      </c>
      <c r="D7" s="103">
        <v>0.24</v>
      </c>
      <c r="E7" s="97"/>
      <c r="F7" s="97"/>
      <c r="G7" s="97"/>
      <c r="H7" s="97"/>
      <c r="I7" s="97"/>
      <c r="J7" s="97"/>
      <c r="K7" s="97"/>
      <c r="L7" s="97"/>
      <c r="M7" s="97"/>
      <c r="N7" s="97"/>
      <c r="O7" s="97"/>
      <c r="P7" s="97"/>
      <c r="Q7" s="97"/>
    </row>
    <row r="8" spans="1:17" x14ac:dyDescent="0.3">
      <c r="A8" s="115"/>
      <c r="B8" s="133"/>
      <c r="C8" s="115" t="s">
        <v>389</v>
      </c>
      <c r="D8" s="105"/>
      <c r="E8" s="98"/>
      <c r="F8" s="98"/>
      <c r="G8" s="98"/>
      <c r="H8" s="98"/>
      <c r="I8" s="98"/>
      <c r="J8" s="98"/>
      <c r="K8" s="98"/>
      <c r="L8" s="98"/>
      <c r="M8" s="98"/>
      <c r="N8" s="98"/>
      <c r="O8" s="98"/>
      <c r="P8" s="98"/>
      <c r="Q8" s="98"/>
    </row>
    <row r="9" spans="1:17" x14ac:dyDescent="0.3">
      <c r="A9" s="113"/>
      <c r="B9" s="74"/>
      <c r="C9" s="113" t="s">
        <v>3</v>
      </c>
      <c r="D9" s="92" t="str">
        <f>GetSpecLayers($C9,D$1)</f>
        <v>3</v>
      </c>
      <c r="E9" s="92" t="str">
        <f t="shared" ref="E9:O9" si="1">GetSpecLayers($C9,E$1)</f>
        <v>3</v>
      </c>
      <c r="F9" s="92" t="str">
        <f t="shared" si="1"/>
        <v>3</v>
      </c>
      <c r="G9" s="92" t="str">
        <f t="shared" si="1"/>
        <v>3</v>
      </c>
      <c r="H9" s="92" t="str">
        <f t="shared" si="1"/>
        <v>3</v>
      </c>
      <c r="I9" s="92" t="str">
        <f t="shared" si="1"/>
        <v>3</v>
      </c>
      <c r="J9" s="92" t="str">
        <f t="shared" si="1"/>
        <v>3</v>
      </c>
      <c r="K9" s="92" t="str">
        <f t="shared" si="1"/>
        <v>3</v>
      </c>
      <c r="L9" s="92" t="str">
        <f t="shared" si="1"/>
        <v>3</v>
      </c>
      <c r="M9" s="92" t="str">
        <f t="shared" si="1"/>
        <v>3</v>
      </c>
      <c r="N9" s="92" t="str">
        <f t="shared" si="1"/>
        <v>3</v>
      </c>
      <c r="O9" s="92" t="str">
        <f t="shared" si="1"/>
        <v>3</v>
      </c>
      <c r="P9" s="96"/>
      <c r="Q9" s="96"/>
    </row>
    <row r="10" spans="1:17" x14ac:dyDescent="0.3">
      <c r="A10" s="114"/>
      <c r="B10" s="134"/>
      <c r="C10" s="114" t="s">
        <v>1651</v>
      </c>
      <c r="D10" s="103"/>
      <c r="E10" s="97"/>
      <c r="F10" s="97"/>
      <c r="G10" s="97"/>
      <c r="H10" s="97"/>
      <c r="I10" s="97"/>
      <c r="J10" s="97"/>
      <c r="K10" s="97"/>
      <c r="L10" s="97"/>
      <c r="M10" s="97"/>
      <c r="N10" s="97"/>
      <c r="O10" s="97"/>
      <c r="P10" s="97"/>
      <c r="Q10" s="97"/>
    </row>
    <row r="11" spans="1:17" s="94" customFormat="1" x14ac:dyDescent="0.3">
      <c r="A11" s="113"/>
      <c r="B11" s="74"/>
      <c r="C11" s="113" t="s">
        <v>4</v>
      </c>
      <c r="D11" s="102"/>
      <c r="E11" s="96"/>
      <c r="F11" s="96"/>
      <c r="G11" s="96"/>
      <c r="H11" s="96"/>
      <c r="I11" s="96"/>
      <c r="J11" s="96"/>
      <c r="K11" s="96"/>
      <c r="L11" s="96"/>
      <c r="M11" s="96"/>
      <c r="N11" s="96"/>
      <c r="O11" s="96"/>
      <c r="P11" s="96"/>
      <c r="Q11" s="96"/>
    </row>
    <row r="12" spans="1:17" x14ac:dyDescent="0.3">
      <c r="A12" s="115"/>
      <c r="B12" s="133"/>
      <c r="C12" s="115" t="s">
        <v>390</v>
      </c>
      <c r="D12" s="105"/>
      <c r="E12" s="98"/>
      <c r="F12" s="98"/>
      <c r="G12" s="98"/>
      <c r="H12" s="98"/>
      <c r="I12" s="98"/>
      <c r="J12" s="98"/>
      <c r="K12" s="98"/>
      <c r="L12" s="98"/>
      <c r="M12" s="98"/>
      <c r="N12" s="98"/>
      <c r="O12" s="98"/>
      <c r="P12" s="98"/>
      <c r="Q12" s="98"/>
    </row>
    <row r="13" spans="1:17" x14ac:dyDescent="0.3">
      <c r="A13" s="113"/>
      <c r="B13" s="74"/>
      <c r="C13" s="113" t="s">
        <v>5</v>
      </c>
      <c r="D13" s="92" t="str">
        <f>GetSpecLayers($C13,D$1)</f>
        <v>3</v>
      </c>
      <c r="E13" s="92" t="str">
        <f t="shared" ref="E13:O14" si="2">GetSpecLayers($C13,E$1)</f>
        <v>9</v>
      </c>
      <c r="F13" s="92" t="str">
        <f t="shared" si="2"/>
        <v>6</v>
      </c>
      <c r="G13" s="92" t="str">
        <f t="shared" si="2"/>
        <v>5</v>
      </c>
      <c r="H13" s="92" t="str">
        <f t="shared" si="2"/>
        <v>4</v>
      </c>
      <c r="I13" s="92" t="str">
        <f t="shared" si="2"/>
        <v>4</v>
      </c>
      <c r="J13" s="92" t="str">
        <f t="shared" si="2"/>
        <v>4</v>
      </c>
      <c r="K13" s="92" t="str">
        <f t="shared" si="2"/>
        <v>4</v>
      </c>
      <c r="L13" s="92" t="str">
        <f t="shared" si="2"/>
        <v>4</v>
      </c>
      <c r="M13" s="92" t="str">
        <f t="shared" si="2"/>
        <v>4</v>
      </c>
      <c r="N13" s="92" t="str">
        <f t="shared" si="2"/>
        <v>4</v>
      </c>
      <c r="O13" s="92" t="str">
        <f t="shared" si="2"/>
        <v>4</v>
      </c>
      <c r="P13" s="96"/>
      <c r="Q13" s="96"/>
    </row>
    <row r="14" spans="1:17" x14ac:dyDescent="0.3">
      <c r="A14" s="114"/>
      <c r="B14" s="134"/>
      <c r="C14" s="114" t="s">
        <v>6</v>
      </c>
      <c r="D14" s="93" t="str">
        <f>GetSpecLayers($C14,D$1)</f>
        <v>3</v>
      </c>
      <c r="E14" s="93" t="str">
        <f t="shared" si="2"/>
        <v>8</v>
      </c>
      <c r="F14" s="93" t="str">
        <f t="shared" si="2"/>
        <v>5</v>
      </c>
      <c r="G14" s="93" t="str">
        <f t="shared" si="2"/>
        <v>5</v>
      </c>
      <c r="H14" s="93" t="str">
        <f t="shared" si="2"/>
        <v>4</v>
      </c>
      <c r="I14" s="93" t="str">
        <f t="shared" si="2"/>
        <v>4</v>
      </c>
      <c r="J14" s="93" t="str">
        <f t="shared" si="2"/>
        <v>3</v>
      </c>
      <c r="K14" s="93" t="str">
        <f t="shared" si="2"/>
        <v>3</v>
      </c>
      <c r="L14" s="93" t="str">
        <f t="shared" si="2"/>
        <v>3</v>
      </c>
      <c r="M14" s="93" t="str">
        <f t="shared" si="2"/>
        <v>3</v>
      </c>
      <c r="N14" s="93" t="str">
        <f t="shared" si="2"/>
        <v>3</v>
      </c>
      <c r="O14" s="93" t="str">
        <f t="shared" si="2"/>
        <v>3</v>
      </c>
      <c r="P14" s="97"/>
      <c r="Q14" s="97"/>
    </row>
    <row r="15" spans="1:17" x14ac:dyDescent="0.3">
      <c r="A15" s="113"/>
      <c r="B15" s="74"/>
      <c r="C15" s="113" t="s">
        <v>454</v>
      </c>
      <c r="D15" s="102">
        <v>0.8</v>
      </c>
      <c r="E15" s="96"/>
      <c r="F15" s="96"/>
      <c r="G15" s="96"/>
      <c r="H15" s="96"/>
      <c r="I15" s="96"/>
      <c r="J15" s="96"/>
      <c r="K15" s="96"/>
      <c r="L15" s="96"/>
      <c r="M15" s="96"/>
      <c r="N15" s="96"/>
      <c r="O15" s="96"/>
      <c r="P15" s="96"/>
      <c r="Q15" s="96"/>
    </row>
    <row r="16" spans="1:17" x14ac:dyDescent="0.3">
      <c r="A16" s="114"/>
      <c r="B16" s="134"/>
      <c r="C16" s="114" t="s">
        <v>455</v>
      </c>
      <c r="D16" s="97">
        <v>0.8</v>
      </c>
      <c r="E16" s="97"/>
      <c r="F16" s="97"/>
      <c r="G16" s="97"/>
      <c r="H16" s="97"/>
      <c r="I16" s="97"/>
      <c r="J16" s="97"/>
      <c r="K16" s="97"/>
      <c r="L16" s="97"/>
      <c r="M16" s="97"/>
      <c r="N16" s="97"/>
      <c r="O16" s="97"/>
      <c r="P16" s="97"/>
      <c r="Q16" s="97"/>
    </row>
    <row r="17" spans="1:17" x14ac:dyDescent="0.3">
      <c r="A17" s="113"/>
      <c r="B17" s="74" t="s">
        <v>1403</v>
      </c>
      <c r="C17" s="113" t="s">
        <v>1345</v>
      </c>
      <c r="D17" s="111"/>
      <c r="E17" s="96"/>
      <c r="F17" s="96"/>
      <c r="G17" s="96"/>
      <c r="H17" s="96"/>
      <c r="I17" s="96"/>
      <c r="J17" s="96"/>
      <c r="K17" s="96"/>
      <c r="L17" s="96"/>
      <c r="M17" s="96"/>
      <c r="N17" s="96"/>
      <c r="O17" s="96"/>
      <c r="P17" s="96"/>
      <c r="Q17" s="96"/>
    </row>
    <row r="18" spans="1:17" x14ac:dyDescent="0.3">
      <c r="A18" s="115"/>
      <c r="B18" s="133"/>
      <c r="C18" s="115" t="s">
        <v>391</v>
      </c>
      <c r="D18" s="105"/>
      <c r="E18" s="98"/>
      <c r="F18" s="98"/>
      <c r="G18" s="98"/>
      <c r="H18" s="98"/>
      <c r="I18" s="98"/>
      <c r="J18" s="98"/>
      <c r="K18" s="98"/>
      <c r="L18" s="98"/>
      <c r="M18" s="98"/>
      <c r="N18" s="98"/>
      <c r="O18" s="98"/>
      <c r="P18" s="98"/>
      <c r="Q18" s="98"/>
    </row>
    <row r="19" spans="1:17" x14ac:dyDescent="0.3">
      <c r="A19" s="113"/>
      <c r="B19" s="74" t="s">
        <v>1403</v>
      </c>
      <c r="C19" s="113" t="s">
        <v>1649</v>
      </c>
      <c r="D19" s="102"/>
      <c r="E19" s="96"/>
      <c r="F19" s="96"/>
      <c r="G19" s="96"/>
      <c r="H19" s="96"/>
      <c r="I19" s="96"/>
      <c r="J19" s="96"/>
      <c r="K19" s="96"/>
      <c r="L19" s="96"/>
      <c r="M19" s="96"/>
      <c r="N19" s="96"/>
      <c r="O19" s="96"/>
      <c r="P19" s="96" t="s">
        <v>227</v>
      </c>
      <c r="Q19" s="96"/>
    </row>
    <row r="20" spans="1:17" s="94" customFormat="1" x14ac:dyDescent="0.3">
      <c r="A20" s="114"/>
      <c r="B20" s="134" t="s">
        <v>1403</v>
      </c>
      <c r="C20" s="114" t="s">
        <v>1376</v>
      </c>
      <c r="D20" s="103"/>
      <c r="E20" s="97"/>
      <c r="F20" s="97"/>
      <c r="G20" s="97"/>
      <c r="H20" s="97"/>
      <c r="I20" s="97"/>
      <c r="J20" s="97"/>
      <c r="K20" s="97"/>
      <c r="L20" s="97"/>
      <c r="M20" s="97"/>
      <c r="N20" s="97"/>
      <c r="O20" s="97"/>
      <c r="P20" s="97" t="s">
        <v>227</v>
      </c>
      <c r="Q20" s="97"/>
    </row>
    <row r="21" spans="1:17" s="94" customFormat="1" x14ac:dyDescent="0.3">
      <c r="A21" s="113"/>
      <c r="B21" s="74" t="s">
        <v>1403</v>
      </c>
      <c r="C21" s="113" t="s">
        <v>1373</v>
      </c>
      <c r="D21" s="102"/>
      <c r="E21" s="96"/>
      <c r="F21" s="96"/>
      <c r="G21" s="96"/>
      <c r="H21" s="96"/>
      <c r="I21" s="96"/>
      <c r="J21" s="96"/>
      <c r="K21" s="96"/>
      <c r="L21" s="96"/>
      <c r="M21" s="96"/>
      <c r="N21" s="96"/>
      <c r="O21" s="96"/>
      <c r="P21" s="96" t="s">
        <v>227</v>
      </c>
      <c r="Q21" s="96"/>
    </row>
    <row r="22" spans="1:17" s="94" customFormat="1" x14ac:dyDescent="0.3">
      <c r="A22" s="114"/>
      <c r="B22" s="134" t="s">
        <v>1403</v>
      </c>
      <c r="C22" s="114" t="s">
        <v>1354</v>
      </c>
      <c r="D22" s="103">
        <v>1</v>
      </c>
      <c r="E22" s="97"/>
      <c r="F22" s="97"/>
      <c r="G22" s="97"/>
      <c r="H22" s="97"/>
      <c r="I22" s="97"/>
      <c r="J22" s="97"/>
      <c r="K22" s="97"/>
      <c r="L22" s="97"/>
      <c r="M22" s="97"/>
      <c r="N22" s="97"/>
      <c r="O22" s="97"/>
      <c r="P22" s="97" t="s">
        <v>227</v>
      </c>
      <c r="Q22" s="97"/>
    </row>
    <row r="23" spans="1:17" s="94" customFormat="1" x14ac:dyDescent="0.3">
      <c r="A23" s="113"/>
      <c r="B23" s="74" t="s">
        <v>1403</v>
      </c>
      <c r="C23" s="113" t="s">
        <v>1353</v>
      </c>
      <c r="D23" s="102"/>
      <c r="E23" s="96"/>
      <c r="F23" s="96"/>
      <c r="G23" s="96"/>
      <c r="H23" s="96"/>
      <c r="I23" s="96"/>
      <c r="J23" s="96"/>
      <c r="K23" s="96"/>
      <c r="L23" s="96"/>
      <c r="M23" s="96"/>
      <c r="N23" s="96"/>
      <c r="O23" s="96"/>
      <c r="P23" s="96" t="s">
        <v>227</v>
      </c>
      <c r="Q23" s="96"/>
    </row>
    <row r="24" spans="1:17" s="94" customFormat="1" x14ac:dyDescent="0.3">
      <c r="A24" s="114"/>
      <c r="B24" s="134"/>
      <c r="C24" s="114" t="s">
        <v>7</v>
      </c>
      <c r="D24" s="103">
        <v>1</v>
      </c>
      <c r="E24" s="97"/>
      <c r="F24" s="97"/>
      <c r="G24" s="97"/>
      <c r="H24" s="97"/>
      <c r="I24" s="97"/>
      <c r="J24" s="97"/>
      <c r="K24" s="97"/>
      <c r="L24" s="97"/>
      <c r="M24" s="97"/>
      <c r="N24" s="97"/>
      <c r="O24" s="97"/>
      <c r="P24" s="97" t="s">
        <v>227</v>
      </c>
      <c r="Q24" s="97"/>
    </row>
    <row r="25" spans="1:17" x14ac:dyDescent="0.3">
      <c r="A25" s="113"/>
      <c r="B25" s="74"/>
      <c r="C25" s="113" t="s">
        <v>8</v>
      </c>
      <c r="D25" s="102">
        <v>1</v>
      </c>
      <c r="E25" s="96"/>
      <c r="F25" s="96"/>
      <c r="G25" s="96"/>
      <c r="H25" s="96"/>
      <c r="I25" s="96"/>
      <c r="J25" s="96"/>
      <c r="K25" s="96"/>
      <c r="L25" s="96"/>
      <c r="M25" s="96"/>
      <c r="N25" s="96"/>
      <c r="O25" s="96"/>
      <c r="P25" s="96" t="s">
        <v>228</v>
      </c>
      <c r="Q25" s="96"/>
    </row>
    <row r="26" spans="1:17" x14ac:dyDescent="0.3">
      <c r="A26" s="114"/>
      <c r="B26" s="134" t="s">
        <v>1403</v>
      </c>
      <c r="C26" s="114" t="s">
        <v>1650</v>
      </c>
      <c r="D26" s="103"/>
      <c r="E26" s="97"/>
      <c r="F26" s="97"/>
      <c r="G26" s="97"/>
      <c r="H26" s="97"/>
      <c r="I26" s="97"/>
      <c r="J26" s="97"/>
      <c r="K26" s="97"/>
      <c r="L26" s="97"/>
      <c r="M26" s="97"/>
      <c r="N26" s="97"/>
      <c r="O26" s="97"/>
      <c r="P26" s="97"/>
      <c r="Q26" s="97"/>
    </row>
    <row r="27" spans="1:17" s="94" customFormat="1" x14ac:dyDescent="0.3">
      <c r="A27" s="113"/>
      <c r="B27" s="74"/>
      <c r="C27" s="113" t="s">
        <v>9</v>
      </c>
      <c r="D27" s="102"/>
      <c r="E27" s="96"/>
      <c r="F27" s="96"/>
      <c r="G27" s="96"/>
      <c r="H27" s="96"/>
      <c r="I27" s="96"/>
      <c r="J27" s="96"/>
      <c r="K27" s="96"/>
      <c r="L27" s="96"/>
      <c r="M27" s="96"/>
      <c r="N27" s="96"/>
      <c r="O27" s="96"/>
      <c r="P27" s="96"/>
      <c r="Q27" s="96"/>
    </row>
    <row r="28" spans="1:17" x14ac:dyDescent="0.3">
      <c r="A28" s="114"/>
      <c r="B28" s="134" t="s">
        <v>1403</v>
      </c>
      <c r="C28" s="114" t="s">
        <v>1328</v>
      </c>
      <c r="D28" s="103"/>
      <c r="E28" s="97"/>
      <c r="F28" s="97"/>
      <c r="G28" s="97"/>
      <c r="H28" s="97"/>
      <c r="I28" s="97"/>
      <c r="J28" s="97"/>
      <c r="K28" s="97"/>
      <c r="L28" s="97"/>
      <c r="M28" s="97"/>
      <c r="N28" s="97"/>
      <c r="O28" s="97"/>
      <c r="P28" s="97"/>
      <c r="Q28" s="97"/>
    </row>
    <row r="29" spans="1:17" s="94" customFormat="1" x14ac:dyDescent="0.3">
      <c r="A29" s="113"/>
      <c r="B29" s="74"/>
      <c r="C29" s="113" t="s">
        <v>1489</v>
      </c>
      <c r="D29" s="102"/>
      <c r="E29" s="96"/>
      <c r="F29" s="96"/>
      <c r="G29" s="96"/>
      <c r="H29" s="96"/>
      <c r="I29" s="96"/>
      <c r="J29" s="96"/>
      <c r="K29" s="96"/>
      <c r="L29" s="96"/>
      <c r="M29" s="96"/>
      <c r="N29" s="96"/>
      <c r="O29" s="96"/>
      <c r="P29" s="96"/>
      <c r="Q29" s="96"/>
    </row>
    <row r="30" spans="1:17" s="94" customFormat="1" x14ac:dyDescent="0.3">
      <c r="A30" s="114"/>
      <c r="B30" s="134" t="s">
        <v>1403</v>
      </c>
      <c r="C30" s="114" t="s">
        <v>1393</v>
      </c>
      <c r="D30" s="103"/>
      <c r="E30" s="97"/>
      <c r="F30" s="97"/>
      <c r="G30" s="97"/>
      <c r="H30" s="97"/>
      <c r="I30" s="97"/>
      <c r="J30" s="97"/>
      <c r="K30" s="97"/>
      <c r="L30" s="97"/>
      <c r="M30" s="97"/>
      <c r="N30" s="97"/>
      <c r="O30" s="97"/>
      <c r="P30" s="97"/>
      <c r="Q30" s="97"/>
    </row>
    <row r="31" spans="1:17" s="94" customFormat="1" x14ac:dyDescent="0.3">
      <c r="A31" s="113"/>
      <c r="B31" s="74" t="s">
        <v>1403</v>
      </c>
      <c r="C31" s="113" t="s">
        <v>1394</v>
      </c>
      <c r="D31" s="102"/>
      <c r="E31" s="96"/>
      <c r="F31" s="96"/>
      <c r="G31" s="96"/>
      <c r="H31" s="96"/>
      <c r="I31" s="96"/>
      <c r="J31" s="96"/>
      <c r="K31" s="96"/>
      <c r="L31" s="96"/>
      <c r="M31" s="96"/>
      <c r="N31" s="96"/>
      <c r="O31" s="96"/>
      <c r="P31" s="96"/>
      <c r="Q31" s="96"/>
    </row>
    <row r="32" spans="1:17" s="94" customFormat="1" x14ac:dyDescent="0.3">
      <c r="A32" s="114"/>
      <c r="B32" s="134"/>
      <c r="C32" s="114" t="s">
        <v>10</v>
      </c>
      <c r="D32" s="103"/>
      <c r="E32" s="97"/>
      <c r="F32" s="97"/>
      <c r="G32" s="97"/>
      <c r="H32" s="97"/>
      <c r="I32" s="97"/>
      <c r="J32" s="97"/>
      <c r="K32" s="97"/>
      <c r="L32" s="97"/>
      <c r="M32" s="97"/>
      <c r="N32" s="97"/>
      <c r="O32" s="97"/>
      <c r="P32" s="97"/>
      <c r="Q32" s="97"/>
    </row>
    <row r="33" spans="1:17" x14ac:dyDescent="0.3">
      <c r="A33" s="113"/>
      <c r="B33" s="74" t="s">
        <v>1403</v>
      </c>
      <c r="C33" s="113" t="s">
        <v>1396</v>
      </c>
      <c r="D33" s="107">
        <v>0.5</v>
      </c>
      <c r="E33" s="96"/>
      <c r="F33" s="96"/>
      <c r="G33" s="96"/>
      <c r="H33" s="96"/>
      <c r="I33" s="96"/>
      <c r="J33" s="96"/>
      <c r="K33" s="96"/>
      <c r="L33" s="96"/>
      <c r="M33" s="96"/>
      <c r="N33" s="96"/>
      <c r="O33" s="96"/>
      <c r="P33" s="96" t="s">
        <v>229</v>
      </c>
      <c r="Q33" s="96"/>
    </row>
    <row r="34" spans="1:17" s="94" customFormat="1" x14ac:dyDescent="0.3">
      <c r="A34" s="114"/>
      <c r="B34" s="134" t="s">
        <v>1403</v>
      </c>
      <c r="C34" s="114" t="s">
        <v>1397</v>
      </c>
      <c r="D34" s="103"/>
      <c r="E34" s="97"/>
      <c r="F34" s="97"/>
      <c r="G34" s="97"/>
      <c r="H34" s="97"/>
      <c r="I34" s="97"/>
      <c r="J34" s="97"/>
      <c r="K34" s="97"/>
      <c r="L34" s="97"/>
      <c r="M34" s="97"/>
      <c r="N34" s="97"/>
      <c r="O34" s="97"/>
      <c r="P34" s="97" t="s">
        <v>229</v>
      </c>
      <c r="Q34" s="97"/>
    </row>
    <row r="35" spans="1:17" s="94" customFormat="1" x14ac:dyDescent="0.3">
      <c r="A35" s="113"/>
      <c r="B35" s="74" t="s">
        <v>1403</v>
      </c>
      <c r="C35" s="113" t="s">
        <v>1395</v>
      </c>
      <c r="D35" s="102"/>
      <c r="E35" s="96"/>
      <c r="F35" s="96"/>
      <c r="G35" s="96"/>
      <c r="H35" s="96"/>
      <c r="I35" s="96"/>
      <c r="J35" s="96"/>
      <c r="K35" s="96"/>
      <c r="L35" s="96"/>
      <c r="M35" s="96"/>
      <c r="N35" s="96"/>
      <c r="O35" s="96"/>
      <c r="P35" s="96" t="s">
        <v>229</v>
      </c>
      <c r="Q35" s="96"/>
    </row>
    <row r="36" spans="1:17" s="94" customFormat="1" x14ac:dyDescent="0.3">
      <c r="A36" s="114"/>
      <c r="B36" s="134" t="s">
        <v>1477</v>
      </c>
      <c r="C36" s="114" t="s">
        <v>1594</v>
      </c>
      <c r="D36" s="103">
        <v>1</v>
      </c>
      <c r="E36" s="97"/>
      <c r="F36" s="97"/>
      <c r="G36" s="97"/>
      <c r="H36" s="97"/>
      <c r="I36" s="97"/>
      <c r="J36" s="97"/>
      <c r="K36" s="97"/>
      <c r="L36" s="97"/>
      <c r="M36" s="97"/>
      <c r="N36" s="97"/>
      <c r="O36" s="97"/>
      <c r="P36" s="97" t="s">
        <v>229</v>
      </c>
      <c r="Q36" s="97"/>
    </row>
    <row r="37" spans="1:17" x14ac:dyDescent="0.3">
      <c r="A37" s="115"/>
      <c r="B37" s="133"/>
      <c r="C37" s="115" t="s">
        <v>1652</v>
      </c>
      <c r="D37" s="105">
        <v>1</v>
      </c>
      <c r="E37" s="98"/>
      <c r="F37" s="98"/>
      <c r="G37" s="98"/>
      <c r="H37" s="98"/>
      <c r="I37" s="98"/>
      <c r="J37" s="98"/>
      <c r="K37" s="98"/>
      <c r="L37" s="98"/>
      <c r="M37" s="98"/>
      <c r="N37" s="98"/>
      <c r="O37" s="98"/>
      <c r="P37" s="98" t="s">
        <v>256</v>
      </c>
      <c r="Q37" s="98"/>
    </row>
    <row r="38" spans="1:17" s="94" customFormat="1" x14ac:dyDescent="0.3">
      <c r="A38" s="113"/>
      <c r="B38" s="74"/>
      <c r="C38" s="113" t="s">
        <v>255</v>
      </c>
      <c r="D38" s="102">
        <v>1</v>
      </c>
      <c r="E38" s="96"/>
      <c r="F38" s="96"/>
      <c r="G38" s="96"/>
      <c r="H38" s="96"/>
      <c r="I38" s="96"/>
      <c r="J38" s="96"/>
      <c r="K38" s="96"/>
      <c r="L38" s="96"/>
      <c r="M38" s="96"/>
      <c r="N38" s="96"/>
      <c r="O38" s="96"/>
      <c r="P38" s="96" t="s">
        <v>256</v>
      </c>
      <c r="Q38" s="96"/>
    </row>
    <row r="39" spans="1:17" x14ac:dyDescent="0.3">
      <c r="A39" s="114"/>
      <c r="B39" s="134" t="s">
        <v>1403</v>
      </c>
      <c r="C39" s="114" t="s">
        <v>1653</v>
      </c>
      <c r="D39" s="122">
        <v>1</v>
      </c>
      <c r="E39" s="97"/>
      <c r="F39" s="97"/>
      <c r="G39" s="97"/>
      <c r="H39" s="97"/>
      <c r="I39" s="97"/>
      <c r="J39" s="97"/>
      <c r="K39" s="97"/>
      <c r="L39" s="97"/>
      <c r="M39" s="97"/>
      <c r="N39" s="97"/>
      <c r="O39" s="97"/>
      <c r="P39" s="97"/>
      <c r="Q39" s="97"/>
    </row>
    <row r="40" spans="1:17" s="94" customFormat="1" x14ac:dyDescent="0.3">
      <c r="A40" s="113"/>
      <c r="B40" s="74" t="s">
        <v>1403</v>
      </c>
      <c r="C40" s="113" t="s">
        <v>1378</v>
      </c>
      <c r="D40" s="102">
        <v>1</v>
      </c>
      <c r="E40" s="96"/>
      <c r="F40" s="96"/>
      <c r="G40" s="96"/>
      <c r="H40" s="96"/>
      <c r="I40" s="96"/>
      <c r="J40" s="96"/>
      <c r="K40" s="96"/>
      <c r="L40" s="96"/>
      <c r="M40" s="96"/>
      <c r="N40" s="96"/>
      <c r="O40" s="96"/>
      <c r="P40" s="96"/>
      <c r="Q40" s="96"/>
    </row>
    <row r="41" spans="1:17" s="94" customFormat="1" x14ac:dyDescent="0.3">
      <c r="A41" s="114"/>
      <c r="B41" s="134" t="s">
        <v>1403</v>
      </c>
      <c r="C41" s="114" t="s">
        <v>1506</v>
      </c>
      <c r="D41" s="119">
        <v>0.5</v>
      </c>
      <c r="E41" s="97"/>
      <c r="F41" s="97"/>
      <c r="G41" s="97"/>
      <c r="H41" s="97"/>
      <c r="I41" s="97"/>
      <c r="J41" s="97"/>
      <c r="K41" s="97"/>
      <c r="L41" s="97"/>
      <c r="M41" s="97"/>
      <c r="N41" s="97"/>
      <c r="O41" s="97"/>
      <c r="P41" s="97"/>
      <c r="Q41" s="97"/>
    </row>
    <row r="42" spans="1:17" s="94" customFormat="1" x14ac:dyDescent="0.3">
      <c r="A42" s="113"/>
      <c r="B42" s="74" t="s">
        <v>1403</v>
      </c>
      <c r="C42" s="113" t="s">
        <v>1380</v>
      </c>
      <c r="D42" s="107">
        <v>1.1000000000000001</v>
      </c>
      <c r="E42" s="96"/>
      <c r="F42" s="96"/>
      <c r="G42" s="96"/>
      <c r="H42" s="96"/>
      <c r="I42" s="96"/>
      <c r="J42" s="96"/>
      <c r="K42" s="96"/>
      <c r="L42" s="96"/>
      <c r="M42" s="96"/>
      <c r="N42" s="96"/>
      <c r="O42" s="96"/>
      <c r="P42" s="96"/>
      <c r="Q42" s="96"/>
    </row>
    <row r="43" spans="1:17" x14ac:dyDescent="0.3">
      <c r="A43" s="114"/>
      <c r="B43" s="134" t="s">
        <v>1403</v>
      </c>
      <c r="C43" s="114" t="s">
        <v>1379</v>
      </c>
      <c r="D43" s="119">
        <v>3</v>
      </c>
      <c r="E43" s="97"/>
      <c r="F43" s="97"/>
      <c r="G43" s="97"/>
      <c r="H43" s="97"/>
      <c r="I43" s="97"/>
      <c r="J43" s="97"/>
      <c r="K43" s="97"/>
      <c r="L43" s="97"/>
      <c r="M43" s="97"/>
      <c r="N43" s="97"/>
      <c r="O43" s="97"/>
      <c r="P43" s="97"/>
      <c r="Q43" s="97"/>
    </row>
    <row r="44" spans="1:17" x14ac:dyDescent="0.3">
      <c r="A44" s="115"/>
      <c r="B44" s="133"/>
      <c r="C44" s="115" t="s">
        <v>366</v>
      </c>
      <c r="D44" s="105"/>
      <c r="E44" s="98"/>
      <c r="F44" s="98"/>
      <c r="G44" s="98"/>
      <c r="H44" s="98"/>
      <c r="I44" s="98"/>
      <c r="J44" s="98"/>
      <c r="K44" s="98"/>
      <c r="L44" s="98"/>
      <c r="M44" s="98"/>
      <c r="N44" s="98"/>
      <c r="O44" s="98"/>
      <c r="P44" s="98"/>
      <c r="Q44" s="98"/>
    </row>
    <row r="45" spans="1:17" x14ac:dyDescent="0.3">
      <c r="A45" s="113"/>
      <c r="B45" s="74" t="s">
        <v>1403</v>
      </c>
      <c r="C45" s="113" t="s">
        <v>1375</v>
      </c>
      <c r="D45" s="102"/>
      <c r="E45" s="96"/>
      <c r="F45" s="96"/>
      <c r="G45" s="96"/>
      <c r="H45" s="96"/>
      <c r="I45" s="96"/>
      <c r="J45" s="96"/>
      <c r="K45" s="96"/>
      <c r="L45" s="96"/>
      <c r="M45" s="96"/>
      <c r="N45" s="96"/>
      <c r="O45" s="96"/>
      <c r="P45" s="96"/>
      <c r="Q45" s="96"/>
    </row>
    <row r="46" spans="1:17" s="94" customFormat="1" x14ac:dyDescent="0.3">
      <c r="A46" s="114"/>
      <c r="B46" s="134" t="s">
        <v>1648</v>
      </c>
      <c r="C46" s="114" t="s">
        <v>1612</v>
      </c>
      <c r="D46" s="123"/>
      <c r="E46" s="97"/>
      <c r="F46" s="97"/>
      <c r="G46" s="97"/>
      <c r="H46" s="97"/>
      <c r="I46" s="97"/>
      <c r="J46" s="97"/>
      <c r="K46" s="97"/>
      <c r="L46" s="97"/>
      <c r="M46" s="97"/>
      <c r="N46" s="97"/>
      <c r="O46" s="97"/>
      <c r="P46" s="97"/>
      <c r="Q46" s="97"/>
    </row>
    <row r="47" spans="1:17" s="94" customFormat="1" x14ac:dyDescent="0.3">
      <c r="A47" s="113"/>
      <c r="B47" s="59" t="s">
        <v>1403</v>
      </c>
      <c r="C47" s="96" t="s">
        <v>1654</v>
      </c>
      <c r="D47" s="96"/>
      <c r="E47" s="96"/>
      <c r="F47" s="96"/>
      <c r="G47" s="96"/>
      <c r="H47" s="96"/>
      <c r="I47" s="96"/>
      <c r="J47" s="96"/>
      <c r="K47" s="96"/>
      <c r="L47" s="96"/>
      <c r="M47" s="96"/>
      <c r="N47" s="96"/>
      <c r="O47" s="96"/>
      <c r="P47" s="96"/>
      <c r="Q47" s="96"/>
    </row>
    <row r="48" spans="1:17" s="94" customFormat="1" x14ac:dyDescent="0.3">
      <c r="A48" s="114"/>
      <c r="B48" s="134" t="s">
        <v>1403</v>
      </c>
      <c r="C48" s="114" t="s">
        <v>1655</v>
      </c>
      <c r="D48" s="97"/>
      <c r="E48" s="97"/>
      <c r="F48" s="97"/>
      <c r="G48" s="97"/>
      <c r="H48" s="97"/>
      <c r="I48" s="97"/>
      <c r="J48" s="97"/>
      <c r="K48" s="97"/>
      <c r="L48" s="97"/>
      <c r="M48" s="97"/>
      <c r="N48" s="97"/>
      <c r="O48" s="97"/>
      <c r="P48" s="97"/>
      <c r="Q48" s="97"/>
    </row>
    <row r="49" spans="1:17" s="94" customFormat="1" x14ac:dyDescent="0.3">
      <c r="A49" s="113"/>
      <c r="B49" s="74" t="s">
        <v>1403</v>
      </c>
      <c r="C49" s="113" t="s">
        <v>1656</v>
      </c>
      <c r="D49" s="96"/>
      <c r="E49" s="96"/>
      <c r="F49" s="96"/>
      <c r="G49" s="96"/>
      <c r="H49" s="96"/>
      <c r="I49" s="96"/>
      <c r="J49" s="96"/>
      <c r="K49" s="96"/>
      <c r="L49" s="96"/>
      <c r="M49" s="96"/>
      <c r="N49" s="96"/>
      <c r="O49" s="96"/>
      <c r="P49" s="96"/>
      <c r="Q49" s="96"/>
    </row>
    <row r="50" spans="1:17" s="94" customFormat="1" x14ac:dyDescent="0.3">
      <c r="A50" s="114"/>
      <c r="B50" s="134" t="s">
        <v>1403</v>
      </c>
      <c r="C50" s="114" t="s">
        <v>1694</v>
      </c>
      <c r="D50" s="97"/>
      <c r="E50" s="97"/>
      <c r="F50" s="97"/>
      <c r="G50" s="97"/>
      <c r="H50" s="97"/>
      <c r="I50" s="97"/>
      <c r="J50" s="97"/>
      <c r="K50" s="97"/>
      <c r="L50" s="97"/>
      <c r="M50" s="97"/>
      <c r="N50" s="97"/>
      <c r="O50" s="97"/>
      <c r="P50" s="97"/>
      <c r="Q50" s="97"/>
    </row>
    <row r="51" spans="1:17" s="94" customFormat="1" x14ac:dyDescent="0.3">
      <c r="A51" s="113"/>
      <c r="B51" s="74" t="s">
        <v>1403</v>
      </c>
      <c r="C51" s="113" t="s">
        <v>1657</v>
      </c>
      <c r="D51" s="96"/>
      <c r="E51" s="96"/>
      <c r="F51" s="96"/>
      <c r="G51" s="96"/>
      <c r="H51" s="96"/>
      <c r="I51" s="96"/>
      <c r="J51" s="96"/>
      <c r="K51" s="96"/>
      <c r="L51" s="96"/>
      <c r="M51" s="96"/>
      <c r="N51" s="96"/>
      <c r="O51" s="96"/>
      <c r="P51" s="96"/>
      <c r="Q51" s="96"/>
    </row>
    <row r="52" spans="1:17" s="94" customFormat="1" x14ac:dyDescent="0.3">
      <c r="A52" s="114"/>
      <c r="B52" s="134" t="s">
        <v>1403</v>
      </c>
      <c r="C52" s="114" t="s">
        <v>1363</v>
      </c>
      <c r="D52" s="97"/>
      <c r="E52" s="97"/>
      <c r="F52" s="97"/>
      <c r="G52" s="97"/>
      <c r="H52" s="97"/>
      <c r="I52" s="97"/>
      <c r="J52" s="97"/>
      <c r="K52" s="97"/>
      <c r="L52" s="97"/>
      <c r="M52" s="97"/>
      <c r="N52" s="97"/>
      <c r="O52" s="97"/>
      <c r="P52" s="97"/>
      <c r="Q52" s="97"/>
    </row>
    <row r="53" spans="1:17" s="94" customFormat="1" x14ac:dyDescent="0.3">
      <c r="A53" s="113"/>
      <c r="B53" s="74" t="s">
        <v>1403</v>
      </c>
      <c r="C53" s="113" t="s">
        <v>1670</v>
      </c>
      <c r="D53" s="96"/>
      <c r="E53" s="96"/>
      <c r="F53" s="96"/>
      <c r="G53" s="96"/>
      <c r="H53" s="96"/>
      <c r="I53" s="96"/>
      <c r="J53" s="96"/>
      <c r="K53" s="96"/>
      <c r="L53" s="96"/>
      <c r="M53" s="96"/>
      <c r="N53" s="96"/>
      <c r="O53" s="96"/>
      <c r="P53" s="96"/>
      <c r="Q53" s="96"/>
    </row>
    <row r="54" spans="1:17" s="94" customFormat="1" x14ac:dyDescent="0.3">
      <c r="A54" s="114"/>
      <c r="B54" s="134" t="s">
        <v>1648</v>
      </c>
      <c r="C54" s="114" t="s">
        <v>1640</v>
      </c>
      <c r="D54" s="103"/>
      <c r="E54" s="97"/>
      <c r="F54" s="97"/>
      <c r="G54" s="97"/>
      <c r="H54" s="97"/>
      <c r="I54" s="97"/>
      <c r="J54" s="97"/>
      <c r="K54" s="97"/>
      <c r="L54" s="97"/>
      <c r="M54" s="97"/>
      <c r="N54" s="97"/>
      <c r="O54" s="97"/>
      <c r="P54" s="97"/>
      <c r="Q54" s="97"/>
    </row>
    <row r="55" spans="1:17" x14ac:dyDescent="0.3">
      <c r="A55" s="113"/>
      <c r="B55" s="74" t="s">
        <v>1403</v>
      </c>
      <c r="C55" s="113" t="s">
        <v>1362</v>
      </c>
      <c r="D55" s="111"/>
      <c r="E55" s="96"/>
      <c r="F55" s="96"/>
      <c r="G55" s="96"/>
      <c r="H55" s="96"/>
      <c r="I55" s="96"/>
      <c r="J55" s="96"/>
      <c r="K55" s="96"/>
      <c r="L55" s="96"/>
      <c r="M55" s="96"/>
      <c r="N55" s="96"/>
      <c r="O55" s="96"/>
      <c r="P55" s="96"/>
      <c r="Q55" s="96"/>
    </row>
    <row r="56" spans="1:17" x14ac:dyDescent="0.3">
      <c r="A56" s="114"/>
      <c r="B56" s="134"/>
      <c r="C56" s="114" t="s">
        <v>1476</v>
      </c>
      <c r="D56" s="103" t="s">
        <v>1560</v>
      </c>
      <c r="E56" s="97"/>
      <c r="F56" s="97"/>
      <c r="G56" s="97"/>
      <c r="H56" s="97"/>
      <c r="I56" s="97"/>
      <c r="J56" s="97"/>
      <c r="K56" s="97"/>
      <c r="L56" s="97"/>
      <c r="M56" s="97"/>
      <c r="N56" s="97"/>
      <c r="O56" s="97"/>
      <c r="P56" s="97"/>
      <c r="Q56" s="97"/>
    </row>
    <row r="57" spans="1:17" x14ac:dyDescent="0.3">
      <c r="A57" s="113"/>
      <c r="B57" s="74" t="s">
        <v>1403</v>
      </c>
      <c r="C57" s="113" t="s">
        <v>1658</v>
      </c>
      <c r="D57" s="107"/>
      <c r="E57" s="96"/>
      <c r="F57" s="96"/>
      <c r="G57" s="96"/>
      <c r="H57" s="96"/>
      <c r="I57" s="96"/>
      <c r="J57" s="96"/>
      <c r="K57" s="96"/>
      <c r="L57" s="96"/>
      <c r="M57" s="96"/>
      <c r="N57" s="96"/>
      <c r="O57" s="96"/>
      <c r="P57" s="96"/>
      <c r="Q57" s="96"/>
    </row>
    <row r="58" spans="1:17" s="94" customFormat="1" x14ac:dyDescent="0.3">
      <c r="A58" s="114"/>
      <c r="B58" s="134" t="s">
        <v>1403</v>
      </c>
      <c r="C58" s="114" t="s">
        <v>1512</v>
      </c>
      <c r="D58" s="119"/>
      <c r="E58" s="97"/>
      <c r="F58" s="97"/>
      <c r="G58" s="97"/>
      <c r="H58" s="97"/>
      <c r="I58" s="97"/>
      <c r="J58" s="97"/>
      <c r="K58" s="97"/>
      <c r="L58" s="97"/>
      <c r="M58" s="97"/>
      <c r="N58" s="97"/>
      <c r="O58" s="97"/>
      <c r="P58" s="97"/>
      <c r="Q58" s="97"/>
    </row>
    <row r="59" spans="1:17" x14ac:dyDescent="0.3">
      <c r="A59" s="113"/>
      <c r="B59" s="74" t="s">
        <v>1403</v>
      </c>
      <c r="C59" s="113" t="s">
        <v>1513</v>
      </c>
      <c r="D59" s="107"/>
      <c r="E59" s="96"/>
      <c r="F59" s="96"/>
      <c r="G59" s="96"/>
      <c r="H59" s="96"/>
      <c r="I59" s="96"/>
      <c r="J59" s="96"/>
      <c r="K59" s="96"/>
      <c r="L59" s="96"/>
      <c r="M59" s="96"/>
      <c r="N59" s="96"/>
      <c r="O59" s="96"/>
      <c r="P59" s="96"/>
      <c r="Q59" s="96"/>
    </row>
    <row r="60" spans="1:17" x14ac:dyDescent="0.3">
      <c r="A60" s="114"/>
      <c r="B60" s="134" t="s">
        <v>1403</v>
      </c>
      <c r="C60" s="114" t="s">
        <v>1382</v>
      </c>
      <c r="D60" s="122"/>
      <c r="E60" s="97"/>
      <c r="F60" s="97"/>
      <c r="G60" s="97"/>
      <c r="H60" s="97"/>
      <c r="I60" s="97"/>
      <c r="J60" s="97"/>
      <c r="K60" s="97"/>
      <c r="L60" s="97"/>
      <c r="M60" s="97"/>
      <c r="N60" s="97"/>
      <c r="O60" s="97"/>
      <c r="P60" s="97"/>
      <c r="Q60" s="97"/>
    </row>
    <row r="61" spans="1:17" x14ac:dyDescent="0.3">
      <c r="A61" s="113"/>
      <c r="B61" s="74" t="s">
        <v>1403</v>
      </c>
      <c r="C61" s="113" t="s">
        <v>1383</v>
      </c>
      <c r="D61" s="102"/>
      <c r="E61" s="96"/>
      <c r="F61" s="96"/>
      <c r="G61" s="96"/>
      <c r="H61" s="96"/>
      <c r="I61" s="96"/>
      <c r="J61" s="96"/>
      <c r="K61" s="96"/>
      <c r="L61" s="96"/>
      <c r="M61" s="96"/>
      <c r="N61" s="96"/>
      <c r="O61" s="96"/>
      <c r="P61" s="96"/>
      <c r="Q61" s="96"/>
    </row>
    <row r="62" spans="1:17" x14ac:dyDescent="0.3">
      <c r="A62" s="114"/>
      <c r="B62" s="134" t="s">
        <v>1403</v>
      </c>
      <c r="C62" s="114" t="s">
        <v>1508</v>
      </c>
      <c r="D62" s="103"/>
      <c r="E62" s="97"/>
      <c r="F62" s="97"/>
      <c r="G62" s="97"/>
      <c r="H62" s="97"/>
      <c r="I62" s="97"/>
      <c r="J62" s="97"/>
      <c r="K62" s="97"/>
      <c r="L62" s="97"/>
      <c r="M62" s="97"/>
      <c r="N62" s="97"/>
      <c r="O62" s="97"/>
      <c r="P62" s="97"/>
      <c r="Q62" s="97"/>
    </row>
    <row r="63" spans="1:17" x14ac:dyDescent="0.3">
      <c r="A63" s="115"/>
      <c r="B63" s="133"/>
      <c r="C63" s="115" t="s">
        <v>1519</v>
      </c>
      <c r="D63" s="105"/>
      <c r="E63" s="98"/>
      <c r="F63" s="98"/>
      <c r="G63" s="98"/>
      <c r="H63" s="98"/>
      <c r="I63" s="98"/>
      <c r="J63" s="98"/>
      <c r="K63" s="98"/>
      <c r="L63" s="98"/>
      <c r="M63" s="98"/>
      <c r="N63" s="98"/>
      <c r="O63" s="98"/>
      <c r="P63" s="98"/>
      <c r="Q63" s="98"/>
    </row>
    <row r="64" spans="1:17" x14ac:dyDescent="0.3">
      <c r="A64" s="113"/>
      <c r="B64" s="74"/>
      <c r="C64" s="113" t="s">
        <v>12</v>
      </c>
      <c r="D64" s="102"/>
      <c r="E64" s="96"/>
      <c r="F64" s="96"/>
      <c r="G64" s="96"/>
      <c r="H64" s="96"/>
      <c r="I64" s="96"/>
      <c r="J64" s="96"/>
      <c r="K64" s="96"/>
      <c r="L64" s="96"/>
      <c r="M64" s="96"/>
      <c r="N64" s="96"/>
      <c r="O64" s="96"/>
      <c r="P64" s="96"/>
      <c r="Q64" s="96"/>
    </row>
    <row r="65" spans="1:17" x14ac:dyDescent="0.3">
      <c r="A65" s="114"/>
      <c r="B65" s="134" t="s">
        <v>1403</v>
      </c>
      <c r="C65" s="114" t="s">
        <v>1350</v>
      </c>
      <c r="D65" s="122"/>
      <c r="E65" s="97"/>
      <c r="F65" s="97"/>
      <c r="G65" s="97"/>
      <c r="H65" s="97"/>
      <c r="I65" s="97"/>
      <c r="J65" s="97"/>
      <c r="K65" s="97"/>
      <c r="L65" s="97"/>
      <c r="M65" s="97"/>
      <c r="N65" s="97"/>
      <c r="O65" s="97"/>
      <c r="P65" s="97"/>
      <c r="Q65" s="97"/>
    </row>
    <row r="66" spans="1:17" x14ac:dyDescent="0.3">
      <c r="A66" s="113"/>
      <c r="B66" s="74" t="s">
        <v>1403</v>
      </c>
      <c r="C66" s="113" t="s">
        <v>1351</v>
      </c>
      <c r="D66" s="111"/>
      <c r="E66" s="96"/>
      <c r="F66" s="96"/>
      <c r="G66" s="96"/>
      <c r="H66" s="96"/>
      <c r="I66" s="96"/>
      <c r="J66" s="96"/>
      <c r="K66" s="96"/>
      <c r="L66" s="96"/>
      <c r="M66" s="96"/>
      <c r="N66" s="96"/>
      <c r="O66" s="96"/>
      <c r="P66" s="96"/>
      <c r="Q66" s="96"/>
    </row>
    <row r="67" spans="1:17" x14ac:dyDescent="0.3">
      <c r="A67" s="114"/>
      <c r="B67" s="134" t="s">
        <v>1403</v>
      </c>
      <c r="C67" s="114" t="s">
        <v>1352</v>
      </c>
      <c r="D67" s="122"/>
      <c r="E67" s="97"/>
      <c r="F67" s="97"/>
      <c r="G67" s="97"/>
      <c r="H67" s="97"/>
      <c r="I67" s="97"/>
      <c r="J67" s="97"/>
      <c r="K67" s="97"/>
      <c r="L67" s="97"/>
      <c r="M67" s="97"/>
      <c r="N67" s="97"/>
      <c r="O67" s="97"/>
      <c r="P67" s="97"/>
      <c r="Q67" s="97"/>
    </row>
    <row r="68" spans="1:17" x14ac:dyDescent="0.3">
      <c r="A68" s="113"/>
      <c r="B68" s="74" t="s">
        <v>1403</v>
      </c>
      <c r="C68" s="113" t="s">
        <v>1381</v>
      </c>
      <c r="D68" s="107"/>
      <c r="E68" s="96"/>
      <c r="F68" s="96"/>
      <c r="G68" s="96"/>
      <c r="H68" s="96"/>
      <c r="I68" s="96"/>
      <c r="J68" s="96"/>
      <c r="K68" s="96"/>
      <c r="L68" s="96"/>
      <c r="M68" s="96"/>
      <c r="N68" s="96"/>
      <c r="O68" s="96"/>
      <c r="P68" s="96"/>
      <c r="Q68" s="96"/>
    </row>
    <row r="69" spans="1:17" x14ac:dyDescent="0.3">
      <c r="A69" s="115"/>
      <c r="B69" s="133"/>
      <c r="C69" s="115" t="s">
        <v>1597</v>
      </c>
      <c r="D69" s="128"/>
      <c r="E69" s="98"/>
      <c r="F69" s="98"/>
      <c r="G69" s="98"/>
      <c r="H69" s="98"/>
      <c r="I69" s="98"/>
      <c r="J69" s="98"/>
      <c r="K69" s="98"/>
      <c r="L69" s="98"/>
      <c r="M69" s="98"/>
      <c r="N69" s="98"/>
      <c r="O69" s="98"/>
      <c r="P69" s="98"/>
      <c r="Q69" s="98"/>
    </row>
    <row r="70" spans="1:17" x14ac:dyDescent="0.3">
      <c r="A70" s="113"/>
      <c r="B70" s="74"/>
      <c r="C70" s="113" t="s">
        <v>1595</v>
      </c>
      <c r="D70" s="107"/>
      <c r="E70" s="96"/>
      <c r="F70" s="96"/>
      <c r="G70" s="96"/>
      <c r="H70" s="96"/>
      <c r="I70" s="96"/>
      <c r="J70" s="96"/>
      <c r="K70" s="96"/>
      <c r="L70" s="96"/>
      <c r="M70" s="96"/>
      <c r="N70" s="96"/>
      <c r="O70" s="96"/>
      <c r="P70" s="96"/>
      <c r="Q70" s="96"/>
    </row>
    <row r="71" spans="1:17" x14ac:dyDescent="0.3">
      <c r="A71" s="114"/>
      <c r="B71" s="134"/>
      <c r="C71" s="114" t="s">
        <v>1596</v>
      </c>
      <c r="D71" s="119"/>
      <c r="E71" s="97"/>
      <c r="F71" s="97"/>
      <c r="G71" s="97"/>
      <c r="H71" s="97"/>
      <c r="I71" s="97"/>
      <c r="J71" s="97"/>
      <c r="K71" s="97"/>
      <c r="L71" s="97"/>
      <c r="M71" s="97"/>
      <c r="N71" s="97"/>
      <c r="O71" s="97"/>
      <c r="P71" s="97"/>
      <c r="Q71" s="97"/>
    </row>
    <row r="72" spans="1:17" s="94" customFormat="1" x14ac:dyDescent="0.3">
      <c r="A72" s="113"/>
      <c r="B72" s="74"/>
      <c r="C72" s="113" t="s">
        <v>1614</v>
      </c>
      <c r="D72" s="107"/>
      <c r="E72" s="96"/>
      <c r="F72" s="96"/>
      <c r="G72" s="96"/>
      <c r="H72" s="96"/>
      <c r="I72" s="96"/>
      <c r="J72" s="96"/>
      <c r="K72" s="96"/>
      <c r="L72" s="96"/>
      <c r="M72" s="96"/>
      <c r="N72" s="96"/>
      <c r="O72" s="96"/>
      <c r="P72" s="96"/>
      <c r="Q72" s="96"/>
    </row>
    <row r="73" spans="1:17" x14ac:dyDescent="0.3">
      <c r="A73" s="115" t="s">
        <v>1520</v>
      </c>
      <c r="B73" s="133"/>
      <c r="C73" s="115" t="s">
        <v>1521</v>
      </c>
      <c r="D73" s="105"/>
      <c r="E73" s="98"/>
      <c r="F73" s="98"/>
      <c r="G73" s="98"/>
      <c r="H73" s="98"/>
      <c r="I73" s="98"/>
      <c r="J73" s="98"/>
      <c r="K73" s="98"/>
      <c r="L73" s="98"/>
      <c r="M73" s="98"/>
      <c r="N73" s="98"/>
      <c r="O73" s="98"/>
      <c r="P73" s="98"/>
      <c r="Q73" s="98"/>
    </row>
    <row r="74" spans="1:17" x14ac:dyDescent="0.3">
      <c r="A74" s="113"/>
      <c r="B74" s="74"/>
      <c r="C74" s="113" t="s">
        <v>291</v>
      </c>
      <c r="D74" s="102"/>
      <c r="E74" s="96"/>
      <c r="F74" s="96"/>
      <c r="G74" s="96"/>
      <c r="H74" s="96"/>
      <c r="I74" s="96"/>
      <c r="J74" s="96"/>
      <c r="K74" s="96"/>
      <c r="L74" s="96"/>
      <c r="M74" s="96"/>
      <c r="N74" s="96"/>
      <c r="O74" s="96"/>
      <c r="P74" s="96"/>
      <c r="Q74" s="96"/>
    </row>
    <row r="75" spans="1:17" x14ac:dyDescent="0.3">
      <c r="A75" s="114"/>
      <c r="B75" s="134"/>
      <c r="C75" s="114" t="s">
        <v>1610</v>
      </c>
      <c r="D75" s="103"/>
      <c r="E75" s="97"/>
      <c r="F75" s="97"/>
      <c r="G75" s="97"/>
      <c r="H75" s="97"/>
      <c r="I75" s="97"/>
      <c r="J75" s="97"/>
      <c r="K75" s="97"/>
      <c r="L75" s="97"/>
      <c r="M75" s="97"/>
      <c r="N75" s="97"/>
      <c r="O75" s="97"/>
      <c r="P75" s="97"/>
      <c r="Q75" s="97"/>
    </row>
    <row r="76" spans="1:17" s="94" customFormat="1" x14ac:dyDescent="0.3">
      <c r="A76" s="113"/>
      <c r="B76" s="74"/>
      <c r="C76" s="113" t="s">
        <v>92</v>
      </c>
      <c r="D76" s="102"/>
      <c r="E76" s="96"/>
      <c r="F76" s="96"/>
      <c r="G76" s="96"/>
      <c r="H76" s="96"/>
      <c r="I76" s="96"/>
      <c r="J76" s="96"/>
      <c r="K76" s="96"/>
      <c r="L76" s="96"/>
      <c r="M76" s="96"/>
      <c r="N76" s="96"/>
      <c r="O76" s="96"/>
      <c r="P76" s="96"/>
      <c r="Q76" s="96"/>
    </row>
    <row r="77" spans="1:17" x14ac:dyDescent="0.3">
      <c r="A77" s="114"/>
      <c r="B77" s="134" t="s">
        <v>1403</v>
      </c>
      <c r="C77" s="114" t="s">
        <v>1659</v>
      </c>
      <c r="D77" s="122"/>
      <c r="E77" s="97"/>
      <c r="F77" s="97"/>
      <c r="G77" s="97"/>
      <c r="H77" s="97"/>
      <c r="I77" s="97"/>
      <c r="J77" s="97"/>
      <c r="K77" s="97"/>
      <c r="L77" s="97"/>
      <c r="M77" s="97"/>
      <c r="N77" s="97"/>
      <c r="O77" s="97"/>
      <c r="P77" s="97"/>
      <c r="Q77" s="97"/>
    </row>
    <row r="78" spans="1:17" s="94" customFormat="1" x14ac:dyDescent="0.3">
      <c r="A78" s="113"/>
      <c r="B78" s="74"/>
      <c r="C78" s="113" t="s">
        <v>1633</v>
      </c>
      <c r="D78" s="102"/>
      <c r="E78" s="96"/>
      <c r="F78" s="96"/>
      <c r="G78" s="96"/>
      <c r="H78" s="96"/>
      <c r="I78" s="96"/>
      <c r="J78" s="96"/>
      <c r="K78" s="96"/>
      <c r="L78" s="96"/>
      <c r="M78" s="96"/>
      <c r="N78" s="96"/>
      <c r="O78" s="96"/>
      <c r="P78" s="96"/>
      <c r="Q78" s="96"/>
    </row>
    <row r="79" spans="1:17" s="94" customFormat="1" x14ac:dyDescent="0.3">
      <c r="A79" s="114"/>
      <c r="B79" s="134" t="s">
        <v>1403</v>
      </c>
      <c r="C79" s="114" t="s">
        <v>1374</v>
      </c>
      <c r="D79" s="103"/>
      <c r="E79" s="97"/>
      <c r="F79" s="97"/>
      <c r="G79" s="97"/>
      <c r="H79" s="97"/>
      <c r="I79" s="97"/>
      <c r="J79" s="97"/>
      <c r="K79" s="97"/>
      <c r="L79" s="97"/>
      <c r="M79" s="97"/>
      <c r="N79" s="97"/>
      <c r="O79" s="97"/>
      <c r="P79" s="97"/>
      <c r="Q79" s="97"/>
    </row>
    <row r="80" spans="1:17" x14ac:dyDescent="0.3">
      <c r="A80" s="115"/>
      <c r="B80" s="133"/>
      <c r="C80" s="115" t="s">
        <v>1522</v>
      </c>
      <c r="D80" s="105"/>
      <c r="E80" s="98"/>
      <c r="F80" s="98"/>
      <c r="G80" s="98"/>
      <c r="H80" s="98"/>
      <c r="I80" s="98"/>
      <c r="J80" s="98"/>
      <c r="K80" s="98"/>
      <c r="L80" s="98"/>
      <c r="M80" s="98"/>
      <c r="N80" s="98"/>
      <c r="O80" s="98"/>
      <c r="P80" s="98"/>
      <c r="Q80" s="98"/>
    </row>
    <row r="81" spans="1:17" x14ac:dyDescent="0.3">
      <c r="A81" s="113"/>
      <c r="B81" s="74" t="s">
        <v>1403</v>
      </c>
      <c r="C81" s="113" t="s">
        <v>1339</v>
      </c>
      <c r="D81" s="111">
        <v>160</v>
      </c>
      <c r="E81" s="96"/>
      <c r="F81" s="96"/>
      <c r="G81" s="96"/>
      <c r="H81" s="96"/>
      <c r="I81" s="96"/>
      <c r="J81" s="96"/>
      <c r="K81" s="96"/>
      <c r="L81" s="96"/>
      <c r="M81" s="96"/>
      <c r="N81" s="96"/>
      <c r="O81" s="96"/>
      <c r="P81" s="96"/>
      <c r="Q81" s="96"/>
    </row>
    <row r="82" spans="1:17" x14ac:dyDescent="0.3">
      <c r="A82" s="114"/>
      <c r="B82" s="134" t="s">
        <v>1403</v>
      </c>
      <c r="C82" s="114" t="s">
        <v>1340</v>
      </c>
      <c r="D82" s="122">
        <v>160</v>
      </c>
      <c r="E82" s="97"/>
      <c r="F82" s="97"/>
      <c r="G82" s="97"/>
      <c r="H82" s="97"/>
      <c r="I82" s="97"/>
      <c r="J82" s="97"/>
      <c r="K82" s="97"/>
      <c r="L82" s="97"/>
      <c r="M82" s="97"/>
      <c r="N82" s="97"/>
      <c r="O82" s="97"/>
      <c r="P82" s="97"/>
      <c r="Q82" s="97"/>
    </row>
    <row r="83" spans="1:17" x14ac:dyDescent="0.3">
      <c r="A83" s="113"/>
      <c r="B83" s="74" t="s">
        <v>1403</v>
      </c>
      <c r="C83" s="113" t="s">
        <v>1341</v>
      </c>
      <c r="D83" s="111">
        <v>4</v>
      </c>
      <c r="E83" s="96"/>
      <c r="F83" s="96"/>
      <c r="G83" s="96"/>
      <c r="H83" s="96"/>
      <c r="I83" s="96"/>
      <c r="J83" s="96"/>
      <c r="K83" s="96"/>
      <c r="L83" s="96"/>
      <c r="M83" s="96"/>
      <c r="N83" s="96"/>
      <c r="O83" s="96"/>
      <c r="P83" s="96"/>
      <c r="Q83" s="96"/>
    </row>
    <row r="84" spans="1:17" x14ac:dyDescent="0.3">
      <c r="A84" s="114"/>
      <c r="B84" s="134" t="s">
        <v>1403</v>
      </c>
      <c r="C84" s="114" t="s">
        <v>1342</v>
      </c>
      <c r="D84" s="122"/>
      <c r="E84" s="97"/>
      <c r="F84" s="97"/>
      <c r="G84" s="97"/>
      <c r="H84" s="97"/>
      <c r="I84" s="97"/>
      <c r="J84" s="97"/>
      <c r="K84" s="97"/>
      <c r="L84" s="97"/>
      <c r="M84" s="97"/>
      <c r="N84" s="97"/>
      <c r="O84" s="97"/>
      <c r="P84" s="97"/>
      <c r="Q84" s="97"/>
    </row>
    <row r="85" spans="1:17" x14ac:dyDescent="0.3">
      <c r="A85" s="113"/>
      <c r="B85" s="74" t="s">
        <v>1403</v>
      </c>
      <c r="C85" s="113" t="s">
        <v>1400</v>
      </c>
      <c r="D85" s="111"/>
      <c r="E85" s="96"/>
      <c r="F85" s="96"/>
      <c r="G85" s="96"/>
      <c r="H85" s="96"/>
      <c r="I85" s="96"/>
      <c r="J85" s="96"/>
      <c r="K85" s="96"/>
      <c r="L85" s="96"/>
      <c r="M85" s="96"/>
      <c r="N85" s="96"/>
      <c r="O85" s="96"/>
      <c r="P85" s="96"/>
      <c r="Q85" s="96"/>
    </row>
    <row r="86" spans="1:17" x14ac:dyDescent="0.3">
      <c r="A86" s="114"/>
      <c r="B86" s="134" t="s">
        <v>1613</v>
      </c>
      <c r="C86" s="114" t="s">
        <v>91</v>
      </c>
      <c r="D86" s="103"/>
      <c r="E86" s="97"/>
      <c r="F86" s="97"/>
      <c r="G86" s="97"/>
      <c r="H86" s="97"/>
      <c r="I86" s="97"/>
      <c r="J86" s="97"/>
      <c r="K86" s="97"/>
      <c r="L86" s="97"/>
      <c r="M86" s="97"/>
      <c r="N86" s="97"/>
      <c r="O86" s="97"/>
      <c r="P86" s="97"/>
      <c r="Q86" s="97"/>
    </row>
    <row r="87" spans="1:17" x14ac:dyDescent="0.3">
      <c r="A87" s="113"/>
      <c r="B87" s="74" t="s">
        <v>1403</v>
      </c>
      <c r="C87" s="113" t="s">
        <v>1361</v>
      </c>
      <c r="D87" s="111">
        <v>-0.1</v>
      </c>
      <c r="E87" s="96"/>
      <c r="F87" s="96"/>
      <c r="G87" s="96"/>
      <c r="H87" s="96"/>
      <c r="I87" s="96"/>
      <c r="J87" s="96"/>
      <c r="K87" s="96"/>
      <c r="L87" s="96"/>
      <c r="M87" s="96"/>
      <c r="N87" s="96"/>
      <c r="O87" s="96"/>
      <c r="P87" s="96"/>
      <c r="Q87" s="96"/>
    </row>
    <row r="88" spans="1:17" x14ac:dyDescent="0.3">
      <c r="A88" s="114"/>
      <c r="B88" s="134" t="s">
        <v>1403</v>
      </c>
      <c r="C88" s="114" t="s">
        <v>1660</v>
      </c>
      <c r="D88" s="103"/>
      <c r="E88" s="97"/>
      <c r="F88" s="97"/>
      <c r="G88" s="97"/>
      <c r="H88" s="97"/>
      <c r="I88" s="97"/>
      <c r="J88" s="97"/>
      <c r="K88" s="97"/>
      <c r="L88" s="97"/>
      <c r="M88" s="97"/>
      <c r="N88" s="97"/>
      <c r="O88" s="97"/>
      <c r="P88" s="97"/>
      <c r="Q88" s="97"/>
    </row>
    <row r="89" spans="1:17" s="94" customFormat="1" x14ac:dyDescent="0.3">
      <c r="A89" s="113"/>
      <c r="B89" s="74" t="s">
        <v>1403</v>
      </c>
      <c r="C89" s="113" t="s">
        <v>1364</v>
      </c>
      <c r="D89" s="102">
        <v>-0.05</v>
      </c>
      <c r="E89" s="96"/>
      <c r="F89" s="96"/>
      <c r="G89" s="96"/>
      <c r="H89" s="96"/>
      <c r="I89" s="96"/>
      <c r="J89" s="96"/>
      <c r="K89" s="96"/>
      <c r="L89" s="96"/>
      <c r="M89" s="96"/>
      <c r="N89" s="96"/>
      <c r="O89" s="96"/>
      <c r="P89" s="96"/>
      <c r="Q89" s="96"/>
    </row>
    <row r="90" spans="1:17" x14ac:dyDescent="0.3">
      <c r="A90" s="114"/>
      <c r="B90" s="134" t="s">
        <v>1403</v>
      </c>
      <c r="C90" s="114" t="s">
        <v>1496</v>
      </c>
      <c r="D90" s="103"/>
      <c r="E90" s="97"/>
      <c r="F90" s="97"/>
      <c r="G90" s="97"/>
      <c r="H90" s="97"/>
      <c r="I90" s="97"/>
      <c r="J90" s="97"/>
      <c r="K90" s="97"/>
      <c r="L90" s="97"/>
      <c r="M90" s="97"/>
      <c r="N90" s="97"/>
      <c r="O90" s="97"/>
      <c r="P90" s="97"/>
      <c r="Q90" s="97"/>
    </row>
    <row r="91" spans="1:17" x14ac:dyDescent="0.3">
      <c r="A91" s="113"/>
      <c r="B91" s="74" t="s">
        <v>1403</v>
      </c>
      <c r="C91" s="113" t="s">
        <v>1365</v>
      </c>
      <c r="D91" s="111"/>
      <c r="E91" s="96"/>
      <c r="F91" s="96"/>
      <c r="G91" s="96"/>
      <c r="H91" s="96"/>
      <c r="I91" s="96"/>
      <c r="J91" s="96"/>
      <c r="K91" s="96"/>
      <c r="L91" s="96"/>
      <c r="M91" s="96"/>
      <c r="N91" s="96"/>
      <c r="O91" s="96"/>
      <c r="P91" s="96"/>
      <c r="Q91" s="96"/>
    </row>
    <row r="92" spans="1:17" x14ac:dyDescent="0.3">
      <c r="A92" s="114"/>
      <c r="B92" s="134" t="s">
        <v>1403</v>
      </c>
      <c r="C92" s="114" t="s">
        <v>1661</v>
      </c>
      <c r="D92" s="103"/>
      <c r="E92" s="97"/>
      <c r="F92" s="97"/>
      <c r="G92" s="97"/>
      <c r="H92" s="97"/>
      <c r="I92" s="97"/>
      <c r="J92" s="97"/>
      <c r="K92" s="97"/>
      <c r="L92" s="97"/>
      <c r="M92" s="97"/>
      <c r="N92" s="97"/>
      <c r="O92" s="97"/>
      <c r="P92" s="97"/>
      <c r="Q92" s="97"/>
    </row>
    <row r="93" spans="1:17" s="94" customFormat="1" x14ac:dyDescent="0.3">
      <c r="A93" s="113"/>
      <c r="B93" s="74" t="s">
        <v>1403</v>
      </c>
      <c r="C93" s="113" t="s">
        <v>1497</v>
      </c>
      <c r="D93" s="102"/>
      <c r="E93" s="96"/>
      <c r="F93" s="96"/>
      <c r="G93" s="96"/>
      <c r="H93" s="96"/>
      <c r="I93" s="96"/>
      <c r="J93" s="96"/>
      <c r="K93" s="96"/>
      <c r="L93" s="96"/>
      <c r="M93" s="96"/>
      <c r="N93" s="96"/>
      <c r="O93" s="96"/>
      <c r="P93" s="96"/>
      <c r="Q93" s="96"/>
    </row>
    <row r="94" spans="1:17" x14ac:dyDescent="0.3">
      <c r="A94" s="115"/>
      <c r="B94" s="133"/>
      <c r="C94" s="115" t="s">
        <v>410</v>
      </c>
      <c r="D94" s="105"/>
      <c r="E94" s="98"/>
      <c r="F94" s="98"/>
      <c r="G94" s="98"/>
      <c r="H94" s="98"/>
      <c r="I94" s="98"/>
      <c r="J94" s="98"/>
      <c r="K94" s="98"/>
      <c r="L94" s="98"/>
      <c r="M94" s="98"/>
      <c r="N94" s="98"/>
      <c r="O94" s="98"/>
      <c r="P94" s="98"/>
      <c r="Q94" s="98"/>
    </row>
    <row r="95" spans="1:17" x14ac:dyDescent="0.3">
      <c r="A95" s="113"/>
      <c r="B95" s="74"/>
      <c r="C95" s="113" t="s">
        <v>89</v>
      </c>
      <c r="D95" s="102"/>
      <c r="E95" s="96"/>
      <c r="F95" s="96"/>
      <c r="G95" s="96"/>
      <c r="H95" s="96"/>
      <c r="I95" s="96"/>
      <c r="J95" s="96"/>
      <c r="K95" s="96"/>
      <c r="L95" s="96"/>
      <c r="M95" s="96"/>
      <c r="N95" s="96"/>
      <c r="O95" s="96"/>
      <c r="P95" s="96"/>
      <c r="Q95" s="96"/>
    </row>
    <row r="96" spans="1:17" x14ac:dyDescent="0.3">
      <c r="A96" s="114"/>
      <c r="B96" s="134" t="s">
        <v>1403</v>
      </c>
      <c r="C96" s="114" t="s">
        <v>1327</v>
      </c>
      <c r="D96" s="122"/>
      <c r="E96" s="97"/>
      <c r="F96" s="97"/>
      <c r="G96" s="97"/>
      <c r="H96" s="97"/>
      <c r="I96" s="97"/>
      <c r="J96" s="97"/>
      <c r="K96" s="97"/>
      <c r="L96" s="97"/>
      <c r="M96" s="97"/>
      <c r="N96" s="97"/>
      <c r="O96" s="97"/>
      <c r="P96" s="97"/>
      <c r="Q96" s="97"/>
    </row>
    <row r="97" spans="1:17" x14ac:dyDescent="0.3">
      <c r="A97" s="113"/>
      <c r="B97" s="74"/>
      <c r="C97" s="113" t="s">
        <v>90</v>
      </c>
      <c r="D97" s="102">
        <v>0.2</v>
      </c>
      <c r="E97" s="96"/>
      <c r="F97" s="96"/>
      <c r="G97" s="96"/>
      <c r="H97" s="96"/>
      <c r="I97" s="96"/>
      <c r="J97" s="96"/>
      <c r="K97" s="96"/>
      <c r="L97" s="96"/>
      <c r="M97" s="96"/>
      <c r="N97" s="96"/>
      <c r="O97" s="96"/>
      <c r="P97" s="96"/>
      <c r="Q97" s="96"/>
    </row>
    <row r="98" spans="1:17" x14ac:dyDescent="0.3">
      <c r="A98" s="115" t="s">
        <v>218</v>
      </c>
      <c r="B98" s="133"/>
      <c r="C98" s="115" t="s">
        <v>392</v>
      </c>
      <c r="D98" s="105"/>
      <c r="E98" s="98"/>
      <c r="F98" s="98"/>
      <c r="G98" s="98"/>
      <c r="H98" s="98"/>
      <c r="I98" s="98"/>
      <c r="J98" s="98"/>
      <c r="K98" s="98"/>
      <c r="L98" s="98"/>
      <c r="M98" s="98"/>
      <c r="N98" s="98"/>
      <c r="O98" s="98"/>
      <c r="P98" s="98"/>
      <c r="Q98" s="98"/>
    </row>
    <row r="99" spans="1:17" x14ac:dyDescent="0.3">
      <c r="A99" s="113"/>
      <c r="B99" s="74"/>
      <c r="C99" s="113" t="s">
        <v>13</v>
      </c>
      <c r="D99" s="107" t="str">
        <f>GetMiscSpec($C99)</f>
        <v>15%</v>
      </c>
      <c r="E99" s="110"/>
      <c r="F99" s="110"/>
      <c r="G99" s="110"/>
      <c r="H99" s="110"/>
      <c r="I99" s="110"/>
      <c r="J99" s="110"/>
      <c r="K99" s="110"/>
      <c r="L99" s="110"/>
      <c r="M99" s="110"/>
      <c r="N99" s="110"/>
      <c r="O99" s="110"/>
      <c r="P99" s="96"/>
      <c r="Q99" s="96"/>
    </row>
    <row r="100" spans="1:17" x14ac:dyDescent="0.3">
      <c r="A100" s="114"/>
      <c r="B100" s="134"/>
      <c r="C100" s="114" t="s">
        <v>14</v>
      </c>
      <c r="D100" s="103" t="s">
        <v>15</v>
      </c>
      <c r="E100" s="97"/>
      <c r="F100" s="97"/>
      <c r="G100" s="97"/>
      <c r="H100" s="97"/>
      <c r="I100" s="97"/>
      <c r="J100" s="97"/>
      <c r="K100" s="97"/>
      <c r="L100" s="97"/>
      <c r="M100" s="97"/>
      <c r="N100" s="97"/>
      <c r="O100" s="97"/>
      <c r="P100" s="97" t="s">
        <v>1295</v>
      </c>
      <c r="Q100" s="97"/>
    </row>
    <row r="101" spans="1:17" x14ac:dyDescent="0.3">
      <c r="A101" s="113"/>
      <c r="B101" s="74" t="s">
        <v>1403</v>
      </c>
      <c r="C101" s="113" t="s">
        <v>1498</v>
      </c>
      <c r="D101" s="102"/>
      <c r="E101" s="96"/>
      <c r="F101" s="96"/>
      <c r="G101" s="96"/>
      <c r="H101" s="96"/>
      <c r="I101" s="96"/>
      <c r="J101" s="96"/>
      <c r="K101" s="96"/>
      <c r="L101" s="96"/>
      <c r="M101" s="96"/>
      <c r="N101" s="96"/>
      <c r="O101" s="96"/>
      <c r="P101" s="96"/>
      <c r="Q101" s="96"/>
    </row>
    <row r="102" spans="1:17" x14ac:dyDescent="0.3">
      <c r="A102" s="114"/>
      <c r="B102" s="134"/>
      <c r="C102" s="114" t="s">
        <v>1479</v>
      </c>
      <c r="D102" s="122"/>
      <c r="E102" s="97"/>
      <c r="F102" s="97"/>
      <c r="G102" s="97"/>
      <c r="H102" s="97"/>
      <c r="I102" s="97"/>
      <c r="J102" s="97"/>
      <c r="K102" s="97"/>
      <c r="L102" s="97"/>
      <c r="M102" s="97"/>
      <c r="N102" s="97"/>
      <c r="O102" s="97"/>
      <c r="P102" s="97" t="s">
        <v>230</v>
      </c>
      <c r="Q102" s="97"/>
    </row>
    <row r="103" spans="1:17" x14ac:dyDescent="0.3">
      <c r="A103" s="113"/>
      <c r="B103" s="74"/>
      <c r="C103" s="113" t="s">
        <v>1480</v>
      </c>
      <c r="D103" s="102"/>
      <c r="E103" s="96"/>
      <c r="F103" s="96"/>
      <c r="G103" s="96"/>
      <c r="H103" s="96"/>
      <c r="I103" s="96"/>
      <c r="J103" s="96"/>
      <c r="K103" s="96"/>
      <c r="L103" s="96"/>
      <c r="M103" s="96"/>
      <c r="N103" s="96"/>
      <c r="O103" s="96"/>
      <c r="P103" s="96" t="s">
        <v>230</v>
      </c>
      <c r="Q103" s="96"/>
    </row>
    <row r="104" spans="1:17" x14ac:dyDescent="0.3">
      <c r="A104" s="114"/>
      <c r="B104" s="134" t="s">
        <v>1403</v>
      </c>
      <c r="C104" s="114" t="s">
        <v>1662</v>
      </c>
      <c r="D104" s="103" t="s">
        <v>1701</v>
      </c>
      <c r="E104" s="97"/>
      <c r="F104" s="97"/>
      <c r="G104" s="97"/>
      <c r="H104" s="97"/>
      <c r="I104" s="97"/>
      <c r="J104" s="97"/>
      <c r="K104" s="97"/>
      <c r="L104" s="97"/>
      <c r="M104" s="97"/>
      <c r="N104" s="97"/>
      <c r="O104" s="97"/>
      <c r="P104" s="97"/>
      <c r="Q104" s="97"/>
    </row>
    <row r="105" spans="1:17" s="94" customFormat="1" x14ac:dyDescent="0.3">
      <c r="A105" s="113"/>
      <c r="B105" s="74" t="s">
        <v>1403</v>
      </c>
      <c r="C105" s="113" t="s">
        <v>1500</v>
      </c>
      <c r="D105" s="102"/>
      <c r="E105" s="96"/>
      <c r="F105" s="96"/>
      <c r="G105" s="96"/>
      <c r="H105" s="96"/>
      <c r="I105" s="96"/>
      <c r="J105" s="96"/>
      <c r="K105" s="96"/>
      <c r="L105" s="96"/>
      <c r="M105" s="96"/>
      <c r="N105" s="96"/>
      <c r="O105" s="96"/>
      <c r="P105" s="96"/>
      <c r="Q105" s="96"/>
    </row>
    <row r="106" spans="1:17" x14ac:dyDescent="0.3">
      <c r="A106" s="114"/>
      <c r="B106" s="134"/>
      <c r="C106" s="114" t="s">
        <v>344</v>
      </c>
      <c r="D106" s="103" t="str">
        <f>IF(SLICER_ID="super","monotonicgapfill","monotonic")</f>
        <v>monotonic</v>
      </c>
      <c r="E106" s="97"/>
      <c r="F106" s="97"/>
      <c r="G106" s="97"/>
      <c r="H106" s="97"/>
      <c r="I106" s="97"/>
      <c r="J106" s="97"/>
      <c r="K106" s="97"/>
      <c r="L106" s="97"/>
      <c r="M106" s="97"/>
      <c r="N106" s="97"/>
      <c r="O106" s="97"/>
      <c r="P106" s="97" t="s">
        <v>230</v>
      </c>
      <c r="Q106" s="97"/>
    </row>
    <row r="107" spans="1:17" x14ac:dyDescent="0.3">
      <c r="A107" s="113"/>
      <c r="B107" s="74" t="s">
        <v>1403</v>
      </c>
      <c r="C107" s="113" t="s">
        <v>1499</v>
      </c>
      <c r="D107" s="102"/>
      <c r="E107" s="96"/>
      <c r="F107" s="96"/>
      <c r="G107" s="96"/>
      <c r="H107" s="96"/>
      <c r="I107" s="96"/>
      <c r="J107" s="96"/>
      <c r="K107" s="96"/>
      <c r="L107" s="96"/>
      <c r="M107" s="96"/>
      <c r="N107" s="96"/>
      <c r="O107" s="96"/>
      <c r="P107" s="96"/>
      <c r="Q107" s="96"/>
    </row>
    <row r="108" spans="1:17" x14ac:dyDescent="0.3">
      <c r="A108" s="114"/>
      <c r="B108" s="134"/>
      <c r="C108" s="114" t="s">
        <v>345</v>
      </c>
      <c r="D108" s="103" t="s">
        <v>1591</v>
      </c>
      <c r="E108" s="97"/>
      <c r="F108" s="97"/>
      <c r="G108" s="97"/>
      <c r="H108" s="97"/>
      <c r="I108" s="97"/>
      <c r="J108" s="97"/>
      <c r="K108" s="97"/>
      <c r="L108" s="97"/>
      <c r="M108" s="97"/>
      <c r="N108" s="97"/>
      <c r="O108" s="97"/>
      <c r="P108" s="97" t="s">
        <v>230</v>
      </c>
      <c r="Q108" s="97"/>
    </row>
    <row r="109" spans="1:17" x14ac:dyDescent="0.3">
      <c r="A109" s="113"/>
      <c r="B109" s="74" t="s">
        <v>1403</v>
      </c>
      <c r="C109" s="113" t="s">
        <v>1501</v>
      </c>
      <c r="D109" s="102"/>
      <c r="E109" s="96"/>
      <c r="F109" s="96"/>
      <c r="G109" s="96"/>
      <c r="H109" s="96"/>
      <c r="I109" s="96"/>
      <c r="J109" s="96"/>
      <c r="K109" s="96"/>
      <c r="L109" s="96"/>
      <c r="M109" s="96"/>
      <c r="N109" s="96"/>
      <c r="O109" s="96"/>
      <c r="P109" s="96"/>
      <c r="Q109" s="96"/>
    </row>
    <row r="110" spans="1:17" s="94" customFormat="1" x14ac:dyDescent="0.3">
      <c r="A110" s="114"/>
      <c r="B110" s="134" t="s">
        <v>1403</v>
      </c>
      <c r="C110" s="114" t="s">
        <v>1692</v>
      </c>
      <c r="D110" s="103"/>
      <c r="E110" s="97"/>
      <c r="F110" s="97"/>
      <c r="G110" s="97"/>
      <c r="H110" s="97"/>
      <c r="I110" s="97"/>
      <c r="J110" s="97"/>
      <c r="K110" s="97"/>
      <c r="L110" s="97"/>
      <c r="M110" s="97"/>
      <c r="N110" s="97"/>
      <c r="O110" s="97"/>
      <c r="P110" s="97"/>
      <c r="Q110" s="97"/>
    </row>
    <row r="111" spans="1:17" s="94" customFormat="1" x14ac:dyDescent="0.3">
      <c r="A111" s="113"/>
      <c r="B111" s="74" t="s">
        <v>1403</v>
      </c>
      <c r="C111" s="113" t="s">
        <v>1693</v>
      </c>
      <c r="D111" s="102"/>
      <c r="E111" s="96"/>
      <c r="F111" s="96"/>
      <c r="G111" s="96"/>
      <c r="H111" s="96"/>
      <c r="I111" s="96"/>
      <c r="J111" s="96"/>
      <c r="K111" s="96"/>
      <c r="L111" s="96"/>
      <c r="M111" s="96"/>
      <c r="N111" s="96"/>
      <c r="O111" s="96"/>
      <c r="P111" s="96"/>
      <c r="Q111" s="96"/>
    </row>
    <row r="112" spans="1:17" x14ac:dyDescent="0.3">
      <c r="A112" s="115"/>
      <c r="B112" s="133"/>
      <c r="C112" s="115" t="s">
        <v>393</v>
      </c>
      <c r="D112" s="105"/>
      <c r="E112" s="98"/>
      <c r="F112" s="98"/>
      <c r="G112" s="98"/>
      <c r="H112" s="98"/>
      <c r="I112" s="98"/>
      <c r="J112" s="98"/>
      <c r="K112" s="98"/>
      <c r="L112" s="98"/>
      <c r="M112" s="98"/>
      <c r="N112" s="98"/>
      <c r="O112" s="98"/>
      <c r="P112" s="98" t="s">
        <v>231</v>
      </c>
      <c r="Q112" s="98"/>
    </row>
    <row r="113" spans="1:17" x14ac:dyDescent="0.3">
      <c r="A113" s="113"/>
      <c r="B113" s="74"/>
      <c r="C113" s="113" t="s">
        <v>16</v>
      </c>
      <c r="D113" s="102"/>
      <c r="E113" s="96"/>
      <c r="F113" s="96"/>
      <c r="G113" s="96"/>
      <c r="H113" s="96"/>
      <c r="I113" s="96"/>
      <c r="J113" s="96"/>
      <c r="K113" s="96"/>
      <c r="L113" s="96"/>
      <c r="M113" s="96"/>
      <c r="N113" s="96"/>
      <c r="O113" s="96"/>
      <c r="P113" s="96" t="s">
        <v>232</v>
      </c>
      <c r="Q113" s="96"/>
    </row>
    <row r="114" spans="1:17" x14ac:dyDescent="0.3">
      <c r="A114" s="114"/>
      <c r="B114" s="134"/>
      <c r="C114" s="114" t="s">
        <v>17</v>
      </c>
      <c r="D114" s="103"/>
      <c r="E114" s="97"/>
      <c r="F114" s="97"/>
      <c r="G114" s="97"/>
      <c r="H114" s="97"/>
      <c r="I114" s="97"/>
      <c r="J114" s="97"/>
      <c r="K114" s="97"/>
      <c r="L114" s="97"/>
      <c r="M114" s="97"/>
      <c r="N114" s="97"/>
      <c r="O114" s="97"/>
      <c r="P114" s="97"/>
      <c r="Q114" s="97"/>
    </row>
    <row r="115" spans="1:17" x14ac:dyDescent="0.3">
      <c r="A115" s="113"/>
      <c r="B115" s="74" t="s">
        <v>1403</v>
      </c>
      <c r="C115" s="113" t="s">
        <v>1366</v>
      </c>
      <c r="D115" s="111">
        <v>1</v>
      </c>
      <c r="E115" s="96"/>
      <c r="F115" s="96"/>
      <c r="G115" s="96"/>
      <c r="H115" s="96"/>
      <c r="I115" s="96"/>
      <c r="J115" s="96"/>
      <c r="K115" s="96"/>
      <c r="L115" s="96"/>
      <c r="M115" s="96"/>
      <c r="N115" s="96"/>
      <c r="O115" s="96"/>
      <c r="P115" s="96"/>
      <c r="Q115" s="96"/>
    </row>
    <row r="116" spans="1:17" x14ac:dyDescent="0.3">
      <c r="A116" s="114"/>
      <c r="B116" s="134" t="s">
        <v>1403</v>
      </c>
      <c r="C116" s="114" t="s">
        <v>1367</v>
      </c>
      <c r="D116" s="123" t="s">
        <v>1443</v>
      </c>
      <c r="E116" s="97"/>
      <c r="F116" s="97"/>
      <c r="G116" s="97"/>
      <c r="H116" s="97"/>
      <c r="I116" s="97"/>
      <c r="J116" s="97"/>
      <c r="K116" s="97"/>
      <c r="L116" s="97"/>
      <c r="M116" s="97"/>
      <c r="N116" s="97"/>
      <c r="O116" s="97"/>
      <c r="P116" s="97"/>
      <c r="Q116" s="97"/>
    </row>
    <row r="117" spans="1:17" x14ac:dyDescent="0.3">
      <c r="A117" s="115"/>
      <c r="B117" s="133"/>
      <c r="C117" s="115" t="s">
        <v>366</v>
      </c>
      <c r="D117" s="105"/>
      <c r="E117" s="98"/>
      <c r="F117" s="98"/>
      <c r="G117" s="98"/>
      <c r="H117" s="98"/>
      <c r="I117" s="98"/>
      <c r="J117" s="98"/>
      <c r="K117" s="98"/>
      <c r="L117" s="98"/>
      <c r="M117" s="98"/>
      <c r="N117" s="98"/>
      <c r="O117" s="98"/>
      <c r="P117" s="98"/>
      <c r="Q117" s="98"/>
    </row>
    <row r="118" spans="1:17" x14ac:dyDescent="0.3">
      <c r="A118" s="113"/>
      <c r="B118" s="74"/>
      <c r="C118" s="113" t="s">
        <v>18</v>
      </c>
      <c r="D118" s="102"/>
      <c r="E118" s="96"/>
      <c r="F118" s="96"/>
      <c r="G118" s="96"/>
      <c r="H118" s="96"/>
      <c r="I118" s="96"/>
      <c r="J118" s="96"/>
      <c r="K118" s="96"/>
      <c r="L118" s="96"/>
      <c r="M118" s="96"/>
      <c r="N118" s="96"/>
      <c r="O118" s="96"/>
      <c r="P118" s="96"/>
      <c r="Q118" s="96"/>
    </row>
    <row r="119" spans="1:17" x14ac:dyDescent="0.3">
      <c r="A119" s="114"/>
      <c r="B119" s="134"/>
      <c r="C119" s="114" t="s">
        <v>19</v>
      </c>
      <c r="D119" s="103"/>
      <c r="E119" s="97"/>
      <c r="F119" s="97"/>
      <c r="G119" s="97"/>
      <c r="H119" s="97"/>
      <c r="I119" s="97"/>
      <c r="J119" s="97"/>
      <c r="K119" s="97"/>
      <c r="L119" s="97"/>
      <c r="M119" s="97"/>
      <c r="N119" s="97"/>
      <c r="O119" s="97"/>
      <c r="P119" s="97"/>
      <c r="Q119" s="97"/>
    </row>
    <row r="120" spans="1:17" x14ac:dyDescent="0.3">
      <c r="A120" s="113"/>
      <c r="B120" s="74"/>
      <c r="C120" s="113" t="s">
        <v>20</v>
      </c>
      <c r="D120" s="102"/>
      <c r="E120" s="96"/>
      <c r="F120" s="96"/>
      <c r="G120" s="96"/>
      <c r="H120" s="96"/>
      <c r="I120" s="96"/>
      <c r="J120" s="96"/>
      <c r="K120" s="96"/>
      <c r="L120" s="96"/>
      <c r="M120" s="96"/>
      <c r="N120" s="96"/>
      <c r="O120" s="96"/>
      <c r="P120" s="96" t="s">
        <v>233</v>
      </c>
      <c r="Q120" s="96"/>
    </row>
    <row r="121" spans="1:17" x14ac:dyDescent="0.3">
      <c r="A121" s="114"/>
      <c r="B121" s="134"/>
      <c r="C121" s="114" t="s">
        <v>21</v>
      </c>
      <c r="D121" s="103"/>
      <c r="E121" s="97"/>
      <c r="F121" s="97"/>
      <c r="G121" s="97"/>
      <c r="H121" s="97"/>
      <c r="I121" s="97"/>
      <c r="J121" s="97"/>
      <c r="K121" s="97"/>
      <c r="L121" s="97"/>
      <c r="M121" s="97"/>
      <c r="N121" s="97"/>
      <c r="O121" s="97"/>
      <c r="P121" s="97"/>
      <c r="Q121" s="97"/>
    </row>
    <row r="122" spans="1:17" x14ac:dyDescent="0.3">
      <c r="A122" s="113"/>
      <c r="B122" s="74" t="s">
        <v>1403</v>
      </c>
      <c r="C122" s="113" t="s">
        <v>1355</v>
      </c>
      <c r="D122" s="111"/>
      <c r="E122" s="96"/>
      <c r="F122" s="96"/>
      <c r="G122" s="96"/>
      <c r="H122" s="96"/>
      <c r="I122" s="96"/>
      <c r="J122" s="96"/>
      <c r="K122" s="96"/>
      <c r="L122" s="96"/>
      <c r="M122" s="96"/>
      <c r="N122" s="96"/>
      <c r="O122" s="96"/>
      <c r="P122" s="96"/>
      <c r="Q122" s="96"/>
    </row>
    <row r="123" spans="1:17" x14ac:dyDescent="0.3">
      <c r="A123" s="114"/>
      <c r="B123" s="134" t="s">
        <v>1403</v>
      </c>
      <c r="C123" s="114" t="s">
        <v>1347</v>
      </c>
      <c r="D123" s="119"/>
      <c r="E123" s="97"/>
      <c r="F123" s="97"/>
      <c r="G123" s="97"/>
      <c r="H123" s="97"/>
      <c r="I123" s="97"/>
      <c r="J123" s="97"/>
      <c r="K123" s="97"/>
      <c r="L123" s="97"/>
      <c r="M123" s="97"/>
      <c r="N123" s="97"/>
      <c r="O123" s="97"/>
      <c r="P123" s="97"/>
      <c r="Q123" s="97"/>
    </row>
    <row r="124" spans="1:17" x14ac:dyDescent="0.3">
      <c r="A124" s="113"/>
      <c r="B124" s="74" t="s">
        <v>1403</v>
      </c>
      <c r="C124" s="113" t="s">
        <v>1330</v>
      </c>
      <c r="D124" s="107"/>
      <c r="E124" s="96"/>
      <c r="F124" s="96"/>
      <c r="G124" s="96"/>
      <c r="H124" s="96"/>
      <c r="I124" s="96"/>
      <c r="J124" s="96"/>
      <c r="K124" s="96"/>
      <c r="L124" s="96"/>
      <c r="M124" s="96"/>
      <c r="N124" s="96"/>
      <c r="O124" s="96"/>
      <c r="P124" s="96"/>
      <c r="Q124" s="96"/>
    </row>
    <row r="125" spans="1:17" x14ac:dyDescent="0.3">
      <c r="A125" s="114"/>
      <c r="B125" s="134"/>
      <c r="C125" s="114" t="s">
        <v>22</v>
      </c>
      <c r="D125" s="103">
        <v>1</v>
      </c>
      <c r="E125" s="97"/>
      <c r="F125" s="97"/>
      <c r="G125" s="97"/>
      <c r="H125" s="97"/>
      <c r="I125" s="97"/>
      <c r="J125" s="97"/>
      <c r="K125" s="97"/>
      <c r="L125" s="97"/>
      <c r="M125" s="97"/>
      <c r="N125" s="97"/>
      <c r="O125" s="97"/>
      <c r="P125" s="97"/>
      <c r="Q125" s="97"/>
    </row>
    <row r="126" spans="1:17" x14ac:dyDescent="0.3">
      <c r="A126" s="113"/>
      <c r="B126" s="74" t="s">
        <v>1403</v>
      </c>
      <c r="C126" s="113" t="s">
        <v>1663</v>
      </c>
      <c r="D126" s="102"/>
      <c r="E126" s="96"/>
      <c r="F126" s="96"/>
      <c r="G126" s="96"/>
      <c r="H126" s="96"/>
      <c r="I126" s="96"/>
      <c r="J126" s="96"/>
      <c r="K126" s="96"/>
      <c r="L126" s="96"/>
      <c r="M126" s="96"/>
      <c r="N126" s="96"/>
      <c r="O126" s="96"/>
      <c r="P126" s="96"/>
      <c r="Q126" s="96"/>
    </row>
    <row r="127" spans="1:17" s="94" customFormat="1" x14ac:dyDescent="0.3">
      <c r="A127" s="114"/>
      <c r="B127" s="134"/>
      <c r="C127" s="114" t="s">
        <v>23</v>
      </c>
      <c r="D127" s="103"/>
      <c r="E127" s="97"/>
      <c r="F127" s="97"/>
      <c r="G127" s="97"/>
      <c r="H127" s="97"/>
      <c r="I127" s="97"/>
      <c r="J127" s="97"/>
      <c r="K127" s="97"/>
      <c r="L127" s="97"/>
      <c r="M127" s="97"/>
      <c r="N127" s="97"/>
      <c r="O127" s="97"/>
      <c r="P127" s="97"/>
      <c r="Q127" s="97"/>
    </row>
    <row r="128" spans="1:17" x14ac:dyDescent="0.3">
      <c r="A128" s="115"/>
      <c r="B128" s="133"/>
      <c r="C128" s="115" t="s">
        <v>1523</v>
      </c>
      <c r="D128" s="105"/>
      <c r="E128" s="98"/>
      <c r="F128" s="98"/>
      <c r="G128" s="98"/>
      <c r="H128" s="98"/>
      <c r="I128" s="98"/>
      <c r="J128" s="98"/>
      <c r="K128" s="98"/>
      <c r="L128" s="98"/>
      <c r="M128" s="98"/>
      <c r="N128" s="98"/>
      <c r="O128" s="98"/>
      <c r="P128" s="98"/>
      <c r="Q128" s="98"/>
    </row>
    <row r="129" spans="1:17" x14ac:dyDescent="0.3">
      <c r="A129" s="113"/>
      <c r="B129" s="74" t="s">
        <v>1403</v>
      </c>
      <c r="C129" s="113" t="s">
        <v>1356</v>
      </c>
      <c r="D129" s="107"/>
      <c r="E129" s="96"/>
      <c r="F129" s="96"/>
      <c r="G129" s="96"/>
      <c r="H129" s="96"/>
      <c r="I129" s="96"/>
      <c r="J129" s="96"/>
      <c r="K129" s="96"/>
      <c r="L129" s="96"/>
      <c r="M129" s="96"/>
      <c r="N129" s="96"/>
      <c r="O129" s="96"/>
      <c r="P129" s="96"/>
      <c r="Q129" s="96"/>
    </row>
    <row r="130" spans="1:17" x14ac:dyDescent="0.3">
      <c r="A130" s="114"/>
      <c r="B130" s="134" t="s">
        <v>1403</v>
      </c>
      <c r="C130" s="114" t="s">
        <v>1357</v>
      </c>
      <c r="D130" s="119"/>
      <c r="E130" s="97"/>
      <c r="F130" s="97"/>
      <c r="G130" s="97"/>
      <c r="H130" s="97"/>
      <c r="I130" s="97"/>
      <c r="J130" s="97"/>
      <c r="K130" s="97"/>
      <c r="L130" s="97"/>
      <c r="M130" s="97"/>
      <c r="N130" s="97"/>
      <c r="O130" s="97"/>
      <c r="P130" s="97"/>
      <c r="Q130" s="97"/>
    </row>
    <row r="131" spans="1:17" x14ac:dyDescent="0.3">
      <c r="A131" s="115"/>
      <c r="B131" s="133"/>
      <c r="C131" s="115" t="s">
        <v>1301</v>
      </c>
      <c r="D131" s="105"/>
      <c r="E131" s="98"/>
      <c r="F131" s="98"/>
      <c r="G131" s="98"/>
      <c r="H131" s="98"/>
      <c r="I131" s="98"/>
      <c r="J131" s="98"/>
      <c r="K131" s="98"/>
      <c r="L131" s="98"/>
      <c r="M131" s="98"/>
      <c r="N131" s="98"/>
      <c r="O131" s="98"/>
      <c r="P131" s="98"/>
      <c r="Q131" s="98"/>
    </row>
    <row r="132" spans="1:17" x14ac:dyDescent="0.3">
      <c r="A132" s="113"/>
      <c r="B132" s="74"/>
      <c r="C132" s="113" t="s">
        <v>1300</v>
      </c>
      <c r="D132" s="102"/>
      <c r="E132" s="96"/>
      <c r="F132" s="96"/>
      <c r="G132" s="96"/>
      <c r="H132" s="96"/>
      <c r="I132" s="96"/>
      <c r="J132" s="96"/>
      <c r="K132" s="96"/>
      <c r="L132" s="96"/>
      <c r="M132" s="96"/>
      <c r="N132" s="96"/>
      <c r="O132" s="96"/>
      <c r="P132" s="96"/>
      <c r="Q132" s="96"/>
    </row>
    <row r="133" spans="1:17" x14ac:dyDescent="0.3">
      <c r="A133" s="114"/>
      <c r="B133" s="134"/>
      <c r="C133" s="114" t="s">
        <v>1296</v>
      </c>
      <c r="D133" s="103"/>
      <c r="E133" s="97"/>
      <c r="F133" s="97"/>
      <c r="G133" s="97"/>
      <c r="H133" s="97"/>
      <c r="I133" s="97"/>
      <c r="J133" s="97"/>
      <c r="K133" s="97"/>
      <c r="L133" s="97"/>
      <c r="M133" s="97"/>
      <c r="N133" s="97"/>
      <c r="O133" s="97"/>
      <c r="P133" s="97"/>
      <c r="Q133" s="97"/>
    </row>
    <row r="134" spans="1:17" x14ac:dyDescent="0.3">
      <c r="A134" s="113"/>
      <c r="B134" s="74"/>
      <c r="C134" s="113" t="s">
        <v>1297</v>
      </c>
      <c r="D134" s="102"/>
      <c r="E134" s="96"/>
      <c r="F134" s="96"/>
      <c r="G134" s="96"/>
      <c r="H134" s="96"/>
      <c r="I134" s="96"/>
      <c r="J134" s="96"/>
      <c r="K134" s="96"/>
      <c r="L134" s="96"/>
      <c r="M134" s="96"/>
      <c r="N134" s="96"/>
      <c r="O134" s="96"/>
      <c r="P134" s="96"/>
      <c r="Q134" s="96"/>
    </row>
    <row r="135" spans="1:17" x14ac:dyDescent="0.3">
      <c r="A135" s="114"/>
      <c r="B135" s="134"/>
      <c r="C135" s="114" t="s">
        <v>1298</v>
      </c>
      <c r="D135" s="103"/>
      <c r="E135" s="97"/>
      <c r="F135" s="97"/>
      <c r="G135" s="97"/>
      <c r="H135" s="97"/>
      <c r="I135" s="97"/>
      <c r="J135" s="97"/>
      <c r="K135" s="97"/>
      <c r="L135" s="97"/>
      <c r="M135" s="97"/>
      <c r="N135" s="97"/>
      <c r="O135" s="97"/>
      <c r="P135" s="97"/>
      <c r="Q135" s="97"/>
    </row>
    <row r="136" spans="1:17" x14ac:dyDescent="0.3">
      <c r="A136" s="113"/>
      <c r="B136" s="74" t="s">
        <v>1403</v>
      </c>
      <c r="C136" s="113" t="s">
        <v>1503</v>
      </c>
      <c r="D136" s="102"/>
      <c r="E136" s="96"/>
      <c r="F136" s="96"/>
      <c r="G136" s="96"/>
      <c r="H136" s="96"/>
      <c r="I136" s="96"/>
      <c r="J136" s="96"/>
      <c r="K136" s="96"/>
      <c r="L136" s="96"/>
      <c r="M136" s="96"/>
      <c r="N136" s="96"/>
      <c r="O136" s="96"/>
      <c r="P136" s="96"/>
      <c r="Q136" s="96"/>
    </row>
    <row r="137" spans="1:17" x14ac:dyDescent="0.3">
      <c r="A137" s="115" t="s">
        <v>219</v>
      </c>
      <c r="B137" s="133"/>
      <c r="C137" s="115" t="s">
        <v>394</v>
      </c>
      <c r="D137" s="105"/>
      <c r="E137" s="98"/>
      <c r="F137" s="98"/>
      <c r="G137" s="98"/>
      <c r="H137" s="98"/>
      <c r="I137" s="98"/>
      <c r="J137" s="98"/>
      <c r="K137" s="98"/>
      <c r="L137" s="98"/>
      <c r="M137" s="98"/>
      <c r="N137" s="98"/>
      <c r="O137" s="98"/>
      <c r="P137" s="98"/>
      <c r="Q137" s="98"/>
    </row>
    <row r="138" spans="1:17" x14ac:dyDescent="0.3">
      <c r="A138" s="113"/>
      <c r="B138" s="74"/>
      <c r="C138" s="113" t="s">
        <v>24</v>
      </c>
      <c r="D138" s="102">
        <v>0</v>
      </c>
      <c r="E138" s="96"/>
      <c r="F138" s="96"/>
      <c r="G138" s="96"/>
      <c r="H138" s="96"/>
      <c r="I138" s="96"/>
      <c r="J138" s="96"/>
      <c r="K138" s="96"/>
      <c r="L138" s="96"/>
      <c r="M138" s="96"/>
      <c r="N138" s="96"/>
      <c r="O138" s="96"/>
      <c r="P138" s="96" t="s">
        <v>243</v>
      </c>
      <c r="Q138" s="96"/>
    </row>
    <row r="139" spans="1:17" x14ac:dyDescent="0.3">
      <c r="A139" s="114"/>
      <c r="B139" s="134"/>
      <c r="C139" s="114" t="s">
        <v>25</v>
      </c>
      <c r="D139" s="103">
        <v>3</v>
      </c>
      <c r="E139" s="97"/>
      <c r="F139" s="97"/>
      <c r="G139" s="97"/>
      <c r="H139" s="97"/>
      <c r="I139" s="97"/>
      <c r="J139" s="97"/>
      <c r="K139" s="97"/>
      <c r="L139" s="97"/>
      <c r="M139" s="97"/>
      <c r="N139" s="97"/>
      <c r="O139" s="97"/>
      <c r="P139" s="97" t="s">
        <v>246</v>
      </c>
      <c r="Q139" s="97"/>
    </row>
    <row r="140" spans="1:17" x14ac:dyDescent="0.3">
      <c r="A140" s="113"/>
      <c r="B140" s="74" t="s">
        <v>1403</v>
      </c>
      <c r="C140" s="113" t="s">
        <v>1664</v>
      </c>
      <c r="D140" s="102"/>
      <c r="E140" s="96"/>
      <c r="F140" s="96"/>
      <c r="G140" s="96"/>
      <c r="H140" s="96"/>
      <c r="I140" s="96"/>
      <c r="J140" s="96"/>
      <c r="K140" s="96"/>
      <c r="L140" s="96"/>
      <c r="M140" s="96"/>
      <c r="N140" s="96"/>
      <c r="O140" s="96"/>
      <c r="P140" s="96" t="s">
        <v>244</v>
      </c>
      <c r="Q140" s="96"/>
    </row>
    <row r="141" spans="1:17" s="94" customFormat="1" x14ac:dyDescent="0.3">
      <c r="A141" s="114"/>
      <c r="B141" s="134"/>
      <c r="C141" s="114" t="s">
        <v>26</v>
      </c>
      <c r="D141" s="103">
        <v>1</v>
      </c>
      <c r="E141" s="97"/>
      <c r="F141" s="97"/>
      <c r="G141" s="97"/>
      <c r="H141" s="97"/>
      <c r="I141" s="97"/>
      <c r="J141" s="97"/>
      <c r="K141" s="97"/>
      <c r="L141" s="97"/>
      <c r="M141" s="97"/>
      <c r="N141" s="97"/>
      <c r="O141" s="97"/>
      <c r="P141" s="97" t="s">
        <v>244</v>
      </c>
      <c r="Q141" s="97"/>
    </row>
    <row r="142" spans="1:17" x14ac:dyDescent="0.3">
      <c r="A142" s="113"/>
      <c r="B142" s="74"/>
      <c r="C142" s="113" t="s">
        <v>1343</v>
      </c>
      <c r="D142" s="111"/>
      <c r="E142" s="96"/>
      <c r="F142" s="96"/>
      <c r="G142" s="96"/>
      <c r="H142" s="96"/>
      <c r="I142" s="96"/>
      <c r="J142" s="96"/>
      <c r="K142" s="96"/>
      <c r="L142" s="96"/>
      <c r="M142" s="96"/>
      <c r="N142" s="96"/>
      <c r="O142" s="96"/>
      <c r="P142" s="96"/>
      <c r="Q142" s="96"/>
    </row>
    <row r="143" spans="1:17" x14ac:dyDescent="0.3">
      <c r="A143" s="114"/>
      <c r="B143" s="134" t="s">
        <v>1403</v>
      </c>
      <c r="C143" s="114" t="s">
        <v>1695</v>
      </c>
      <c r="D143" s="103"/>
      <c r="E143" s="97"/>
      <c r="F143" s="97"/>
      <c r="G143" s="97"/>
      <c r="H143" s="97"/>
      <c r="I143" s="97"/>
      <c r="J143" s="97"/>
      <c r="K143" s="97"/>
      <c r="L143" s="97"/>
      <c r="M143" s="97"/>
      <c r="N143" s="97"/>
      <c r="O143" s="97"/>
      <c r="P143" s="97" t="s">
        <v>247</v>
      </c>
      <c r="Q143" s="97"/>
    </row>
    <row r="144" spans="1:17" s="94" customFormat="1" x14ac:dyDescent="0.3">
      <c r="A144" s="113"/>
      <c r="B144" s="74"/>
      <c r="C144" s="113" t="s">
        <v>27</v>
      </c>
      <c r="D144" s="102">
        <v>20</v>
      </c>
      <c r="E144" s="96"/>
      <c r="F144" s="96"/>
      <c r="G144" s="96"/>
      <c r="H144" s="96"/>
      <c r="I144" s="96"/>
      <c r="J144" s="96"/>
      <c r="K144" s="96"/>
      <c r="L144" s="96"/>
      <c r="M144" s="96"/>
      <c r="N144" s="96"/>
      <c r="O144" s="96"/>
      <c r="P144" s="96" t="s">
        <v>247</v>
      </c>
      <c r="Q144" s="96"/>
    </row>
    <row r="145" spans="1:17" x14ac:dyDescent="0.3">
      <c r="A145" s="115"/>
      <c r="B145" s="133"/>
      <c r="C145" s="115" t="s">
        <v>395</v>
      </c>
      <c r="D145" s="105"/>
      <c r="E145" s="98"/>
      <c r="F145" s="98"/>
      <c r="G145" s="98"/>
      <c r="H145" s="98"/>
      <c r="I145" s="98"/>
      <c r="J145" s="98"/>
      <c r="K145" s="98"/>
      <c r="L145" s="98"/>
      <c r="M145" s="98"/>
      <c r="N145" s="98"/>
      <c r="O145" s="98"/>
      <c r="P145" s="98" t="s">
        <v>245</v>
      </c>
      <c r="Q145" s="98"/>
    </row>
    <row r="146" spans="1:17" x14ac:dyDescent="0.3">
      <c r="A146" s="113"/>
      <c r="B146" s="74"/>
      <c r="C146" s="113" t="s">
        <v>28</v>
      </c>
      <c r="D146" s="102" t="str">
        <f>GetFilamentSpec(D2,"#filament_brim_width")</f>
        <v>4</v>
      </c>
      <c r="E146" s="96"/>
      <c r="F146" s="96"/>
      <c r="G146" s="96"/>
      <c r="H146" s="96"/>
      <c r="I146" s="96"/>
      <c r="J146" s="96"/>
      <c r="K146" s="96"/>
      <c r="L146" s="96"/>
      <c r="M146" s="96"/>
      <c r="N146" s="96"/>
      <c r="O146" s="96"/>
      <c r="P146" s="96"/>
      <c r="Q146" s="96"/>
    </row>
    <row r="147" spans="1:17" x14ac:dyDescent="0.3">
      <c r="A147" s="114"/>
      <c r="B147" s="134"/>
      <c r="C147" s="114" t="s">
        <v>1598</v>
      </c>
      <c r="D147" s="122"/>
      <c r="E147" s="97"/>
      <c r="F147" s="97"/>
      <c r="G147" s="97"/>
      <c r="H147" s="97"/>
      <c r="I147" s="97"/>
      <c r="J147" s="97"/>
      <c r="K147" s="97"/>
      <c r="L147" s="97"/>
      <c r="M147" s="97"/>
      <c r="N147" s="97"/>
      <c r="O147" s="97"/>
      <c r="P147" s="97"/>
      <c r="Q147" s="97"/>
    </row>
    <row r="148" spans="1:17" x14ac:dyDescent="0.3">
      <c r="A148" s="113"/>
      <c r="B148" s="74"/>
      <c r="C148" s="113" t="s">
        <v>1599</v>
      </c>
      <c r="D148" s="102"/>
      <c r="E148" s="96"/>
      <c r="F148" s="96"/>
      <c r="G148" s="96"/>
      <c r="H148" s="96"/>
      <c r="I148" s="96"/>
      <c r="J148" s="96"/>
      <c r="K148" s="96"/>
      <c r="L148" s="96"/>
      <c r="M148" s="96"/>
      <c r="N148" s="96"/>
      <c r="O148" s="96"/>
      <c r="P148" s="96"/>
      <c r="Q148" s="96"/>
    </row>
    <row r="149" spans="1:17" x14ac:dyDescent="0.3">
      <c r="A149" s="114"/>
      <c r="B149" s="134" t="s">
        <v>1403</v>
      </c>
      <c r="C149" s="114" t="s">
        <v>1331</v>
      </c>
      <c r="D149" s="61">
        <v>1</v>
      </c>
      <c r="E149" s="97"/>
      <c r="F149" s="97"/>
      <c r="G149" s="97"/>
      <c r="H149" s="97"/>
      <c r="I149" s="97"/>
      <c r="J149" s="97"/>
      <c r="K149" s="97"/>
      <c r="L149" s="97"/>
      <c r="M149" s="97"/>
      <c r="N149" s="97"/>
      <c r="O149" s="97"/>
      <c r="P149" s="97"/>
      <c r="Q149" s="97"/>
    </row>
    <row r="150" spans="1:17" x14ac:dyDescent="0.3">
      <c r="A150" s="113"/>
      <c r="B150" s="74" t="s">
        <v>1403</v>
      </c>
      <c r="C150" s="113" t="s">
        <v>1332</v>
      </c>
      <c r="D150" s="111"/>
      <c r="E150" s="96"/>
      <c r="F150" s="96"/>
      <c r="G150" s="96"/>
      <c r="H150" s="96"/>
      <c r="I150" s="96"/>
      <c r="J150" s="96"/>
      <c r="K150" s="96"/>
      <c r="L150" s="96"/>
      <c r="M150" s="96"/>
      <c r="N150" s="96"/>
      <c r="O150" s="96"/>
      <c r="P150" s="96"/>
      <c r="Q150" s="96"/>
    </row>
    <row r="151" spans="1:17" x14ac:dyDescent="0.3">
      <c r="A151" s="114"/>
      <c r="B151" s="134" t="s">
        <v>1403</v>
      </c>
      <c r="C151" s="114" t="s">
        <v>1333</v>
      </c>
      <c r="D151" s="123"/>
      <c r="E151" s="97"/>
      <c r="F151" s="97"/>
      <c r="G151" s="97"/>
      <c r="H151" s="97"/>
      <c r="I151" s="97"/>
      <c r="J151" s="97"/>
      <c r="K151" s="97"/>
      <c r="L151" s="97"/>
      <c r="M151" s="97"/>
      <c r="N151" s="97"/>
      <c r="O151" s="97"/>
      <c r="P151" s="97"/>
      <c r="Q151" s="97"/>
    </row>
    <row r="152" spans="1:17" x14ac:dyDescent="0.3">
      <c r="A152" s="113"/>
      <c r="B152" s="74" t="s">
        <v>1403</v>
      </c>
      <c r="C152" s="113" t="s">
        <v>1334</v>
      </c>
      <c r="D152" s="111"/>
      <c r="E152" s="96"/>
      <c r="F152" s="96"/>
      <c r="G152" s="96"/>
      <c r="H152" s="96"/>
      <c r="I152" s="96"/>
      <c r="J152" s="96"/>
      <c r="K152" s="96"/>
      <c r="L152" s="96"/>
      <c r="M152" s="96"/>
      <c r="N152" s="96"/>
      <c r="O152" s="96"/>
      <c r="P152" s="96"/>
      <c r="Q152" s="96"/>
    </row>
    <row r="153" spans="1:17" x14ac:dyDescent="0.3">
      <c r="A153" s="114"/>
      <c r="B153" s="134" t="s">
        <v>1403</v>
      </c>
      <c r="C153" s="114" t="s">
        <v>1335</v>
      </c>
      <c r="D153" s="103"/>
      <c r="E153" s="97"/>
      <c r="F153" s="97"/>
      <c r="G153" s="97"/>
      <c r="H153" s="97"/>
      <c r="I153" s="97"/>
      <c r="J153" s="97"/>
      <c r="K153" s="97"/>
      <c r="L153" s="97"/>
      <c r="M153" s="97"/>
      <c r="N153" s="97"/>
      <c r="O153" s="97"/>
      <c r="P153" s="97"/>
      <c r="Q153" s="97"/>
    </row>
    <row r="154" spans="1:17" x14ac:dyDescent="0.3">
      <c r="A154" s="113"/>
      <c r="B154" s="74" t="s">
        <v>1403</v>
      </c>
      <c r="C154" s="113" t="s">
        <v>1336</v>
      </c>
      <c r="D154" s="111"/>
      <c r="E154" s="96"/>
      <c r="F154" s="96"/>
      <c r="G154" s="96"/>
      <c r="H154" s="96"/>
      <c r="I154" s="96"/>
      <c r="J154" s="96"/>
      <c r="K154" s="96"/>
      <c r="L154" s="96"/>
      <c r="M154" s="96"/>
      <c r="N154" s="96"/>
      <c r="O154" s="96"/>
      <c r="P154" s="96"/>
      <c r="Q154" s="96"/>
    </row>
    <row r="155" spans="1:17" x14ac:dyDescent="0.3">
      <c r="A155" s="114"/>
      <c r="B155" s="134" t="s">
        <v>1403</v>
      </c>
      <c r="C155" s="114" t="s">
        <v>1491</v>
      </c>
      <c r="D155" s="103"/>
      <c r="E155" s="97"/>
      <c r="F155" s="97"/>
      <c r="G155" s="97"/>
      <c r="H155" s="97"/>
      <c r="I155" s="97"/>
      <c r="J155" s="97"/>
      <c r="K155" s="97"/>
      <c r="L155" s="97"/>
      <c r="M155" s="97"/>
      <c r="N155" s="97"/>
      <c r="O155" s="97"/>
      <c r="P155" s="97"/>
      <c r="Q155" s="97"/>
    </row>
    <row r="156" spans="1:17" x14ac:dyDescent="0.3">
      <c r="A156" s="115" t="s">
        <v>220</v>
      </c>
      <c r="B156" s="133"/>
      <c r="C156" s="115" t="s">
        <v>396</v>
      </c>
      <c r="D156" s="105"/>
      <c r="E156" s="98"/>
      <c r="F156" s="98"/>
      <c r="G156" s="98"/>
      <c r="H156" s="98"/>
      <c r="I156" s="98"/>
      <c r="J156" s="98"/>
      <c r="K156" s="98"/>
      <c r="L156" s="98"/>
      <c r="M156" s="98"/>
      <c r="N156" s="98"/>
      <c r="O156" s="98"/>
      <c r="P156" s="98"/>
      <c r="Q156" s="98"/>
    </row>
    <row r="157" spans="1:17" x14ac:dyDescent="0.3">
      <c r="A157" s="113"/>
      <c r="B157" s="74"/>
      <c r="C157" s="113" t="s">
        <v>29</v>
      </c>
      <c r="D157" s="102">
        <v>0</v>
      </c>
      <c r="E157" s="96"/>
      <c r="F157" s="96"/>
      <c r="G157" s="96"/>
      <c r="H157" s="96"/>
      <c r="I157" s="96"/>
      <c r="J157" s="96"/>
      <c r="K157" s="96"/>
      <c r="L157" s="96"/>
      <c r="M157" s="96"/>
      <c r="N157" s="96"/>
      <c r="O157" s="96"/>
      <c r="P157" s="96"/>
      <c r="Q157" s="96"/>
    </row>
    <row r="158" spans="1:17" x14ac:dyDescent="0.3">
      <c r="A158" s="114"/>
      <c r="B158" s="134"/>
      <c r="C158" s="114" t="s">
        <v>30</v>
      </c>
      <c r="D158" s="103">
        <v>1</v>
      </c>
      <c r="E158" s="97"/>
      <c r="F158" s="97"/>
      <c r="G158" s="97"/>
      <c r="H158" s="97"/>
      <c r="I158" s="97"/>
      <c r="J158" s="97"/>
      <c r="K158" s="97"/>
      <c r="L158" s="97"/>
      <c r="M158" s="97"/>
      <c r="N158" s="97"/>
      <c r="O158" s="97"/>
      <c r="P158" s="97" t="s">
        <v>248</v>
      </c>
      <c r="Q158" s="97"/>
    </row>
    <row r="159" spans="1:17" x14ac:dyDescent="0.3">
      <c r="A159" s="113"/>
      <c r="B159" s="74"/>
      <c r="C159" s="113" t="s">
        <v>31</v>
      </c>
      <c r="D159" s="102">
        <v>55</v>
      </c>
      <c r="E159" s="96"/>
      <c r="F159" s="96"/>
      <c r="G159" s="96"/>
      <c r="H159" s="96"/>
      <c r="I159" s="96"/>
      <c r="J159" s="96"/>
      <c r="K159" s="96"/>
      <c r="L159" s="96"/>
      <c r="M159" s="96"/>
      <c r="N159" s="96"/>
      <c r="O159" s="96"/>
      <c r="P159" s="96" t="s">
        <v>249</v>
      </c>
      <c r="Q159" s="96"/>
    </row>
    <row r="160" spans="1:17" x14ac:dyDescent="0.3">
      <c r="A160" s="114"/>
      <c r="B160" s="134"/>
      <c r="C160" s="114" t="s">
        <v>32</v>
      </c>
      <c r="D160" s="103">
        <v>2</v>
      </c>
      <c r="E160" s="97"/>
      <c r="F160" s="97"/>
      <c r="G160" s="97"/>
      <c r="H160" s="97"/>
      <c r="I160" s="97"/>
      <c r="J160" s="97"/>
      <c r="K160" s="97"/>
      <c r="L160" s="97"/>
      <c r="M160" s="97"/>
      <c r="N160" s="97"/>
      <c r="O160" s="97"/>
      <c r="P160" s="97"/>
      <c r="Q160" s="97"/>
    </row>
    <row r="161" spans="1:17" x14ac:dyDescent="0.3">
      <c r="A161" s="115"/>
      <c r="B161" s="133"/>
      <c r="C161" s="115" t="s">
        <v>397</v>
      </c>
      <c r="D161" s="105"/>
      <c r="E161" s="98"/>
      <c r="F161" s="98"/>
      <c r="G161" s="98"/>
      <c r="H161" s="98"/>
      <c r="I161" s="98"/>
      <c r="J161" s="98"/>
      <c r="K161" s="98"/>
      <c r="L161" s="98"/>
      <c r="M161" s="98"/>
      <c r="N161" s="98"/>
      <c r="O161" s="98"/>
      <c r="P161" s="98"/>
      <c r="Q161" s="98"/>
    </row>
    <row r="162" spans="1:17" x14ac:dyDescent="0.3">
      <c r="A162" s="113"/>
      <c r="B162" s="74" t="s">
        <v>1403</v>
      </c>
      <c r="C162" s="113" t="s">
        <v>1392</v>
      </c>
      <c r="D162" s="111"/>
      <c r="E162" s="96"/>
      <c r="F162" s="96"/>
      <c r="G162" s="96"/>
      <c r="H162" s="96"/>
      <c r="I162" s="96"/>
      <c r="J162" s="96"/>
      <c r="K162" s="96"/>
      <c r="L162" s="96"/>
      <c r="M162" s="96"/>
      <c r="N162" s="96"/>
      <c r="O162" s="96"/>
      <c r="P162" s="96"/>
      <c r="Q162" s="96"/>
    </row>
    <row r="163" spans="1:17" x14ac:dyDescent="0.3">
      <c r="A163" s="114"/>
      <c r="B163" s="134"/>
      <c r="C163" s="114" t="s">
        <v>33</v>
      </c>
      <c r="D163" s="103">
        <v>0</v>
      </c>
      <c r="E163" s="97"/>
      <c r="F163" s="97"/>
      <c r="G163" s="97"/>
      <c r="H163" s="97"/>
      <c r="I163" s="97"/>
      <c r="J163" s="97"/>
      <c r="K163" s="97"/>
      <c r="L163" s="97"/>
      <c r="M163" s="97"/>
      <c r="N163" s="97"/>
      <c r="O163" s="97"/>
      <c r="P163" s="97"/>
      <c r="Q163" s="97"/>
    </row>
    <row r="164" spans="1:17" s="94" customFormat="1" x14ac:dyDescent="0.3">
      <c r="A164" s="113"/>
      <c r="B164" s="74" t="s">
        <v>1403</v>
      </c>
      <c r="C164" s="113" t="s">
        <v>1665</v>
      </c>
      <c r="D164" s="102"/>
      <c r="E164" s="96"/>
      <c r="F164" s="96"/>
      <c r="G164" s="96"/>
      <c r="H164" s="96"/>
      <c r="I164" s="96"/>
      <c r="J164" s="96"/>
      <c r="K164" s="96"/>
      <c r="L164" s="96"/>
      <c r="M164" s="96"/>
      <c r="N164" s="96"/>
      <c r="O164" s="96"/>
      <c r="P164" s="96"/>
      <c r="Q164" s="96"/>
    </row>
    <row r="165" spans="1:17" x14ac:dyDescent="0.3">
      <c r="A165" s="114"/>
      <c r="B165" s="134" t="s">
        <v>1403</v>
      </c>
      <c r="C165" s="114" t="s">
        <v>1666</v>
      </c>
      <c r="D165" s="103"/>
      <c r="E165" s="97"/>
      <c r="F165" s="97"/>
      <c r="G165" s="97"/>
      <c r="H165" s="97"/>
      <c r="I165" s="97"/>
      <c r="J165" s="97"/>
      <c r="K165" s="97"/>
      <c r="L165" s="97"/>
      <c r="M165" s="97"/>
      <c r="N165" s="97"/>
      <c r="O165" s="97"/>
      <c r="P165" s="97"/>
      <c r="Q165" s="97"/>
    </row>
    <row r="166" spans="1:17" s="94" customFormat="1" x14ac:dyDescent="0.3">
      <c r="A166" s="113"/>
      <c r="B166" s="74"/>
      <c r="C166" s="113" t="s">
        <v>1600</v>
      </c>
      <c r="D166" s="102"/>
      <c r="E166" s="96"/>
      <c r="F166" s="96"/>
      <c r="G166" s="96"/>
      <c r="H166" s="96"/>
      <c r="I166" s="96"/>
      <c r="J166" s="96"/>
      <c r="K166" s="96"/>
      <c r="L166" s="96"/>
      <c r="M166" s="96"/>
      <c r="N166" s="96"/>
      <c r="O166" s="96"/>
      <c r="P166" s="96"/>
      <c r="Q166" s="96"/>
    </row>
    <row r="167" spans="1:17" s="94" customFormat="1" x14ac:dyDescent="0.3">
      <c r="A167" s="114"/>
      <c r="B167" s="134"/>
      <c r="C167" s="114" t="s">
        <v>1601</v>
      </c>
      <c r="D167" s="103"/>
      <c r="E167" s="97"/>
      <c r="F167" s="97"/>
      <c r="G167" s="97"/>
      <c r="H167" s="97"/>
      <c r="I167" s="97"/>
      <c r="J167" s="97"/>
      <c r="K167" s="97"/>
      <c r="L167" s="97"/>
      <c r="M167" s="97"/>
      <c r="N167" s="97"/>
      <c r="O167" s="97"/>
      <c r="P167" s="97"/>
      <c r="Q167" s="97"/>
    </row>
    <row r="168" spans="1:17" x14ac:dyDescent="0.3">
      <c r="A168" s="113"/>
      <c r="B168" s="74"/>
      <c r="C168" s="113" t="s">
        <v>1602</v>
      </c>
      <c r="D168" s="102"/>
      <c r="E168" s="96"/>
      <c r="F168" s="96"/>
      <c r="G168" s="96"/>
      <c r="H168" s="96"/>
      <c r="I168" s="96"/>
      <c r="J168" s="96"/>
      <c r="K168" s="96"/>
      <c r="L168" s="96"/>
      <c r="M168" s="96"/>
      <c r="N168" s="96"/>
      <c r="O168" s="96"/>
      <c r="P168" s="96"/>
      <c r="Q168" s="96"/>
    </row>
    <row r="169" spans="1:17" x14ac:dyDescent="0.3">
      <c r="A169" s="114"/>
      <c r="B169" s="134"/>
      <c r="C169" s="114" t="s">
        <v>1603</v>
      </c>
      <c r="D169" s="103"/>
      <c r="E169" s="97"/>
      <c r="F169" s="97"/>
      <c r="G169" s="97"/>
      <c r="H169" s="97"/>
      <c r="I169" s="97"/>
      <c r="J169" s="97"/>
      <c r="K169" s="97"/>
      <c r="L169" s="97"/>
      <c r="M169" s="97"/>
      <c r="N169" s="97"/>
      <c r="O169" s="97"/>
      <c r="P169" s="97"/>
      <c r="Q169" s="97"/>
    </row>
    <row r="170" spans="1:17" x14ac:dyDescent="0.3">
      <c r="A170" s="115"/>
      <c r="B170" s="133"/>
      <c r="C170" s="115" t="s">
        <v>398</v>
      </c>
      <c r="D170" s="105"/>
      <c r="E170" s="98"/>
      <c r="F170" s="98"/>
      <c r="G170" s="98"/>
      <c r="H170" s="98"/>
      <c r="I170" s="98"/>
      <c r="J170" s="98"/>
      <c r="K170" s="98"/>
      <c r="L170" s="98"/>
      <c r="M170" s="98"/>
      <c r="N170" s="98"/>
      <c r="O170" s="98"/>
      <c r="P170" s="98"/>
      <c r="Q170" s="98"/>
    </row>
    <row r="171" spans="1:17" x14ac:dyDescent="0.3">
      <c r="A171" s="113"/>
      <c r="B171" s="74" t="s">
        <v>1403</v>
      </c>
      <c r="C171" s="113" t="s">
        <v>1388</v>
      </c>
      <c r="D171" s="111"/>
      <c r="E171" s="96"/>
      <c r="F171" s="96"/>
      <c r="G171" s="96"/>
      <c r="H171" s="96"/>
      <c r="I171" s="96"/>
      <c r="J171" s="96"/>
      <c r="K171" s="96"/>
      <c r="L171" s="96"/>
      <c r="M171" s="96"/>
      <c r="N171" s="96"/>
      <c r="O171" s="96"/>
      <c r="P171" s="96"/>
      <c r="Q171" s="96"/>
    </row>
    <row r="172" spans="1:17" x14ac:dyDescent="0.3">
      <c r="A172" s="114"/>
      <c r="B172" s="134" t="s">
        <v>1403</v>
      </c>
      <c r="C172" s="114" t="s">
        <v>1389</v>
      </c>
      <c r="D172" s="122"/>
      <c r="E172" s="97"/>
      <c r="F172" s="97"/>
      <c r="G172" s="97"/>
      <c r="H172" s="97"/>
      <c r="I172" s="97"/>
      <c r="J172" s="97"/>
      <c r="K172" s="97"/>
      <c r="L172" s="97"/>
      <c r="M172" s="97"/>
      <c r="N172" s="97"/>
      <c r="O172" s="97"/>
      <c r="P172" s="97"/>
      <c r="Q172" s="97"/>
    </row>
    <row r="173" spans="1:17" x14ac:dyDescent="0.3">
      <c r="A173" s="113"/>
      <c r="B173" s="74"/>
      <c r="C173" s="113" t="s">
        <v>1604</v>
      </c>
      <c r="D173" s="102" t="s">
        <v>1623</v>
      </c>
      <c r="E173" s="96"/>
      <c r="F173" s="96"/>
      <c r="G173" s="96"/>
      <c r="H173" s="96"/>
      <c r="I173" s="96"/>
      <c r="J173" s="96"/>
      <c r="K173" s="96"/>
      <c r="L173" s="96"/>
      <c r="M173" s="96"/>
      <c r="N173" s="96"/>
      <c r="O173" s="96"/>
      <c r="P173" s="96"/>
      <c r="Q173" s="96"/>
    </row>
    <row r="174" spans="1:17" s="94" customFormat="1" x14ac:dyDescent="0.3">
      <c r="A174" s="114"/>
      <c r="B174" s="134" t="s">
        <v>1403</v>
      </c>
      <c r="C174" s="114" t="s">
        <v>1698</v>
      </c>
      <c r="D174" s="122"/>
      <c r="E174" s="97"/>
      <c r="F174" s="97"/>
      <c r="G174" s="97"/>
      <c r="H174" s="97"/>
      <c r="I174" s="97"/>
      <c r="J174" s="97"/>
      <c r="K174" s="97"/>
      <c r="L174" s="97"/>
      <c r="M174" s="97"/>
      <c r="N174" s="97"/>
      <c r="O174" s="97"/>
      <c r="P174" s="97"/>
      <c r="Q174" s="97"/>
    </row>
    <row r="175" spans="1:17" s="94" customFormat="1" x14ac:dyDescent="0.3">
      <c r="A175" s="113"/>
      <c r="B175" s="74"/>
      <c r="C175" s="113" t="s">
        <v>34</v>
      </c>
      <c r="D175" s="102">
        <v>0.2</v>
      </c>
      <c r="E175" s="96">
        <v>0.2</v>
      </c>
      <c r="F175" s="96">
        <v>0.2</v>
      </c>
      <c r="G175" s="96">
        <v>0.2</v>
      </c>
      <c r="H175" s="96">
        <v>0.2</v>
      </c>
      <c r="I175" s="96">
        <v>0.2</v>
      </c>
      <c r="J175" s="96">
        <v>0.2</v>
      </c>
      <c r="K175" s="96">
        <v>0.2</v>
      </c>
      <c r="L175" s="96">
        <v>0.2</v>
      </c>
      <c r="M175" s="96">
        <v>0.2</v>
      </c>
      <c r="N175" s="96">
        <v>0.2</v>
      </c>
      <c r="O175" s="96">
        <v>0.2</v>
      </c>
      <c r="P175" s="96" t="s">
        <v>251</v>
      </c>
      <c r="Q175" s="96"/>
    </row>
    <row r="176" spans="1:17" x14ac:dyDescent="0.3">
      <c r="A176" s="114"/>
      <c r="B176" s="134" t="s">
        <v>1403</v>
      </c>
      <c r="C176" s="114" t="s">
        <v>1390</v>
      </c>
      <c r="D176" s="103"/>
      <c r="E176" s="97"/>
      <c r="F176" s="97"/>
      <c r="G176" s="97"/>
      <c r="H176" s="97"/>
      <c r="I176" s="97"/>
      <c r="J176" s="97"/>
      <c r="K176" s="97"/>
      <c r="L176" s="97"/>
      <c r="M176" s="97"/>
      <c r="N176" s="97"/>
      <c r="O176" s="97"/>
      <c r="P176" s="97"/>
      <c r="Q176" s="97"/>
    </row>
    <row r="177" spans="1:17" s="94" customFormat="1" x14ac:dyDescent="0.3">
      <c r="A177" s="113"/>
      <c r="B177" s="74"/>
      <c r="C177" s="113" t="s">
        <v>1605</v>
      </c>
      <c r="D177" s="102"/>
      <c r="E177" s="96"/>
      <c r="F177" s="96"/>
      <c r="G177" s="96"/>
      <c r="H177" s="96"/>
      <c r="I177" s="96"/>
      <c r="J177" s="96"/>
      <c r="K177" s="96"/>
      <c r="L177" s="96"/>
      <c r="M177" s="96"/>
      <c r="N177" s="96"/>
      <c r="O177" s="96"/>
      <c r="P177" s="96"/>
      <c r="Q177" s="96"/>
    </row>
    <row r="178" spans="1:17" x14ac:dyDescent="0.3">
      <c r="A178" s="114"/>
      <c r="B178" s="134"/>
      <c r="C178" s="114" t="s">
        <v>35</v>
      </c>
      <c r="D178" s="103" t="s">
        <v>15</v>
      </c>
      <c r="E178" s="97"/>
      <c r="F178" s="97"/>
      <c r="G178" s="97"/>
      <c r="H178" s="97"/>
      <c r="I178" s="97"/>
      <c r="J178" s="97"/>
      <c r="K178" s="97"/>
      <c r="L178" s="97"/>
      <c r="M178" s="97"/>
      <c r="N178" s="97"/>
      <c r="O178" s="97"/>
      <c r="P178" s="97"/>
      <c r="Q178" s="97"/>
    </row>
    <row r="179" spans="1:17" x14ac:dyDescent="0.3">
      <c r="A179" s="113"/>
      <c r="B179" s="74"/>
      <c r="C179" s="113" t="s">
        <v>36</v>
      </c>
      <c r="D179" s="102"/>
      <c r="E179" s="96"/>
      <c r="F179" s="96"/>
      <c r="G179" s="96"/>
      <c r="H179" s="96"/>
      <c r="I179" s="96"/>
      <c r="J179" s="96"/>
      <c r="K179" s="96"/>
      <c r="L179" s="96"/>
      <c r="M179" s="96"/>
      <c r="N179" s="96"/>
      <c r="O179" s="96"/>
      <c r="P179" s="96"/>
      <c r="Q179" s="96"/>
    </row>
    <row r="180" spans="1:17" x14ac:dyDescent="0.3">
      <c r="A180" s="114"/>
      <c r="B180" s="134"/>
      <c r="C180" s="114" t="s">
        <v>37</v>
      </c>
      <c r="D180" s="103"/>
      <c r="E180" s="97"/>
      <c r="F180" s="97"/>
      <c r="G180" s="97"/>
      <c r="H180" s="97"/>
      <c r="I180" s="97"/>
      <c r="J180" s="97"/>
      <c r="K180" s="97"/>
      <c r="L180" s="97"/>
      <c r="M180" s="97"/>
      <c r="N180" s="97"/>
      <c r="O180" s="97"/>
      <c r="P180" s="97" t="s">
        <v>250</v>
      </c>
      <c r="Q180" s="97"/>
    </row>
    <row r="181" spans="1:17" x14ac:dyDescent="0.3">
      <c r="A181" s="113"/>
      <c r="B181" s="74"/>
      <c r="C181" s="113" t="s">
        <v>38</v>
      </c>
      <c r="D181" s="102"/>
      <c r="E181" s="96"/>
      <c r="F181" s="96"/>
      <c r="G181" s="96"/>
      <c r="H181" s="96"/>
      <c r="I181" s="96"/>
      <c r="J181" s="96"/>
      <c r="K181" s="96"/>
      <c r="L181" s="96"/>
      <c r="M181" s="96"/>
      <c r="N181" s="96"/>
      <c r="O181" s="96"/>
      <c r="P181" s="96"/>
      <c r="Q181" s="96"/>
    </row>
    <row r="182" spans="1:17" x14ac:dyDescent="0.3">
      <c r="A182" s="114"/>
      <c r="B182" s="134" t="s">
        <v>1403</v>
      </c>
      <c r="C182" s="114" t="s">
        <v>1696</v>
      </c>
      <c r="D182" s="103"/>
      <c r="E182" s="97"/>
      <c r="F182" s="97"/>
      <c r="G182" s="97"/>
      <c r="H182" s="97"/>
      <c r="I182" s="97"/>
      <c r="J182" s="97"/>
      <c r="K182" s="97"/>
      <c r="L182" s="97"/>
      <c r="M182" s="97"/>
      <c r="N182" s="97"/>
      <c r="O182" s="97"/>
      <c r="P182" s="97"/>
      <c r="Q182" s="97"/>
    </row>
    <row r="183" spans="1:17" s="94" customFormat="1" x14ac:dyDescent="0.3">
      <c r="A183" s="113"/>
      <c r="B183" s="74"/>
      <c r="C183" s="113" t="s">
        <v>1606</v>
      </c>
      <c r="D183" s="102"/>
      <c r="E183" s="96"/>
      <c r="F183" s="96"/>
      <c r="G183" s="96"/>
      <c r="H183" s="96"/>
      <c r="I183" s="96"/>
      <c r="J183" s="96"/>
      <c r="K183" s="96"/>
      <c r="L183" s="96"/>
      <c r="M183" s="96"/>
      <c r="N183" s="96"/>
      <c r="O183" s="96"/>
      <c r="P183" s="96"/>
      <c r="Q183" s="96"/>
    </row>
    <row r="184" spans="1:17" s="94" customFormat="1" x14ac:dyDescent="0.3">
      <c r="A184" s="114"/>
      <c r="B184" s="134"/>
      <c r="C184" s="114" t="s">
        <v>39</v>
      </c>
      <c r="D184" s="103"/>
      <c r="E184" s="97"/>
      <c r="F184" s="97"/>
      <c r="G184" s="97"/>
      <c r="H184" s="97"/>
      <c r="I184" s="97"/>
      <c r="J184" s="97"/>
      <c r="K184" s="97"/>
      <c r="L184" s="97"/>
      <c r="M184" s="97"/>
      <c r="N184" s="97"/>
      <c r="O184" s="97"/>
      <c r="P184" s="97"/>
      <c r="Q184" s="97"/>
    </row>
    <row r="185" spans="1:17" s="94" customFormat="1" x14ac:dyDescent="0.3">
      <c r="A185" s="113"/>
      <c r="B185" s="74"/>
      <c r="C185" s="113" t="s">
        <v>1607</v>
      </c>
      <c r="D185" s="102"/>
      <c r="E185" s="96"/>
      <c r="F185" s="96"/>
      <c r="G185" s="96"/>
      <c r="H185" s="96"/>
      <c r="I185" s="96"/>
      <c r="J185" s="96"/>
      <c r="K185" s="96"/>
      <c r="L185" s="96"/>
      <c r="M185" s="96"/>
      <c r="N185" s="96"/>
      <c r="O185" s="96"/>
      <c r="P185" s="96"/>
      <c r="Q185" s="96"/>
    </row>
    <row r="186" spans="1:17" s="94" customFormat="1" x14ac:dyDescent="0.3">
      <c r="A186" s="114"/>
      <c r="B186" s="134"/>
      <c r="C186" s="114" t="s">
        <v>1391</v>
      </c>
      <c r="D186" s="103"/>
      <c r="E186" s="97"/>
      <c r="F186" s="97"/>
      <c r="G186" s="97"/>
      <c r="H186" s="97"/>
      <c r="I186" s="97"/>
      <c r="J186" s="97"/>
      <c r="K186" s="97"/>
      <c r="L186" s="97"/>
      <c r="M186" s="97"/>
      <c r="N186" s="97"/>
      <c r="O186" s="97"/>
      <c r="P186" s="97"/>
      <c r="Q186" s="97"/>
    </row>
    <row r="187" spans="1:17" s="94" customFormat="1" x14ac:dyDescent="0.3">
      <c r="A187" s="113"/>
      <c r="B187" s="74"/>
      <c r="C187" s="113" t="s">
        <v>40</v>
      </c>
      <c r="D187" s="102"/>
      <c r="E187" s="96"/>
      <c r="F187" s="96"/>
      <c r="G187" s="96"/>
      <c r="H187" s="96"/>
      <c r="I187" s="96"/>
      <c r="J187" s="96"/>
      <c r="K187" s="96"/>
      <c r="L187" s="96"/>
      <c r="M187" s="96"/>
      <c r="N187" s="96"/>
      <c r="O187" s="96"/>
      <c r="P187" s="96"/>
      <c r="Q187" s="96"/>
    </row>
    <row r="188" spans="1:17" s="94" customFormat="1" x14ac:dyDescent="0.3">
      <c r="A188" s="114"/>
      <c r="B188" s="134"/>
      <c r="C188" s="114" t="s">
        <v>41</v>
      </c>
      <c r="D188" s="103"/>
      <c r="E188" s="97"/>
      <c r="F188" s="97"/>
      <c r="G188" s="97"/>
      <c r="H188" s="97"/>
      <c r="I188" s="97"/>
      <c r="J188" s="97"/>
      <c r="K188" s="97"/>
      <c r="L188" s="97"/>
      <c r="M188" s="97"/>
      <c r="N188" s="97"/>
      <c r="O188" s="97"/>
      <c r="P188" s="97"/>
      <c r="Q188" s="97"/>
    </row>
    <row r="189" spans="1:17" s="94" customFormat="1" x14ac:dyDescent="0.3">
      <c r="A189" s="113"/>
      <c r="B189" s="74"/>
      <c r="C189" s="113" t="s">
        <v>42</v>
      </c>
      <c r="D189" s="102">
        <v>1</v>
      </c>
      <c r="E189" s="96"/>
      <c r="F189" s="96"/>
      <c r="G189" s="96"/>
      <c r="H189" s="96"/>
      <c r="I189" s="96"/>
      <c r="J189" s="96"/>
      <c r="K189" s="96"/>
      <c r="L189" s="96"/>
      <c r="M189" s="96"/>
      <c r="N189" s="96"/>
      <c r="O189" s="96"/>
      <c r="P189" s="96"/>
      <c r="Q189" s="96"/>
    </row>
    <row r="190" spans="1:17" x14ac:dyDescent="0.3">
      <c r="A190" s="114"/>
      <c r="B190" s="134"/>
      <c r="C190" s="114" t="s">
        <v>43</v>
      </c>
      <c r="D190" s="119"/>
      <c r="E190" s="97"/>
      <c r="F190" s="97"/>
      <c r="G190" s="97"/>
      <c r="H190" s="97"/>
      <c r="I190" s="97"/>
      <c r="J190" s="97"/>
      <c r="K190" s="97"/>
      <c r="L190" s="97"/>
      <c r="M190" s="97"/>
      <c r="N190" s="97"/>
      <c r="O190" s="97"/>
      <c r="P190" s="97"/>
      <c r="Q190" s="97"/>
    </row>
    <row r="191" spans="1:17" x14ac:dyDescent="0.3">
      <c r="A191" s="113"/>
      <c r="B191" s="74"/>
      <c r="C191" s="113" t="s">
        <v>11</v>
      </c>
      <c r="D191" s="102">
        <v>1</v>
      </c>
      <c r="E191" s="96"/>
      <c r="F191" s="96"/>
      <c r="G191" s="96"/>
      <c r="H191" s="96"/>
      <c r="I191" s="96"/>
      <c r="J191" s="96"/>
      <c r="K191" s="96"/>
      <c r="L191" s="96"/>
      <c r="M191" s="96"/>
      <c r="N191" s="96"/>
      <c r="O191" s="96"/>
      <c r="P191" s="96" t="s">
        <v>257</v>
      </c>
      <c r="Q191" s="96"/>
    </row>
    <row r="192" spans="1:17" x14ac:dyDescent="0.3">
      <c r="A192" s="114"/>
      <c r="B192" s="134"/>
      <c r="C192" s="114" t="s">
        <v>44</v>
      </c>
      <c r="D192" s="103"/>
      <c r="E192" s="97"/>
      <c r="F192" s="97"/>
      <c r="G192" s="97"/>
      <c r="H192" s="97"/>
      <c r="I192" s="97"/>
      <c r="J192" s="97"/>
      <c r="K192" s="97"/>
      <c r="L192" s="97"/>
      <c r="M192" s="97"/>
      <c r="N192" s="97"/>
      <c r="O192" s="97"/>
      <c r="P192" s="97"/>
      <c r="Q192" s="97"/>
    </row>
    <row r="193" spans="1:17" x14ac:dyDescent="0.3">
      <c r="A193" s="115"/>
      <c r="B193" s="133"/>
      <c r="C193" s="115" t="s">
        <v>1524</v>
      </c>
      <c r="D193" s="105"/>
      <c r="E193" s="98"/>
      <c r="F193" s="98"/>
      <c r="G193" s="98"/>
      <c r="H193" s="98"/>
      <c r="I193" s="98"/>
      <c r="J193" s="98"/>
      <c r="K193" s="98"/>
      <c r="L193" s="98"/>
      <c r="M193" s="98"/>
      <c r="N193" s="98"/>
      <c r="O193" s="98"/>
      <c r="P193" s="98"/>
      <c r="Q193" s="98"/>
    </row>
    <row r="194" spans="1:17" s="94" customFormat="1" x14ac:dyDescent="0.3">
      <c r="A194" s="113"/>
      <c r="B194" s="74" t="s">
        <v>1403</v>
      </c>
      <c r="C194" s="113" t="s">
        <v>1391</v>
      </c>
      <c r="D194" s="125" t="s">
        <v>1527</v>
      </c>
      <c r="E194" s="96"/>
      <c r="F194" s="96"/>
      <c r="G194" s="96"/>
      <c r="H194" s="96"/>
      <c r="I194" s="96"/>
      <c r="J194" s="96"/>
      <c r="K194" s="96"/>
      <c r="L194" s="96"/>
      <c r="M194" s="96"/>
      <c r="N194" s="96"/>
      <c r="O194" s="96"/>
      <c r="P194" s="96"/>
      <c r="Q194" s="96"/>
    </row>
    <row r="195" spans="1:17" x14ac:dyDescent="0.3">
      <c r="A195" s="114"/>
      <c r="B195" s="134" t="s">
        <v>1403</v>
      </c>
      <c r="C195" s="114" t="s">
        <v>39</v>
      </c>
      <c r="D195" s="103"/>
      <c r="E195" s="97"/>
      <c r="F195" s="97"/>
      <c r="G195" s="97"/>
      <c r="H195" s="97"/>
      <c r="I195" s="97"/>
      <c r="J195" s="97"/>
      <c r="K195" s="97"/>
      <c r="L195" s="97"/>
      <c r="M195" s="97"/>
      <c r="N195" s="97"/>
      <c r="O195" s="97"/>
      <c r="P195" s="97" t="s">
        <v>252</v>
      </c>
      <c r="Q195" s="97"/>
    </row>
    <row r="196" spans="1:17" x14ac:dyDescent="0.3">
      <c r="A196" s="113"/>
      <c r="B196" s="74" t="s">
        <v>1403</v>
      </c>
      <c r="C196" s="113" t="s">
        <v>1607</v>
      </c>
      <c r="D196" s="102"/>
      <c r="E196" s="96"/>
      <c r="F196" s="96"/>
      <c r="G196" s="96"/>
      <c r="H196" s="96"/>
      <c r="I196" s="96"/>
      <c r="J196" s="96"/>
      <c r="K196" s="96"/>
      <c r="L196" s="96"/>
      <c r="M196" s="96"/>
      <c r="N196" s="96"/>
      <c r="O196" s="96"/>
      <c r="P196" s="96" t="s">
        <v>253</v>
      </c>
      <c r="Q196" s="96"/>
    </row>
    <row r="197" spans="1:17" s="94" customFormat="1" x14ac:dyDescent="0.3">
      <c r="A197" s="114"/>
      <c r="B197" s="134" t="s">
        <v>1403</v>
      </c>
      <c r="C197" s="114" t="s">
        <v>1697</v>
      </c>
      <c r="D197" s="103"/>
      <c r="E197" s="97"/>
      <c r="F197" s="97"/>
      <c r="G197" s="97"/>
      <c r="H197" s="97"/>
      <c r="I197" s="97"/>
      <c r="J197" s="97"/>
      <c r="K197" s="97"/>
      <c r="L197" s="97"/>
      <c r="M197" s="97"/>
      <c r="N197" s="97"/>
      <c r="O197" s="97"/>
      <c r="P197" s="97" t="s">
        <v>253</v>
      </c>
      <c r="Q197" s="97"/>
    </row>
    <row r="198" spans="1:17" s="94" customFormat="1" x14ac:dyDescent="0.3">
      <c r="A198" s="113"/>
      <c r="B198" s="74" t="s">
        <v>1403</v>
      </c>
      <c r="C198" s="113" t="s">
        <v>40</v>
      </c>
      <c r="D198" s="102">
        <v>0.2</v>
      </c>
      <c r="E198" s="96"/>
      <c r="F198" s="96"/>
      <c r="G198" s="96"/>
      <c r="H198" s="96"/>
      <c r="I198" s="96"/>
      <c r="J198" s="96"/>
      <c r="K198" s="96"/>
      <c r="L198" s="96"/>
      <c r="M198" s="96"/>
      <c r="N198" s="96"/>
      <c r="O198" s="96"/>
      <c r="P198" s="96" t="s">
        <v>253</v>
      </c>
      <c r="Q198" s="96"/>
    </row>
    <row r="199" spans="1:17" x14ac:dyDescent="0.3">
      <c r="A199" s="114"/>
      <c r="B199" s="134" t="s">
        <v>1403</v>
      </c>
      <c r="C199" s="114" t="s">
        <v>41</v>
      </c>
      <c r="D199" s="103"/>
      <c r="E199" s="97"/>
      <c r="F199" s="97"/>
      <c r="G199" s="97"/>
      <c r="H199" s="97"/>
      <c r="I199" s="97"/>
      <c r="J199" s="97"/>
      <c r="K199" s="97"/>
      <c r="L199" s="97"/>
      <c r="M199" s="97"/>
      <c r="N199" s="97"/>
      <c r="O199" s="97"/>
      <c r="P199" s="97" t="s">
        <v>254</v>
      </c>
      <c r="Q199" s="97"/>
    </row>
    <row r="200" spans="1:17" s="94" customFormat="1" x14ac:dyDescent="0.3">
      <c r="A200" s="113"/>
      <c r="B200" s="74" t="s">
        <v>1403</v>
      </c>
      <c r="C200" s="113" t="s">
        <v>1667</v>
      </c>
      <c r="D200" s="102"/>
      <c r="E200" s="96"/>
      <c r="F200" s="96"/>
      <c r="G200" s="96"/>
      <c r="H200" s="96"/>
      <c r="I200" s="96"/>
      <c r="J200" s="96"/>
      <c r="K200" s="96"/>
      <c r="L200" s="96"/>
      <c r="M200" s="96"/>
      <c r="N200" s="96"/>
      <c r="O200" s="96"/>
      <c r="P200" s="96" t="s">
        <v>254</v>
      </c>
      <c r="Q200" s="96"/>
    </row>
    <row r="201" spans="1:17" s="94" customFormat="1" x14ac:dyDescent="0.3">
      <c r="A201" s="114"/>
      <c r="B201" s="134" t="s">
        <v>1403</v>
      </c>
      <c r="C201" s="114" t="s">
        <v>1668</v>
      </c>
      <c r="D201" s="103"/>
      <c r="E201" s="97"/>
      <c r="F201" s="97"/>
      <c r="G201" s="97"/>
      <c r="H201" s="97"/>
      <c r="I201" s="97"/>
      <c r="J201" s="97"/>
      <c r="K201" s="97"/>
      <c r="L201" s="97"/>
      <c r="M201" s="97"/>
      <c r="N201" s="97"/>
      <c r="O201" s="97"/>
      <c r="P201" s="97" t="s">
        <v>254</v>
      </c>
      <c r="Q201" s="97"/>
    </row>
    <row r="202" spans="1:17" x14ac:dyDescent="0.3">
      <c r="A202" s="115" t="s">
        <v>221</v>
      </c>
      <c r="B202" s="133"/>
      <c r="C202" s="115" t="s">
        <v>399</v>
      </c>
      <c r="D202" s="105"/>
      <c r="E202" s="98"/>
      <c r="F202" s="98"/>
      <c r="G202" s="98"/>
      <c r="H202" s="98"/>
      <c r="I202" s="98"/>
      <c r="J202" s="98"/>
      <c r="K202" s="98"/>
      <c r="L202" s="98"/>
      <c r="M202" s="98"/>
      <c r="N202" s="98"/>
      <c r="O202" s="98"/>
      <c r="P202" s="98"/>
      <c r="Q202" s="98"/>
    </row>
    <row r="203" spans="1:17" x14ac:dyDescent="0.3">
      <c r="A203" s="116"/>
      <c r="B203" s="132"/>
      <c r="C203" s="116" t="s">
        <v>415</v>
      </c>
      <c r="D203" s="106" t="str">
        <f>UPPER(D2)</f>
        <v>ABS</v>
      </c>
      <c r="E203" s="100">
        <f t="shared" ref="E203:O203" si="3">IF(SpeedType &lt;&gt; "ForceVolumetric",E$251, IFERROR(E$252/((Nozzle_Diameter*1.2)*E$1),0))</f>
        <v>0</v>
      </c>
      <c r="F203" s="100">
        <f t="shared" si="3"/>
        <v>0</v>
      </c>
      <c r="G203" s="100">
        <f t="shared" si="3"/>
        <v>0</v>
      </c>
      <c r="H203" s="100">
        <f t="shared" si="3"/>
        <v>0</v>
      </c>
      <c r="I203" s="100">
        <f t="shared" si="3"/>
        <v>0</v>
      </c>
      <c r="J203" s="100">
        <f t="shared" si="3"/>
        <v>0</v>
      </c>
      <c r="K203" s="100">
        <f t="shared" si="3"/>
        <v>0</v>
      </c>
      <c r="L203" s="100">
        <f t="shared" si="3"/>
        <v>0</v>
      </c>
      <c r="M203" s="100">
        <f t="shared" si="3"/>
        <v>0</v>
      </c>
      <c r="N203" s="100">
        <f t="shared" si="3"/>
        <v>0</v>
      </c>
      <c r="O203" s="100">
        <f t="shared" si="3"/>
        <v>0</v>
      </c>
      <c r="P203" s="99"/>
      <c r="Q203" s="99"/>
    </row>
    <row r="204" spans="1:17" x14ac:dyDescent="0.3">
      <c r="A204" s="113"/>
      <c r="B204" s="74"/>
      <c r="C204" s="113" t="s">
        <v>45</v>
      </c>
      <c r="D204" s="102" t="str">
        <f>GetSpecSpeed($C204,D$1)</f>
        <v>100</v>
      </c>
      <c r="E204" s="111" t="str">
        <f t="shared" ref="E204:O204" si="4">GetSpecSpeed($C204,E$1)</f>
        <v/>
      </c>
      <c r="F204" s="111" t="str">
        <f t="shared" si="4"/>
        <v/>
      </c>
      <c r="G204" s="111" t="str">
        <f t="shared" si="4"/>
        <v/>
      </c>
      <c r="H204" s="111" t="str">
        <f t="shared" si="4"/>
        <v/>
      </c>
      <c r="I204" s="111" t="str">
        <f t="shared" si="4"/>
        <v/>
      </c>
      <c r="J204" s="111" t="str">
        <f t="shared" si="4"/>
        <v/>
      </c>
      <c r="K204" s="111" t="str">
        <f t="shared" si="4"/>
        <v/>
      </c>
      <c r="L204" s="111" t="str">
        <f t="shared" si="4"/>
        <v/>
      </c>
      <c r="M204" s="111" t="str">
        <f t="shared" si="4"/>
        <v/>
      </c>
      <c r="N204" s="111" t="str">
        <f t="shared" si="4"/>
        <v/>
      </c>
      <c r="O204" s="111" t="str">
        <f t="shared" si="4"/>
        <v/>
      </c>
      <c r="P204" s="96"/>
      <c r="Q204" s="96"/>
    </row>
    <row r="205" spans="1:17" x14ac:dyDescent="0.3">
      <c r="A205" s="114"/>
      <c r="B205" s="134"/>
      <c r="C205" s="114" t="s">
        <v>46</v>
      </c>
      <c r="D205" s="103" t="str">
        <f t="shared" ref="D205:O219" si="5">GetSpecSpeed($C205,D$1)</f>
        <v>40</v>
      </c>
      <c r="E205" s="122" t="str">
        <f t="shared" si="5"/>
        <v/>
      </c>
      <c r="F205" s="122" t="str">
        <f t="shared" si="5"/>
        <v/>
      </c>
      <c r="G205" s="122" t="str">
        <f t="shared" si="5"/>
        <v/>
      </c>
      <c r="H205" s="122" t="str">
        <f t="shared" si="5"/>
        <v/>
      </c>
      <c r="I205" s="122" t="str">
        <f t="shared" si="5"/>
        <v/>
      </c>
      <c r="J205" s="122" t="str">
        <f t="shared" si="5"/>
        <v/>
      </c>
      <c r="K205" s="122" t="str">
        <f t="shared" si="5"/>
        <v/>
      </c>
      <c r="L205" s="122" t="str">
        <f t="shared" si="5"/>
        <v/>
      </c>
      <c r="M205" s="122" t="str">
        <f t="shared" si="5"/>
        <v/>
      </c>
      <c r="N205" s="122" t="str">
        <f t="shared" si="5"/>
        <v/>
      </c>
      <c r="O205" s="122" t="str">
        <f t="shared" si="5"/>
        <v/>
      </c>
      <c r="P205" s="97"/>
      <c r="Q205" s="97"/>
    </row>
    <row r="206" spans="1:17" x14ac:dyDescent="0.3">
      <c r="A206" s="113"/>
      <c r="B206" s="74"/>
      <c r="C206" s="113" t="s">
        <v>47</v>
      </c>
      <c r="D206" s="102" t="str">
        <f t="shared" si="5"/>
        <v>50</v>
      </c>
      <c r="E206" s="111" t="str">
        <f t="shared" si="5"/>
        <v/>
      </c>
      <c r="F206" s="111" t="str">
        <f t="shared" si="5"/>
        <v/>
      </c>
      <c r="G206" s="111" t="str">
        <f t="shared" si="5"/>
        <v/>
      </c>
      <c r="H206" s="111" t="str">
        <f t="shared" si="5"/>
        <v/>
      </c>
      <c r="I206" s="111" t="str">
        <f t="shared" si="5"/>
        <v/>
      </c>
      <c r="J206" s="111" t="str">
        <f t="shared" si="5"/>
        <v/>
      </c>
      <c r="K206" s="111" t="str">
        <f t="shared" si="5"/>
        <v/>
      </c>
      <c r="L206" s="111" t="str">
        <f t="shared" si="5"/>
        <v/>
      </c>
      <c r="M206" s="111" t="str">
        <f t="shared" si="5"/>
        <v/>
      </c>
      <c r="N206" s="111" t="str">
        <f t="shared" si="5"/>
        <v/>
      </c>
      <c r="O206" s="111" t="str">
        <f t="shared" si="5"/>
        <v/>
      </c>
      <c r="P206" s="96" t="s">
        <v>1123</v>
      </c>
      <c r="Q206" s="96"/>
    </row>
    <row r="207" spans="1:17" x14ac:dyDescent="0.3">
      <c r="A207" s="114"/>
      <c r="B207" s="134"/>
      <c r="C207" s="114" t="s">
        <v>48</v>
      </c>
      <c r="D207" s="103" t="str">
        <f t="shared" si="5"/>
        <v>125</v>
      </c>
      <c r="E207" s="122" t="str">
        <f t="shared" si="5"/>
        <v/>
      </c>
      <c r="F207" s="122" t="str">
        <f t="shared" si="5"/>
        <v/>
      </c>
      <c r="G207" s="122" t="str">
        <f t="shared" si="5"/>
        <v/>
      </c>
      <c r="H207" s="122" t="str">
        <f t="shared" si="5"/>
        <v/>
      </c>
      <c r="I207" s="122" t="str">
        <f t="shared" si="5"/>
        <v/>
      </c>
      <c r="J207" s="122" t="str">
        <f t="shared" si="5"/>
        <v/>
      </c>
      <c r="K207" s="122" t="str">
        <f t="shared" si="5"/>
        <v/>
      </c>
      <c r="L207" s="122" t="str">
        <f t="shared" si="5"/>
        <v/>
      </c>
      <c r="M207" s="122" t="str">
        <f t="shared" si="5"/>
        <v/>
      </c>
      <c r="N207" s="122" t="str">
        <f t="shared" si="5"/>
        <v/>
      </c>
      <c r="O207" s="122" t="str">
        <f t="shared" si="5"/>
        <v/>
      </c>
      <c r="P207" s="97"/>
      <c r="Q207" s="97"/>
    </row>
    <row r="208" spans="1:17" x14ac:dyDescent="0.3">
      <c r="A208" s="113"/>
      <c r="B208" s="74"/>
      <c r="C208" s="113" t="s">
        <v>49</v>
      </c>
      <c r="D208" s="102" t="str">
        <f t="shared" si="5"/>
        <v>120</v>
      </c>
      <c r="E208" s="111" t="str">
        <f t="shared" si="5"/>
        <v/>
      </c>
      <c r="F208" s="111" t="str">
        <f t="shared" si="5"/>
        <v/>
      </c>
      <c r="G208" s="111" t="str">
        <f t="shared" si="5"/>
        <v/>
      </c>
      <c r="H208" s="111" t="str">
        <f t="shared" si="5"/>
        <v/>
      </c>
      <c r="I208" s="111" t="str">
        <f t="shared" si="5"/>
        <v/>
      </c>
      <c r="J208" s="111" t="str">
        <f t="shared" si="5"/>
        <v/>
      </c>
      <c r="K208" s="111" t="str">
        <f t="shared" si="5"/>
        <v/>
      </c>
      <c r="L208" s="111" t="str">
        <f t="shared" si="5"/>
        <v/>
      </c>
      <c r="M208" s="111" t="str">
        <f t="shared" si="5"/>
        <v/>
      </c>
      <c r="N208" s="111" t="str">
        <f t="shared" si="5"/>
        <v/>
      </c>
      <c r="O208" s="111" t="str">
        <f t="shared" si="5"/>
        <v/>
      </c>
      <c r="P208" s="96"/>
      <c r="Q208" s="96"/>
    </row>
    <row r="209" spans="1:17" x14ac:dyDescent="0.3">
      <c r="A209" s="114"/>
      <c r="B209" s="134"/>
      <c r="C209" s="114" t="s">
        <v>50</v>
      </c>
      <c r="D209" s="103" t="str">
        <f t="shared" si="5"/>
        <v>50</v>
      </c>
      <c r="E209" s="122" t="str">
        <f t="shared" si="5"/>
        <v/>
      </c>
      <c r="F209" s="122" t="str">
        <f t="shared" si="5"/>
        <v/>
      </c>
      <c r="G209" s="122" t="str">
        <f t="shared" si="5"/>
        <v/>
      </c>
      <c r="H209" s="122" t="str">
        <f t="shared" si="5"/>
        <v/>
      </c>
      <c r="I209" s="122" t="str">
        <f t="shared" si="5"/>
        <v/>
      </c>
      <c r="J209" s="122" t="str">
        <f t="shared" si="5"/>
        <v/>
      </c>
      <c r="K209" s="122" t="str">
        <f t="shared" si="5"/>
        <v/>
      </c>
      <c r="L209" s="122" t="str">
        <f t="shared" si="5"/>
        <v/>
      </c>
      <c r="M209" s="122" t="str">
        <f t="shared" si="5"/>
        <v/>
      </c>
      <c r="N209" s="122" t="str">
        <f t="shared" si="5"/>
        <v/>
      </c>
      <c r="O209" s="122" t="str">
        <f t="shared" si="5"/>
        <v/>
      </c>
      <c r="P209" s="97"/>
      <c r="Q209" s="97"/>
    </row>
    <row r="210" spans="1:17" x14ac:dyDescent="0.3">
      <c r="A210" s="113"/>
      <c r="B210" s="74"/>
      <c r="C210" s="113" t="s">
        <v>51</v>
      </c>
      <c r="D210" s="102" t="str">
        <f t="shared" si="5"/>
        <v>90</v>
      </c>
      <c r="E210" s="111" t="str">
        <f t="shared" si="5"/>
        <v/>
      </c>
      <c r="F210" s="111" t="str">
        <f t="shared" si="5"/>
        <v/>
      </c>
      <c r="G210" s="111" t="str">
        <f t="shared" si="5"/>
        <v/>
      </c>
      <c r="H210" s="111" t="str">
        <f t="shared" si="5"/>
        <v/>
      </c>
      <c r="I210" s="111" t="str">
        <f t="shared" si="5"/>
        <v/>
      </c>
      <c r="J210" s="111" t="str">
        <f t="shared" si="5"/>
        <v/>
      </c>
      <c r="K210" s="111" t="str">
        <f t="shared" si="5"/>
        <v/>
      </c>
      <c r="L210" s="111" t="str">
        <f t="shared" si="5"/>
        <v/>
      </c>
      <c r="M210" s="111" t="str">
        <f t="shared" si="5"/>
        <v/>
      </c>
      <c r="N210" s="111" t="str">
        <f t="shared" si="5"/>
        <v/>
      </c>
      <c r="O210" s="111" t="str">
        <f t="shared" si="5"/>
        <v/>
      </c>
      <c r="P210" s="96"/>
      <c r="Q210" s="96"/>
    </row>
    <row r="211" spans="1:17" x14ac:dyDescent="0.3">
      <c r="A211" s="114"/>
      <c r="B211" s="134"/>
      <c r="C211" s="114" t="s">
        <v>52</v>
      </c>
      <c r="D211" s="103" t="str">
        <f t="shared" si="5"/>
        <v>70</v>
      </c>
      <c r="E211" s="122" t="str">
        <f t="shared" si="5"/>
        <v/>
      </c>
      <c r="F211" s="122" t="str">
        <f t="shared" si="5"/>
        <v/>
      </c>
      <c r="G211" s="122" t="str">
        <f t="shared" si="5"/>
        <v/>
      </c>
      <c r="H211" s="122" t="str">
        <f t="shared" si="5"/>
        <v/>
      </c>
      <c r="I211" s="122" t="str">
        <f t="shared" si="5"/>
        <v/>
      </c>
      <c r="J211" s="122" t="str">
        <f t="shared" si="5"/>
        <v/>
      </c>
      <c r="K211" s="122" t="str">
        <f t="shared" si="5"/>
        <v/>
      </c>
      <c r="L211" s="122" t="str">
        <f t="shared" si="5"/>
        <v/>
      </c>
      <c r="M211" s="122" t="str">
        <f t="shared" si="5"/>
        <v/>
      </c>
      <c r="N211" s="122" t="str">
        <f t="shared" si="5"/>
        <v/>
      </c>
      <c r="O211" s="122" t="str">
        <f t="shared" si="5"/>
        <v/>
      </c>
      <c r="P211" s="97"/>
      <c r="Q211" s="97"/>
    </row>
    <row r="212" spans="1:17" x14ac:dyDescent="0.3">
      <c r="A212" s="113"/>
      <c r="B212" s="74"/>
      <c r="C212" s="113" t="s">
        <v>53</v>
      </c>
      <c r="D212" s="102" t="str">
        <f t="shared" si="5"/>
        <v>60</v>
      </c>
      <c r="E212" s="111" t="str">
        <f t="shared" si="5"/>
        <v/>
      </c>
      <c r="F212" s="111" t="str">
        <f t="shared" si="5"/>
        <v/>
      </c>
      <c r="G212" s="111" t="str">
        <f t="shared" si="5"/>
        <v/>
      </c>
      <c r="H212" s="111" t="str">
        <f t="shared" si="5"/>
        <v/>
      </c>
      <c r="I212" s="111" t="str">
        <f t="shared" si="5"/>
        <v/>
      </c>
      <c r="J212" s="111" t="str">
        <f t="shared" si="5"/>
        <v/>
      </c>
      <c r="K212" s="111" t="str">
        <f t="shared" si="5"/>
        <v/>
      </c>
      <c r="L212" s="111" t="str">
        <f t="shared" si="5"/>
        <v/>
      </c>
      <c r="M212" s="111" t="str">
        <f t="shared" si="5"/>
        <v/>
      </c>
      <c r="N212" s="111" t="str">
        <f t="shared" si="5"/>
        <v/>
      </c>
      <c r="O212" s="111" t="str">
        <f t="shared" si="5"/>
        <v/>
      </c>
      <c r="P212" s="96"/>
      <c r="Q212" s="96"/>
    </row>
    <row r="213" spans="1:17" x14ac:dyDescent="0.3">
      <c r="A213" s="114"/>
      <c r="B213" s="134" t="s">
        <v>1403</v>
      </c>
      <c r="C213" s="114" t="s">
        <v>1490</v>
      </c>
      <c r="D213" s="103" t="str">
        <f t="shared" si="5"/>
        <v/>
      </c>
      <c r="E213" s="122" t="str">
        <f t="shared" si="5"/>
        <v/>
      </c>
      <c r="F213" s="122" t="str">
        <f t="shared" si="5"/>
        <v/>
      </c>
      <c r="G213" s="122" t="str">
        <f t="shared" si="5"/>
        <v/>
      </c>
      <c r="H213" s="122" t="str">
        <f t="shared" si="5"/>
        <v/>
      </c>
      <c r="I213" s="122" t="str">
        <f t="shared" si="5"/>
        <v/>
      </c>
      <c r="J213" s="122" t="str">
        <f t="shared" si="5"/>
        <v/>
      </c>
      <c r="K213" s="122" t="str">
        <f t="shared" si="5"/>
        <v/>
      </c>
      <c r="L213" s="122" t="str">
        <f t="shared" si="5"/>
        <v/>
      </c>
      <c r="M213" s="122" t="str">
        <f t="shared" si="5"/>
        <v/>
      </c>
      <c r="N213" s="122" t="str">
        <f t="shared" si="5"/>
        <v/>
      </c>
      <c r="O213" s="122" t="str">
        <f t="shared" si="5"/>
        <v/>
      </c>
      <c r="P213" s="97"/>
      <c r="Q213" s="97"/>
    </row>
    <row r="214" spans="1:17" x14ac:dyDescent="0.3">
      <c r="A214" s="113"/>
      <c r="B214" s="74" t="s">
        <v>1403</v>
      </c>
      <c r="C214" s="113" t="s">
        <v>1505</v>
      </c>
      <c r="D214" s="102" t="str">
        <f t="shared" si="5"/>
        <v/>
      </c>
      <c r="E214" s="111" t="str">
        <f t="shared" si="5"/>
        <v/>
      </c>
      <c r="F214" s="111" t="str">
        <f t="shared" si="5"/>
        <v/>
      </c>
      <c r="G214" s="111" t="str">
        <f t="shared" si="5"/>
        <v/>
      </c>
      <c r="H214" s="111" t="str">
        <f t="shared" si="5"/>
        <v/>
      </c>
      <c r="I214" s="111" t="str">
        <f t="shared" si="5"/>
        <v/>
      </c>
      <c r="J214" s="111" t="str">
        <f t="shared" si="5"/>
        <v/>
      </c>
      <c r="K214" s="111" t="str">
        <f t="shared" si="5"/>
        <v/>
      </c>
      <c r="L214" s="111" t="str">
        <f t="shared" si="5"/>
        <v/>
      </c>
      <c r="M214" s="111" t="str">
        <f t="shared" si="5"/>
        <v/>
      </c>
      <c r="N214" s="111" t="str">
        <f t="shared" si="5"/>
        <v/>
      </c>
      <c r="O214" s="111" t="str">
        <f t="shared" si="5"/>
        <v/>
      </c>
      <c r="P214" s="96"/>
      <c r="Q214" s="96"/>
    </row>
    <row r="215" spans="1:17" x14ac:dyDescent="0.3">
      <c r="A215" s="114"/>
      <c r="B215" s="134" t="s">
        <v>1403</v>
      </c>
      <c r="C215" s="114" t="s">
        <v>1398</v>
      </c>
      <c r="D215" s="103" t="str">
        <f t="shared" si="5"/>
        <v>30</v>
      </c>
      <c r="E215" s="122" t="str">
        <f t="shared" si="5"/>
        <v/>
      </c>
      <c r="F215" s="122" t="str">
        <f t="shared" si="5"/>
        <v/>
      </c>
      <c r="G215" s="122" t="str">
        <f t="shared" si="5"/>
        <v/>
      </c>
      <c r="H215" s="122" t="str">
        <f t="shared" si="5"/>
        <v/>
      </c>
      <c r="I215" s="122" t="str">
        <f t="shared" si="5"/>
        <v/>
      </c>
      <c r="J215" s="122" t="str">
        <f t="shared" si="5"/>
        <v/>
      </c>
      <c r="K215" s="122" t="str">
        <f t="shared" si="5"/>
        <v/>
      </c>
      <c r="L215" s="122" t="str">
        <f t="shared" si="5"/>
        <v/>
      </c>
      <c r="M215" s="122" t="str">
        <f t="shared" si="5"/>
        <v/>
      </c>
      <c r="N215" s="122" t="str">
        <f t="shared" si="5"/>
        <v/>
      </c>
      <c r="O215" s="122" t="str">
        <f t="shared" si="5"/>
        <v/>
      </c>
      <c r="P215" s="97"/>
      <c r="Q215" s="97"/>
    </row>
    <row r="216" spans="1:17" x14ac:dyDescent="0.3">
      <c r="A216" s="113"/>
      <c r="B216" s="74"/>
      <c r="C216" s="113" t="s">
        <v>54</v>
      </c>
      <c r="D216" s="102" t="str">
        <f t="shared" si="5"/>
        <v>40</v>
      </c>
      <c r="E216" s="111" t="str">
        <f t="shared" si="5"/>
        <v/>
      </c>
      <c r="F216" s="111" t="str">
        <f t="shared" si="5"/>
        <v/>
      </c>
      <c r="G216" s="111" t="str">
        <f t="shared" si="5"/>
        <v/>
      </c>
      <c r="H216" s="111" t="str">
        <f t="shared" si="5"/>
        <v/>
      </c>
      <c r="I216" s="111" t="str">
        <f t="shared" si="5"/>
        <v/>
      </c>
      <c r="J216" s="111" t="str">
        <f t="shared" si="5"/>
        <v/>
      </c>
      <c r="K216" s="111" t="str">
        <f t="shared" si="5"/>
        <v/>
      </c>
      <c r="L216" s="111" t="str">
        <f t="shared" si="5"/>
        <v/>
      </c>
      <c r="M216" s="111" t="str">
        <f t="shared" si="5"/>
        <v/>
      </c>
      <c r="N216" s="111" t="str">
        <f t="shared" si="5"/>
        <v/>
      </c>
      <c r="O216" s="111" t="str">
        <f t="shared" si="5"/>
        <v/>
      </c>
      <c r="P216" s="96"/>
      <c r="Q216" s="96"/>
    </row>
    <row r="217" spans="1:17" x14ac:dyDescent="0.3">
      <c r="A217" s="114"/>
      <c r="B217" s="134"/>
      <c r="C217" s="114" t="s">
        <v>1299</v>
      </c>
      <c r="D217" s="103" t="str">
        <f t="shared" si="5"/>
        <v>15</v>
      </c>
      <c r="E217" s="103" t="str">
        <f t="shared" si="5"/>
        <v/>
      </c>
      <c r="F217" s="103" t="str">
        <f t="shared" si="5"/>
        <v/>
      </c>
      <c r="G217" s="103" t="str">
        <f t="shared" si="5"/>
        <v/>
      </c>
      <c r="H217" s="103" t="str">
        <f t="shared" si="5"/>
        <v/>
      </c>
      <c r="I217" s="103" t="str">
        <f t="shared" si="5"/>
        <v/>
      </c>
      <c r="J217" s="103" t="str">
        <f t="shared" si="5"/>
        <v/>
      </c>
      <c r="K217" s="103" t="str">
        <f t="shared" si="5"/>
        <v/>
      </c>
      <c r="L217" s="103" t="str">
        <f t="shared" si="5"/>
        <v/>
      </c>
      <c r="M217" s="103" t="str">
        <f t="shared" si="5"/>
        <v/>
      </c>
      <c r="N217" s="103" t="str">
        <f t="shared" si="5"/>
        <v/>
      </c>
      <c r="O217" s="103" t="str">
        <f t="shared" si="5"/>
        <v/>
      </c>
      <c r="P217" s="97"/>
      <c r="Q217" s="97"/>
    </row>
    <row r="218" spans="1:17" s="94" customFormat="1" x14ac:dyDescent="0.3">
      <c r="A218" s="113"/>
      <c r="B218" s="74" t="s">
        <v>1403</v>
      </c>
      <c r="C218" s="113" t="s">
        <v>1669</v>
      </c>
      <c r="D218" s="102"/>
      <c r="E218" s="102"/>
      <c r="F218" s="102"/>
      <c r="G218" s="102"/>
      <c r="H218" s="102"/>
      <c r="I218" s="102"/>
      <c r="J218" s="102"/>
      <c r="K218" s="102"/>
      <c r="L218" s="102"/>
      <c r="M218" s="102"/>
      <c r="N218" s="102"/>
      <c r="O218" s="102"/>
      <c r="P218" s="96"/>
      <c r="Q218" s="96"/>
    </row>
    <row r="219" spans="1:17" s="94" customFormat="1" x14ac:dyDescent="0.3">
      <c r="A219" s="114"/>
      <c r="B219" s="134" t="s">
        <v>1403</v>
      </c>
      <c r="C219" s="114" t="s">
        <v>1691</v>
      </c>
      <c r="D219" s="103"/>
      <c r="E219" s="103" t="str">
        <f t="shared" si="5"/>
        <v/>
      </c>
      <c r="F219" s="103" t="str">
        <f t="shared" si="5"/>
        <v/>
      </c>
      <c r="G219" s="103" t="str">
        <f t="shared" si="5"/>
        <v/>
      </c>
      <c r="H219" s="103" t="str">
        <f t="shared" si="5"/>
        <v/>
      </c>
      <c r="I219" s="103" t="str">
        <f t="shared" si="5"/>
        <v/>
      </c>
      <c r="J219" s="103" t="str">
        <f t="shared" si="5"/>
        <v/>
      </c>
      <c r="K219" s="103" t="str">
        <f t="shared" si="5"/>
        <v/>
      </c>
      <c r="L219" s="103" t="str">
        <f t="shared" si="5"/>
        <v/>
      </c>
      <c r="M219" s="103" t="str">
        <f t="shared" si="5"/>
        <v/>
      </c>
      <c r="N219" s="103" t="str">
        <f t="shared" si="5"/>
        <v/>
      </c>
      <c r="O219" s="103" t="str">
        <f t="shared" si="5"/>
        <v/>
      </c>
      <c r="P219" s="97"/>
      <c r="Q219" s="97"/>
    </row>
    <row r="220" spans="1:17" x14ac:dyDescent="0.3">
      <c r="A220" s="115"/>
      <c r="B220" s="133"/>
      <c r="C220" s="115" t="s">
        <v>400</v>
      </c>
      <c r="D220" s="105"/>
      <c r="E220" s="98"/>
      <c r="F220" s="98"/>
      <c r="G220" s="98"/>
      <c r="H220" s="98"/>
      <c r="I220" s="98"/>
      <c r="J220" s="98"/>
      <c r="K220" s="98"/>
      <c r="L220" s="98"/>
      <c r="M220" s="98"/>
      <c r="N220" s="98"/>
      <c r="O220" s="98"/>
      <c r="P220" s="98"/>
      <c r="Q220" s="98"/>
    </row>
    <row r="221" spans="1:17" x14ac:dyDescent="0.3">
      <c r="A221" s="113"/>
      <c r="B221" s="74"/>
      <c r="C221" s="113" t="s">
        <v>55</v>
      </c>
      <c r="D221" s="102">
        <v>250</v>
      </c>
      <c r="E221" s="96"/>
      <c r="F221" s="96"/>
      <c r="G221" s="96"/>
      <c r="H221" s="96"/>
      <c r="I221" s="96"/>
      <c r="J221" s="96"/>
      <c r="K221" s="96"/>
      <c r="L221" s="96"/>
      <c r="M221" s="96"/>
      <c r="N221" s="96"/>
      <c r="O221" s="96"/>
      <c r="P221" s="96"/>
      <c r="Q221" s="96"/>
    </row>
    <row r="222" spans="1:17" x14ac:dyDescent="0.3">
      <c r="A222" s="114"/>
      <c r="B222" s="134"/>
      <c r="C222" s="114" t="s">
        <v>1518</v>
      </c>
      <c r="D222" s="103"/>
      <c r="E222" s="97"/>
      <c r="F222" s="97"/>
      <c r="G222" s="97"/>
      <c r="H222" s="97"/>
      <c r="I222" s="97"/>
      <c r="J222" s="97"/>
      <c r="K222" s="97"/>
      <c r="L222" s="97"/>
      <c r="M222" s="97"/>
      <c r="N222" s="97"/>
      <c r="O222" s="97"/>
      <c r="P222" s="97"/>
      <c r="Q222" s="97"/>
    </row>
    <row r="223" spans="1:17" x14ac:dyDescent="0.3">
      <c r="A223" s="115"/>
      <c r="B223" s="133"/>
      <c r="C223" s="115" t="s">
        <v>401</v>
      </c>
      <c r="D223" s="105"/>
      <c r="E223" s="98"/>
      <c r="F223" s="98"/>
      <c r="G223" s="98"/>
      <c r="H223" s="98"/>
      <c r="I223" s="98"/>
      <c r="J223" s="98"/>
      <c r="K223" s="98"/>
      <c r="L223" s="98"/>
      <c r="M223" s="98"/>
      <c r="N223" s="98"/>
      <c r="O223" s="98"/>
      <c r="P223" s="98"/>
      <c r="Q223" s="98"/>
    </row>
    <row r="224" spans="1:17" x14ac:dyDescent="0.3">
      <c r="A224" s="113"/>
      <c r="B224" s="74" t="s">
        <v>1403</v>
      </c>
      <c r="C224" s="113" t="s">
        <v>1671</v>
      </c>
      <c r="D224" s="102"/>
      <c r="E224" s="96"/>
      <c r="F224" s="96"/>
      <c r="G224" s="96"/>
      <c r="H224" s="96"/>
      <c r="I224" s="96"/>
      <c r="J224" s="96"/>
      <c r="K224" s="96"/>
      <c r="L224" s="96"/>
      <c r="M224" s="96"/>
      <c r="N224" s="96"/>
      <c r="O224" s="96"/>
      <c r="P224" s="96"/>
      <c r="Q224" s="96"/>
    </row>
    <row r="225" spans="1:17" s="94" customFormat="1" x14ac:dyDescent="0.3">
      <c r="A225" s="114"/>
      <c r="B225" s="134"/>
      <c r="C225" s="114" t="s">
        <v>56</v>
      </c>
      <c r="D225" s="103">
        <v>30</v>
      </c>
      <c r="E225" s="97"/>
      <c r="F225" s="97"/>
      <c r="G225" s="97"/>
      <c r="H225" s="97"/>
      <c r="I225" s="97"/>
      <c r="J225" s="97"/>
      <c r="K225" s="97"/>
      <c r="L225" s="97"/>
      <c r="M225" s="97"/>
      <c r="N225" s="97"/>
      <c r="O225" s="97"/>
      <c r="P225" s="97"/>
      <c r="Q225" s="97"/>
    </row>
    <row r="226" spans="1:17" x14ac:dyDescent="0.3">
      <c r="A226" s="113"/>
      <c r="B226" s="74"/>
      <c r="C226" s="113" t="s">
        <v>1608</v>
      </c>
      <c r="D226" s="111"/>
      <c r="E226" s="96"/>
      <c r="F226" s="96"/>
      <c r="G226" s="96"/>
      <c r="H226" s="96"/>
      <c r="I226" s="96"/>
      <c r="J226" s="96"/>
      <c r="K226" s="96"/>
      <c r="L226" s="96"/>
      <c r="M226" s="96"/>
      <c r="N226" s="96"/>
      <c r="O226" s="96"/>
      <c r="P226" s="96"/>
      <c r="Q226" s="96"/>
    </row>
    <row r="227" spans="1:17" s="94" customFormat="1" x14ac:dyDescent="0.3">
      <c r="A227" s="114"/>
      <c r="B227" s="134" t="s">
        <v>1403</v>
      </c>
      <c r="C227" s="114" t="s">
        <v>1360</v>
      </c>
      <c r="D227" s="103"/>
      <c r="E227" s="97"/>
      <c r="F227" s="97"/>
      <c r="G227" s="97"/>
      <c r="H227" s="97"/>
      <c r="I227" s="97"/>
      <c r="J227" s="97"/>
      <c r="K227" s="97"/>
      <c r="L227" s="97"/>
      <c r="M227" s="97"/>
      <c r="N227" s="97"/>
      <c r="O227" s="97"/>
      <c r="P227" s="97"/>
      <c r="Q227" s="97"/>
    </row>
    <row r="228" spans="1:17" x14ac:dyDescent="0.3">
      <c r="A228" s="113"/>
      <c r="B228" s="74" t="s">
        <v>1403</v>
      </c>
      <c r="C228" s="113" t="s">
        <v>1514</v>
      </c>
      <c r="D228" s="102"/>
      <c r="E228" s="96"/>
      <c r="F228" s="96"/>
      <c r="G228" s="96"/>
      <c r="H228" s="96"/>
      <c r="I228" s="96"/>
      <c r="J228" s="96"/>
      <c r="K228" s="96"/>
      <c r="L228" s="96"/>
      <c r="M228" s="96"/>
      <c r="N228" s="96"/>
      <c r="O228" s="96"/>
      <c r="P228" s="96"/>
      <c r="Q228" s="96"/>
    </row>
    <row r="229" spans="1:17" x14ac:dyDescent="0.3">
      <c r="A229" s="114"/>
      <c r="B229" s="134" t="s">
        <v>1403</v>
      </c>
      <c r="C229" s="114" t="s">
        <v>1515</v>
      </c>
      <c r="D229" s="103"/>
      <c r="E229" s="97"/>
      <c r="F229" s="97"/>
      <c r="G229" s="97"/>
      <c r="H229" s="97"/>
      <c r="I229" s="97"/>
      <c r="J229" s="97"/>
      <c r="K229" s="97"/>
      <c r="L229" s="97"/>
      <c r="M229" s="97"/>
      <c r="N229" s="97"/>
      <c r="O229" s="97"/>
      <c r="P229" s="97"/>
      <c r="Q229" s="97"/>
    </row>
    <row r="230" spans="1:17" x14ac:dyDescent="0.3">
      <c r="A230" s="115"/>
      <c r="B230" s="133"/>
      <c r="C230" s="115" t="s">
        <v>402</v>
      </c>
      <c r="D230" s="105"/>
      <c r="E230" s="98"/>
      <c r="F230" s="98"/>
      <c r="G230" s="98"/>
      <c r="H230" s="98"/>
      <c r="I230" s="98"/>
      <c r="J230" s="98"/>
      <c r="K230" s="98"/>
      <c r="L230" s="98"/>
      <c r="M230" s="98"/>
      <c r="N230" s="98"/>
      <c r="O230" s="98"/>
      <c r="P230" s="98"/>
      <c r="Q230" s="98"/>
    </row>
    <row r="231" spans="1:17" x14ac:dyDescent="0.3">
      <c r="A231" s="113"/>
      <c r="B231" s="74"/>
      <c r="C231" s="113" t="s">
        <v>57</v>
      </c>
      <c r="D231" s="102" t="str">
        <f>Get_Machine_Spec($C231)</f>
        <v>2000</v>
      </c>
      <c r="E231" s="96"/>
      <c r="F231" s="96"/>
      <c r="G231" s="96"/>
      <c r="H231" s="96"/>
      <c r="I231" s="96"/>
      <c r="J231" s="96"/>
      <c r="K231" s="96"/>
      <c r="L231" s="96"/>
      <c r="M231" s="96"/>
      <c r="N231" s="96"/>
      <c r="O231" s="96"/>
      <c r="P231" s="96"/>
      <c r="Q231" s="96"/>
    </row>
    <row r="232" spans="1:17" x14ac:dyDescent="0.3">
      <c r="A232" s="114"/>
      <c r="B232" s="134" t="s">
        <v>1403</v>
      </c>
      <c r="C232" s="114" t="s">
        <v>1672</v>
      </c>
      <c r="D232" s="103"/>
      <c r="E232" s="97"/>
      <c r="F232" s="97"/>
      <c r="G232" s="97"/>
      <c r="H232" s="97"/>
      <c r="I232" s="97"/>
      <c r="J232" s="97"/>
      <c r="K232" s="97"/>
      <c r="L232" s="97"/>
      <c r="M232" s="97"/>
      <c r="N232" s="97"/>
      <c r="O232" s="97"/>
      <c r="P232" s="97"/>
      <c r="Q232" s="97"/>
    </row>
    <row r="233" spans="1:17" s="94" customFormat="1" x14ac:dyDescent="0.3">
      <c r="A233" s="113"/>
      <c r="B233" s="74" t="s">
        <v>1403</v>
      </c>
      <c r="C233" s="113" t="s">
        <v>1673</v>
      </c>
      <c r="D233" s="102"/>
      <c r="E233" s="96"/>
      <c r="F233" s="96"/>
      <c r="G233" s="96"/>
      <c r="H233" s="96"/>
      <c r="I233" s="96"/>
      <c r="J233" s="96"/>
      <c r="K233" s="96"/>
      <c r="L233" s="96"/>
      <c r="M233" s="96"/>
      <c r="N233" s="96"/>
      <c r="O233" s="96"/>
      <c r="P233" s="96"/>
      <c r="Q233" s="96"/>
    </row>
    <row r="234" spans="1:17" s="94" customFormat="1" x14ac:dyDescent="0.3">
      <c r="A234" s="114"/>
      <c r="B234" s="134"/>
      <c r="C234" s="114" t="s">
        <v>58</v>
      </c>
      <c r="D234" s="103" t="str">
        <f>Get_Machine_Spec($C234)</f>
        <v>3000</v>
      </c>
      <c r="E234" s="97"/>
      <c r="F234" s="97"/>
      <c r="G234" s="97"/>
      <c r="H234" s="97"/>
      <c r="I234" s="97"/>
      <c r="J234" s="97"/>
      <c r="K234" s="97"/>
      <c r="L234" s="97"/>
      <c r="M234" s="97"/>
      <c r="N234" s="97"/>
      <c r="O234" s="97"/>
      <c r="P234" s="97"/>
      <c r="Q234" s="97"/>
    </row>
    <row r="235" spans="1:17" x14ac:dyDescent="0.3">
      <c r="A235" s="113"/>
      <c r="B235" s="74" t="s">
        <v>1403</v>
      </c>
      <c r="C235" s="113" t="s">
        <v>1674</v>
      </c>
      <c r="D235" s="102"/>
      <c r="E235" s="96"/>
      <c r="F235" s="96"/>
      <c r="G235" s="96"/>
      <c r="H235" s="96"/>
      <c r="I235" s="96"/>
      <c r="J235" s="96"/>
      <c r="K235" s="96"/>
      <c r="L235" s="96"/>
      <c r="M235" s="96"/>
      <c r="N235" s="96"/>
      <c r="O235" s="96"/>
      <c r="P235" s="96"/>
      <c r="Q235" s="96"/>
    </row>
    <row r="236" spans="1:17" s="94" customFormat="1" x14ac:dyDescent="0.3">
      <c r="A236" s="114"/>
      <c r="B236" s="134" t="s">
        <v>1403</v>
      </c>
      <c r="C236" s="114" t="s">
        <v>1675</v>
      </c>
      <c r="D236" s="103"/>
      <c r="E236" s="97"/>
      <c r="F236" s="97"/>
      <c r="G236" s="97"/>
      <c r="H236" s="97"/>
      <c r="I236" s="97"/>
      <c r="J236" s="97"/>
      <c r="K236" s="97"/>
      <c r="L236" s="97"/>
      <c r="M236" s="97"/>
      <c r="N236" s="97"/>
      <c r="O236" s="97"/>
      <c r="P236" s="97"/>
      <c r="Q236" s="97"/>
    </row>
    <row r="237" spans="1:17" s="94" customFormat="1" x14ac:dyDescent="0.3">
      <c r="A237" s="113"/>
      <c r="B237" s="74" t="s">
        <v>1403</v>
      </c>
      <c r="C237" s="113" t="s">
        <v>1676</v>
      </c>
      <c r="D237" s="102"/>
      <c r="E237" s="96"/>
      <c r="F237" s="96"/>
      <c r="G237" s="96"/>
      <c r="H237" s="96"/>
      <c r="I237" s="96"/>
      <c r="J237" s="96"/>
      <c r="K237" s="96"/>
      <c r="L237" s="96"/>
      <c r="M237" s="96"/>
      <c r="N237" s="96"/>
      <c r="O237" s="96"/>
      <c r="P237" s="96"/>
      <c r="Q237" s="96"/>
    </row>
    <row r="238" spans="1:17" s="94" customFormat="1" x14ac:dyDescent="0.3">
      <c r="A238" s="114"/>
      <c r="B238" s="134" t="s">
        <v>1403</v>
      </c>
      <c r="C238" s="114" t="s">
        <v>1677</v>
      </c>
      <c r="D238" s="103"/>
      <c r="E238" s="97"/>
      <c r="F238" s="97"/>
      <c r="G238" s="97"/>
      <c r="H238" s="97"/>
      <c r="I238" s="97"/>
      <c r="J238" s="97"/>
      <c r="K238" s="97"/>
      <c r="L238" s="97"/>
      <c r="M238" s="97"/>
      <c r="N238" s="97"/>
      <c r="O238" s="97"/>
      <c r="P238" s="97"/>
      <c r="Q238" s="97"/>
    </row>
    <row r="239" spans="1:17" s="94" customFormat="1" x14ac:dyDescent="0.3">
      <c r="A239" s="113"/>
      <c r="B239" s="74"/>
      <c r="C239" s="113" t="s">
        <v>59</v>
      </c>
      <c r="D239" s="102">
        <v>3000</v>
      </c>
      <c r="E239" s="96"/>
      <c r="F239" s="96"/>
      <c r="G239" s="96"/>
      <c r="H239" s="96"/>
      <c r="I239" s="96"/>
      <c r="J239" s="96"/>
      <c r="K239" s="96"/>
      <c r="L239" s="96"/>
      <c r="M239" s="96"/>
      <c r="N239" s="96"/>
      <c r="O239" s="96"/>
      <c r="P239" s="96"/>
      <c r="Q239" s="96"/>
    </row>
    <row r="240" spans="1:17" x14ac:dyDescent="0.3">
      <c r="A240" s="114"/>
      <c r="B240" s="134" t="s">
        <v>1403</v>
      </c>
      <c r="C240" s="114" t="s">
        <v>1678</v>
      </c>
      <c r="D240" s="103"/>
      <c r="E240" s="97"/>
      <c r="F240" s="97"/>
      <c r="G240" s="97"/>
      <c r="H240" s="97"/>
      <c r="I240" s="97"/>
      <c r="J240" s="97"/>
      <c r="K240" s="97"/>
      <c r="L240" s="97"/>
      <c r="M240" s="97"/>
      <c r="N240" s="97"/>
      <c r="O240" s="97"/>
      <c r="P240" s="97"/>
      <c r="Q240" s="97"/>
    </row>
    <row r="241" spans="1:17" s="94" customFormat="1" x14ac:dyDescent="0.3">
      <c r="A241" s="113"/>
      <c r="B241" s="74" t="s">
        <v>1403</v>
      </c>
      <c r="C241" s="113" t="s">
        <v>1679</v>
      </c>
      <c r="D241" s="102"/>
      <c r="E241" s="96"/>
      <c r="F241" s="96"/>
      <c r="G241" s="96"/>
      <c r="H241" s="96"/>
      <c r="I241" s="96"/>
      <c r="J241" s="96"/>
      <c r="K241" s="96"/>
      <c r="L241" s="96"/>
      <c r="M241" s="96"/>
      <c r="N241" s="96"/>
      <c r="O241" s="96"/>
      <c r="P241" s="96"/>
      <c r="Q241" s="96"/>
    </row>
    <row r="242" spans="1:17" s="94" customFormat="1" x14ac:dyDescent="0.3">
      <c r="A242" s="114"/>
      <c r="B242" s="134" t="s">
        <v>1403</v>
      </c>
      <c r="C242" s="114" t="s">
        <v>1680</v>
      </c>
      <c r="D242" s="103"/>
      <c r="E242" s="97"/>
      <c r="F242" s="97"/>
      <c r="G242" s="97"/>
      <c r="H242" s="97"/>
      <c r="I242" s="97"/>
      <c r="J242" s="97"/>
      <c r="K242" s="97"/>
      <c r="L242" s="97"/>
      <c r="M242" s="97"/>
      <c r="N242" s="97"/>
      <c r="O242" s="97"/>
      <c r="P242" s="97"/>
      <c r="Q242" s="97"/>
    </row>
    <row r="243" spans="1:17" s="94" customFormat="1" x14ac:dyDescent="0.3">
      <c r="A243" s="113"/>
      <c r="B243" s="74" t="s">
        <v>1403</v>
      </c>
      <c r="C243" s="113" t="s">
        <v>1681</v>
      </c>
      <c r="D243" s="102"/>
      <c r="E243" s="96"/>
      <c r="F243" s="96"/>
      <c r="G243" s="96"/>
      <c r="H243" s="96"/>
      <c r="I243" s="96"/>
      <c r="J243" s="96"/>
      <c r="K243" s="96"/>
      <c r="L243" s="96"/>
      <c r="M243" s="96"/>
      <c r="N243" s="96"/>
      <c r="O243" s="96"/>
      <c r="P243" s="96"/>
      <c r="Q243" s="96"/>
    </row>
    <row r="244" spans="1:17" s="94" customFormat="1" x14ac:dyDescent="0.3">
      <c r="A244" s="114"/>
      <c r="B244" s="134" t="s">
        <v>1403</v>
      </c>
      <c r="C244" s="114" t="s">
        <v>1682</v>
      </c>
      <c r="D244" s="103"/>
      <c r="E244" s="97"/>
      <c r="F244" s="97"/>
      <c r="G244" s="97"/>
      <c r="H244" s="97"/>
      <c r="I244" s="97"/>
      <c r="J244" s="97"/>
      <c r="K244" s="97"/>
      <c r="L244" s="97"/>
      <c r="M244" s="97"/>
      <c r="N244" s="97"/>
      <c r="O244" s="97"/>
      <c r="P244" s="97"/>
      <c r="Q244" s="97"/>
    </row>
    <row r="245" spans="1:17" s="94" customFormat="1" x14ac:dyDescent="0.3">
      <c r="A245" s="113"/>
      <c r="B245" s="74"/>
      <c r="C245" s="113" t="s">
        <v>60</v>
      </c>
      <c r="D245" s="102" t="str">
        <f t="shared" ref="D245:D249" si="6">Get_Machine_Spec($C245)</f>
        <v>2000</v>
      </c>
      <c r="E245" s="96"/>
      <c r="F245" s="96"/>
      <c r="G245" s="96"/>
      <c r="H245" s="96"/>
      <c r="I245" s="96"/>
      <c r="J245" s="96"/>
      <c r="K245" s="96"/>
      <c r="L245" s="96"/>
      <c r="M245" s="96"/>
      <c r="N245" s="96"/>
      <c r="O245" s="96"/>
      <c r="P245" s="96"/>
      <c r="Q245" s="96"/>
    </row>
    <row r="246" spans="1:17" x14ac:dyDescent="0.3">
      <c r="A246" s="114"/>
      <c r="B246" s="134"/>
      <c r="C246" s="114" t="s">
        <v>1609</v>
      </c>
      <c r="D246" s="103"/>
      <c r="E246" s="97"/>
      <c r="F246" s="97"/>
      <c r="G246" s="97"/>
      <c r="H246" s="97"/>
      <c r="I246" s="97"/>
      <c r="J246" s="97"/>
      <c r="K246" s="97"/>
      <c r="L246" s="97"/>
      <c r="M246" s="97"/>
      <c r="N246" s="97"/>
      <c r="O246" s="97"/>
      <c r="P246" s="97"/>
      <c r="Q246" s="97"/>
    </row>
    <row r="247" spans="1:17" s="94" customFormat="1" x14ac:dyDescent="0.3">
      <c r="A247" s="113"/>
      <c r="B247" s="74" t="s">
        <v>1403</v>
      </c>
      <c r="C247" s="113" t="s">
        <v>1628</v>
      </c>
      <c r="D247" s="102" t="str">
        <f>Get_Machine_Spec($C247)</f>
        <v>3000</v>
      </c>
      <c r="E247" s="96"/>
      <c r="F247" s="96"/>
      <c r="G247" s="96"/>
      <c r="H247" s="96"/>
      <c r="I247" s="96"/>
      <c r="J247" s="96"/>
      <c r="K247" s="96"/>
      <c r="L247" s="96"/>
      <c r="M247" s="96"/>
      <c r="N247" s="96"/>
      <c r="O247" s="96"/>
      <c r="P247" s="96"/>
      <c r="Q247" s="96"/>
    </row>
    <row r="248" spans="1:17" s="94" customFormat="1" x14ac:dyDescent="0.3">
      <c r="A248" s="114"/>
      <c r="B248" s="134" t="s">
        <v>1403</v>
      </c>
      <c r="C248" s="114" t="s">
        <v>1683</v>
      </c>
      <c r="D248" s="103"/>
      <c r="E248" s="97"/>
      <c r="F248" s="97"/>
      <c r="G248" s="97"/>
      <c r="H248" s="97"/>
      <c r="I248" s="97"/>
      <c r="J248" s="97"/>
      <c r="K248" s="97"/>
      <c r="L248" s="97"/>
      <c r="M248" s="97"/>
      <c r="N248" s="97"/>
      <c r="O248" s="97"/>
      <c r="P248" s="97"/>
      <c r="Q248" s="97"/>
    </row>
    <row r="249" spans="1:17" s="94" customFormat="1" x14ac:dyDescent="0.3">
      <c r="A249" s="113"/>
      <c r="B249" s="74"/>
      <c r="C249" s="113" t="s">
        <v>61</v>
      </c>
      <c r="D249" s="102" t="str">
        <f t="shared" si="6"/>
        <v>3000</v>
      </c>
      <c r="E249" s="96"/>
      <c r="F249" s="96"/>
      <c r="G249" s="96"/>
      <c r="H249" s="96"/>
      <c r="I249" s="96"/>
      <c r="J249" s="96"/>
      <c r="K249" s="96"/>
      <c r="L249" s="96"/>
      <c r="M249" s="96"/>
      <c r="N249" s="96"/>
      <c r="O249" s="96"/>
      <c r="P249" s="96"/>
      <c r="Q249" s="96"/>
    </row>
    <row r="250" spans="1:17" x14ac:dyDescent="0.3">
      <c r="A250" s="115"/>
      <c r="B250" s="133"/>
      <c r="C250" s="115" t="s">
        <v>403</v>
      </c>
      <c r="D250" s="105"/>
      <c r="E250" s="98"/>
      <c r="F250" s="98"/>
      <c r="G250" s="98"/>
      <c r="H250" s="98"/>
      <c r="I250" s="98"/>
      <c r="J250" s="98"/>
      <c r="K250" s="98"/>
      <c r="L250" s="98"/>
      <c r="M250" s="98"/>
      <c r="N250" s="98"/>
      <c r="O250" s="98"/>
      <c r="P250" s="98"/>
      <c r="Q250" s="98"/>
    </row>
    <row r="251" spans="1:17" x14ac:dyDescent="0.3">
      <c r="A251" s="113"/>
      <c r="B251" s="74"/>
      <c r="C251" s="113" t="s">
        <v>62</v>
      </c>
      <c r="D251" s="102" t="str">
        <f t="shared" ref="D251:O251" si="7">GetSpecSpeed($C251,D$1)</f>
        <v>150</v>
      </c>
      <c r="E251" s="102" t="str">
        <f t="shared" si="7"/>
        <v>150</v>
      </c>
      <c r="F251" s="102" t="str">
        <f t="shared" si="7"/>
        <v>150</v>
      </c>
      <c r="G251" s="102" t="str">
        <f t="shared" si="7"/>
        <v>150</v>
      </c>
      <c r="H251" s="102" t="str">
        <f t="shared" si="7"/>
        <v>150</v>
      </c>
      <c r="I251" s="102" t="str">
        <f t="shared" si="7"/>
        <v>150</v>
      </c>
      <c r="J251" s="102" t="str">
        <f t="shared" si="7"/>
        <v>150</v>
      </c>
      <c r="K251" s="102" t="str">
        <f t="shared" si="7"/>
        <v>150</v>
      </c>
      <c r="L251" s="102" t="str">
        <f t="shared" si="7"/>
        <v>150</v>
      </c>
      <c r="M251" s="102" t="str">
        <f t="shared" si="7"/>
        <v>150</v>
      </c>
      <c r="N251" s="102" t="str">
        <f t="shared" si="7"/>
        <v>150</v>
      </c>
      <c r="O251" s="102" t="str">
        <f t="shared" si="7"/>
        <v>150</v>
      </c>
      <c r="P251" s="96"/>
      <c r="Q251" s="96"/>
    </row>
    <row r="252" spans="1:17" x14ac:dyDescent="0.3">
      <c r="A252" s="114"/>
      <c r="B252" s="134"/>
      <c r="C252" s="114" t="s">
        <v>63</v>
      </c>
      <c r="D252" s="103"/>
      <c r="E252" s="97" t="str">
        <f>IFERROR(Matchfill(INDEX(filament!$A$1:$N$111,MATCH("filament_" &amp; $C$252,filament!$C$1:$C$111,0),MATCH($D$203,filament!$A$1:$N$1,0)),filament!#REF!),"")</f>
        <v/>
      </c>
      <c r="F252" s="97" t="str">
        <f>IFERROR(Matchfill(INDEX(filament!$A$1:$N$111,MATCH("filament_" &amp; $C$252,filament!$C$1:$C$111,0),MATCH($D$203,filament!$A$1:$N$1,0)),filament!#REF!),"")</f>
        <v/>
      </c>
      <c r="G252" s="97" t="str">
        <f>IFERROR(Matchfill(INDEX(filament!$A$1:$N$111,MATCH("filament_" &amp; $C$252,filament!$C$1:$C$111,0),MATCH($D$203,filament!$A$1:$N$1,0)),filament!#REF!),"")</f>
        <v/>
      </c>
      <c r="H252" s="97" t="str">
        <f>IFERROR(Matchfill(INDEX(filament!$A$1:$N$111,MATCH("filament_" &amp; $C$252,filament!$C$1:$C$111,0),MATCH($D$203,filament!$A$1:$N$1,0)),filament!#REF!),"")</f>
        <v/>
      </c>
      <c r="I252" s="97" t="str">
        <f>IFERROR(Matchfill(INDEX(filament!$A$1:$N$111,MATCH("filament_" &amp; $C$252,filament!$C$1:$C$111,0),MATCH($D$203,filament!$A$1:$N$1,0)),filament!#REF!),"")</f>
        <v/>
      </c>
      <c r="J252" s="97" t="str">
        <f>IFERROR(Matchfill(INDEX(filament!$A$1:$N$111,MATCH("filament_" &amp; $C$252,filament!$C$1:$C$111,0),MATCH($D$203,filament!$A$1:$N$1,0)),filament!#REF!),"")</f>
        <v/>
      </c>
      <c r="K252" s="97" t="str">
        <f>IFERROR(Matchfill(INDEX(filament!$A$1:$N$111,MATCH("filament_" &amp; $C$252,filament!$C$1:$C$111,0),MATCH($D$203,filament!$A$1:$N$1,0)),filament!#REF!),"")</f>
        <v/>
      </c>
      <c r="L252" s="97" t="str">
        <f>IFERROR(Matchfill(INDEX(filament!$A$1:$N$111,MATCH("filament_" &amp; $C$252,filament!$C$1:$C$111,0),MATCH($D$203,filament!$A$1:$N$1,0)),filament!#REF!),"")</f>
        <v/>
      </c>
      <c r="M252" s="97" t="str">
        <f>IFERROR(Matchfill(INDEX(filament!$A$1:$N$111,MATCH("filament_" &amp; $C$252,filament!$C$1:$C$111,0),MATCH($D$203,filament!$A$1:$N$1,0)),filament!#REF!),"")</f>
        <v/>
      </c>
      <c r="N252" s="97" t="str">
        <f>IFERROR(Matchfill(INDEX(filament!$A$1:$N$111,MATCH("filament_" &amp; $C$252,filament!$C$1:$C$111,0),MATCH($D$203,filament!$A$1:$N$1,0)),filament!#REF!),"")</f>
        <v/>
      </c>
      <c r="O252" s="97" t="str">
        <f>IFERROR(Matchfill(INDEX(filament!$A$1:$N$111,MATCH("filament_" &amp; $C$252,filament!$C$1:$C$111,0),MATCH($D$203,filament!$A$1:$N$1,0)),filament!#REF!),"")</f>
        <v/>
      </c>
      <c r="P252" s="97"/>
      <c r="Q252" s="97"/>
    </row>
    <row r="253" spans="1:17" x14ac:dyDescent="0.3">
      <c r="A253" s="115"/>
      <c r="B253" s="133"/>
      <c r="C253" s="115" t="s">
        <v>404</v>
      </c>
      <c r="D253" s="105"/>
      <c r="E253" s="98"/>
      <c r="F253" s="98"/>
      <c r="G253" s="98"/>
      <c r="H253" s="98"/>
      <c r="I253" s="98"/>
      <c r="J253" s="98"/>
      <c r="K253" s="98"/>
      <c r="L253" s="98"/>
      <c r="M253" s="98"/>
      <c r="N253" s="98"/>
      <c r="O253" s="98"/>
      <c r="P253" s="98"/>
      <c r="Q253" s="98"/>
    </row>
    <row r="254" spans="1:17" s="94" customFormat="1" x14ac:dyDescent="0.3">
      <c r="A254" s="113"/>
      <c r="B254" s="74"/>
      <c r="C254" s="113" t="s">
        <v>1635</v>
      </c>
      <c r="D254" s="102"/>
      <c r="E254" s="96"/>
      <c r="F254" s="96"/>
      <c r="G254" s="96"/>
      <c r="H254" s="96"/>
      <c r="I254" s="96"/>
      <c r="J254" s="96"/>
      <c r="K254" s="96"/>
      <c r="L254" s="96"/>
      <c r="M254" s="96"/>
      <c r="N254" s="96"/>
      <c r="O254" s="96"/>
      <c r="P254" s="96"/>
      <c r="Q254" s="96"/>
    </row>
    <row r="255" spans="1:17" s="94" customFormat="1" x14ac:dyDescent="0.3">
      <c r="A255" s="114"/>
      <c r="B255" s="134"/>
      <c r="C255" s="114" t="s">
        <v>1636</v>
      </c>
      <c r="D255" s="103"/>
      <c r="E255" s="97"/>
      <c r="F255" s="97"/>
      <c r="G255" s="97"/>
      <c r="H255" s="97"/>
      <c r="I255" s="97"/>
      <c r="J255" s="97"/>
      <c r="K255" s="97"/>
      <c r="L255" s="97"/>
      <c r="M255" s="97"/>
      <c r="N255" s="97"/>
      <c r="O255" s="97"/>
      <c r="P255" s="97"/>
      <c r="Q255" s="97"/>
    </row>
    <row r="256" spans="1:17" s="94" customFormat="1" x14ac:dyDescent="0.3">
      <c r="A256" s="115" t="s">
        <v>222</v>
      </c>
      <c r="B256" s="133"/>
      <c r="C256" s="115" t="s">
        <v>404</v>
      </c>
      <c r="D256" s="105"/>
      <c r="E256" s="98"/>
      <c r="F256" s="98"/>
      <c r="G256" s="98"/>
      <c r="H256" s="98"/>
      <c r="I256" s="98"/>
      <c r="J256" s="98"/>
      <c r="K256" s="98"/>
      <c r="L256" s="98"/>
      <c r="M256" s="98"/>
      <c r="N256" s="98"/>
      <c r="O256" s="98"/>
      <c r="P256" s="98"/>
      <c r="Q256" s="98"/>
    </row>
    <row r="257" spans="1:17" x14ac:dyDescent="0.3">
      <c r="A257" s="113"/>
      <c r="B257" s="74"/>
      <c r="C257" s="113" t="s">
        <v>64</v>
      </c>
      <c r="D257" s="102"/>
      <c r="E257" s="96"/>
      <c r="F257" s="96"/>
      <c r="G257" s="96"/>
      <c r="H257" s="96"/>
      <c r="I257" s="96"/>
      <c r="J257" s="96"/>
      <c r="K257" s="96"/>
      <c r="L257" s="96"/>
      <c r="M257" s="96"/>
      <c r="N257" s="96"/>
      <c r="O257" s="96"/>
      <c r="P257" s="96"/>
      <c r="Q257" s="96"/>
    </row>
    <row r="258" spans="1:17" x14ac:dyDescent="0.3">
      <c r="A258" s="114"/>
      <c r="B258" s="134"/>
      <c r="C258" s="114" t="s">
        <v>65</v>
      </c>
      <c r="D258" s="103"/>
      <c r="E258" s="97"/>
      <c r="F258" s="97"/>
      <c r="G258" s="97"/>
      <c r="H258" s="97"/>
      <c r="I258" s="97"/>
      <c r="J258" s="97"/>
      <c r="K258" s="97"/>
      <c r="L258" s="97"/>
      <c r="M258" s="97"/>
      <c r="N258" s="97"/>
      <c r="O258" s="97"/>
      <c r="P258" s="97"/>
      <c r="Q258" s="97"/>
    </row>
    <row r="259" spans="1:17" x14ac:dyDescent="0.3">
      <c r="A259" s="113"/>
      <c r="B259" s="74"/>
      <c r="C259" s="113" t="s">
        <v>66</v>
      </c>
      <c r="D259" s="102"/>
      <c r="E259" s="96"/>
      <c r="F259" s="96"/>
      <c r="G259" s="96"/>
      <c r="H259" s="96"/>
      <c r="I259" s="96"/>
      <c r="J259" s="96"/>
      <c r="K259" s="96"/>
      <c r="L259" s="96"/>
      <c r="M259" s="96"/>
      <c r="N259" s="96"/>
      <c r="O259" s="96"/>
      <c r="P259" s="96"/>
      <c r="Q259" s="96"/>
    </row>
    <row r="260" spans="1:17" x14ac:dyDescent="0.3">
      <c r="A260" s="114"/>
      <c r="B260" s="134"/>
      <c r="C260" s="114" t="s">
        <v>67</v>
      </c>
      <c r="D260" s="103"/>
      <c r="E260" s="97"/>
      <c r="F260" s="97"/>
      <c r="G260" s="97"/>
      <c r="H260" s="97"/>
      <c r="I260" s="97"/>
      <c r="J260" s="97"/>
      <c r="K260" s="97"/>
      <c r="L260" s="97"/>
      <c r="M260" s="97"/>
      <c r="N260" s="97"/>
      <c r="O260" s="97"/>
      <c r="P260" s="97"/>
      <c r="Q260" s="97"/>
    </row>
    <row r="261" spans="1:17" x14ac:dyDescent="0.3">
      <c r="A261" s="113"/>
      <c r="B261" s="74"/>
      <c r="C261" s="113" t="s">
        <v>68</v>
      </c>
      <c r="D261" s="102"/>
      <c r="E261" s="96"/>
      <c r="F261" s="96"/>
      <c r="G261" s="96"/>
      <c r="H261" s="96"/>
      <c r="I261" s="96"/>
      <c r="J261" s="96"/>
      <c r="K261" s="96"/>
      <c r="L261" s="96"/>
      <c r="M261" s="96"/>
      <c r="N261" s="96"/>
      <c r="O261" s="96"/>
      <c r="P261" s="96"/>
      <c r="Q261" s="96"/>
    </row>
    <row r="262" spans="1:17" x14ac:dyDescent="0.3">
      <c r="A262" s="115"/>
      <c r="B262" s="133"/>
      <c r="C262" s="115" t="s">
        <v>405</v>
      </c>
      <c r="D262" s="105"/>
      <c r="E262" s="98"/>
      <c r="F262" s="98"/>
      <c r="G262" s="98"/>
      <c r="H262" s="98"/>
      <c r="I262" s="98"/>
      <c r="J262" s="98"/>
      <c r="K262" s="98"/>
      <c r="L262" s="98"/>
      <c r="M262" s="98"/>
      <c r="N262" s="98"/>
      <c r="O262" s="98"/>
      <c r="P262" s="98"/>
      <c r="Q262" s="98"/>
    </row>
    <row r="263" spans="1:17" x14ac:dyDescent="0.3">
      <c r="A263" s="113"/>
      <c r="B263" s="74"/>
      <c r="C263" s="113" t="s">
        <v>69</v>
      </c>
      <c r="D263" s="102"/>
      <c r="E263" s="96"/>
      <c r="F263" s="96"/>
      <c r="G263" s="96"/>
      <c r="H263" s="96"/>
      <c r="I263" s="96"/>
      <c r="J263" s="96"/>
      <c r="K263" s="96"/>
      <c r="L263" s="96"/>
      <c r="M263" s="96"/>
      <c r="N263" s="96"/>
      <c r="O263" s="96"/>
      <c r="P263" s="96"/>
      <c r="Q263" s="96"/>
    </row>
    <row r="264" spans="1:17" x14ac:dyDescent="0.3">
      <c r="A264" s="114"/>
      <c r="B264" s="134"/>
      <c r="C264" s="114" t="s">
        <v>70</v>
      </c>
      <c r="D264" s="103"/>
      <c r="E264" s="97"/>
      <c r="F264" s="97"/>
      <c r="G264" s="97"/>
      <c r="H264" s="97"/>
      <c r="I264" s="97"/>
      <c r="J264" s="97"/>
      <c r="K264" s="97"/>
      <c r="L264" s="97"/>
      <c r="M264" s="97"/>
      <c r="N264" s="97"/>
      <c r="O264" s="97"/>
      <c r="P264" s="97"/>
      <c r="Q264" s="97"/>
    </row>
    <row r="265" spans="1:17" x14ac:dyDescent="0.3">
      <c r="A265" s="115"/>
      <c r="B265" s="133"/>
      <c r="C265" s="115" t="s">
        <v>406</v>
      </c>
      <c r="D265" s="105"/>
      <c r="E265" s="98"/>
      <c r="F265" s="98"/>
      <c r="G265" s="98"/>
      <c r="H265" s="98"/>
      <c r="I265" s="98"/>
      <c r="J265" s="98"/>
      <c r="K265" s="98"/>
      <c r="L265" s="98"/>
      <c r="M265" s="98"/>
      <c r="N265" s="98"/>
      <c r="O265" s="98"/>
      <c r="P265" s="98"/>
      <c r="Q265" s="98"/>
    </row>
    <row r="266" spans="1:17" x14ac:dyDescent="0.3">
      <c r="A266" s="113"/>
      <c r="B266" s="74"/>
      <c r="C266" s="113" t="s">
        <v>71</v>
      </c>
      <c r="D266" s="102"/>
      <c r="E266" s="96"/>
      <c r="F266" s="96"/>
      <c r="G266" s="96"/>
      <c r="H266" s="96"/>
      <c r="I266" s="96"/>
      <c r="J266" s="96"/>
      <c r="K266" s="96"/>
      <c r="L266" s="96"/>
      <c r="M266" s="96"/>
      <c r="N266" s="96"/>
      <c r="O266" s="96"/>
      <c r="P266" s="96"/>
      <c r="Q266" s="96"/>
    </row>
    <row r="267" spans="1:17" x14ac:dyDescent="0.3">
      <c r="A267" s="114"/>
      <c r="B267" s="134"/>
      <c r="C267" s="114" t="s">
        <v>72</v>
      </c>
      <c r="D267" s="103"/>
      <c r="E267" s="97"/>
      <c r="F267" s="97"/>
      <c r="G267" s="97"/>
      <c r="H267" s="97"/>
      <c r="I267" s="97"/>
      <c r="J267" s="97"/>
      <c r="K267" s="97"/>
      <c r="L267" s="97"/>
      <c r="M267" s="97"/>
      <c r="N267" s="97"/>
      <c r="O267" s="97"/>
      <c r="P267" s="97"/>
      <c r="Q267" s="97"/>
    </row>
    <row r="268" spans="1:17" x14ac:dyDescent="0.3">
      <c r="A268" s="113"/>
      <c r="B268" s="74"/>
      <c r="C268" s="113" t="s">
        <v>73</v>
      </c>
      <c r="D268" s="102"/>
      <c r="E268" s="96"/>
      <c r="F268" s="96"/>
      <c r="G268" s="96"/>
      <c r="H268" s="96"/>
      <c r="I268" s="96"/>
      <c r="J268" s="96"/>
      <c r="K268" s="96"/>
      <c r="L268" s="96"/>
      <c r="M268" s="96"/>
      <c r="N268" s="96"/>
      <c r="O268" s="96"/>
      <c r="P268" s="96"/>
      <c r="Q268" s="96"/>
    </row>
    <row r="269" spans="1:17" x14ac:dyDescent="0.3">
      <c r="A269" s="114"/>
      <c r="B269" s="134"/>
      <c r="C269" s="114" t="s">
        <v>74</v>
      </c>
      <c r="D269" s="103"/>
      <c r="E269" s="97"/>
      <c r="F269" s="97"/>
      <c r="G269" s="97"/>
      <c r="H269" s="97"/>
      <c r="I269" s="97"/>
      <c r="J269" s="97"/>
      <c r="K269" s="97"/>
      <c r="L269" s="97"/>
      <c r="M269" s="97"/>
      <c r="N269" s="97"/>
      <c r="O269" s="97"/>
      <c r="P269" s="97"/>
      <c r="Q269" s="97"/>
    </row>
    <row r="270" spans="1:17" x14ac:dyDescent="0.3">
      <c r="A270" s="113"/>
      <c r="B270" s="74"/>
      <c r="C270" s="113" t="s">
        <v>75</v>
      </c>
      <c r="D270" s="102"/>
      <c r="E270" s="96"/>
      <c r="F270" s="96"/>
      <c r="G270" s="96"/>
      <c r="H270" s="96"/>
      <c r="I270" s="96"/>
      <c r="J270" s="96"/>
      <c r="K270" s="96"/>
      <c r="L270" s="96"/>
      <c r="M270" s="96"/>
      <c r="N270" s="96"/>
      <c r="O270" s="96"/>
      <c r="P270" s="96"/>
      <c r="Q270" s="96"/>
    </row>
    <row r="271" spans="1:17" x14ac:dyDescent="0.3">
      <c r="A271" s="114"/>
      <c r="B271" s="134"/>
      <c r="C271" s="114" t="s">
        <v>1615</v>
      </c>
      <c r="D271" s="103"/>
      <c r="E271" s="97"/>
      <c r="F271" s="97"/>
      <c r="G271" s="97"/>
      <c r="H271" s="97"/>
      <c r="I271" s="97"/>
      <c r="J271" s="97"/>
      <c r="K271" s="97"/>
      <c r="L271" s="97"/>
      <c r="M271" s="97"/>
      <c r="N271" s="97"/>
      <c r="O271" s="97"/>
      <c r="P271" s="97"/>
      <c r="Q271" s="97"/>
    </row>
    <row r="272" spans="1:17" s="94" customFormat="1" x14ac:dyDescent="0.3">
      <c r="A272" s="113"/>
      <c r="B272" s="74"/>
      <c r="C272" s="113" t="s">
        <v>76</v>
      </c>
      <c r="D272" s="102"/>
      <c r="E272" s="96"/>
      <c r="F272" s="96"/>
      <c r="G272" s="96"/>
      <c r="H272" s="96"/>
      <c r="I272" s="96"/>
      <c r="J272" s="96"/>
      <c r="K272" s="96"/>
      <c r="L272" s="96"/>
      <c r="M272" s="96"/>
      <c r="N272" s="96"/>
      <c r="O272" s="96"/>
      <c r="P272" s="96"/>
      <c r="Q272" s="96"/>
    </row>
    <row r="273" spans="1:17" x14ac:dyDescent="0.3">
      <c r="A273" s="114"/>
      <c r="B273" s="134"/>
      <c r="C273" s="114" t="s">
        <v>346</v>
      </c>
      <c r="D273" s="103"/>
      <c r="E273" s="97"/>
      <c r="F273" s="97"/>
      <c r="G273" s="97"/>
      <c r="H273" s="97"/>
      <c r="I273" s="97"/>
      <c r="J273" s="97"/>
      <c r="K273" s="97"/>
      <c r="L273" s="97"/>
      <c r="M273" s="97"/>
      <c r="N273" s="97"/>
      <c r="O273" s="97"/>
      <c r="P273" s="97"/>
      <c r="Q273" s="97"/>
    </row>
    <row r="274" spans="1:17" s="94" customFormat="1" x14ac:dyDescent="0.3">
      <c r="A274" s="113"/>
      <c r="B274" s="74"/>
      <c r="C274" s="113" t="s">
        <v>77</v>
      </c>
      <c r="D274" s="102"/>
      <c r="E274" s="96"/>
      <c r="F274" s="96"/>
      <c r="G274" s="96"/>
      <c r="H274" s="96"/>
      <c r="I274" s="96"/>
      <c r="J274" s="96"/>
      <c r="K274" s="96"/>
      <c r="L274" s="96"/>
      <c r="M274" s="96"/>
      <c r="N274" s="96"/>
      <c r="O274" s="96"/>
      <c r="P274" s="96"/>
      <c r="Q274" s="96"/>
    </row>
    <row r="275" spans="1:17" x14ac:dyDescent="0.3">
      <c r="A275" s="115"/>
      <c r="B275" s="133"/>
      <c r="C275" s="115" t="s">
        <v>366</v>
      </c>
      <c r="D275" s="105"/>
      <c r="E275" s="98"/>
      <c r="F275" s="98"/>
      <c r="G275" s="98"/>
      <c r="H275" s="98"/>
      <c r="I275" s="98"/>
      <c r="J275" s="98"/>
      <c r="K275" s="98"/>
      <c r="L275" s="98"/>
      <c r="M275" s="98"/>
      <c r="N275" s="98"/>
      <c r="O275" s="98"/>
      <c r="P275" s="98"/>
      <c r="Q275" s="98"/>
    </row>
    <row r="276" spans="1:17" x14ac:dyDescent="0.3">
      <c r="A276" s="113"/>
      <c r="B276" s="74"/>
      <c r="C276" s="113" t="s">
        <v>78</v>
      </c>
      <c r="D276" s="102"/>
      <c r="E276" s="96"/>
      <c r="F276" s="96"/>
      <c r="G276" s="96"/>
      <c r="H276" s="96"/>
      <c r="I276" s="96"/>
      <c r="J276" s="96"/>
      <c r="K276" s="96"/>
      <c r="L276" s="96"/>
      <c r="M276" s="96"/>
      <c r="N276" s="96"/>
      <c r="O276" s="96"/>
      <c r="P276" s="96"/>
      <c r="Q276" s="96"/>
    </row>
    <row r="277" spans="1:17" s="94" customFormat="1" x14ac:dyDescent="0.3">
      <c r="A277" s="114"/>
      <c r="B277" s="134"/>
      <c r="C277" s="114" t="s">
        <v>1639</v>
      </c>
      <c r="D277" s="103"/>
      <c r="E277" s="97"/>
      <c r="F277" s="97"/>
      <c r="G277" s="97"/>
      <c r="H277" s="97"/>
      <c r="I277" s="97"/>
      <c r="J277" s="97"/>
      <c r="K277" s="97"/>
      <c r="L277" s="97"/>
      <c r="M277" s="97"/>
      <c r="N277" s="97"/>
      <c r="O277" s="97"/>
      <c r="P277" s="97"/>
      <c r="Q277" s="97"/>
    </row>
    <row r="278" spans="1:17" x14ac:dyDescent="0.3">
      <c r="A278" s="115" t="s">
        <v>1525</v>
      </c>
      <c r="B278" s="133"/>
      <c r="C278" s="115" t="s">
        <v>407</v>
      </c>
      <c r="D278" s="105"/>
      <c r="E278" s="98"/>
      <c r="F278" s="98"/>
      <c r="G278" s="98"/>
      <c r="H278" s="98"/>
      <c r="I278" s="98"/>
      <c r="J278" s="98"/>
      <c r="K278" s="98"/>
      <c r="L278" s="98"/>
      <c r="M278" s="98"/>
      <c r="N278" s="98"/>
      <c r="O278" s="98"/>
      <c r="P278" s="98"/>
      <c r="Q278" s="98"/>
    </row>
    <row r="279" spans="1:17" x14ac:dyDescent="0.3">
      <c r="A279" s="113"/>
      <c r="B279" s="74"/>
      <c r="C279" s="113" t="s">
        <v>79</v>
      </c>
      <c r="D279" s="102" t="str">
        <f t="shared" ref="D279:D286" si="8">GetAutoExtrusionWidth($C279,Nozzle_Diameter)</f>
        <v>0.56</v>
      </c>
      <c r="E279" s="96"/>
      <c r="F279" s="96"/>
      <c r="G279" s="96"/>
      <c r="H279" s="96"/>
      <c r="I279" s="96"/>
      <c r="J279" s="96"/>
      <c r="K279" s="96"/>
      <c r="L279" s="96"/>
      <c r="M279" s="96"/>
      <c r="N279" s="96"/>
      <c r="O279" s="96"/>
      <c r="P279" s="96"/>
      <c r="Q279" s="96"/>
    </row>
    <row r="280" spans="1:17" x14ac:dyDescent="0.3">
      <c r="A280" s="114"/>
      <c r="B280" s="134"/>
      <c r="C280" s="114" t="s">
        <v>80</v>
      </c>
      <c r="D280" s="103" t="str">
        <f>GetAutoExtrusionWidth($C280,Nozzle_Diameter)</f>
        <v>0.56</v>
      </c>
      <c r="E280" s="97"/>
      <c r="F280" s="97"/>
      <c r="G280" s="97"/>
      <c r="H280" s="97"/>
      <c r="I280" s="97"/>
      <c r="J280" s="97"/>
      <c r="K280" s="97"/>
      <c r="L280" s="97"/>
      <c r="M280" s="97"/>
      <c r="N280" s="97"/>
      <c r="O280" s="97"/>
      <c r="P280" s="97"/>
      <c r="Q280" s="97"/>
    </row>
    <row r="281" spans="1:17" x14ac:dyDescent="0.3">
      <c r="A281" s="113"/>
      <c r="B281" s="74"/>
      <c r="C281" s="113" t="s">
        <v>81</v>
      </c>
      <c r="D281" s="102" t="str">
        <f t="shared" si="8"/>
        <v>0.464</v>
      </c>
      <c r="E281" s="96"/>
      <c r="F281" s="96"/>
      <c r="G281" s="96"/>
      <c r="H281" s="96"/>
      <c r="I281" s="96"/>
      <c r="J281" s="96"/>
      <c r="K281" s="96"/>
      <c r="L281" s="96"/>
      <c r="M281" s="96"/>
      <c r="N281" s="96"/>
      <c r="O281" s="96"/>
      <c r="P281" s="96"/>
      <c r="Q281" s="96"/>
    </row>
    <row r="282" spans="1:17" x14ac:dyDescent="0.3">
      <c r="A282" s="114"/>
      <c r="B282" s="134"/>
      <c r="C282" s="114" t="s">
        <v>82</v>
      </c>
      <c r="D282" s="103" t="str">
        <f t="shared" si="8"/>
        <v>0.42</v>
      </c>
      <c r="E282" s="97"/>
      <c r="F282" s="97"/>
      <c r="G282" s="97"/>
      <c r="H282" s="97"/>
      <c r="I282" s="97"/>
      <c r="J282" s="97"/>
      <c r="K282" s="97"/>
      <c r="L282" s="97"/>
      <c r="M282" s="97"/>
      <c r="N282" s="97"/>
      <c r="O282" s="97"/>
      <c r="P282" s="97"/>
      <c r="Q282" s="97"/>
    </row>
    <row r="283" spans="1:17" x14ac:dyDescent="0.3">
      <c r="A283" s="113"/>
      <c r="B283" s="74"/>
      <c r="C283" s="113" t="s">
        <v>83</v>
      </c>
      <c r="D283" s="102" t="str">
        <f>GetAutoExtrusionWidth($C283,Nozzle_Diameter)</f>
        <v>0.44</v>
      </c>
      <c r="E283" s="96"/>
      <c r="F283" s="96"/>
      <c r="G283" s="96"/>
      <c r="H283" s="96"/>
      <c r="I283" s="96"/>
      <c r="J283" s="96"/>
      <c r="K283" s="96"/>
      <c r="L283" s="96"/>
      <c r="M283" s="96"/>
      <c r="N283" s="96"/>
      <c r="O283" s="96"/>
      <c r="P283" s="96"/>
      <c r="Q283" s="96"/>
    </row>
    <row r="284" spans="1:17" x14ac:dyDescent="0.3">
      <c r="A284" s="114"/>
      <c r="B284" s="134"/>
      <c r="C284" s="114" t="s">
        <v>84</v>
      </c>
      <c r="D284" s="103" t="str">
        <f t="shared" si="8"/>
        <v>0.464</v>
      </c>
      <c r="E284" s="97"/>
      <c r="F284" s="97"/>
      <c r="G284" s="97"/>
      <c r="H284" s="97"/>
      <c r="I284" s="97"/>
      <c r="J284" s="97"/>
      <c r="K284" s="97"/>
      <c r="L284" s="97"/>
      <c r="M284" s="97"/>
      <c r="N284" s="97"/>
      <c r="O284" s="97"/>
      <c r="P284" s="97"/>
      <c r="Q284" s="97"/>
    </row>
    <row r="285" spans="1:17" x14ac:dyDescent="0.3">
      <c r="A285" s="113"/>
      <c r="B285" s="74"/>
      <c r="C285" s="113" t="s">
        <v>85</v>
      </c>
      <c r="D285" s="102" t="str">
        <f>GetAutoExtrusionWidth($C285,Nozzle_Diameter)</f>
        <v>0.444</v>
      </c>
      <c r="E285" s="96"/>
      <c r="F285" s="96"/>
      <c r="G285" s="96"/>
      <c r="H285" s="96"/>
      <c r="I285" s="96"/>
      <c r="J285" s="96"/>
      <c r="K285" s="96"/>
      <c r="L285" s="96"/>
      <c r="M285" s="96"/>
      <c r="N285" s="96"/>
      <c r="O285" s="96"/>
      <c r="P285" s="96"/>
      <c r="Q285" s="96"/>
    </row>
    <row r="286" spans="1:17" x14ac:dyDescent="0.3">
      <c r="A286" s="114"/>
      <c r="B286" s="134"/>
      <c r="C286" s="114" t="s">
        <v>86</v>
      </c>
      <c r="D286" s="103" t="str">
        <f t="shared" si="8"/>
        <v>0.44</v>
      </c>
      <c r="E286" s="97"/>
      <c r="F286" s="97"/>
      <c r="G286" s="97"/>
      <c r="H286" s="97"/>
      <c r="I286" s="97"/>
      <c r="J286" s="97"/>
      <c r="K286" s="97"/>
      <c r="L286" s="97"/>
      <c r="M286" s="97"/>
      <c r="N286" s="97"/>
      <c r="O286" s="97"/>
      <c r="P286" s="97"/>
      <c r="Q286" s="97"/>
    </row>
    <row r="287" spans="1:17" x14ac:dyDescent="0.3">
      <c r="A287" s="113"/>
      <c r="B287" s="74" t="s">
        <v>1403</v>
      </c>
      <c r="C287" s="113" t="s">
        <v>1387</v>
      </c>
      <c r="D287" s="111" t="str">
        <f>GetAutoExtrusionWidth($C285,Nozzle_Diameter)</f>
        <v>0.444</v>
      </c>
      <c r="E287" s="96"/>
      <c r="F287" s="96"/>
      <c r="G287" s="96"/>
      <c r="H287" s="96"/>
      <c r="I287" s="96"/>
      <c r="J287" s="96"/>
      <c r="K287" s="96"/>
      <c r="L287" s="96"/>
      <c r="M287" s="96"/>
      <c r="N287" s="96"/>
      <c r="O287" s="96"/>
      <c r="P287" s="96"/>
      <c r="Q287" s="96"/>
    </row>
    <row r="288" spans="1:17" x14ac:dyDescent="0.3">
      <c r="A288" s="114"/>
      <c r="B288" s="134" t="s">
        <v>1403</v>
      </c>
      <c r="C288" s="114" t="s">
        <v>1492</v>
      </c>
      <c r="D288" s="119"/>
      <c r="E288" s="97"/>
      <c r="F288" s="97"/>
      <c r="G288" s="97"/>
      <c r="H288" s="97"/>
      <c r="I288" s="97"/>
      <c r="J288" s="97"/>
      <c r="K288" s="97"/>
      <c r="L288" s="97"/>
      <c r="M288" s="97"/>
      <c r="N288" s="97"/>
      <c r="O288" s="97"/>
      <c r="P288" s="97"/>
      <c r="Q288" s="97"/>
    </row>
    <row r="289" spans="1:17" x14ac:dyDescent="0.3">
      <c r="A289" s="113"/>
      <c r="B289" s="74" t="s">
        <v>1403</v>
      </c>
      <c r="C289" s="113" t="s">
        <v>1493</v>
      </c>
      <c r="D289" s="107"/>
      <c r="E289" s="96"/>
      <c r="F289" s="96"/>
      <c r="G289" s="96"/>
      <c r="H289" s="96"/>
      <c r="I289" s="96"/>
      <c r="J289" s="96"/>
      <c r="K289" s="96"/>
      <c r="L289" s="96"/>
      <c r="M289" s="96"/>
      <c r="N289" s="96"/>
      <c r="O289" s="96"/>
      <c r="P289" s="96"/>
      <c r="Q289" s="96"/>
    </row>
    <row r="290" spans="1:17" x14ac:dyDescent="0.3">
      <c r="A290" s="114"/>
      <c r="B290" s="134" t="s">
        <v>1403</v>
      </c>
      <c r="C290" s="114" t="s">
        <v>1494</v>
      </c>
      <c r="D290" s="119"/>
      <c r="E290" s="97"/>
      <c r="F290" s="97"/>
      <c r="G290" s="97"/>
      <c r="H290" s="97"/>
      <c r="I290" s="97"/>
      <c r="J290" s="97"/>
      <c r="K290" s="97"/>
      <c r="L290" s="97"/>
      <c r="M290" s="97"/>
      <c r="N290" s="97"/>
      <c r="O290" s="97"/>
      <c r="P290" s="97"/>
      <c r="Q290" s="97"/>
    </row>
    <row r="291" spans="1:17" x14ac:dyDescent="0.3">
      <c r="A291" s="113"/>
      <c r="B291" s="74" t="s">
        <v>1403</v>
      </c>
      <c r="C291" s="113" t="s">
        <v>1502</v>
      </c>
      <c r="D291" s="107"/>
      <c r="E291" s="96"/>
      <c r="F291" s="96"/>
      <c r="G291" s="96"/>
      <c r="H291" s="96"/>
      <c r="I291" s="96"/>
      <c r="J291" s="96"/>
      <c r="K291" s="96"/>
      <c r="L291" s="96"/>
      <c r="M291" s="96"/>
      <c r="N291" s="96"/>
      <c r="O291" s="96"/>
      <c r="P291" s="96"/>
      <c r="Q291" s="96"/>
    </row>
    <row r="292" spans="1:17" x14ac:dyDescent="0.3">
      <c r="A292" s="114"/>
      <c r="B292" s="134" t="s">
        <v>1403</v>
      </c>
      <c r="C292" s="114" t="s">
        <v>1507</v>
      </c>
      <c r="D292" s="119"/>
      <c r="E292" s="97"/>
      <c r="F292" s="97"/>
      <c r="G292" s="97"/>
      <c r="H292" s="97"/>
      <c r="I292" s="97"/>
      <c r="J292" s="97"/>
      <c r="K292" s="97"/>
      <c r="L292" s="97"/>
      <c r="M292" s="97"/>
      <c r="N292" s="97"/>
      <c r="O292" s="97"/>
      <c r="P292" s="97"/>
      <c r="Q292" s="97"/>
    </row>
    <row r="293" spans="1:17" x14ac:dyDescent="0.3">
      <c r="A293" s="113"/>
      <c r="B293" s="74" t="s">
        <v>1403</v>
      </c>
      <c r="C293" s="113" t="s">
        <v>1516</v>
      </c>
      <c r="D293" s="107"/>
      <c r="E293" s="96"/>
      <c r="F293" s="96"/>
      <c r="G293" s="96"/>
      <c r="H293" s="96"/>
      <c r="I293" s="96"/>
      <c r="J293" s="96"/>
      <c r="K293" s="96"/>
      <c r="L293" s="96"/>
      <c r="M293" s="96"/>
      <c r="N293" s="96"/>
      <c r="O293" s="96"/>
      <c r="P293" s="96"/>
      <c r="Q293" s="96"/>
    </row>
    <row r="294" spans="1:17" x14ac:dyDescent="0.3">
      <c r="A294" s="114"/>
      <c r="B294" s="134" t="s">
        <v>1403</v>
      </c>
      <c r="C294" s="114" t="s">
        <v>1517</v>
      </c>
      <c r="D294" s="119"/>
      <c r="E294" s="97"/>
      <c r="F294" s="97"/>
      <c r="G294" s="97"/>
      <c r="H294" s="97"/>
      <c r="I294" s="97"/>
      <c r="J294" s="97"/>
      <c r="K294" s="97"/>
      <c r="L294" s="97"/>
      <c r="M294" s="97"/>
      <c r="N294" s="97"/>
      <c r="O294" s="97"/>
      <c r="P294" s="97"/>
      <c r="Q294" s="97"/>
    </row>
    <row r="295" spans="1:17" x14ac:dyDescent="0.3">
      <c r="A295" s="115"/>
      <c r="B295" s="133"/>
      <c r="C295" s="115" t="s">
        <v>408</v>
      </c>
      <c r="D295" s="105"/>
      <c r="E295" s="98"/>
      <c r="F295" s="98"/>
      <c r="G295" s="98"/>
      <c r="H295" s="98"/>
      <c r="I295" s="98"/>
      <c r="J295" s="98"/>
      <c r="K295" s="98"/>
      <c r="L295" s="98"/>
      <c r="M295" s="98"/>
      <c r="N295" s="98"/>
      <c r="O295" s="98"/>
      <c r="P295" s="98"/>
      <c r="Q295" s="98"/>
    </row>
    <row r="296" spans="1:17" x14ac:dyDescent="0.3">
      <c r="A296" s="113"/>
      <c r="B296" s="74"/>
      <c r="C296" s="113" t="s">
        <v>87</v>
      </c>
      <c r="D296" s="107">
        <v>0.25</v>
      </c>
      <c r="E296" s="110"/>
      <c r="F296" s="110"/>
      <c r="G296" s="110"/>
      <c r="H296" s="110"/>
      <c r="I296" s="110"/>
      <c r="J296" s="110"/>
      <c r="K296" s="110"/>
      <c r="L296" s="110"/>
      <c r="M296" s="110"/>
      <c r="N296" s="110"/>
      <c r="O296" s="110"/>
      <c r="P296" s="96"/>
      <c r="Q296" s="96"/>
    </row>
    <row r="297" spans="1:17" x14ac:dyDescent="0.3">
      <c r="A297" s="114"/>
      <c r="B297" s="134" t="s">
        <v>1403</v>
      </c>
      <c r="C297" s="114" t="s">
        <v>1384</v>
      </c>
      <c r="D297" s="119"/>
      <c r="E297" s="118"/>
      <c r="F297" s="118"/>
      <c r="G297" s="118"/>
      <c r="H297" s="118"/>
      <c r="I297" s="118"/>
      <c r="J297" s="118"/>
      <c r="K297" s="118"/>
      <c r="L297" s="118"/>
      <c r="M297" s="118"/>
      <c r="N297" s="118"/>
      <c r="O297" s="118"/>
      <c r="P297" s="97"/>
      <c r="Q297" s="97"/>
    </row>
    <row r="298" spans="1:17" x14ac:dyDescent="0.3">
      <c r="A298" s="113"/>
      <c r="B298" s="74" t="s">
        <v>1403</v>
      </c>
      <c r="C298" s="113" t="s">
        <v>1349</v>
      </c>
      <c r="D298" s="107"/>
      <c r="E298" s="110"/>
      <c r="F298" s="110"/>
      <c r="G298" s="110"/>
      <c r="H298" s="110"/>
      <c r="I298" s="110"/>
      <c r="J298" s="110"/>
      <c r="K298" s="110"/>
      <c r="L298" s="110"/>
      <c r="M298" s="110"/>
      <c r="N298" s="110"/>
      <c r="O298" s="110"/>
      <c r="P298" s="96"/>
      <c r="Q298" s="96"/>
    </row>
    <row r="299" spans="1:17" x14ac:dyDescent="0.3">
      <c r="A299" s="114"/>
      <c r="B299" s="134" t="s">
        <v>1403</v>
      </c>
      <c r="C299" s="114" t="s">
        <v>1495</v>
      </c>
      <c r="D299" s="119"/>
      <c r="E299" s="118"/>
      <c r="F299" s="118"/>
      <c r="G299" s="118"/>
      <c r="H299" s="118"/>
      <c r="I299" s="118"/>
      <c r="J299" s="118"/>
      <c r="K299" s="118"/>
      <c r="L299" s="118"/>
      <c r="M299" s="118"/>
      <c r="N299" s="118"/>
      <c r="O299" s="118"/>
      <c r="P299" s="97"/>
      <c r="Q299" s="97"/>
    </row>
    <row r="300" spans="1:17" s="94" customFormat="1" x14ac:dyDescent="0.3">
      <c r="A300" s="113"/>
      <c r="B300" s="74" t="s">
        <v>1403</v>
      </c>
      <c r="C300" s="113" t="s">
        <v>1684</v>
      </c>
      <c r="D300" s="107"/>
      <c r="E300" s="110"/>
      <c r="F300" s="110"/>
      <c r="G300" s="110"/>
      <c r="H300" s="110"/>
      <c r="I300" s="110"/>
      <c r="J300" s="110"/>
      <c r="K300" s="110"/>
      <c r="L300" s="110"/>
      <c r="M300" s="110"/>
      <c r="N300" s="110"/>
      <c r="O300" s="110"/>
      <c r="P300" s="96"/>
      <c r="Q300" s="96"/>
    </row>
    <row r="301" spans="1:17" s="94" customFormat="1" x14ac:dyDescent="0.3">
      <c r="A301" s="114"/>
      <c r="B301" s="134" t="s">
        <v>1403</v>
      </c>
      <c r="C301" s="114" t="s">
        <v>1329</v>
      </c>
      <c r="D301" s="119"/>
      <c r="E301" s="118"/>
      <c r="F301" s="118"/>
      <c r="G301" s="118"/>
      <c r="H301" s="118"/>
      <c r="I301" s="118"/>
      <c r="J301" s="118"/>
      <c r="K301" s="118"/>
      <c r="L301" s="118"/>
      <c r="M301" s="118"/>
      <c r="N301" s="118"/>
      <c r="O301" s="118"/>
      <c r="P301" s="97"/>
      <c r="Q301" s="97"/>
    </row>
    <row r="302" spans="1:17" x14ac:dyDescent="0.3">
      <c r="A302" s="113"/>
      <c r="B302" s="74" t="s">
        <v>1403</v>
      </c>
      <c r="C302" s="113" t="s">
        <v>1685</v>
      </c>
      <c r="D302" s="107"/>
      <c r="E302" s="110"/>
      <c r="F302" s="110"/>
      <c r="G302" s="110"/>
      <c r="H302" s="110"/>
      <c r="I302" s="110"/>
      <c r="J302" s="110"/>
      <c r="K302" s="110"/>
      <c r="L302" s="110"/>
      <c r="M302" s="110"/>
      <c r="N302" s="110"/>
      <c r="O302" s="110"/>
      <c r="P302" s="96"/>
      <c r="Q302" s="96"/>
    </row>
    <row r="303" spans="1:17" x14ac:dyDescent="0.3">
      <c r="A303" s="115"/>
      <c r="B303" s="133"/>
      <c r="C303" s="115" t="s">
        <v>409</v>
      </c>
      <c r="D303" s="105"/>
      <c r="E303" s="98"/>
      <c r="F303" s="98"/>
      <c r="G303" s="98"/>
      <c r="H303" s="98"/>
      <c r="I303" s="98"/>
      <c r="J303" s="98"/>
      <c r="K303" s="98"/>
      <c r="L303" s="98"/>
      <c r="M303" s="98"/>
      <c r="N303" s="98"/>
      <c r="O303" s="98"/>
      <c r="P303" s="98"/>
      <c r="Q303" s="98"/>
    </row>
    <row r="304" spans="1:17" x14ac:dyDescent="0.3">
      <c r="A304" s="113"/>
      <c r="B304" s="74"/>
      <c r="C304" s="113" t="s">
        <v>88</v>
      </c>
      <c r="D304" s="107"/>
      <c r="E304" s="96"/>
      <c r="F304" s="96"/>
      <c r="G304" s="96"/>
      <c r="H304" s="96"/>
      <c r="I304" s="96"/>
      <c r="J304" s="96"/>
      <c r="K304" s="96"/>
      <c r="L304" s="96"/>
      <c r="M304" s="96"/>
      <c r="N304" s="96"/>
      <c r="O304" s="96"/>
      <c r="P304" s="96"/>
      <c r="Q304" s="96"/>
    </row>
    <row r="305" spans="1:17" x14ac:dyDescent="0.3">
      <c r="A305" s="114"/>
      <c r="B305" s="134" t="s">
        <v>1403</v>
      </c>
      <c r="C305" s="114" t="s">
        <v>1377</v>
      </c>
      <c r="D305" s="119"/>
      <c r="E305" s="97"/>
      <c r="F305" s="97"/>
      <c r="G305" s="97"/>
      <c r="H305" s="97"/>
      <c r="I305" s="97"/>
      <c r="J305" s="97"/>
      <c r="K305" s="97"/>
      <c r="L305" s="97"/>
      <c r="M305" s="97"/>
      <c r="N305" s="97"/>
      <c r="O305" s="97"/>
      <c r="P305" s="97"/>
      <c r="Q305" s="97"/>
    </row>
    <row r="306" spans="1:17" x14ac:dyDescent="0.3">
      <c r="A306" s="113"/>
      <c r="B306" s="74" t="s">
        <v>1403</v>
      </c>
      <c r="C306" s="113" t="s">
        <v>1358</v>
      </c>
      <c r="D306" s="107"/>
      <c r="E306" s="96"/>
      <c r="F306" s="96"/>
      <c r="G306" s="96"/>
      <c r="H306" s="96"/>
      <c r="I306" s="96"/>
      <c r="J306" s="96"/>
      <c r="K306" s="96"/>
      <c r="L306" s="96"/>
      <c r="M306" s="96"/>
      <c r="N306" s="96"/>
      <c r="O306" s="96"/>
      <c r="P306" s="96"/>
      <c r="Q306" s="96"/>
    </row>
    <row r="307" spans="1:17" x14ac:dyDescent="0.3">
      <c r="A307" s="114"/>
      <c r="B307" s="134" t="s">
        <v>1403</v>
      </c>
      <c r="C307" s="114" t="s">
        <v>1359</v>
      </c>
      <c r="D307" s="119"/>
      <c r="E307" s="97"/>
      <c r="F307" s="97"/>
      <c r="G307" s="97"/>
      <c r="H307" s="97"/>
      <c r="I307" s="97"/>
      <c r="J307" s="97"/>
      <c r="K307" s="97"/>
      <c r="L307" s="97"/>
      <c r="M307" s="97"/>
      <c r="N307" s="97"/>
      <c r="O307" s="97"/>
      <c r="P307" s="97"/>
      <c r="Q307" s="97"/>
    </row>
    <row r="308" spans="1:17" x14ac:dyDescent="0.3">
      <c r="A308" s="113"/>
      <c r="B308" s="74" t="s">
        <v>1403</v>
      </c>
      <c r="C308" s="113" t="s">
        <v>1686</v>
      </c>
      <c r="D308" s="107"/>
      <c r="E308" s="96"/>
      <c r="F308" s="96"/>
      <c r="G308" s="96"/>
      <c r="H308" s="96"/>
      <c r="I308" s="96"/>
      <c r="J308" s="96"/>
      <c r="K308" s="96"/>
      <c r="L308" s="96"/>
      <c r="M308" s="96"/>
      <c r="N308" s="96"/>
      <c r="O308" s="96"/>
      <c r="P308" s="96"/>
      <c r="Q308" s="96"/>
    </row>
    <row r="309" spans="1:17" s="94" customFormat="1" x14ac:dyDescent="0.3">
      <c r="A309" s="114"/>
      <c r="B309" s="134" t="s">
        <v>1403</v>
      </c>
      <c r="C309" s="114" t="s">
        <v>1687</v>
      </c>
      <c r="D309" s="119"/>
      <c r="E309" s="97"/>
      <c r="F309" s="97"/>
      <c r="G309" s="97"/>
      <c r="H309" s="97"/>
      <c r="I309" s="97"/>
      <c r="J309" s="97"/>
      <c r="K309" s="97"/>
      <c r="L309" s="97"/>
      <c r="M309" s="97"/>
      <c r="N309" s="97"/>
      <c r="O309" s="97"/>
      <c r="P309" s="97"/>
      <c r="Q309" s="97"/>
    </row>
    <row r="310" spans="1:17" s="94" customFormat="1" x14ac:dyDescent="0.3">
      <c r="A310" s="113"/>
      <c r="B310" s="74" t="s">
        <v>1403</v>
      </c>
      <c r="C310" s="113" t="s">
        <v>1348</v>
      </c>
      <c r="D310" s="107"/>
      <c r="E310" s="96"/>
      <c r="F310" s="96"/>
      <c r="G310" s="96"/>
      <c r="H310" s="96"/>
      <c r="I310" s="96"/>
      <c r="J310" s="96"/>
      <c r="K310" s="96"/>
      <c r="L310" s="96"/>
      <c r="M310" s="96"/>
      <c r="N310" s="96"/>
      <c r="O310" s="96"/>
      <c r="P310" s="96"/>
      <c r="Q310" s="96"/>
    </row>
    <row r="311" spans="1:17" x14ac:dyDescent="0.3">
      <c r="A311" s="115"/>
      <c r="B311" s="133"/>
      <c r="C311" s="115" t="s">
        <v>1647</v>
      </c>
      <c r="D311" s="128"/>
      <c r="E311" s="98"/>
      <c r="F311" s="98"/>
      <c r="G311" s="98"/>
      <c r="H311" s="98"/>
      <c r="I311" s="98"/>
      <c r="J311" s="98"/>
      <c r="K311" s="98"/>
      <c r="L311" s="98"/>
      <c r="M311" s="98"/>
      <c r="N311" s="98"/>
      <c r="O311" s="98"/>
      <c r="P311" s="98"/>
      <c r="Q311" s="98"/>
    </row>
    <row r="312" spans="1:17" s="94" customFormat="1" x14ac:dyDescent="0.3">
      <c r="A312" s="113"/>
      <c r="B312" s="74" t="s">
        <v>1403</v>
      </c>
      <c r="C312" s="113" t="s">
        <v>1699</v>
      </c>
      <c r="D312" s="102"/>
      <c r="E312" s="96"/>
      <c r="F312" s="96"/>
      <c r="G312" s="96"/>
      <c r="H312" s="96"/>
      <c r="I312" s="96"/>
      <c r="J312" s="96"/>
      <c r="K312" s="96"/>
      <c r="L312" s="96"/>
      <c r="M312" s="96"/>
      <c r="N312" s="96"/>
      <c r="O312" s="96"/>
      <c r="P312" s="96"/>
      <c r="Q312" s="96"/>
    </row>
    <row r="313" spans="1:17" s="94" customFormat="1" x14ac:dyDescent="0.3">
      <c r="A313" s="114"/>
      <c r="B313" s="134" t="s">
        <v>1403</v>
      </c>
      <c r="C313" s="114" t="s">
        <v>1700</v>
      </c>
      <c r="D313" s="103"/>
      <c r="E313" s="97"/>
      <c r="F313" s="97"/>
      <c r="G313" s="97"/>
      <c r="H313" s="97"/>
      <c r="I313" s="97"/>
      <c r="J313" s="97"/>
      <c r="K313" s="97"/>
      <c r="L313" s="97"/>
      <c r="M313" s="97"/>
      <c r="N313" s="97"/>
      <c r="O313" s="97"/>
      <c r="P313" s="97"/>
      <c r="Q313" s="97"/>
    </row>
    <row r="314" spans="1:17" s="94" customFormat="1" x14ac:dyDescent="0.3">
      <c r="A314" s="113"/>
      <c r="B314" s="74"/>
      <c r="C314" s="113" t="s">
        <v>1641</v>
      </c>
      <c r="D314" s="102"/>
      <c r="E314" s="96"/>
      <c r="F314" s="96"/>
      <c r="G314" s="96"/>
      <c r="H314" s="96"/>
      <c r="I314" s="96"/>
      <c r="J314" s="96"/>
      <c r="K314" s="96"/>
      <c r="L314" s="96"/>
      <c r="M314" s="96"/>
      <c r="N314" s="96"/>
      <c r="O314" s="96"/>
      <c r="P314" s="96"/>
      <c r="Q314" s="96"/>
    </row>
    <row r="315" spans="1:17" s="94" customFormat="1" x14ac:dyDescent="0.3">
      <c r="A315" s="114"/>
      <c r="B315" s="134"/>
      <c r="C315" s="114" t="s">
        <v>1642</v>
      </c>
      <c r="D315" s="103"/>
      <c r="E315" s="97"/>
      <c r="F315" s="97"/>
      <c r="G315" s="97"/>
      <c r="H315" s="97"/>
      <c r="I315" s="97"/>
      <c r="J315" s="97"/>
      <c r="K315" s="97"/>
      <c r="L315" s="97"/>
      <c r="M315" s="97"/>
      <c r="N315" s="97"/>
      <c r="O315" s="97"/>
      <c r="P315" s="97"/>
      <c r="Q315" s="97"/>
    </row>
    <row r="316" spans="1:17" s="94" customFormat="1" x14ac:dyDescent="0.3">
      <c r="A316" s="113"/>
      <c r="B316" s="74"/>
      <c r="C316" s="113" t="s">
        <v>1643</v>
      </c>
      <c r="D316" s="107"/>
      <c r="E316" s="96"/>
      <c r="F316" s="96"/>
      <c r="G316" s="96"/>
      <c r="H316" s="96"/>
      <c r="I316" s="96"/>
      <c r="J316" s="96"/>
      <c r="K316" s="96"/>
      <c r="L316" s="96"/>
      <c r="M316" s="96"/>
      <c r="N316" s="96"/>
      <c r="O316" s="96"/>
      <c r="P316" s="96"/>
      <c r="Q316" s="96"/>
    </row>
    <row r="317" spans="1:17" s="94" customFormat="1" x14ac:dyDescent="0.3">
      <c r="A317" s="114"/>
      <c r="B317" s="134"/>
      <c r="C317" s="114" t="s">
        <v>1644</v>
      </c>
      <c r="D317" s="119"/>
      <c r="E317" s="97"/>
      <c r="F317" s="97"/>
      <c r="G317" s="97"/>
      <c r="H317" s="97"/>
      <c r="I317" s="97"/>
      <c r="J317" s="97"/>
      <c r="K317" s="97"/>
      <c r="L317" s="97"/>
      <c r="M317" s="97"/>
      <c r="N317" s="97"/>
      <c r="O317" s="97"/>
      <c r="P317" s="97"/>
      <c r="Q317" s="97"/>
    </row>
    <row r="318" spans="1:17" s="94" customFormat="1" x14ac:dyDescent="0.3">
      <c r="A318" s="113"/>
      <c r="B318" s="74"/>
      <c r="C318" s="113" t="s">
        <v>1637</v>
      </c>
      <c r="D318" s="107"/>
      <c r="E318" s="96"/>
      <c r="F318" s="96"/>
      <c r="G318" s="96"/>
      <c r="H318" s="96"/>
      <c r="I318" s="96"/>
      <c r="J318" s="96"/>
      <c r="K318" s="96"/>
      <c r="L318" s="96"/>
      <c r="M318" s="96"/>
      <c r="N318" s="96"/>
      <c r="O318" s="96"/>
      <c r="P318" s="96"/>
      <c r="Q318" s="96"/>
    </row>
    <row r="319" spans="1:17" s="94" customFormat="1" x14ac:dyDescent="0.3">
      <c r="A319" s="114"/>
      <c r="B319" s="134"/>
      <c r="C319" s="114" t="s">
        <v>1638</v>
      </c>
      <c r="D319" s="119"/>
      <c r="E319" s="97"/>
      <c r="F319" s="97"/>
      <c r="G319" s="97"/>
      <c r="H319" s="97"/>
      <c r="I319" s="97"/>
      <c r="J319" s="97"/>
      <c r="K319" s="97"/>
      <c r="L319" s="97"/>
      <c r="M319" s="97"/>
      <c r="N319" s="97"/>
      <c r="O319" s="97"/>
      <c r="P319" s="97"/>
      <c r="Q319" s="97"/>
    </row>
    <row r="320" spans="1:17" s="94" customFormat="1" x14ac:dyDescent="0.3">
      <c r="A320" s="115" t="s">
        <v>224</v>
      </c>
      <c r="B320" s="133"/>
      <c r="C320" s="115" t="s">
        <v>1688</v>
      </c>
      <c r="D320" s="105"/>
      <c r="E320" s="98"/>
      <c r="F320" s="98"/>
      <c r="G320" s="98"/>
      <c r="H320" s="98"/>
      <c r="I320" s="98"/>
      <c r="J320" s="98"/>
      <c r="K320" s="98"/>
      <c r="L320" s="98"/>
      <c r="M320" s="98"/>
      <c r="N320" s="98"/>
      <c r="O320" s="98"/>
      <c r="P320" s="98"/>
      <c r="Q320" s="98"/>
    </row>
    <row r="321" spans="1:17" s="94" customFormat="1" x14ac:dyDescent="0.3">
      <c r="A321" s="113"/>
      <c r="B321" s="74"/>
      <c r="C321" s="113" t="s">
        <v>1344</v>
      </c>
      <c r="D321" s="102"/>
      <c r="E321" s="96"/>
      <c r="F321" s="96"/>
      <c r="G321" s="96"/>
      <c r="H321" s="96"/>
      <c r="I321" s="96"/>
      <c r="J321" s="96"/>
      <c r="K321" s="96"/>
      <c r="L321" s="96"/>
      <c r="M321" s="96"/>
      <c r="N321" s="96"/>
      <c r="O321" s="96"/>
      <c r="P321" s="96"/>
      <c r="Q321" s="96"/>
    </row>
    <row r="322" spans="1:17" x14ac:dyDescent="0.3">
      <c r="A322" s="115"/>
      <c r="B322" s="133"/>
      <c r="C322" s="115" t="s">
        <v>411</v>
      </c>
      <c r="D322" s="105"/>
      <c r="E322" s="98"/>
      <c r="F322" s="98"/>
      <c r="G322" s="98"/>
      <c r="H322" s="98"/>
      <c r="I322" s="98"/>
      <c r="J322" s="98"/>
      <c r="K322" s="98"/>
      <c r="L322" s="98"/>
      <c r="M322" s="98"/>
      <c r="N322" s="98"/>
      <c r="O322" s="98"/>
      <c r="P322" s="98"/>
      <c r="Q322" s="98"/>
    </row>
    <row r="323" spans="1:17" x14ac:dyDescent="0.3">
      <c r="A323" s="113"/>
      <c r="B323" s="74"/>
      <c r="C323" s="113" t="s">
        <v>93</v>
      </c>
      <c r="D323" s="124"/>
      <c r="E323" s="96"/>
      <c r="F323" s="96"/>
      <c r="G323" s="96"/>
      <c r="H323" s="96"/>
      <c r="I323" s="96"/>
      <c r="J323" s="96"/>
      <c r="K323" s="96"/>
      <c r="L323" s="96"/>
      <c r="M323" s="96"/>
      <c r="N323" s="96"/>
      <c r="O323" s="96"/>
      <c r="P323" s="96"/>
      <c r="Q323" s="96"/>
    </row>
    <row r="324" spans="1:17" x14ac:dyDescent="0.3">
      <c r="A324" s="114"/>
      <c r="B324" s="134"/>
      <c r="C324" s="114" t="s">
        <v>1337</v>
      </c>
      <c r="D324" s="122"/>
      <c r="E324" s="97"/>
      <c r="F324" s="97"/>
      <c r="G324" s="97"/>
      <c r="H324" s="97"/>
      <c r="I324" s="97"/>
      <c r="J324" s="97"/>
      <c r="K324" s="97"/>
      <c r="L324" s="97"/>
      <c r="M324" s="97"/>
      <c r="N324" s="97"/>
      <c r="O324" s="97"/>
      <c r="P324" s="97"/>
      <c r="Q324" s="97"/>
    </row>
    <row r="325" spans="1:17" x14ac:dyDescent="0.3">
      <c r="A325" s="113"/>
      <c r="B325" s="74" t="s">
        <v>1403</v>
      </c>
      <c r="C325" s="113" t="s">
        <v>1689</v>
      </c>
      <c r="D325" s="102"/>
      <c r="E325" s="96"/>
      <c r="F325" s="96"/>
      <c r="G325" s="96"/>
      <c r="H325" s="96"/>
      <c r="I325" s="96"/>
      <c r="J325" s="96"/>
      <c r="K325" s="96"/>
      <c r="L325" s="96"/>
      <c r="M325" s="96"/>
      <c r="N325" s="96"/>
      <c r="O325" s="96"/>
      <c r="P325" s="96"/>
      <c r="Q325" s="96"/>
    </row>
    <row r="326" spans="1:17" s="94" customFormat="1" x14ac:dyDescent="0.3">
      <c r="A326" s="114"/>
      <c r="B326" s="134" t="s">
        <v>1403</v>
      </c>
      <c r="C326" s="114" t="s">
        <v>1338</v>
      </c>
      <c r="D326" s="103"/>
      <c r="E326" s="97"/>
      <c r="F326" s="97"/>
      <c r="G326" s="97"/>
      <c r="H326" s="97"/>
      <c r="I326" s="97"/>
      <c r="J326" s="97"/>
      <c r="K326" s="97"/>
      <c r="L326" s="97"/>
      <c r="M326" s="97"/>
      <c r="N326" s="97"/>
      <c r="O326" s="97"/>
      <c r="P326" s="97"/>
      <c r="Q326" s="97"/>
    </row>
    <row r="327" spans="1:17" x14ac:dyDescent="0.3">
      <c r="A327" s="113"/>
      <c r="B327" s="74"/>
      <c r="C327" s="113" t="s">
        <v>94</v>
      </c>
      <c r="D327" s="102">
        <v>20</v>
      </c>
      <c r="E327" s="96"/>
      <c r="F327" s="96"/>
      <c r="G327" s="96"/>
      <c r="H327" s="96"/>
      <c r="I327" s="96"/>
      <c r="J327" s="96"/>
      <c r="K327" s="96"/>
      <c r="L327" s="96"/>
      <c r="M327" s="96"/>
      <c r="N327" s="96"/>
      <c r="O327" s="96"/>
      <c r="P327" s="96"/>
      <c r="Q327" s="96"/>
    </row>
    <row r="328" spans="1:17" x14ac:dyDescent="0.3">
      <c r="A328" s="114"/>
      <c r="B328" s="134"/>
      <c r="C328" s="114" t="s">
        <v>95</v>
      </c>
      <c r="D328" s="103">
        <v>20</v>
      </c>
      <c r="E328" s="97"/>
      <c r="F328" s="97"/>
      <c r="G328" s="97"/>
      <c r="H328" s="97"/>
      <c r="I328" s="97"/>
      <c r="J328" s="97"/>
      <c r="K328" s="97"/>
      <c r="L328" s="97"/>
      <c r="M328" s="97"/>
      <c r="N328" s="97"/>
      <c r="O328" s="97"/>
      <c r="P328" s="97"/>
      <c r="Q328" s="97"/>
    </row>
    <row r="329" spans="1:17" x14ac:dyDescent="0.3">
      <c r="A329" s="115"/>
      <c r="B329" s="133"/>
      <c r="C329" s="115" t="s">
        <v>412</v>
      </c>
      <c r="D329" s="105"/>
      <c r="E329" s="98"/>
      <c r="F329" s="98"/>
      <c r="G329" s="98"/>
      <c r="H329" s="98"/>
      <c r="I329" s="98"/>
      <c r="J329" s="98"/>
      <c r="K329" s="98"/>
      <c r="L329" s="98"/>
      <c r="M329" s="98"/>
      <c r="N329" s="98"/>
      <c r="O329" s="98"/>
      <c r="P329" s="98"/>
      <c r="Q329" s="98"/>
    </row>
    <row r="330" spans="1:17" x14ac:dyDescent="0.3">
      <c r="A330" s="113"/>
      <c r="B330" s="74"/>
      <c r="C330" s="113" t="s">
        <v>96</v>
      </c>
      <c r="D330" s="102" t="str">
        <f>Get_Machine_Spec(C330)</f>
        <v>1</v>
      </c>
      <c r="E330" s="96"/>
      <c r="F330" s="96"/>
      <c r="G330" s="96"/>
      <c r="H330" s="96"/>
      <c r="I330" s="96"/>
      <c r="J330" s="96"/>
      <c r="K330" s="96"/>
      <c r="L330" s="96"/>
      <c r="M330" s="96"/>
      <c r="N330" s="96"/>
      <c r="O330" s="96"/>
      <c r="P330" s="96"/>
      <c r="Q330" s="96"/>
    </row>
    <row r="331" spans="1:17" x14ac:dyDescent="0.3">
      <c r="A331" s="114"/>
      <c r="B331" s="134"/>
      <c r="C331" s="114" t="s">
        <v>290</v>
      </c>
      <c r="D331" s="103" t="str">
        <f>Get_Machine_Spec(C331)</f>
        <v>1</v>
      </c>
      <c r="E331" s="97"/>
      <c r="F331" s="97"/>
      <c r="G331" s="97"/>
      <c r="H331" s="97"/>
      <c r="I331" s="97"/>
      <c r="J331" s="97"/>
      <c r="K331" s="97"/>
      <c r="L331" s="97"/>
      <c r="M331" s="97"/>
      <c r="N331" s="97"/>
      <c r="O331" s="97"/>
      <c r="P331" s="97"/>
      <c r="Q331" s="97"/>
    </row>
    <row r="332" spans="1:17" x14ac:dyDescent="0.3">
      <c r="A332" s="113"/>
      <c r="B332" s="74"/>
      <c r="C332" s="113" t="s">
        <v>97</v>
      </c>
      <c r="D332" s="102" t="s">
        <v>1469</v>
      </c>
      <c r="E332" s="96"/>
      <c r="F332" s="96"/>
      <c r="G332" s="96"/>
      <c r="H332" s="96"/>
      <c r="I332" s="96"/>
      <c r="J332" s="96"/>
      <c r="K332" s="96"/>
      <c r="L332" s="96"/>
      <c r="M332" s="96"/>
      <c r="N332" s="96"/>
      <c r="O332" s="96"/>
      <c r="P332" s="96"/>
      <c r="Q332" s="96"/>
    </row>
    <row r="333" spans="1:17" x14ac:dyDescent="0.3">
      <c r="A333" s="115"/>
      <c r="B333" s="133"/>
      <c r="C333" s="115" t="s">
        <v>410</v>
      </c>
      <c r="D333" s="105"/>
      <c r="E333" s="98"/>
      <c r="F333" s="98"/>
      <c r="G333" s="98"/>
      <c r="H333" s="98"/>
      <c r="I333" s="98"/>
      <c r="J333" s="98"/>
      <c r="K333" s="98"/>
      <c r="L333" s="98"/>
      <c r="M333" s="98"/>
      <c r="N333" s="98"/>
      <c r="O333" s="98"/>
      <c r="P333" s="98"/>
      <c r="Q333" s="98"/>
    </row>
    <row r="334" spans="1:17" s="94" customFormat="1" x14ac:dyDescent="0.3">
      <c r="A334" s="113"/>
      <c r="B334" s="74"/>
      <c r="C334" s="113" t="s">
        <v>1634</v>
      </c>
      <c r="D334" s="102"/>
      <c r="E334" s="96"/>
      <c r="F334" s="96"/>
      <c r="G334" s="96"/>
      <c r="H334" s="96"/>
      <c r="I334" s="96"/>
      <c r="J334" s="96"/>
      <c r="K334" s="96"/>
      <c r="L334" s="96"/>
      <c r="M334" s="96"/>
      <c r="N334" s="96"/>
      <c r="O334" s="96"/>
      <c r="P334" s="96"/>
      <c r="Q334" s="96"/>
    </row>
    <row r="335" spans="1:17" s="94" customFormat="1" x14ac:dyDescent="0.3">
      <c r="A335" s="115"/>
      <c r="B335" s="133"/>
      <c r="C335" s="115" t="s">
        <v>1526</v>
      </c>
      <c r="D335" s="105"/>
      <c r="E335" s="98"/>
      <c r="F335" s="98"/>
      <c r="G335" s="98"/>
      <c r="H335" s="98"/>
      <c r="I335" s="98"/>
      <c r="J335" s="98"/>
      <c r="K335" s="98"/>
      <c r="L335" s="98"/>
      <c r="M335" s="98"/>
      <c r="N335" s="98"/>
      <c r="O335" s="98"/>
      <c r="P335" s="98"/>
      <c r="Q335" s="98"/>
    </row>
    <row r="336" spans="1:17" x14ac:dyDescent="0.3">
      <c r="A336" s="113"/>
      <c r="B336" s="74" t="s">
        <v>1403</v>
      </c>
      <c r="C336" s="113" t="s">
        <v>1369</v>
      </c>
      <c r="D336" s="102"/>
      <c r="E336" s="96"/>
      <c r="F336" s="96"/>
      <c r="G336" s="96"/>
      <c r="H336" s="96"/>
      <c r="I336" s="96"/>
      <c r="J336" s="96"/>
      <c r="K336" s="96"/>
      <c r="L336" s="96"/>
      <c r="M336" s="96"/>
      <c r="N336" s="96"/>
      <c r="O336" s="96"/>
      <c r="P336" s="96"/>
      <c r="Q336" s="96"/>
    </row>
    <row r="337" spans="1:17" x14ac:dyDescent="0.3">
      <c r="A337" s="114"/>
      <c r="B337" s="134" t="s">
        <v>1403</v>
      </c>
      <c r="C337" s="114" t="s">
        <v>1370</v>
      </c>
      <c r="D337" s="103"/>
      <c r="E337" s="97"/>
      <c r="F337" s="97"/>
      <c r="G337" s="97"/>
      <c r="H337" s="97"/>
      <c r="I337" s="97"/>
      <c r="J337" s="97"/>
      <c r="K337" s="97"/>
      <c r="L337" s="97"/>
      <c r="M337" s="97"/>
      <c r="N337" s="97"/>
      <c r="O337" s="97"/>
      <c r="P337" s="97"/>
      <c r="Q337" s="97"/>
    </row>
    <row r="338" spans="1:17" x14ac:dyDescent="0.3">
      <c r="A338" s="113"/>
      <c r="B338" s="74" t="s">
        <v>1403</v>
      </c>
      <c r="C338" s="113" t="s">
        <v>1371</v>
      </c>
      <c r="D338" s="102"/>
      <c r="E338" s="96"/>
      <c r="F338" s="96"/>
      <c r="G338" s="96"/>
      <c r="H338" s="96"/>
      <c r="I338" s="96"/>
      <c r="J338" s="96"/>
      <c r="K338" s="96"/>
      <c r="L338" s="96"/>
      <c r="M338" s="96"/>
      <c r="N338" s="96"/>
      <c r="O338" s="96"/>
      <c r="P338" s="96"/>
      <c r="Q338" s="96"/>
    </row>
    <row r="339" spans="1:17" x14ac:dyDescent="0.3">
      <c r="A339" s="114"/>
      <c r="B339" s="134" t="s">
        <v>1403</v>
      </c>
      <c r="C339" s="114" t="s">
        <v>1372</v>
      </c>
      <c r="D339" s="103"/>
      <c r="E339" s="97"/>
      <c r="F339" s="97"/>
      <c r="G339" s="97"/>
      <c r="H339" s="97"/>
      <c r="I339" s="97"/>
      <c r="J339" s="97"/>
      <c r="K339" s="97"/>
      <c r="L339" s="97"/>
      <c r="M339" s="97"/>
      <c r="N339" s="97"/>
      <c r="O339" s="97"/>
      <c r="P339" s="97"/>
      <c r="Q339" s="97"/>
    </row>
    <row r="340" spans="1:17" x14ac:dyDescent="0.3">
      <c r="A340" s="115"/>
      <c r="B340" s="133"/>
      <c r="C340" s="115" t="s">
        <v>413</v>
      </c>
      <c r="D340" s="105"/>
      <c r="E340" s="98"/>
      <c r="F340" s="98"/>
      <c r="G340" s="98"/>
      <c r="H340" s="98"/>
      <c r="I340" s="98"/>
      <c r="J340" s="98"/>
      <c r="K340" s="98"/>
      <c r="L340" s="98"/>
      <c r="M340" s="98"/>
      <c r="N340" s="98"/>
      <c r="O340" s="98"/>
      <c r="P340" s="98"/>
      <c r="Q340" s="98"/>
    </row>
    <row r="341" spans="1:17" x14ac:dyDescent="0.3">
      <c r="A341" s="113"/>
      <c r="B341" s="74"/>
      <c r="C341" s="113" t="s">
        <v>98</v>
      </c>
      <c r="D341" s="102"/>
      <c r="E341" s="96"/>
      <c r="F341" s="96"/>
      <c r="G341" s="96"/>
      <c r="H341" s="96"/>
      <c r="I341" s="96"/>
      <c r="J341" s="96"/>
      <c r="K341" s="96"/>
      <c r="L341" s="96"/>
      <c r="M341" s="96"/>
      <c r="N341" s="96"/>
      <c r="O341" s="96"/>
      <c r="P341" s="96"/>
      <c r="Q341" s="96"/>
    </row>
    <row r="342" spans="1:17" x14ac:dyDescent="0.3">
      <c r="A342" s="115" t="s">
        <v>225</v>
      </c>
      <c r="B342" s="133"/>
      <c r="C342" s="115" t="s">
        <v>377</v>
      </c>
      <c r="D342" s="105"/>
      <c r="E342" s="98"/>
      <c r="F342" s="98"/>
      <c r="G342" s="98"/>
      <c r="H342" s="98"/>
      <c r="I342" s="98"/>
      <c r="J342" s="98"/>
      <c r="K342" s="98"/>
      <c r="L342" s="98"/>
      <c r="M342" s="98"/>
      <c r="N342" s="98"/>
      <c r="O342" s="98"/>
      <c r="P342" s="98"/>
      <c r="Q342" s="98"/>
    </row>
    <row r="343" spans="1:17" x14ac:dyDescent="0.3">
      <c r="A343" s="113"/>
      <c r="B343" s="74"/>
      <c r="C343" s="113" t="s">
        <v>99</v>
      </c>
      <c r="D343" s="102"/>
      <c r="E343" s="96"/>
      <c r="F343" s="96"/>
      <c r="G343" s="96"/>
      <c r="H343" s="96"/>
      <c r="I343" s="96"/>
      <c r="J343" s="96"/>
      <c r="K343" s="96"/>
      <c r="L343" s="96"/>
      <c r="M343" s="96"/>
      <c r="N343" s="96"/>
      <c r="O343" s="96"/>
      <c r="P343" s="96"/>
      <c r="Q343" s="96"/>
    </row>
    <row r="344" spans="1:17" s="94" customFormat="1" x14ac:dyDescent="0.3">
      <c r="A344" s="114"/>
      <c r="B344" s="134" t="s">
        <v>1403</v>
      </c>
      <c r="C344" s="114" t="s">
        <v>1690</v>
      </c>
      <c r="D344" s="103"/>
      <c r="E344" s="97"/>
      <c r="F344" s="97"/>
      <c r="G344" s="97"/>
      <c r="H344" s="97"/>
      <c r="I344" s="97"/>
      <c r="J344" s="97"/>
      <c r="K344" s="97"/>
      <c r="L344" s="97"/>
      <c r="M344" s="97"/>
      <c r="N344" s="97"/>
      <c r="O344" s="97"/>
      <c r="P344" s="97"/>
      <c r="Q344" s="97"/>
    </row>
    <row r="345" spans="1:17" x14ac:dyDescent="0.3">
      <c r="A345" s="115" t="s">
        <v>226</v>
      </c>
      <c r="B345" s="133"/>
      <c r="C345" s="115" t="s">
        <v>414</v>
      </c>
      <c r="D345" s="105"/>
      <c r="E345" s="98"/>
      <c r="F345" s="98"/>
      <c r="G345" s="98"/>
      <c r="H345" s="98"/>
      <c r="I345" s="98"/>
      <c r="J345" s="98"/>
      <c r="K345" s="98"/>
      <c r="L345" s="98"/>
      <c r="M345" s="98"/>
      <c r="N345" s="98"/>
      <c r="O345" s="98"/>
      <c r="P345" s="98"/>
      <c r="Q345" s="98"/>
    </row>
    <row r="346" spans="1:17" x14ac:dyDescent="0.3">
      <c r="A346" s="113"/>
      <c r="B346" s="74"/>
      <c r="C346" s="113" t="s">
        <v>138</v>
      </c>
      <c r="D346" s="102" t="str">
        <f>Printer_Name &amp; " " &amp; LOWER(D2)</f>
        <v>AnyCubic E3D V6 General 0.4 mm abs</v>
      </c>
      <c r="E346" s="96"/>
      <c r="F346" s="96"/>
      <c r="G346" s="96"/>
      <c r="H346" s="96"/>
      <c r="I346" s="96"/>
      <c r="J346" s="96"/>
      <c r="K346" s="96"/>
      <c r="L346" s="96"/>
      <c r="M346" s="96"/>
      <c r="N346" s="96"/>
      <c r="O346" s="96"/>
      <c r="P346" s="96"/>
      <c r="Q346" s="96"/>
    </row>
    <row r="347" spans="1:17" x14ac:dyDescent="0.3">
      <c r="A347" s="114"/>
      <c r="B347" s="134"/>
      <c r="C347" s="114" t="s">
        <v>139</v>
      </c>
      <c r="D347" s="103"/>
      <c r="E347" s="97"/>
      <c r="F347" s="97"/>
      <c r="G347" s="97"/>
      <c r="H347" s="97"/>
      <c r="I347" s="97"/>
      <c r="J347" s="97"/>
      <c r="K347" s="97"/>
      <c r="L347" s="97"/>
      <c r="M347" s="97"/>
      <c r="N347" s="97"/>
      <c r="O347" s="97"/>
      <c r="P347" s="97"/>
      <c r="Q347" s="97"/>
    </row>
    <row r="348" spans="1:17" x14ac:dyDescent="0.3">
      <c r="A348" s="113"/>
      <c r="B348" s="74"/>
      <c r="C348" s="113" t="s">
        <v>354</v>
      </c>
      <c r="D348" s="102"/>
      <c r="E348" s="96"/>
      <c r="F348" s="96"/>
      <c r="G348" s="96"/>
      <c r="H348" s="96"/>
      <c r="I348" s="96"/>
      <c r="J348" s="96"/>
      <c r="K348" s="96"/>
      <c r="L348" s="96"/>
      <c r="M348" s="96"/>
      <c r="N348" s="96"/>
      <c r="O348" s="96"/>
      <c r="P348" s="96"/>
      <c r="Q348" s="96"/>
    </row>
    <row r="349" spans="1:17" x14ac:dyDescent="0.3">
      <c r="A349" s="114"/>
      <c r="B349" s="134"/>
      <c r="C349" s="114" t="s">
        <v>361</v>
      </c>
      <c r="D349" s="103"/>
      <c r="E349" s="97"/>
      <c r="F349" s="97"/>
      <c r="G349" s="97"/>
      <c r="H349" s="97"/>
      <c r="I349" s="97"/>
      <c r="J349" s="97"/>
      <c r="K349" s="97"/>
      <c r="L349" s="97"/>
      <c r="M349" s="97"/>
      <c r="N349" s="97"/>
      <c r="O349" s="97"/>
      <c r="P349" s="97"/>
      <c r="Q349" s="97"/>
    </row>
    <row r="350" spans="1:17" x14ac:dyDescent="0.3">
      <c r="A350" s="115"/>
      <c r="B350" s="133"/>
      <c r="C350" s="115" t="s">
        <v>1405</v>
      </c>
      <c r="D350" s="105"/>
      <c r="E350" s="98"/>
      <c r="F350" s="98"/>
      <c r="G350" s="98"/>
      <c r="H350" s="98"/>
      <c r="I350" s="98"/>
      <c r="J350" s="98"/>
      <c r="K350" s="98"/>
      <c r="L350" s="98"/>
      <c r="M350" s="98"/>
      <c r="N350" s="98"/>
      <c r="O350" s="98"/>
      <c r="P350" s="98"/>
      <c r="Q350" s="98"/>
    </row>
    <row r="351" spans="1:17" x14ac:dyDescent="0.3">
      <c r="A351" s="115" t="s">
        <v>1404</v>
      </c>
      <c r="B351" s="133"/>
      <c r="C351" s="115" t="s">
        <v>1402</v>
      </c>
      <c r="D351" s="105"/>
      <c r="E351" s="98"/>
      <c r="F351" s="98"/>
      <c r="G351" s="98"/>
      <c r="H351" s="98"/>
      <c r="I351" s="98"/>
      <c r="J351" s="98"/>
      <c r="K351" s="98"/>
      <c r="L351" s="98"/>
      <c r="M351" s="98"/>
      <c r="N351" s="98"/>
      <c r="O351" s="98"/>
      <c r="P351" s="98"/>
      <c r="Q351" s="98"/>
    </row>
    <row r="352" spans="1:17" x14ac:dyDescent="0.3">
      <c r="A352" s="113"/>
      <c r="B352" s="74" t="s">
        <v>1403</v>
      </c>
      <c r="C352" s="113" t="s">
        <v>1509</v>
      </c>
      <c r="D352" s="102"/>
      <c r="E352" s="96"/>
      <c r="F352" s="96"/>
      <c r="G352" s="96"/>
      <c r="H352" s="96"/>
      <c r="I352" s="96"/>
      <c r="J352" s="96"/>
      <c r="K352" s="96"/>
      <c r="L352" s="96"/>
      <c r="M352" s="96"/>
      <c r="N352" s="96"/>
      <c r="O352" s="96"/>
      <c r="P352" s="96"/>
      <c r="Q352" s="96"/>
    </row>
    <row r="353" spans="1:17" x14ac:dyDescent="0.3">
      <c r="A353" s="114"/>
      <c r="B353" s="134" t="s">
        <v>1403</v>
      </c>
      <c r="C353" s="114" t="s">
        <v>1510</v>
      </c>
      <c r="D353" s="103"/>
      <c r="E353" s="97"/>
      <c r="F353" s="97"/>
      <c r="G353" s="97"/>
      <c r="H353" s="97"/>
      <c r="I353" s="97"/>
      <c r="J353" s="97"/>
      <c r="K353" s="97"/>
      <c r="L353" s="97"/>
      <c r="M353" s="97"/>
      <c r="N353" s="97"/>
      <c r="O353" s="97"/>
      <c r="P353" s="97"/>
      <c r="Q353" s="97"/>
    </row>
    <row r="354" spans="1:17" x14ac:dyDescent="0.3">
      <c r="A354" s="113"/>
      <c r="B354" s="74" t="s">
        <v>1403</v>
      </c>
      <c r="C354" s="113" t="s">
        <v>1511</v>
      </c>
      <c r="D354" s="102"/>
      <c r="E354" s="96"/>
      <c r="F354" s="96"/>
      <c r="G354" s="96"/>
      <c r="H354" s="96"/>
      <c r="I354" s="96"/>
      <c r="J354" s="96"/>
      <c r="K354" s="96"/>
      <c r="L354" s="96"/>
      <c r="M354" s="96"/>
      <c r="N354" s="96"/>
      <c r="O354" s="96"/>
      <c r="P354" s="96"/>
      <c r="Q354" s="96"/>
    </row>
    <row r="355" spans="1:17" x14ac:dyDescent="0.3">
      <c r="A355" s="114"/>
      <c r="B355" s="134" t="s">
        <v>1403</v>
      </c>
      <c r="C355" s="114" t="s">
        <v>1346</v>
      </c>
      <c r="D355" s="122"/>
      <c r="E355" s="97"/>
      <c r="F355" s="97"/>
      <c r="G355" s="97"/>
      <c r="H355" s="97"/>
      <c r="I355" s="97"/>
      <c r="J355" s="97"/>
      <c r="K355" s="97"/>
      <c r="L355" s="97"/>
      <c r="M355" s="97"/>
      <c r="N355" s="97"/>
      <c r="O355" s="97"/>
      <c r="P355" s="97"/>
      <c r="Q355" s="97"/>
    </row>
    <row r="356" spans="1:17" x14ac:dyDescent="0.3">
      <c r="A356" s="113"/>
      <c r="B356" s="74" t="s">
        <v>1403</v>
      </c>
      <c r="C356" s="113" t="s">
        <v>1368</v>
      </c>
      <c r="D356" s="111"/>
      <c r="E356" s="96"/>
      <c r="F356" s="96"/>
      <c r="G356" s="96"/>
      <c r="H356" s="96"/>
      <c r="I356" s="96"/>
      <c r="J356" s="96"/>
      <c r="K356" s="96"/>
      <c r="L356" s="96"/>
      <c r="M356" s="96"/>
      <c r="N356" s="96"/>
      <c r="O356" s="96"/>
      <c r="P356" s="96"/>
      <c r="Q356" s="96"/>
    </row>
    <row r="357" spans="1:17" x14ac:dyDescent="0.3">
      <c r="A357" s="114"/>
      <c r="B357" s="134" t="s">
        <v>1403</v>
      </c>
      <c r="C357" s="114" t="s">
        <v>1385</v>
      </c>
      <c r="D357" s="119"/>
      <c r="E357" s="97"/>
      <c r="F357" s="97"/>
      <c r="G357" s="97"/>
      <c r="H357" s="97"/>
      <c r="I357" s="97"/>
      <c r="J357" s="97"/>
      <c r="K357" s="97"/>
      <c r="L357" s="97"/>
      <c r="M357" s="97"/>
      <c r="N357" s="97"/>
      <c r="O357" s="97"/>
      <c r="P357" s="97"/>
      <c r="Q357" s="97"/>
    </row>
    <row r="358" spans="1:17" x14ac:dyDescent="0.3">
      <c r="A358" s="113"/>
      <c r="B358" s="74" t="s">
        <v>1403</v>
      </c>
      <c r="C358" s="113" t="s">
        <v>1386</v>
      </c>
      <c r="D358" s="111"/>
      <c r="E358" s="96"/>
      <c r="F358" s="96"/>
      <c r="G358" s="96"/>
      <c r="H358" s="96"/>
      <c r="I358" s="96"/>
      <c r="J358" s="96"/>
      <c r="K358" s="96"/>
      <c r="L358" s="96"/>
      <c r="M358" s="96"/>
      <c r="N358" s="96"/>
      <c r="O358" s="96"/>
      <c r="P358" s="96"/>
      <c r="Q358" s="96"/>
    </row>
    <row r="359" spans="1:17" x14ac:dyDescent="0.3">
      <c r="A359" s="114"/>
      <c r="B359" s="134" t="s">
        <v>1403</v>
      </c>
      <c r="C359" s="114" t="s">
        <v>1399</v>
      </c>
      <c r="D359" s="119"/>
      <c r="E359" s="97"/>
      <c r="F359" s="97"/>
      <c r="G359" s="97"/>
      <c r="H359" s="97"/>
      <c r="I359" s="97"/>
      <c r="J359" s="97"/>
      <c r="K359" s="97"/>
      <c r="L359" s="97"/>
      <c r="M359" s="97"/>
      <c r="N359" s="97"/>
      <c r="O359" s="97"/>
      <c r="P359" s="97"/>
      <c r="Q359" s="97"/>
    </row>
    <row r="360" spans="1:17" x14ac:dyDescent="0.3">
      <c r="A360" s="113"/>
      <c r="B360" s="74" t="s">
        <v>1403</v>
      </c>
      <c r="C360" s="113" t="s">
        <v>1504</v>
      </c>
      <c r="D360" s="102"/>
      <c r="E360" s="96"/>
      <c r="F360" s="96"/>
      <c r="G360" s="96"/>
      <c r="H360" s="96"/>
      <c r="I360" s="96"/>
      <c r="J360" s="96"/>
      <c r="K360" s="96"/>
      <c r="L360" s="96"/>
      <c r="M360" s="96"/>
      <c r="N360" s="96"/>
      <c r="O360" s="96"/>
      <c r="P360" s="96"/>
      <c r="Q360" s="96"/>
    </row>
    <row r="361" spans="1:17" x14ac:dyDescent="0.3">
      <c r="A361" s="115"/>
      <c r="B361" s="133"/>
      <c r="C361" s="115" t="s">
        <v>1401</v>
      </c>
      <c r="D361" s="105"/>
      <c r="E361" s="98"/>
      <c r="F361" s="98"/>
      <c r="G361" s="98"/>
      <c r="H361" s="98"/>
      <c r="I361" s="98"/>
      <c r="J361" s="98"/>
      <c r="K361" s="98"/>
      <c r="L361" s="98"/>
      <c r="M361" s="98"/>
      <c r="N361" s="98"/>
      <c r="O361" s="98"/>
      <c r="P361" s="98"/>
      <c r="Q361" s="98"/>
    </row>
    <row r="362" spans="1:17" x14ac:dyDescent="0.3">
      <c r="A362" s="113"/>
      <c r="B362" s="74"/>
      <c r="C362" s="113"/>
      <c r="D362" s="102"/>
      <c r="E362" s="96"/>
      <c r="F362" s="96"/>
      <c r="G362" s="96"/>
      <c r="H362" s="96"/>
      <c r="I362" s="96"/>
      <c r="J362" s="96"/>
      <c r="K362" s="96"/>
      <c r="L362" s="96"/>
      <c r="M362" s="96"/>
      <c r="N362" s="96"/>
      <c r="O362" s="96"/>
      <c r="P362" s="96"/>
      <c r="Q362" s="96"/>
    </row>
    <row r="363" spans="1:17" x14ac:dyDescent="0.3">
      <c r="A363" s="114"/>
      <c r="B363" s="134"/>
      <c r="C363" s="114"/>
      <c r="D363" s="103"/>
      <c r="E363" s="97"/>
      <c r="F363" s="97"/>
      <c r="G363" s="97"/>
      <c r="H363" s="97"/>
      <c r="I363" s="97"/>
      <c r="J363" s="97"/>
      <c r="K363" s="97"/>
      <c r="L363" s="97"/>
      <c r="M363" s="97"/>
      <c r="N363" s="97"/>
      <c r="O363" s="97"/>
      <c r="P363" s="97"/>
      <c r="Q363" s="97"/>
    </row>
    <row r="364" spans="1:17" x14ac:dyDescent="0.3">
      <c r="A364" s="113"/>
      <c r="B364" s="74"/>
      <c r="C364" s="113"/>
      <c r="D364" s="102"/>
      <c r="E364" s="96"/>
      <c r="F364" s="96"/>
      <c r="G364" s="96"/>
      <c r="H364" s="96"/>
      <c r="I364" s="96"/>
      <c r="J364" s="96"/>
      <c r="K364" s="96"/>
      <c r="L364" s="96"/>
      <c r="M364" s="96"/>
      <c r="N364" s="96"/>
      <c r="O364" s="96"/>
      <c r="P364" s="96"/>
      <c r="Q364" s="96"/>
    </row>
    <row r="365" spans="1:17" x14ac:dyDescent="0.3">
      <c r="A365" s="114"/>
      <c r="B365" s="134"/>
      <c r="C365" s="114"/>
      <c r="D365" s="103"/>
      <c r="E365" s="97"/>
      <c r="F365" s="97"/>
      <c r="G365" s="97"/>
      <c r="H365" s="97"/>
      <c r="I365" s="97"/>
      <c r="J365" s="97"/>
      <c r="K365" s="97"/>
      <c r="L365" s="97"/>
      <c r="M365" s="97"/>
      <c r="N365" s="97"/>
      <c r="O365" s="97"/>
      <c r="P365" s="97"/>
      <c r="Q365" s="97"/>
    </row>
    <row r="366" spans="1:17" x14ac:dyDescent="0.3">
      <c r="A366" s="113"/>
      <c r="B366" s="74"/>
      <c r="C366" s="113"/>
      <c r="D366" s="102"/>
      <c r="E366" s="96"/>
      <c r="F366" s="96"/>
      <c r="G366" s="96"/>
      <c r="H366" s="96"/>
      <c r="I366" s="96"/>
      <c r="J366" s="96"/>
      <c r="K366" s="96"/>
      <c r="L366" s="96"/>
      <c r="M366" s="96"/>
      <c r="N366" s="96"/>
      <c r="O366" s="96"/>
      <c r="P366" s="96"/>
      <c r="Q366" s="96"/>
    </row>
    <row r="367" spans="1:17" x14ac:dyDescent="0.3">
      <c r="A367" s="114"/>
      <c r="B367" s="134"/>
      <c r="C367" s="114"/>
      <c r="D367" s="103"/>
      <c r="E367" s="97"/>
      <c r="F367" s="97"/>
      <c r="G367" s="97"/>
      <c r="H367" s="97"/>
      <c r="I367" s="97"/>
      <c r="J367" s="97"/>
      <c r="K367" s="97"/>
      <c r="L367" s="97"/>
      <c r="M367" s="97"/>
      <c r="N367" s="97"/>
      <c r="O367" s="97"/>
      <c r="P367" s="97"/>
      <c r="Q367" s="97"/>
    </row>
    <row r="368" spans="1:17" x14ac:dyDescent="0.3">
      <c r="A368" s="113"/>
      <c r="B368" s="74"/>
      <c r="C368" s="113"/>
      <c r="D368" s="102"/>
      <c r="E368" s="96"/>
      <c r="F368" s="96"/>
      <c r="G368" s="96"/>
      <c r="H368" s="96"/>
      <c r="I368" s="96"/>
      <c r="J368" s="96"/>
      <c r="K368" s="96"/>
      <c r="L368" s="96"/>
      <c r="M368" s="96"/>
      <c r="N368" s="96"/>
      <c r="O368" s="96"/>
      <c r="P368" s="96"/>
      <c r="Q368" s="96"/>
    </row>
    <row r="369" spans="1:17" x14ac:dyDescent="0.3">
      <c r="A369" s="114"/>
      <c r="B369" s="134"/>
      <c r="C369" s="114"/>
      <c r="D369" s="103"/>
      <c r="E369" s="97"/>
      <c r="F369" s="97"/>
      <c r="G369" s="97"/>
      <c r="H369" s="97"/>
      <c r="I369" s="97"/>
      <c r="J369" s="97"/>
      <c r="K369" s="97"/>
      <c r="L369" s="97"/>
      <c r="M369" s="97"/>
      <c r="N369" s="97"/>
      <c r="O369" s="97"/>
      <c r="P369" s="97"/>
      <c r="Q369" s="97"/>
    </row>
    <row r="370" spans="1:17" x14ac:dyDescent="0.3">
      <c r="A370" s="113"/>
      <c r="B370" s="74"/>
      <c r="C370" s="113"/>
      <c r="D370" s="102"/>
      <c r="E370" s="96"/>
      <c r="F370" s="96"/>
      <c r="G370" s="96"/>
      <c r="H370" s="96"/>
      <c r="I370" s="96"/>
      <c r="J370" s="96"/>
      <c r="K370" s="96"/>
      <c r="L370" s="96"/>
      <c r="M370" s="96"/>
      <c r="N370" s="96"/>
      <c r="O370" s="96"/>
      <c r="P370" s="96"/>
      <c r="Q370" s="96"/>
    </row>
    <row r="371" spans="1:17" x14ac:dyDescent="0.3">
      <c r="A371" s="114"/>
      <c r="B371" s="134"/>
      <c r="C371" s="114"/>
      <c r="D371" s="103"/>
      <c r="E371" s="97"/>
      <c r="F371" s="97"/>
      <c r="G371" s="97"/>
      <c r="H371" s="97"/>
      <c r="I371" s="97"/>
      <c r="J371" s="97"/>
      <c r="K371" s="97"/>
      <c r="L371" s="97"/>
      <c r="M371" s="97"/>
      <c r="N371" s="97"/>
      <c r="O371" s="97"/>
      <c r="P371" s="97"/>
      <c r="Q371" s="97"/>
    </row>
    <row r="374" spans="1:17" x14ac:dyDescent="0.3">
      <c r="D374" s="130"/>
    </row>
    <row r="377" spans="1:17" x14ac:dyDescent="0.3">
      <c r="D377" s="130"/>
    </row>
    <row r="386" spans="4:4" x14ac:dyDescent="0.3">
      <c r="D386" s="130"/>
    </row>
    <row r="404" spans="4:4" x14ac:dyDescent="0.3">
      <c r="D404" s="130"/>
    </row>
    <row r="416" spans="4:4" x14ac:dyDescent="0.3">
      <c r="D416" s="130"/>
    </row>
    <row r="417" spans="4:4" x14ac:dyDescent="0.3">
      <c r="D417" s="130"/>
    </row>
  </sheetData>
  <dataConsolidate/>
  <dataValidations count="19">
    <dataValidation type="list" allowBlank="1" showInputMessage="1" showErrorMessage="1" sqref="D100 D109:D111" xr:uid="{E6FC41C2-36A4-44FE-BB27-FC2C6B6529B9}">
      <formula1>"rectilinear,monotonic,alignedrectilinear,grid,triangles,stars,cubic,line,concentric,honeycomb,3dhoneycomb,gyroid,hilbertcurve,archimedeanchords,octagramspiral,adaptivecubic,supportcubic"</formula1>
    </dataValidation>
    <dataValidation type="list" allowBlank="1" showInputMessage="1" showErrorMessage="1" sqref="D106 D108" xr:uid="{CE3BB35B-F4D0-4EF0-98E5-24AD26F4111A}">
      <formula1>"rectilinear,monotonicgapfill,monotonic,concentric,concentricgapfill,hilbertcurve,archimedeanchords,octagramspiral,sawtooth,smooth,smoothtriple,smoothhilbert"</formula1>
    </dataValidation>
    <dataValidation type="list" allowBlank="1" showInputMessage="1" showErrorMessage="1" sqref="D178" xr:uid="{15EC391D-E357-4C18-9980-BB553B2536C4}">
      <formula1>"rectilinear,rectilinear-grid,honeycomb"</formula1>
    </dataValidation>
    <dataValidation type="list" allowBlank="1" showInputMessage="1" showErrorMessage="1" sqref="D133" xr:uid="{6E70E2FB-0005-49AA-9470-A9B00E50D74D}">
      <formula1>"top,topmost,solid"</formula1>
    </dataValidation>
    <dataValidation type="list" allowBlank="1" showInputMessage="1" showErrorMessage="1" sqref="D116" xr:uid="{14F9FBC0-B9F4-424F-8186-D32A93095A72}">
      <formula1>"automatic,autosmall,autoenlarged,enlarged"</formula1>
    </dataValidation>
    <dataValidation type="list" allowBlank="1" showInputMessage="1" showErrorMessage="1" sqref="D151" xr:uid="{A470E482-374C-47BF-943D-CBCE53653E38}">
      <formula1>"rectilinear,concentric"</formula1>
    </dataValidation>
    <dataValidation type="list" allowBlank="1" showInputMessage="1" showErrorMessage="1" sqref="D194" xr:uid="{E8ED76EC-83B2-4D6A-8F97-76B6BA182B9D}">
      <formula1>"rectilinear,concentric,concentricgapfill,hilbertcurve,sawtooth,smooth"</formula1>
    </dataValidation>
    <dataValidation type="list" allowBlank="1" showInputMessage="1" showErrorMessage="1" sqref="D61" xr:uid="{8BC5C965-6EC0-47EE-8368-8C473B81953B}">
      <formula1>"rear,nearest"</formula1>
    </dataValidation>
    <dataValidation type="list" allowBlank="1" showInputMessage="1" showErrorMessage="1" sqref="D101 D107 D105" xr:uid="{AC24D362-109D-4103-B20D-F8BA9148A4A4}">
      <formula1>"connected,holes,outershell,notconnected"</formula1>
    </dataValidation>
    <dataValidation type="list" allowBlank="1" showInputMessage="1" showErrorMessage="1" sqref="D70" xr:uid="{5D4E11AD-C4D5-4049-9F21-2A8AB0FD29E6}">
      <formula1>"none,external,all"</formula1>
    </dataValidation>
    <dataValidation type="list" allowBlank="1" showInputMessage="1" showErrorMessage="1" sqref="D142" xr:uid="{614E9565-47E4-47FD-A41A-D30FF8D5DA0E}">
      <formula1>"disabled,limited,enabled"</formula1>
    </dataValidation>
    <dataValidation type="list" allowBlank="1" showInputMessage="1" showErrorMessage="1" sqref="D147" xr:uid="{82A40AD0-91D4-4182-BF18-7FD2EE4F4905}">
      <formula1>"no_brim,outer_only,inner_only,outer_and_inner"</formula1>
    </dataValidation>
    <dataValidation type="list" allowBlank="1" showInputMessage="1" showErrorMessage="1" sqref="D173" xr:uid="{99ADF08E-55D1-4A20-8EAB-EDB950DA4E5B}">
      <formula1>"grid,snug"</formula1>
    </dataValidation>
    <dataValidation type="list" allowBlank="1" showInputMessage="1" showErrorMessage="1" sqref="D186" xr:uid="{A0BB5396-8088-446A-87EE-B3CFB23793B0}">
      <formula1>"auto,rectilinear,concentric"</formula1>
    </dataValidation>
    <dataValidation type="list" allowBlank="1" showInputMessage="1" showErrorMessage="1" sqref="D75" xr:uid="{B8019C88-6E2A-4B6F-AFFD-539E5EBB2145}">
      <formula1>"regular,even_odd,close_holes"</formula1>
    </dataValidation>
    <dataValidation type="list" allowBlank="1" showInputMessage="1" showErrorMessage="1" sqref="D54" xr:uid="{9CCD938A-5F80-4B54-8360-C6E14572435A}">
      <formula1>"arachne,classic"</formula1>
    </dataValidation>
    <dataValidation type="list" allowBlank="1" showInputMessage="1" showErrorMessage="1" sqref="D46 D56" xr:uid="{F5A8B692-1705-47A4-9EB4-2AC04C30CFA5}">
      <formula1>"random,rear,aligned,nearest"</formula1>
    </dataValidation>
    <dataValidation type="list" allowBlank="1" showInputMessage="1" showErrorMessage="1" sqref="D46 D56" xr:uid="{0A28737E-2696-48D2-8DA2-193BEB7CFEF2}">
      <formula1>"none,noperi,bridges,bridgesoverhangs,filled"</formula1>
    </dataValidation>
    <dataValidation type="list" allowBlank="1" showInputMessage="1" showErrorMessage="1" sqref="D104" xr:uid="{5C34D560-8E9F-4D7E-9E01-89D3E689DD52}">
      <formula1>"rectilineargapfill,rectilinear,monotonic,alignedrectilinear,grid,triangles,stars,cubic,line,concentric,honeycomb,3dhoneycomb,gyroid,hilbertcurve,archimedeanchords,octagramspiral,adaptivecubic,supportcubic"</formula1>
    </dataValidation>
  </dataValidation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50CB7-7A88-417A-A5BD-F55D693DB9FA}">
  <sheetPr codeName="Sheet17"/>
  <dimension ref="A1:Q309"/>
  <sheetViews>
    <sheetView workbookViewId="0">
      <pane ySplit="1" topLeftCell="A128" activePane="bottomLeft" state="frozen"/>
      <selection pane="bottomLeft" activeCell="E22" sqref="E22"/>
    </sheetView>
  </sheetViews>
  <sheetFormatPr defaultRowHeight="14.4" x14ac:dyDescent="0.3"/>
  <cols>
    <col min="1" max="1" width="21.33203125" customWidth="1"/>
    <col min="2" max="2" width="41.6640625" bestFit="1" customWidth="1"/>
    <col min="3" max="3" width="19.88671875" bestFit="1" customWidth="1"/>
    <col min="4" max="4" width="19.88671875" customWidth="1"/>
    <col min="5" max="5" width="20.33203125" style="34" customWidth="1"/>
    <col min="6" max="16" width="9.109375" style="34"/>
    <col min="17" max="17" width="73.88671875" customWidth="1"/>
  </cols>
  <sheetData>
    <row r="1" spans="1:17" x14ac:dyDescent="0.3">
      <c r="A1" s="36" t="s">
        <v>1087</v>
      </c>
      <c r="B1" s="36" t="s">
        <v>1088</v>
      </c>
      <c r="C1" s="31" t="s">
        <v>1089</v>
      </c>
      <c r="D1" s="31" t="s">
        <v>1090</v>
      </c>
      <c r="E1" s="31" t="s">
        <v>100</v>
      </c>
      <c r="F1" s="53" t="s">
        <v>234</v>
      </c>
      <c r="G1" s="54" t="s">
        <v>235</v>
      </c>
      <c r="H1" s="54">
        <v>0.24</v>
      </c>
      <c r="I1" s="54">
        <v>0.28000000000000003</v>
      </c>
      <c r="J1" s="54" t="s">
        <v>236</v>
      </c>
      <c r="K1" s="54" t="s">
        <v>237</v>
      </c>
      <c r="L1" s="54" t="s">
        <v>238</v>
      </c>
      <c r="M1" s="54" t="s">
        <v>239</v>
      </c>
      <c r="N1" s="54" t="s">
        <v>240</v>
      </c>
      <c r="O1" s="54" t="s">
        <v>241</v>
      </c>
      <c r="P1" s="54" t="s">
        <v>242</v>
      </c>
      <c r="Q1" s="2" t="s">
        <v>205</v>
      </c>
    </row>
    <row r="2" spans="1:17" x14ac:dyDescent="0.3">
      <c r="A2" s="3"/>
      <c r="B2" s="3"/>
      <c r="C2" s="3"/>
      <c r="D2" s="3" t="s">
        <v>1095</v>
      </c>
      <c r="E2" s="21" t="s">
        <v>142</v>
      </c>
      <c r="F2" s="69" t="s">
        <v>742</v>
      </c>
      <c r="G2" s="69" t="s">
        <v>743</v>
      </c>
      <c r="H2" s="69" t="s">
        <v>744</v>
      </c>
      <c r="I2" s="69" t="s">
        <v>745</v>
      </c>
      <c r="J2" s="69" t="s">
        <v>746</v>
      </c>
      <c r="K2" s="69" t="s">
        <v>747</v>
      </c>
      <c r="L2" s="69" t="s">
        <v>748</v>
      </c>
      <c r="M2" s="69" t="s">
        <v>749</v>
      </c>
      <c r="N2" s="69" t="s">
        <v>750</v>
      </c>
      <c r="O2" s="69" t="s">
        <v>751</v>
      </c>
      <c r="P2" s="69" t="s">
        <v>752</v>
      </c>
      <c r="Q2" s="3"/>
    </row>
    <row r="3" spans="1:17" x14ac:dyDescent="0.3">
      <c r="A3" s="4" t="s">
        <v>457</v>
      </c>
      <c r="B3" s="4"/>
      <c r="C3" s="4"/>
      <c r="D3" s="4"/>
      <c r="E3" s="24"/>
      <c r="F3" s="24"/>
      <c r="G3" s="24"/>
      <c r="H3" s="24"/>
      <c r="I3" s="24"/>
      <c r="J3" s="24"/>
      <c r="K3" s="24"/>
      <c r="L3" s="24"/>
      <c r="M3" s="24"/>
      <c r="N3" s="24"/>
      <c r="O3" s="24"/>
      <c r="P3" s="24"/>
      <c r="Q3" s="4"/>
    </row>
    <row r="4" spans="1:17" x14ac:dyDescent="0.3">
      <c r="A4" s="3" t="s">
        <v>466</v>
      </c>
      <c r="B4" s="3" t="s">
        <v>458</v>
      </c>
      <c r="C4" s="3"/>
      <c r="D4" s="3"/>
      <c r="E4" s="21" t="str">
        <f xml:space="preserve"> UPPER(Printer_Name &amp; " " &amp;E2)</f>
        <v>ANYCUBIC E3D V6 GENERAL 0.4 MM ABS</v>
      </c>
      <c r="F4" s="21"/>
      <c r="G4" s="21"/>
      <c r="H4" s="21"/>
      <c r="I4" s="21"/>
      <c r="J4" s="21"/>
      <c r="K4" s="21"/>
      <c r="L4" s="21"/>
      <c r="M4" s="21"/>
      <c r="N4" s="21"/>
      <c r="O4" s="21"/>
      <c r="P4" s="21"/>
      <c r="Q4" s="3"/>
    </row>
    <row r="5" spans="1:17" x14ac:dyDescent="0.3">
      <c r="A5" s="4" t="s">
        <v>466</v>
      </c>
      <c r="B5" s="4" t="s">
        <v>459</v>
      </c>
      <c r="C5" s="4"/>
      <c r="D5" s="4"/>
      <c r="E5" s="66" t="str">
        <f ca="1">TEXT(NOW(),"YYYY-MM-DD HH:MM:SS")</f>
        <v>2022-09-23 14:39:02</v>
      </c>
      <c r="F5" s="24"/>
      <c r="G5" s="24"/>
      <c r="H5" s="24"/>
      <c r="I5" s="24"/>
      <c r="J5" s="24"/>
      <c r="K5" s="24"/>
      <c r="L5" s="24"/>
      <c r="M5" s="24"/>
      <c r="N5" s="24"/>
      <c r="O5" s="24"/>
      <c r="P5" s="24"/>
      <c r="Q5" s="4"/>
    </row>
    <row r="6" spans="1:17" x14ac:dyDescent="0.3">
      <c r="A6" s="3" t="s">
        <v>466</v>
      </c>
      <c r="B6" s="3" t="s">
        <v>460</v>
      </c>
      <c r="C6" s="3"/>
      <c r="D6" s="3"/>
      <c r="E6" s="21" t="s">
        <v>1096</v>
      </c>
      <c r="F6" s="21"/>
      <c r="G6" s="21"/>
      <c r="H6" s="21"/>
      <c r="I6" s="21"/>
      <c r="J6" s="21"/>
      <c r="K6" s="21"/>
      <c r="L6" s="21"/>
      <c r="M6" s="21"/>
      <c r="N6" s="21"/>
      <c r="O6" s="21"/>
      <c r="P6" s="21"/>
      <c r="Q6" s="3"/>
    </row>
    <row r="7" spans="1:17" x14ac:dyDescent="0.3">
      <c r="A7" s="4"/>
      <c r="B7" s="4" t="s">
        <v>461</v>
      </c>
      <c r="C7" s="4"/>
      <c r="D7" s="4"/>
      <c r="E7" s="24" t="str">
        <f>PRINTER_NAME_GENERIC</f>
        <v>AnyCubic E3D V6 General</v>
      </c>
      <c r="F7" s="24"/>
      <c r="G7" s="24"/>
      <c r="H7" s="24"/>
      <c r="I7" s="24"/>
      <c r="J7" s="24"/>
      <c r="K7" s="24"/>
      <c r="L7" s="24"/>
      <c r="M7" s="24"/>
      <c r="N7" s="24"/>
      <c r="O7" s="24"/>
      <c r="P7" s="24"/>
      <c r="Q7" s="4"/>
    </row>
    <row r="8" spans="1:17" x14ac:dyDescent="0.3">
      <c r="A8" s="3"/>
      <c r="B8" s="3" t="s">
        <v>462</v>
      </c>
      <c r="C8" s="3"/>
      <c r="D8" s="3"/>
      <c r="E8" s="21" t="str">
        <f>E2</f>
        <v>ABS</v>
      </c>
      <c r="F8" s="21"/>
      <c r="G8" s="21"/>
      <c r="H8" s="21"/>
      <c r="I8" s="21"/>
      <c r="J8" s="21"/>
      <c r="K8" s="21"/>
      <c r="L8" s="21"/>
      <c r="M8" s="21"/>
      <c r="N8" s="21"/>
      <c r="O8" s="21"/>
      <c r="P8" s="21"/>
      <c r="Q8" s="3"/>
    </row>
    <row r="9" spans="1:17" x14ac:dyDescent="0.3">
      <c r="A9" s="4"/>
      <c r="B9" s="4" t="s">
        <v>463</v>
      </c>
      <c r="C9" s="4"/>
      <c r="D9" s="4"/>
      <c r="E9" s="24" t="str">
        <f>G2</f>
        <v>Quality</v>
      </c>
      <c r="F9" s="67"/>
      <c r="G9" s="68"/>
      <c r="H9" s="68"/>
      <c r="I9" s="68"/>
      <c r="J9" s="68"/>
      <c r="K9" s="68"/>
      <c r="L9" s="68"/>
      <c r="M9" s="68"/>
      <c r="N9" s="68"/>
      <c r="O9" s="68"/>
      <c r="P9" s="68"/>
      <c r="Q9" s="4"/>
    </row>
    <row r="10" spans="1:17" x14ac:dyDescent="0.3">
      <c r="A10" s="3"/>
      <c r="B10" s="3" t="s">
        <v>464</v>
      </c>
      <c r="C10" s="3"/>
      <c r="D10" s="3"/>
      <c r="E10" s="21" t="s">
        <v>1091</v>
      </c>
      <c r="F10" s="21"/>
      <c r="G10" s="21"/>
      <c r="H10" s="21"/>
      <c r="I10" s="21"/>
      <c r="J10" s="21"/>
      <c r="K10" s="21"/>
      <c r="L10" s="21"/>
      <c r="M10" s="21"/>
      <c r="N10" s="21"/>
      <c r="O10" s="21"/>
      <c r="P10" s="21"/>
      <c r="Q10" s="3"/>
    </row>
    <row r="11" spans="1:17" ht="18.75" customHeight="1" x14ac:dyDescent="0.3">
      <c r="A11" s="4" t="s">
        <v>1081</v>
      </c>
      <c r="B11" s="4" t="s">
        <v>465</v>
      </c>
      <c r="C11" s="4"/>
      <c r="D11" s="4"/>
      <c r="E11" s="24"/>
      <c r="F11" s="24"/>
      <c r="G11" s="24"/>
      <c r="H11" s="24"/>
      <c r="I11" s="24"/>
      <c r="J11" s="24"/>
      <c r="K11" s="24"/>
      <c r="L11" s="24"/>
      <c r="M11" s="24"/>
      <c r="N11" s="24"/>
      <c r="O11" s="24"/>
      <c r="P11" s="24"/>
      <c r="Q11" s="65" t="s">
        <v>681</v>
      </c>
    </row>
    <row r="12" spans="1:17" x14ac:dyDescent="0.3">
      <c r="A12" s="3" t="s">
        <v>1081</v>
      </c>
      <c r="B12" s="3" t="s">
        <v>466</v>
      </c>
      <c r="C12" s="3" t="s">
        <v>458</v>
      </c>
      <c r="D12" s="3"/>
      <c r="E12" s="21" t="s">
        <v>550</v>
      </c>
      <c r="F12" s="21"/>
      <c r="G12" s="21"/>
      <c r="H12" s="21"/>
      <c r="I12" s="21"/>
      <c r="J12" s="21"/>
      <c r="K12" s="21"/>
      <c r="L12" s="21"/>
      <c r="M12" s="21"/>
      <c r="N12" s="21"/>
      <c r="O12" s="21"/>
      <c r="P12" s="21"/>
      <c r="Q12" s="3"/>
    </row>
    <row r="13" spans="1:17" x14ac:dyDescent="0.3">
      <c r="A13" s="4" t="s">
        <v>1081</v>
      </c>
      <c r="B13" s="4"/>
      <c r="C13" s="4" t="s">
        <v>467</v>
      </c>
      <c r="D13" s="4"/>
      <c r="E13" s="24">
        <v>0</v>
      </c>
      <c r="F13" s="24"/>
      <c r="G13" s="24"/>
      <c r="H13" s="24"/>
      <c r="I13" s="24"/>
      <c r="J13" s="24"/>
      <c r="K13" s="24"/>
      <c r="L13" s="24"/>
      <c r="M13" s="24"/>
      <c r="N13" s="24"/>
      <c r="O13" s="24"/>
      <c r="P13" s="24"/>
      <c r="Q13" s="4"/>
    </row>
    <row r="14" spans="1:17" x14ac:dyDescent="0.3">
      <c r="A14" s="3" t="s">
        <v>1081</v>
      </c>
      <c r="B14" s="3"/>
      <c r="C14" s="3" t="s">
        <v>468</v>
      </c>
      <c r="D14" s="3"/>
      <c r="E14" s="21">
        <f>Nozzle_Diameter</f>
        <v>0.4</v>
      </c>
      <c r="F14" s="21"/>
      <c r="G14" s="21"/>
      <c r="H14" s="21"/>
      <c r="I14" s="21"/>
      <c r="J14" s="21"/>
      <c r="K14" s="21"/>
      <c r="L14" s="21"/>
      <c r="M14" s="21"/>
      <c r="N14" s="21"/>
      <c r="O14" s="21"/>
      <c r="P14" s="21"/>
      <c r="Q14" s="3" t="s">
        <v>672</v>
      </c>
    </row>
    <row r="15" spans="1:17" x14ac:dyDescent="0.3">
      <c r="A15" s="4" t="s">
        <v>1081</v>
      </c>
      <c r="B15" s="4"/>
      <c r="C15" s="4" t="s">
        <v>469</v>
      </c>
      <c r="D15" s="4"/>
      <c r="E15" s="24">
        <v>1</v>
      </c>
      <c r="F15" s="24"/>
      <c r="G15" s="24"/>
      <c r="H15" s="24"/>
      <c r="I15" s="24"/>
      <c r="J15" s="24"/>
      <c r="K15" s="24"/>
      <c r="L15" s="24"/>
      <c r="M15" s="24"/>
      <c r="N15" s="24"/>
      <c r="O15" s="24"/>
      <c r="P15" s="24"/>
      <c r="Q15" s="4"/>
    </row>
    <row r="16" spans="1:17" x14ac:dyDescent="0.3">
      <c r="A16" s="3" t="s">
        <v>1081</v>
      </c>
      <c r="B16" s="3"/>
      <c r="C16" s="3" t="s">
        <v>470</v>
      </c>
      <c r="D16" s="3"/>
      <c r="E16" s="21">
        <v>0.65</v>
      </c>
      <c r="F16" s="21"/>
      <c r="G16" s="21"/>
      <c r="H16" s="21"/>
      <c r="I16" s="21"/>
      <c r="J16" s="21"/>
      <c r="K16" s="21"/>
      <c r="L16" s="21"/>
      <c r="M16" s="21"/>
      <c r="N16" s="21"/>
      <c r="O16" s="21"/>
      <c r="P16" s="21"/>
      <c r="Q16" s="3" t="s">
        <v>674</v>
      </c>
    </row>
    <row r="17" spans="1:17" x14ac:dyDescent="0.3">
      <c r="A17" s="4" t="s">
        <v>1081</v>
      </c>
      <c r="B17" s="4"/>
      <c r="C17" s="4" t="s">
        <v>471</v>
      </c>
      <c r="D17" s="4"/>
      <c r="E17" s="24" t="str">
        <f>GetFilamentSpec($E$2,"extrusion_multiplier")</f>
        <v>1</v>
      </c>
      <c r="F17" s="24"/>
      <c r="G17" s="24"/>
      <c r="H17" s="24"/>
      <c r="I17" s="24"/>
      <c r="J17" s="24"/>
      <c r="K17" s="24"/>
      <c r="L17" s="24"/>
      <c r="M17" s="24"/>
      <c r="N17" s="24"/>
      <c r="O17" s="24"/>
      <c r="P17" s="24"/>
      <c r="Q17" s="4" t="s">
        <v>673</v>
      </c>
    </row>
    <row r="18" spans="1:17" x14ac:dyDescent="0.3">
      <c r="A18" s="3" t="s">
        <v>1081</v>
      </c>
      <c r="B18" s="3"/>
      <c r="C18" s="3" t="s">
        <v>472</v>
      </c>
      <c r="D18" s="3"/>
      <c r="E18" s="21" t="str">
        <f>IF(VALUE(E19) &gt; 0,"1","0")</f>
        <v>1</v>
      </c>
      <c r="F18" s="21"/>
      <c r="G18" s="21"/>
      <c r="H18" s="21"/>
      <c r="I18" s="21"/>
      <c r="J18" s="21"/>
      <c r="K18" s="21"/>
      <c r="L18" s="21"/>
      <c r="M18" s="21"/>
      <c r="N18" s="21"/>
      <c r="O18" s="21"/>
      <c r="P18" s="21"/>
      <c r="Q18" s="3"/>
    </row>
    <row r="19" spans="1:17" x14ac:dyDescent="0.3">
      <c r="A19" s="4" t="s">
        <v>1081</v>
      </c>
      <c r="B19" s="4"/>
      <c r="C19" s="4" t="s">
        <v>473</v>
      </c>
      <c r="D19" s="4"/>
      <c r="E19" s="24" t="str">
        <f>GetFilamentSpec($E$2,"#filament_retract_length")</f>
        <v>0.6</v>
      </c>
      <c r="F19" s="24"/>
      <c r="G19" s="24"/>
      <c r="H19" s="24"/>
      <c r="I19" s="24"/>
      <c r="J19" s="24"/>
      <c r="K19" s="24"/>
      <c r="L19" s="24"/>
      <c r="M19" s="24"/>
      <c r="N19" s="24"/>
      <c r="O19" s="24"/>
      <c r="P19" s="24"/>
      <c r="Q19" s="4" t="s">
        <v>675</v>
      </c>
    </row>
    <row r="20" spans="1:17" x14ac:dyDescent="0.3">
      <c r="A20" s="3" t="s">
        <v>1081</v>
      </c>
      <c r="B20" s="3"/>
      <c r="C20" s="3" t="s">
        <v>474</v>
      </c>
      <c r="D20" s="3"/>
      <c r="E20" s="21" t="str">
        <f>GetFilamentSpec($E$2,"filament_retract_restart_extra")</f>
        <v>0</v>
      </c>
      <c r="F20" s="21"/>
      <c r="G20" s="21"/>
      <c r="H20" s="21"/>
      <c r="I20" s="21"/>
      <c r="J20" s="21"/>
      <c r="K20" s="21"/>
      <c r="L20" s="21"/>
      <c r="M20" s="21"/>
      <c r="N20" s="21"/>
      <c r="O20" s="21"/>
      <c r="P20" s="21"/>
      <c r="Q20" s="3" t="s">
        <v>676</v>
      </c>
    </row>
    <row r="21" spans="1:17" x14ac:dyDescent="0.3">
      <c r="A21" s="4" t="s">
        <v>1081</v>
      </c>
      <c r="B21" s="4"/>
      <c r="C21" s="4" t="s">
        <v>475</v>
      </c>
      <c r="D21" s="4"/>
      <c r="E21" s="24" t="str">
        <f>GetFilamentSpec($E$2,"filament_retract_lift")</f>
        <v>0.4</v>
      </c>
      <c r="F21" s="24"/>
      <c r="G21" s="24"/>
      <c r="H21" s="24"/>
      <c r="I21" s="24"/>
      <c r="J21" s="24"/>
      <c r="K21" s="24"/>
      <c r="L21" s="24"/>
      <c r="M21" s="24"/>
      <c r="N21" s="24"/>
      <c r="O21" s="24"/>
      <c r="P21" s="24"/>
      <c r="Q21" s="4" t="s">
        <v>677</v>
      </c>
    </row>
    <row r="22" spans="1:17" x14ac:dyDescent="0.3">
      <c r="A22" s="3" t="s">
        <v>1081</v>
      </c>
      <c r="B22" s="3"/>
      <c r="C22" s="3" t="s">
        <v>476</v>
      </c>
      <c r="D22" s="3"/>
      <c r="E22" s="21">
        <f xml:space="preserve"> GetFilamentSpec($E$2,"filament_retract_speed") * 60</f>
        <v>3000</v>
      </c>
      <c r="F22" s="21"/>
      <c r="G22" s="21"/>
      <c r="H22" s="21"/>
      <c r="I22" s="21"/>
      <c r="J22" s="21"/>
      <c r="K22" s="21"/>
      <c r="L22" s="21"/>
      <c r="M22" s="21"/>
      <c r="N22" s="21"/>
      <c r="O22" s="21"/>
      <c r="P22" s="21"/>
      <c r="Q22" s="3" t="s">
        <v>678</v>
      </c>
    </row>
    <row r="23" spans="1:17" x14ac:dyDescent="0.3">
      <c r="A23" s="4" t="s">
        <v>1081</v>
      </c>
      <c r="B23" s="4"/>
      <c r="C23" s="4" t="s">
        <v>477</v>
      </c>
      <c r="D23" s="4"/>
      <c r="E23" s="24" t="str">
        <f>GetFilamentSpec($E$2,"#filament_coasting_enable")</f>
        <v>0</v>
      </c>
      <c r="F23" s="24"/>
      <c r="G23" s="24"/>
      <c r="H23" s="24"/>
      <c r="I23" s="24"/>
      <c r="J23" s="24"/>
      <c r="K23" s="24"/>
      <c r="L23" s="24"/>
      <c r="M23" s="24"/>
      <c r="N23" s="24"/>
      <c r="O23" s="24"/>
      <c r="P23" s="24"/>
      <c r="Q23" s="4" t="s">
        <v>679</v>
      </c>
    </row>
    <row r="24" spans="1:17" x14ac:dyDescent="0.3">
      <c r="A24" s="3" t="s">
        <v>1081</v>
      </c>
      <c r="B24" s="3"/>
      <c r="C24" s="3" t="s">
        <v>478</v>
      </c>
      <c r="D24" s="3"/>
      <c r="E24" s="21" t="str">
        <f>GetFilamentSpec($E$2,"#filament_coasting_distance")</f>
        <v>0.2</v>
      </c>
      <c r="F24" s="21"/>
      <c r="G24" s="21"/>
      <c r="H24" s="21"/>
      <c r="I24" s="21"/>
      <c r="J24" s="21"/>
      <c r="K24" s="21"/>
      <c r="L24" s="21"/>
      <c r="M24" s="21"/>
      <c r="N24" s="21"/>
      <c r="O24" s="21"/>
      <c r="P24" s="21"/>
      <c r="Q24" s="3" t="s">
        <v>1080</v>
      </c>
    </row>
    <row r="25" spans="1:17" x14ac:dyDescent="0.3">
      <c r="A25" s="4" t="s">
        <v>1081</v>
      </c>
      <c r="B25" s="4"/>
      <c r="C25" s="4" t="s">
        <v>479</v>
      </c>
      <c r="D25" s="4"/>
      <c r="E25" s="24" t="str">
        <f>GetFilamentSpec($E$2,"filament_wipe")</f>
        <v>0</v>
      </c>
      <c r="F25" s="24"/>
      <c r="G25" s="24"/>
      <c r="H25" s="24"/>
      <c r="I25" s="24"/>
      <c r="J25" s="24"/>
      <c r="K25" s="24"/>
      <c r="L25" s="24"/>
      <c r="M25" s="24"/>
      <c r="N25" s="24"/>
      <c r="O25" s="24"/>
      <c r="P25" s="24"/>
      <c r="Q25" s="4" t="s">
        <v>680</v>
      </c>
    </row>
    <row r="26" spans="1:17" x14ac:dyDescent="0.3">
      <c r="A26" s="3" t="s">
        <v>1081</v>
      </c>
      <c r="B26" s="3"/>
      <c r="C26" s="3" t="s">
        <v>480</v>
      </c>
      <c r="D26" s="3"/>
      <c r="E26" s="21" t="str">
        <f>GetFilamentSpec($E$2,"#filament_wipe_distance")</f>
        <v>0</v>
      </c>
      <c r="F26" s="21"/>
      <c r="G26" s="21"/>
      <c r="H26" s="21"/>
      <c r="I26" s="21"/>
      <c r="J26" s="21"/>
      <c r="K26" s="21"/>
      <c r="L26" s="21"/>
      <c r="M26" s="21"/>
      <c r="N26" s="21"/>
      <c r="O26" s="21"/>
      <c r="P26" s="21"/>
      <c r="Q26" s="3"/>
    </row>
    <row r="27" spans="1:17" x14ac:dyDescent="0.3">
      <c r="A27" s="4"/>
      <c r="B27" s="4" t="s">
        <v>481</v>
      </c>
      <c r="C27" s="4"/>
      <c r="D27" s="4"/>
      <c r="E27" s="24">
        <v>0</v>
      </c>
      <c r="F27" s="24"/>
      <c r="G27" s="24"/>
      <c r="H27" s="24"/>
      <c r="I27" s="24"/>
      <c r="J27" s="24"/>
      <c r="K27" s="24"/>
      <c r="L27" s="24"/>
      <c r="M27" s="24"/>
      <c r="N27" s="24"/>
      <c r="O27" s="24"/>
      <c r="P27" s="24"/>
      <c r="Q27" s="4" t="s">
        <v>682</v>
      </c>
    </row>
    <row r="28" spans="1:17" x14ac:dyDescent="0.3">
      <c r="A28" s="3" t="s">
        <v>1082</v>
      </c>
      <c r="B28" s="3" t="s">
        <v>482</v>
      </c>
      <c r="C28" s="3"/>
      <c r="D28" s="3"/>
      <c r="E28" s="21">
        <f>MAX(0.2,Min_Layer_Height)</f>
        <v>0.2</v>
      </c>
      <c r="F28" s="3">
        <f>VALUE(F$1)</f>
        <v>0.12</v>
      </c>
      <c r="G28" s="3">
        <f t="shared" ref="G28:P28" si="0">VALUE(G$1)</f>
        <v>0.2</v>
      </c>
      <c r="H28" s="3">
        <f t="shared" si="0"/>
        <v>0.24</v>
      </c>
      <c r="I28" s="3">
        <f t="shared" si="0"/>
        <v>0.28000000000000003</v>
      </c>
      <c r="J28" s="3">
        <f t="shared" si="0"/>
        <v>0.32</v>
      </c>
      <c r="K28" s="3">
        <f t="shared" si="0"/>
        <v>0.4</v>
      </c>
      <c r="L28" s="3">
        <f t="shared" si="0"/>
        <v>0.48</v>
      </c>
      <c r="M28" s="3">
        <f t="shared" si="0"/>
        <v>0.56000000000000005</v>
      </c>
      <c r="N28" s="3">
        <f t="shared" si="0"/>
        <v>0.64</v>
      </c>
      <c r="O28" s="3">
        <f t="shared" si="0"/>
        <v>0.72</v>
      </c>
      <c r="P28" s="3">
        <f t="shared" si="0"/>
        <v>0.8</v>
      </c>
      <c r="Q28" s="3" t="s">
        <v>683</v>
      </c>
    </row>
    <row r="29" spans="1:17" x14ac:dyDescent="0.3">
      <c r="A29" s="4"/>
      <c r="B29" s="4" t="s">
        <v>483</v>
      </c>
      <c r="C29" s="4"/>
      <c r="D29" s="4"/>
      <c r="E29" s="24" t="str">
        <f t="shared" ref="E29:P29" si="1">GetPrintSpec( $E$2,E$1,"top_solid_layers")</f>
        <v>3</v>
      </c>
      <c r="F29" s="24" t="str">
        <f t="shared" si="1"/>
        <v>9</v>
      </c>
      <c r="G29" s="24" t="str">
        <f t="shared" si="1"/>
        <v>6</v>
      </c>
      <c r="H29" s="24" t="str">
        <f t="shared" si="1"/>
        <v>5</v>
      </c>
      <c r="I29" s="24" t="str">
        <f t="shared" si="1"/>
        <v>4</v>
      </c>
      <c r="J29" s="24" t="str">
        <f t="shared" si="1"/>
        <v>4</v>
      </c>
      <c r="K29" s="24" t="str">
        <f t="shared" si="1"/>
        <v>4</v>
      </c>
      <c r="L29" s="24" t="str">
        <f t="shared" si="1"/>
        <v>4</v>
      </c>
      <c r="M29" s="24" t="str">
        <f t="shared" si="1"/>
        <v>4</v>
      </c>
      <c r="N29" s="24" t="str">
        <f t="shared" si="1"/>
        <v>4</v>
      </c>
      <c r="O29" s="24" t="str">
        <f t="shared" si="1"/>
        <v>4</v>
      </c>
      <c r="P29" s="24" t="str">
        <f t="shared" si="1"/>
        <v>4</v>
      </c>
      <c r="Q29" s="4" t="s">
        <v>684</v>
      </c>
    </row>
    <row r="30" spans="1:17" x14ac:dyDescent="0.3">
      <c r="A30" s="3"/>
      <c r="B30" s="3" t="s">
        <v>484</v>
      </c>
      <c r="C30" s="3"/>
      <c r="D30" s="3"/>
      <c r="E30" s="21" t="str">
        <f t="shared" ref="E30:P30" si="2">GetPrintSpec( $E$2,E$1,"bottom_solid_layers")</f>
        <v>3</v>
      </c>
      <c r="F30" s="21" t="str">
        <f t="shared" si="2"/>
        <v>8</v>
      </c>
      <c r="G30" s="21" t="str">
        <f t="shared" si="2"/>
        <v>5</v>
      </c>
      <c r="H30" s="21" t="str">
        <f t="shared" si="2"/>
        <v>5</v>
      </c>
      <c r="I30" s="21" t="str">
        <f t="shared" si="2"/>
        <v>4</v>
      </c>
      <c r="J30" s="21" t="str">
        <f t="shared" si="2"/>
        <v>4</v>
      </c>
      <c r="K30" s="21" t="str">
        <f t="shared" si="2"/>
        <v>3</v>
      </c>
      <c r="L30" s="21" t="str">
        <f t="shared" si="2"/>
        <v>3</v>
      </c>
      <c r="M30" s="21" t="str">
        <f t="shared" si="2"/>
        <v>3</v>
      </c>
      <c r="N30" s="21" t="str">
        <f t="shared" si="2"/>
        <v>3</v>
      </c>
      <c r="O30" s="21" t="str">
        <f t="shared" si="2"/>
        <v>3</v>
      </c>
      <c r="P30" s="21" t="str">
        <f t="shared" si="2"/>
        <v>3</v>
      </c>
      <c r="Q30" s="3" t="s">
        <v>685</v>
      </c>
    </row>
    <row r="31" spans="1:17" x14ac:dyDescent="0.3">
      <c r="A31" s="4"/>
      <c r="B31" s="4" t="s">
        <v>485</v>
      </c>
      <c r="C31" s="4"/>
      <c r="D31" s="4"/>
      <c r="E31" s="24" t="str">
        <f t="shared" ref="E31:P31" si="3">GetPrintSpec( $E$2,E$1,"perimeters")</f>
        <v>3</v>
      </c>
      <c r="F31" s="24" t="str">
        <f t="shared" si="3"/>
        <v>3</v>
      </c>
      <c r="G31" s="24" t="str">
        <f t="shared" si="3"/>
        <v>3</v>
      </c>
      <c r="H31" s="24" t="str">
        <f t="shared" si="3"/>
        <v>3</v>
      </c>
      <c r="I31" s="24" t="str">
        <f t="shared" si="3"/>
        <v>3</v>
      </c>
      <c r="J31" s="24" t="str">
        <f t="shared" si="3"/>
        <v>3</v>
      </c>
      <c r="K31" s="24" t="str">
        <f t="shared" si="3"/>
        <v>3</v>
      </c>
      <c r="L31" s="24" t="str">
        <f t="shared" si="3"/>
        <v>3</v>
      </c>
      <c r="M31" s="24" t="str">
        <f t="shared" si="3"/>
        <v>3</v>
      </c>
      <c r="N31" s="24" t="str">
        <f t="shared" si="3"/>
        <v>3</v>
      </c>
      <c r="O31" s="24" t="str">
        <f t="shared" si="3"/>
        <v>3</v>
      </c>
      <c r="P31" s="24" t="str">
        <f t="shared" si="3"/>
        <v>3</v>
      </c>
      <c r="Q31" s="4" t="s">
        <v>686</v>
      </c>
    </row>
    <row r="32" spans="1:17" x14ac:dyDescent="0.3">
      <c r="A32" s="3"/>
      <c r="B32" s="3" t="s">
        <v>486</v>
      </c>
      <c r="C32" s="3"/>
      <c r="D32" s="3"/>
      <c r="E32" s="21" t="str">
        <f>IFERROR(IF(VALUE(GetPrintSpec( $E$2,E$1,"external_perimeters_first")) &gt; 0,"0","1"),"1")</f>
        <v>1</v>
      </c>
      <c r="F32" s="21"/>
      <c r="G32" s="21"/>
      <c r="H32" s="21"/>
      <c r="I32" s="21"/>
      <c r="J32" s="21"/>
      <c r="K32" s="21"/>
      <c r="L32" s="21"/>
      <c r="M32" s="21"/>
      <c r="N32" s="21"/>
      <c r="O32" s="21"/>
      <c r="P32" s="21"/>
      <c r="Q32" s="3" t="s">
        <v>687</v>
      </c>
    </row>
    <row r="33" spans="1:17" ht="16.5" customHeight="1" x14ac:dyDescent="0.3">
      <c r="A33" s="4"/>
      <c r="B33" s="4" t="s">
        <v>487</v>
      </c>
      <c r="C33" s="4"/>
      <c r="D33" s="4"/>
      <c r="E33" s="24">
        <v>2</v>
      </c>
      <c r="F33" s="24"/>
      <c r="G33" s="24"/>
      <c r="H33" s="24"/>
      <c r="I33" s="24"/>
      <c r="J33" s="24"/>
      <c r="K33" s="24"/>
      <c r="L33" s="24"/>
      <c r="M33" s="24"/>
      <c r="N33" s="24"/>
      <c r="O33" s="24"/>
      <c r="P33" s="24"/>
      <c r="Q33" s="65" t="s">
        <v>693</v>
      </c>
    </row>
    <row r="34" spans="1:17" x14ac:dyDescent="0.3">
      <c r="A34" s="3"/>
      <c r="B34" s="3" t="s">
        <v>488</v>
      </c>
      <c r="C34" s="3"/>
      <c r="D34" s="3"/>
      <c r="E34" s="21">
        <v>0</v>
      </c>
      <c r="F34" s="21"/>
      <c r="G34" s="21"/>
      <c r="H34" s="21"/>
      <c r="I34" s="21"/>
      <c r="J34" s="21"/>
      <c r="K34" s="21"/>
      <c r="L34" s="21"/>
      <c r="M34" s="21"/>
      <c r="N34" s="21"/>
      <c r="O34" s="21"/>
      <c r="P34" s="21"/>
      <c r="Q34" s="3"/>
    </row>
    <row r="35" spans="1:17" x14ac:dyDescent="0.3">
      <c r="A35" s="4"/>
      <c r="B35" s="4" t="s">
        <v>489</v>
      </c>
      <c r="C35" s="4"/>
      <c r="D35" s="4"/>
      <c r="E35" s="24">
        <v>0</v>
      </c>
      <c r="F35" s="24"/>
      <c r="G35" s="24"/>
      <c r="H35" s="24"/>
      <c r="I35" s="24"/>
      <c r="J35" s="24"/>
      <c r="K35" s="24"/>
      <c r="L35" s="24"/>
      <c r="M35" s="24"/>
      <c r="N35" s="24"/>
      <c r="O35" s="24"/>
      <c r="P35" s="24"/>
      <c r="Q35" s="4"/>
    </row>
    <row r="36" spans="1:17" x14ac:dyDescent="0.3">
      <c r="A36" s="3"/>
      <c r="B36" s="3" t="s">
        <v>490</v>
      </c>
      <c r="C36" s="3"/>
      <c r="D36" s="3"/>
      <c r="E36" s="21">
        <v>0</v>
      </c>
      <c r="F36" s="21"/>
      <c r="G36" s="21"/>
      <c r="H36" s="21"/>
      <c r="I36" s="21"/>
      <c r="J36" s="21"/>
      <c r="K36" s="21"/>
      <c r="L36" s="21"/>
      <c r="M36" s="21"/>
      <c r="N36" s="21"/>
      <c r="O36" s="21"/>
      <c r="P36" s="21"/>
      <c r="Q36" s="3" t="s">
        <v>688</v>
      </c>
    </row>
    <row r="37" spans="1:17" x14ac:dyDescent="0.3">
      <c r="A37" s="4"/>
      <c r="B37" s="4" t="s">
        <v>491</v>
      </c>
      <c r="C37" s="4"/>
      <c r="D37" s="4"/>
      <c r="E37" s="24">
        <v>0</v>
      </c>
      <c r="F37" s="24"/>
      <c r="G37" s="24"/>
      <c r="H37" s="24"/>
      <c r="I37" s="24"/>
      <c r="J37" s="24"/>
      <c r="K37" s="24"/>
      <c r="L37" s="24"/>
      <c r="M37" s="24"/>
      <c r="N37" s="24"/>
      <c r="O37" s="24"/>
      <c r="P37" s="24"/>
      <c r="Q37" s="4" t="s">
        <v>689</v>
      </c>
    </row>
    <row r="38" spans="1:17" ht="18.75" customHeight="1" x14ac:dyDescent="0.3">
      <c r="A38" s="3"/>
      <c r="B38" s="3" t="s">
        <v>492</v>
      </c>
      <c r="C38" s="3"/>
      <c r="D38" s="3"/>
      <c r="E38" s="21">
        <v>100</v>
      </c>
      <c r="F38" s="21"/>
      <c r="G38" s="21"/>
      <c r="H38" s="21"/>
      <c r="I38" s="21"/>
      <c r="J38" s="21"/>
      <c r="K38" s="21"/>
      <c r="L38" s="21"/>
      <c r="M38" s="21"/>
      <c r="N38" s="21"/>
      <c r="O38" s="21"/>
      <c r="P38" s="21"/>
      <c r="Q38" s="8" t="s">
        <v>690</v>
      </c>
    </row>
    <row r="39" spans="1:17" x14ac:dyDescent="0.3">
      <c r="A39" s="4"/>
      <c r="B39" s="4" t="s">
        <v>493</v>
      </c>
      <c r="C39" s="4"/>
      <c r="D39" s="4"/>
      <c r="E39" s="24">
        <v>133</v>
      </c>
      <c r="F39" s="24"/>
      <c r="G39" s="24"/>
      <c r="H39" s="24"/>
      <c r="I39" s="24"/>
      <c r="J39" s="24"/>
      <c r="K39" s="24"/>
      <c r="L39" s="24"/>
      <c r="M39" s="24"/>
      <c r="N39" s="24"/>
      <c r="O39" s="24"/>
      <c r="P39" s="24"/>
      <c r="Q39" s="4" t="s">
        <v>691</v>
      </c>
    </row>
    <row r="40" spans="1:17" s="55" customFormat="1" x14ac:dyDescent="0.3">
      <c r="A40" s="3" t="s">
        <v>1082</v>
      </c>
      <c r="B40" s="3" t="s">
        <v>494</v>
      </c>
      <c r="C40" s="3"/>
      <c r="D40" s="3"/>
      <c r="E40" s="21" t="str">
        <f>GetPrintSpec( $E$2,E$1,"first_layer_speed")</f>
        <v>30</v>
      </c>
      <c r="F40" s="21">
        <f t="shared" ref="F40:P40" si="4" xml:space="preserve"> ROUNDUP((($E$40*60) /F$174),2)</f>
        <v>0.24</v>
      </c>
      <c r="G40" s="21">
        <f t="shared" si="4"/>
        <v>0.24</v>
      </c>
      <c r="H40" s="21">
        <f t="shared" si="4"/>
        <v>0.24</v>
      </c>
      <c r="I40" s="21">
        <f t="shared" si="4"/>
        <v>0.24</v>
      </c>
      <c r="J40" s="21">
        <f t="shared" si="4"/>
        <v>0.24</v>
      </c>
      <c r="K40" s="21">
        <f t="shared" si="4"/>
        <v>0.24</v>
      </c>
      <c r="L40" s="21">
        <f t="shared" si="4"/>
        <v>0.24</v>
      </c>
      <c r="M40" s="21">
        <f t="shared" si="4"/>
        <v>0.24</v>
      </c>
      <c r="N40" s="21">
        <f t="shared" si="4"/>
        <v>0.24</v>
      </c>
      <c r="O40" s="21">
        <f t="shared" si="4"/>
        <v>0.24</v>
      </c>
      <c r="P40" s="21">
        <f t="shared" si="4"/>
        <v>0.24</v>
      </c>
      <c r="Q40" s="3" t="s">
        <v>692</v>
      </c>
    </row>
    <row r="41" spans="1:17" x14ac:dyDescent="0.3">
      <c r="A41" s="4"/>
      <c r="B41" s="4" t="s">
        <v>495</v>
      </c>
      <c r="C41" s="4"/>
      <c r="D41" s="4"/>
      <c r="E41" s="24">
        <v>0</v>
      </c>
      <c r="F41" s="24"/>
      <c r="G41" s="24"/>
      <c r="H41" s="24"/>
      <c r="I41" s="24"/>
      <c r="J41" s="24"/>
      <c r="K41" s="24"/>
      <c r="L41" s="24"/>
      <c r="M41" s="24"/>
      <c r="N41" s="24"/>
      <c r="O41" s="24"/>
      <c r="P41" s="24"/>
      <c r="Q41" s="4"/>
    </row>
    <row r="42" spans="1:17" x14ac:dyDescent="0.3">
      <c r="A42" s="3"/>
      <c r="B42" s="3" t="s">
        <v>496</v>
      </c>
      <c r="C42" s="3"/>
      <c r="D42" s="3"/>
      <c r="E42" s="21">
        <v>0</v>
      </c>
      <c r="F42" s="21"/>
      <c r="G42" s="21"/>
      <c r="H42" s="21"/>
      <c r="I42" s="21"/>
      <c r="J42" s="21"/>
      <c r="K42" s="21"/>
      <c r="L42" s="21"/>
      <c r="M42" s="21"/>
      <c r="N42" s="21"/>
      <c r="O42" s="21"/>
      <c r="P42" s="21"/>
      <c r="Q42" s="3"/>
    </row>
    <row r="43" spans="1:17" x14ac:dyDescent="0.3">
      <c r="A43" s="4"/>
      <c r="B43" s="4" t="s">
        <v>497</v>
      </c>
      <c r="C43" s="4"/>
      <c r="D43" s="4"/>
      <c r="E43" s="24">
        <v>2</v>
      </c>
      <c r="F43" s="24"/>
      <c r="G43" s="24"/>
      <c r="H43" s="24"/>
      <c r="I43" s="24"/>
      <c r="J43" s="24"/>
      <c r="K43" s="24"/>
      <c r="L43" s="24"/>
      <c r="M43" s="24"/>
      <c r="N43" s="24"/>
      <c r="O43" s="24"/>
      <c r="P43" s="24"/>
      <c r="Q43" s="4"/>
    </row>
    <row r="44" spans="1:17" x14ac:dyDescent="0.3">
      <c r="A44" s="3"/>
      <c r="B44" s="3" t="s">
        <v>498</v>
      </c>
      <c r="C44" s="3"/>
      <c r="D44" s="3"/>
      <c r="E44" s="21">
        <v>2</v>
      </c>
      <c r="F44" s="21"/>
      <c r="G44" s="21"/>
      <c r="H44" s="21"/>
      <c r="I44" s="21"/>
      <c r="J44" s="21"/>
      <c r="K44" s="21"/>
      <c r="L44" s="21"/>
      <c r="M44" s="21"/>
      <c r="N44" s="21"/>
      <c r="O44" s="21"/>
      <c r="P44" s="21"/>
      <c r="Q44" s="3"/>
    </row>
    <row r="45" spans="1:17" x14ac:dyDescent="0.3">
      <c r="A45" s="4"/>
      <c r="B45" s="4" t="s">
        <v>499</v>
      </c>
      <c r="C45" s="4"/>
      <c r="D45" s="4"/>
      <c r="E45" s="24">
        <v>3</v>
      </c>
      <c r="F45" s="24"/>
      <c r="G45" s="24"/>
      <c r="H45" s="24"/>
      <c r="I45" s="24"/>
      <c r="J45" s="24"/>
      <c r="K45" s="24"/>
      <c r="L45" s="24"/>
      <c r="M45" s="24"/>
      <c r="N45" s="24"/>
      <c r="O45" s="24"/>
      <c r="P45" s="24"/>
      <c r="Q45" s="4"/>
    </row>
    <row r="46" spans="1:17" x14ac:dyDescent="0.3">
      <c r="A46" s="3"/>
      <c r="B46" s="3" t="s">
        <v>500</v>
      </c>
      <c r="C46" s="3"/>
      <c r="D46" s="3"/>
      <c r="E46" s="21">
        <v>0.2</v>
      </c>
      <c r="F46" s="21"/>
      <c r="G46" s="21"/>
      <c r="H46" s="21"/>
      <c r="I46" s="21"/>
      <c r="J46" s="21"/>
      <c r="K46" s="21"/>
      <c r="L46" s="21"/>
      <c r="M46" s="21"/>
      <c r="N46" s="21"/>
      <c r="O46" s="21"/>
      <c r="P46" s="21"/>
      <c r="Q46" s="3"/>
    </row>
    <row r="47" spans="1:17" x14ac:dyDescent="0.3">
      <c r="A47" s="4"/>
      <c r="B47" s="4" t="s">
        <v>501</v>
      </c>
      <c r="C47" s="4"/>
      <c r="D47" s="4"/>
      <c r="E47" s="24">
        <v>100</v>
      </c>
      <c r="F47" s="24"/>
      <c r="G47" s="24"/>
      <c r="H47" s="24"/>
      <c r="I47" s="24"/>
      <c r="J47" s="24"/>
      <c r="K47" s="24"/>
      <c r="L47" s="24"/>
      <c r="M47" s="24"/>
      <c r="N47" s="24"/>
      <c r="O47" s="24"/>
      <c r="P47" s="24"/>
      <c r="Q47" s="4"/>
    </row>
    <row r="48" spans="1:17" x14ac:dyDescent="0.3">
      <c r="A48" s="3"/>
      <c r="B48" s="3" t="s">
        <v>502</v>
      </c>
      <c r="C48" s="3"/>
      <c r="D48" s="3"/>
      <c r="E48" s="21">
        <v>0.3</v>
      </c>
      <c r="F48" s="21"/>
      <c r="G48" s="21"/>
      <c r="H48" s="21"/>
      <c r="I48" s="21"/>
      <c r="J48" s="21"/>
      <c r="K48" s="21"/>
      <c r="L48" s="21"/>
      <c r="M48" s="21"/>
      <c r="N48" s="21"/>
      <c r="O48" s="21"/>
      <c r="P48" s="21"/>
      <c r="Q48" s="3"/>
    </row>
    <row r="49" spans="1:17" x14ac:dyDescent="0.3">
      <c r="A49" s="4"/>
      <c r="B49" s="4" t="s">
        <v>503</v>
      </c>
      <c r="C49" s="4"/>
      <c r="D49" s="4"/>
      <c r="E49" s="24">
        <v>1</v>
      </c>
      <c r="F49" s="24"/>
      <c r="G49" s="24"/>
      <c r="H49" s="24"/>
      <c r="I49" s="24"/>
      <c r="J49" s="24"/>
      <c r="K49" s="24"/>
      <c r="L49" s="24"/>
      <c r="M49" s="24"/>
      <c r="N49" s="24"/>
      <c r="O49" s="24"/>
      <c r="P49" s="24"/>
      <c r="Q49" s="4"/>
    </row>
    <row r="50" spans="1:17" x14ac:dyDescent="0.3">
      <c r="A50" s="3"/>
      <c r="B50" s="3" t="s">
        <v>504</v>
      </c>
      <c r="C50" s="3"/>
      <c r="D50" s="3"/>
      <c r="E50" s="21">
        <v>0</v>
      </c>
      <c r="F50" s="21"/>
      <c r="G50" s="21"/>
      <c r="H50" s="21"/>
      <c r="I50" s="21"/>
      <c r="J50" s="21"/>
      <c r="K50" s="21"/>
      <c r="L50" s="21"/>
      <c r="M50" s="21"/>
      <c r="N50" s="21"/>
      <c r="O50" s="21"/>
      <c r="P50" s="21"/>
      <c r="Q50" s="3"/>
    </row>
    <row r="51" spans="1:17" x14ac:dyDescent="0.3">
      <c r="A51" s="4"/>
      <c r="B51" s="4" t="s">
        <v>505</v>
      </c>
      <c r="C51" s="4"/>
      <c r="D51" s="4"/>
      <c r="E51" s="24" t="str">
        <f>GetPrintSpec( $E$2,E$1,"skirt_height")</f>
        <v>1</v>
      </c>
      <c r="F51" s="24"/>
      <c r="G51" s="24"/>
      <c r="H51" s="24"/>
      <c r="I51" s="24"/>
      <c r="J51" s="24"/>
      <c r="K51" s="24"/>
      <c r="L51" s="24"/>
      <c r="M51" s="24"/>
      <c r="N51" s="24"/>
      <c r="O51" s="24"/>
      <c r="P51" s="24"/>
      <c r="Q51" s="4" t="s">
        <v>695</v>
      </c>
    </row>
    <row r="52" spans="1:17" x14ac:dyDescent="0.3">
      <c r="A52" s="3"/>
      <c r="B52" s="3" t="s">
        <v>506</v>
      </c>
      <c r="C52" s="3"/>
      <c r="D52" s="3"/>
      <c r="E52" s="21">
        <v>3</v>
      </c>
      <c r="F52" s="21"/>
      <c r="G52" s="21"/>
      <c r="H52" s="21"/>
      <c r="I52" s="21"/>
      <c r="J52" s="21"/>
      <c r="K52" s="21"/>
      <c r="L52" s="21"/>
      <c r="M52" s="21"/>
      <c r="N52" s="21"/>
      <c r="O52" s="21"/>
      <c r="P52" s="21"/>
      <c r="Q52" s="3" t="s">
        <v>696</v>
      </c>
    </row>
    <row r="53" spans="1:17" x14ac:dyDescent="0.3">
      <c r="A53" s="4"/>
      <c r="B53" s="4" t="s">
        <v>507</v>
      </c>
      <c r="C53" s="4"/>
      <c r="D53" s="4"/>
      <c r="E53" s="24" t="str">
        <f>IF(VALUE(GetPrintSpec($E$2,E$1,"brim_width"))&gt;0,"0",GetPrintSpec($E$2,E$1,"skirt_distance"))</f>
        <v>0</v>
      </c>
      <c r="F53" s="24"/>
      <c r="G53" s="24"/>
      <c r="H53" s="24"/>
      <c r="I53" s="24"/>
      <c r="J53" s="24"/>
      <c r="K53" s="24"/>
      <c r="L53" s="24"/>
      <c r="M53" s="24"/>
      <c r="N53" s="24"/>
      <c r="O53" s="24"/>
      <c r="P53" s="24"/>
      <c r="Q53" s="4" t="s">
        <v>694</v>
      </c>
    </row>
    <row r="54" spans="1:17" x14ac:dyDescent="0.3">
      <c r="A54" s="3"/>
      <c r="B54" s="3" t="s">
        <v>508</v>
      </c>
      <c r="C54" s="3"/>
      <c r="D54" s="3"/>
      <c r="E54" s="21">
        <v>0</v>
      </c>
      <c r="F54" s="21"/>
      <c r="G54" s="21"/>
      <c r="H54" s="21"/>
      <c r="I54" s="21"/>
      <c r="J54" s="21"/>
      <c r="K54" s="21"/>
      <c r="L54" s="21"/>
      <c r="M54" s="21"/>
      <c r="N54" s="21"/>
      <c r="O54" s="21"/>
      <c r="P54" s="21"/>
      <c r="Q54" s="3"/>
    </row>
    <row r="55" spans="1:17" x14ac:dyDescent="0.3">
      <c r="A55" s="4"/>
      <c r="B55" s="4" t="s">
        <v>509</v>
      </c>
      <c r="C55" s="4"/>
      <c r="D55" s="4"/>
      <c r="E55" s="24">
        <v>999</v>
      </c>
      <c r="F55" s="24"/>
      <c r="G55" s="24"/>
      <c r="H55" s="24"/>
      <c r="I55" s="24"/>
      <c r="J55" s="24"/>
      <c r="K55" s="24"/>
      <c r="L55" s="24"/>
      <c r="M55" s="24"/>
      <c r="N55" s="24"/>
      <c r="O55" s="24"/>
      <c r="P55" s="24"/>
      <c r="Q55" s="4"/>
    </row>
    <row r="56" spans="1:17" x14ac:dyDescent="0.3">
      <c r="A56" s="3"/>
      <c r="B56" s="3" t="s">
        <v>510</v>
      </c>
      <c r="C56" s="3"/>
      <c r="D56" s="3"/>
      <c r="E56" s="21">
        <v>12</v>
      </c>
      <c r="F56" s="21"/>
      <c r="G56" s="21"/>
      <c r="H56" s="21"/>
      <c r="I56" s="21"/>
      <c r="J56" s="21"/>
      <c r="K56" s="21"/>
      <c r="L56" s="21"/>
      <c r="M56" s="21"/>
      <c r="N56" s="21"/>
      <c r="O56" s="21"/>
      <c r="P56" s="21"/>
      <c r="Q56" s="3"/>
    </row>
    <row r="57" spans="1:17" x14ac:dyDescent="0.3">
      <c r="A57" s="4"/>
      <c r="B57" s="4" t="s">
        <v>511</v>
      </c>
      <c r="C57" s="4"/>
      <c r="D57" s="4"/>
      <c r="E57" s="24">
        <v>7</v>
      </c>
      <c r="F57" s="24"/>
      <c r="G57" s="24"/>
      <c r="H57" s="24"/>
      <c r="I57" s="24"/>
      <c r="J57" s="24"/>
      <c r="K57" s="24"/>
      <c r="L57" s="24"/>
      <c r="M57" s="24"/>
      <c r="N57" s="24"/>
      <c r="O57" s="24"/>
      <c r="P57" s="24"/>
      <c r="Q57" s="4"/>
    </row>
    <row r="58" spans="1:17" x14ac:dyDescent="0.3">
      <c r="A58" s="3"/>
      <c r="B58" s="3" t="s">
        <v>512</v>
      </c>
      <c r="C58" s="3"/>
      <c r="D58" s="3"/>
      <c r="E58" s="21">
        <v>1</v>
      </c>
      <c r="F58" s="21"/>
      <c r="G58" s="21"/>
      <c r="H58" s="21"/>
      <c r="I58" s="21"/>
      <c r="J58" s="21"/>
      <c r="K58" s="21"/>
      <c r="L58" s="21"/>
      <c r="M58" s="21"/>
      <c r="N58" s="21"/>
      <c r="O58" s="21"/>
      <c r="P58" s="21"/>
      <c r="Q58" s="3"/>
    </row>
    <row r="59" spans="1:17" x14ac:dyDescent="0.3">
      <c r="A59" s="4"/>
      <c r="B59" s="4" t="s">
        <v>513</v>
      </c>
      <c r="C59" s="4"/>
      <c r="D59" s="4"/>
      <c r="E59" s="24">
        <v>0</v>
      </c>
      <c r="F59" s="24"/>
      <c r="G59" s="24"/>
      <c r="H59" s="24"/>
      <c r="I59" s="24"/>
      <c r="J59" s="24"/>
      <c r="K59" s="24"/>
      <c r="L59" s="24"/>
      <c r="M59" s="24"/>
      <c r="N59" s="24"/>
      <c r="O59" s="24"/>
      <c r="P59" s="24"/>
      <c r="Q59" s="4"/>
    </row>
    <row r="60" spans="1:17" x14ac:dyDescent="0.3">
      <c r="A60" s="3"/>
      <c r="B60" s="3" t="s">
        <v>514</v>
      </c>
      <c r="C60" s="3"/>
      <c r="D60" s="3"/>
      <c r="E60" s="21">
        <v>999</v>
      </c>
      <c r="F60" s="21"/>
      <c r="G60" s="21"/>
      <c r="H60" s="21"/>
      <c r="I60" s="21"/>
      <c r="J60" s="21"/>
      <c r="K60" s="21"/>
      <c r="L60" s="21"/>
      <c r="M60" s="21"/>
      <c r="N60" s="21"/>
      <c r="O60" s="21"/>
      <c r="P60" s="21"/>
      <c r="Q60" s="3"/>
    </row>
    <row r="61" spans="1:17" x14ac:dyDescent="0.3">
      <c r="A61" s="4"/>
      <c r="B61" s="4" t="s">
        <v>515</v>
      </c>
      <c r="C61" s="4"/>
      <c r="D61" s="4"/>
      <c r="E61" s="24">
        <v>2</v>
      </c>
      <c r="F61" s="24"/>
      <c r="G61" s="24"/>
      <c r="H61" s="24"/>
      <c r="I61" s="24"/>
      <c r="J61" s="24"/>
      <c r="K61" s="24"/>
      <c r="L61" s="24"/>
      <c r="M61" s="24"/>
      <c r="N61" s="24"/>
      <c r="O61" s="24"/>
      <c r="P61" s="24"/>
      <c r="Q61" s="4"/>
    </row>
    <row r="62" spans="1:17" x14ac:dyDescent="0.3">
      <c r="A62" s="3"/>
      <c r="B62" s="3" t="s">
        <v>516</v>
      </c>
      <c r="C62" s="3"/>
      <c r="D62" s="3"/>
      <c r="E62" s="21">
        <v>1</v>
      </c>
      <c r="F62" s="21"/>
      <c r="G62" s="21"/>
      <c r="H62" s="21"/>
      <c r="I62" s="21"/>
      <c r="J62" s="21"/>
      <c r="K62" s="21"/>
      <c r="L62" s="21"/>
      <c r="M62" s="21"/>
      <c r="N62" s="21"/>
      <c r="O62" s="21"/>
      <c r="P62" s="21"/>
      <c r="Q62" s="3"/>
    </row>
    <row r="63" spans="1:17" x14ac:dyDescent="0.3">
      <c r="A63" s="4"/>
      <c r="B63" s="4" t="s">
        <v>517</v>
      </c>
      <c r="C63" s="4"/>
      <c r="D63" s="4"/>
      <c r="E63" s="24">
        <v>1</v>
      </c>
      <c r="F63" s="24"/>
      <c r="G63" s="24"/>
      <c r="H63" s="24"/>
      <c r="I63" s="24"/>
      <c r="J63" s="24"/>
      <c r="K63" s="24"/>
      <c r="L63" s="24"/>
      <c r="M63" s="24"/>
      <c r="N63" s="24"/>
      <c r="O63" s="24"/>
      <c r="P63" s="24"/>
      <c r="Q63" s="4"/>
    </row>
    <row r="64" spans="1:17" x14ac:dyDescent="0.3">
      <c r="A64" s="3"/>
      <c r="B64" s="3" t="s">
        <v>518</v>
      </c>
      <c r="C64" s="3"/>
      <c r="D64" s="3"/>
      <c r="E64" s="21">
        <v>30</v>
      </c>
      <c r="F64" s="21"/>
      <c r="G64" s="21"/>
      <c r="H64" s="21"/>
      <c r="I64" s="21"/>
      <c r="J64" s="21"/>
      <c r="K64" s="21"/>
      <c r="L64" s="21"/>
      <c r="M64" s="21"/>
      <c r="N64" s="21"/>
      <c r="O64" s="21"/>
      <c r="P64" s="21"/>
      <c r="Q64" s="3"/>
    </row>
    <row r="65" spans="1:17" x14ac:dyDescent="0.3">
      <c r="A65" s="4"/>
      <c r="B65" s="4" t="s">
        <v>519</v>
      </c>
      <c r="C65" s="4"/>
      <c r="D65" s="4"/>
      <c r="E65" s="24">
        <v>1</v>
      </c>
      <c r="F65" s="24"/>
      <c r="G65" s="24"/>
      <c r="H65" s="24"/>
      <c r="I65" s="24"/>
      <c r="J65" s="24"/>
      <c r="K65" s="24"/>
      <c r="L65" s="24"/>
      <c r="M65" s="24"/>
      <c r="N65" s="24"/>
      <c r="O65" s="24"/>
      <c r="P65" s="24"/>
      <c r="Q65" s="4"/>
    </row>
    <row r="66" spans="1:17" x14ac:dyDescent="0.3">
      <c r="A66" s="3"/>
      <c r="B66" s="3" t="s">
        <v>520</v>
      </c>
      <c r="C66" s="3"/>
      <c r="D66" s="3"/>
      <c r="E66" s="21">
        <v>0</v>
      </c>
      <c r="F66" s="21"/>
      <c r="G66" s="21"/>
      <c r="H66" s="21"/>
      <c r="I66" s="21"/>
      <c r="J66" s="21"/>
      <c r="K66" s="21"/>
      <c r="L66" s="21"/>
      <c r="M66" s="21"/>
      <c r="N66" s="21"/>
      <c r="O66" s="21"/>
      <c r="P66" s="21"/>
      <c r="Q66" s="3"/>
    </row>
    <row r="67" spans="1:17" ht="16.5" customHeight="1" x14ac:dyDescent="0.3">
      <c r="A67" s="4"/>
      <c r="B67" s="4" t="s">
        <v>521</v>
      </c>
      <c r="C67" s="4"/>
      <c r="D67" s="4"/>
      <c r="E67" s="24" t="s">
        <v>523</v>
      </c>
      <c r="F67" s="24"/>
      <c r="G67" s="24"/>
      <c r="H67" s="24"/>
      <c r="I67" s="24"/>
      <c r="J67" s="24"/>
      <c r="K67" s="24"/>
      <c r="L67" s="24"/>
      <c r="M67" s="24"/>
      <c r="N67" s="24"/>
      <c r="O67" s="24"/>
      <c r="P67" s="24"/>
      <c r="Q67" s="65" t="s">
        <v>697</v>
      </c>
    </row>
    <row r="68" spans="1:17" x14ac:dyDescent="0.3">
      <c r="A68" s="3"/>
      <c r="B68" s="3" t="s">
        <v>522</v>
      </c>
      <c r="C68" s="3"/>
      <c r="D68" s="3"/>
      <c r="E68" s="21" t="s">
        <v>523</v>
      </c>
      <c r="F68" s="21"/>
      <c r="G68" s="21"/>
      <c r="H68" s="21"/>
      <c r="I68" s="21"/>
      <c r="J68" s="21"/>
      <c r="K68" s="21"/>
      <c r="L68" s="21"/>
      <c r="M68" s="21"/>
      <c r="N68" s="21"/>
      <c r="O68" s="21"/>
      <c r="P68" s="21"/>
      <c r="Q68" s="3"/>
    </row>
    <row r="69" spans="1:17" x14ac:dyDescent="0.3">
      <c r="A69" s="4"/>
      <c r="B69" s="4" t="s">
        <v>524</v>
      </c>
      <c r="C69" s="4"/>
      <c r="D69" s="4"/>
      <c r="E69" s="24">
        <f>GetPrintSpec( $E$2,E$1,"fill_density")*100</f>
        <v>15</v>
      </c>
      <c r="F69" s="24"/>
      <c r="G69" s="24"/>
      <c r="H69" s="24"/>
      <c r="I69" s="24"/>
      <c r="J69" s="24"/>
      <c r="K69" s="24"/>
      <c r="L69" s="24"/>
      <c r="M69" s="24"/>
      <c r="N69" s="24"/>
      <c r="O69" s="24"/>
      <c r="P69" s="24"/>
      <c r="Q69" s="4" t="s">
        <v>698</v>
      </c>
    </row>
    <row r="70" spans="1:17" x14ac:dyDescent="0.3">
      <c r="A70" s="3"/>
      <c r="B70" s="3" t="s">
        <v>525</v>
      </c>
      <c r="C70" s="3"/>
      <c r="D70" s="3"/>
      <c r="E70" s="21">
        <v>10</v>
      </c>
      <c r="F70" s="21"/>
      <c r="G70" s="21"/>
      <c r="H70" s="21"/>
      <c r="I70" s="21"/>
      <c r="J70" s="21"/>
      <c r="K70" s="21"/>
      <c r="L70" s="21"/>
      <c r="M70" s="21"/>
      <c r="N70" s="21"/>
      <c r="O70" s="21"/>
      <c r="P70" s="21"/>
      <c r="Q70" s="3" t="s">
        <v>699</v>
      </c>
    </row>
    <row r="71" spans="1:17" x14ac:dyDescent="0.3">
      <c r="A71" s="4"/>
      <c r="B71" s="4" t="s">
        <v>526</v>
      </c>
      <c r="C71" s="4"/>
      <c r="D71" s="4"/>
      <c r="E71" s="24">
        <v>100</v>
      </c>
      <c r="F71" s="24"/>
      <c r="G71" s="24"/>
      <c r="H71" s="24"/>
      <c r="I71" s="24"/>
      <c r="J71" s="24"/>
      <c r="K71" s="24"/>
      <c r="L71" s="24"/>
      <c r="M71" s="24"/>
      <c r="N71" s="24"/>
      <c r="O71" s="24"/>
      <c r="P71" s="24"/>
      <c r="Q71" s="4" t="s">
        <v>700</v>
      </c>
    </row>
    <row r="72" spans="1:17" x14ac:dyDescent="0.3">
      <c r="A72" s="3"/>
      <c r="B72" s="3" t="s">
        <v>527</v>
      </c>
      <c r="C72" s="3"/>
      <c r="D72" s="3"/>
      <c r="E72" s="21">
        <v>5</v>
      </c>
      <c r="F72" s="21"/>
      <c r="G72" s="21"/>
      <c r="H72" s="21"/>
      <c r="I72" s="21"/>
      <c r="J72" s="21"/>
      <c r="K72" s="21"/>
      <c r="L72" s="21"/>
      <c r="M72" s="21"/>
      <c r="N72" s="21"/>
      <c r="O72" s="21"/>
      <c r="P72" s="21"/>
      <c r="Q72" s="3" t="s">
        <v>701</v>
      </c>
    </row>
    <row r="73" spans="1:17" x14ac:dyDescent="0.3">
      <c r="A73" s="4"/>
      <c r="B73" s="4" t="s">
        <v>528</v>
      </c>
      <c r="C73" s="4"/>
      <c r="D73" s="4"/>
      <c r="E73" s="24">
        <v>1</v>
      </c>
      <c r="F73" s="24"/>
      <c r="G73" s="24"/>
      <c r="H73" s="24"/>
      <c r="I73" s="24"/>
      <c r="J73" s="24"/>
      <c r="K73" s="24"/>
      <c r="L73" s="24"/>
      <c r="M73" s="24"/>
      <c r="N73" s="24"/>
      <c r="O73" s="24"/>
      <c r="P73" s="24"/>
      <c r="Q73" s="4" t="s">
        <v>702</v>
      </c>
    </row>
    <row r="74" spans="1:17" x14ac:dyDescent="0.3">
      <c r="A74" s="3"/>
      <c r="B74" s="3" t="s">
        <v>529</v>
      </c>
      <c r="C74" s="3"/>
      <c r="D74" s="3"/>
      <c r="E74" s="21" t="s">
        <v>532</v>
      </c>
      <c r="F74" s="21"/>
      <c r="G74" s="21"/>
      <c r="H74" s="21"/>
      <c r="I74" s="21"/>
      <c r="J74" s="21"/>
      <c r="K74" s="21"/>
      <c r="L74" s="21"/>
      <c r="M74" s="21"/>
      <c r="N74" s="21"/>
      <c r="O74" s="21"/>
      <c r="P74" s="21"/>
      <c r="Q74" s="3"/>
    </row>
    <row r="75" spans="1:17" x14ac:dyDescent="0.3">
      <c r="A75" s="4"/>
      <c r="B75" s="4" t="s">
        <v>530</v>
      </c>
      <c r="C75" s="4"/>
      <c r="D75" s="4"/>
      <c r="E75" s="24">
        <v>0</v>
      </c>
      <c r="F75" s="24"/>
      <c r="G75" s="24"/>
      <c r="H75" s="24"/>
      <c r="I75" s="24"/>
      <c r="J75" s="24"/>
      <c r="K75" s="24"/>
      <c r="L75" s="24"/>
      <c r="M75" s="24"/>
      <c r="N75" s="24"/>
      <c r="O75" s="24"/>
      <c r="P75" s="24"/>
      <c r="Q75" s="4"/>
    </row>
    <row r="76" spans="1:17" x14ac:dyDescent="0.3">
      <c r="A76" s="3"/>
      <c r="B76" s="3" t="s">
        <v>531</v>
      </c>
      <c r="C76" s="3"/>
      <c r="D76" s="3"/>
      <c r="E76" s="21" t="s">
        <v>532</v>
      </c>
      <c r="F76" s="21"/>
      <c r="G76" s="21"/>
      <c r="H76" s="21"/>
      <c r="I76" s="21"/>
      <c r="J76" s="21"/>
      <c r="K76" s="21"/>
      <c r="L76" s="21"/>
      <c r="M76" s="21"/>
      <c r="N76" s="21"/>
      <c r="O76" s="21"/>
      <c r="P76" s="21"/>
      <c r="Q76" s="3" t="s">
        <v>703</v>
      </c>
    </row>
    <row r="77" spans="1:17" x14ac:dyDescent="0.3">
      <c r="A77" s="4"/>
      <c r="B77" s="4" t="s">
        <v>533</v>
      </c>
      <c r="C77" s="4"/>
      <c r="D77" s="4"/>
      <c r="E77" s="24" t="str">
        <f>GetPrintSpec( $E$2,E$1,"support_material")</f>
        <v>0</v>
      </c>
      <c r="F77" s="24"/>
      <c r="G77" s="24"/>
      <c r="H77" s="24"/>
      <c r="I77" s="24"/>
      <c r="J77" s="24"/>
      <c r="K77" s="24"/>
      <c r="L77" s="24"/>
      <c r="M77" s="24"/>
      <c r="N77" s="24"/>
      <c r="O77" s="24"/>
      <c r="P77" s="24"/>
      <c r="Q77" s="4"/>
    </row>
    <row r="78" spans="1:17" x14ac:dyDescent="0.3">
      <c r="A78" s="3"/>
      <c r="B78" s="3" t="s">
        <v>534</v>
      </c>
      <c r="C78" s="3"/>
      <c r="D78" s="3"/>
      <c r="E78" s="21">
        <v>0</v>
      </c>
      <c r="F78" s="21"/>
      <c r="G78" s="21"/>
      <c r="H78" s="21"/>
      <c r="I78" s="21"/>
      <c r="J78" s="21"/>
      <c r="K78" s="21"/>
      <c r="L78" s="21"/>
      <c r="M78" s="21"/>
      <c r="N78" s="21"/>
      <c r="O78" s="21"/>
      <c r="P78" s="21"/>
      <c r="Q78" s="3"/>
    </row>
    <row r="79" spans="1:17" x14ac:dyDescent="0.3">
      <c r="A79" s="4"/>
      <c r="B79" s="4" t="s">
        <v>535</v>
      </c>
      <c r="C79" s="4"/>
      <c r="D79" s="4"/>
      <c r="E79" s="24">
        <v>20</v>
      </c>
      <c r="F79" s="24"/>
      <c r="G79" s="24"/>
      <c r="H79" s="24"/>
      <c r="I79" s="24"/>
      <c r="J79" s="24"/>
      <c r="K79" s="24"/>
      <c r="L79" s="24"/>
      <c r="M79" s="24"/>
      <c r="N79" s="24"/>
      <c r="O79" s="24"/>
      <c r="P79" s="24"/>
      <c r="Q79" s="4" t="s">
        <v>704</v>
      </c>
    </row>
    <row r="80" spans="1:17" x14ac:dyDescent="0.3">
      <c r="A80" s="3"/>
      <c r="B80" s="3" t="s">
        <v>536</v>
      </c>
      <c r="C80" s="3"/>
      <c r="D80" s="3"/>
      <c r="E80" s="21">
        <v>0</v>
      </c>
      <c r="F80" s="21"/>
      <c r="G80" s="21"/>
      <c r="H80" s="21"/>
      <c r="I80" s="21"/>
      <c r="J80" s="21"/>
      <c r="K80" s="21"/>
      <c r="L80" s="21"/>
      <c r="M80" s="21"/>
      <c r="N80" s="21"/>
      <c r="O80" s="21"/>
      <c r="P80" s="21"/>
      <c r="Q80" s="3" t="s">
        <v>705</v>
      </c>
    </row>
    <row r="81" spans="1:17" x14ac:dyDescent="0.3">
      <c r="A81" s="4"/>
      <c r="B81" s="4" t="s">
        <v>537</v>
      </c>
      <c r="C81" s="4"/>
      <c r="D81" s="4"/>
      <c r="E81" s="24">
        <v>1</v>
      </c>
      <c r="F81" s="24"/>
      <c r="G81" s="24"/>
      <c r="H81" s="24"/>
      <c r="I81" s="24"/>
      <c r="J81" s="24"/>
      <c r="K81" s="24"/>
      <c r="L81" s="24"/>
      <c r="M81" s="24"/>
      <c r="N81" s="24"/>
      <c r="O81" s="24"/>
      <c r="P81" s="24"/>
      <c r="Q81" s="4"/>
    </row>
    <row r="82" spans="1:17" x14ac:dyDescent="0.3">
      <c r="A82" s="3"/>
      <c r="B82" s="3" t="s">
        <v>538</v>
      </c>
      <c r="C82" s="3"/>
      <c r="D82" s="3"/>
      <c r="E82" s="21">
        <v>0</v>
      </c>
      <c r="F82" s="21"/>
      <c r="G82" s="21"/>
      <c r="H82" s="21"/>
      <c r="I82" s="21"/>
      <c r="J82" s="21"/>
      <c r="K82" s="21"/>
      <c r="L82" s="21"/>
      <c r="M82" s="21"/>
      <c r="N82" s="21"/>
      <c r="O82" s="21"/>
      <c r="P82" s="21"/>
      <c r="Q82" s="3"/>
    </row>
    <row r="83" spans="1:17" x14ac:dyDescent="0.3">
      <c r="A83" s="4"/>
      <c r="B83" s="4" t="s">
        <v>539</v>
      </c>
      <c r="C83" s="4"/>
      <c r="D83" s="4"/>
      <c r="E83" s="24">
        <v>1</v>
      </c>
      <c r="F83" s="24"/>
      <c r="G83" s="24"/>
      <c r="H83" s="24"/>
      <c r="I83" s="24"/>
      <c r="J83" s="24"/>
      <c r="K83" s="24"/>
      <c r="L83" s="24"/>
      <c r="M83" s="24"/>
      <c r="N83" s="24"/>
      <c r="O83" s="24"/>
      <c r="P83" s="24"/>
      <c r="Q83" s="4" t="s">
        <v>706</v>
      </c>
    </row>
    <row r="84" spans="1:17" x14ac:dyDescent="0.3">
      <c r="A84" s="3"/>
      <c r="B84" s="3" t="s">
        <v>540</v>
      </c>
      <c r="C84" s="3"/>
      <c r="D84" s="3"/>
      <c r="E84" s="21">
        <v>70</v>
      </c>
      <c r="F84" s="21"/>
      <c r="G84" s="21"/>
      <c r="H84" s="21"/>
      <c r="I84" s="21"/>
      <c r="J84" s="21"/>
      <c r="K84" s="21"/>
      <c r="L84" s="21"/>
      <c r="M84" s="21"/>
      <c r="N84" s="21"/>
      <c r="O84" s="21"/>
      <c r="P84" s="21"/>
      <c r="Q84" s="3" t="s">
        <v>707</v>
      </c>
    </row>
    <row r="85" spans="1:17" x14ac:dyDescent="0.3">
      <c r="A85" s="4"/>
      <c r="B85" s="4" t="s">
        <v>541</v>
      </c>
      <c r="C85" s="4"/>
      <c r="D85" s="4"/>
      <c r="E85" s="24">
        <v>1</v>
      </c>
      <c r="F85" s="24"/>
      <c r="G85" s="24"/>
      <c r="H85" s="24"/>
      <c r="I85" s="24"/>
      <c r="J85" s="24"/>
      <c r="K85" s="24"/>
      <c r="L85" s="24"/>
      <c r="M85" s="24"/>
      <c r="N85" s="24"/>
      <c r="O85" s="24"/>
      <c r="P85" s="24"/>
      <c r="Q85" s="4" t="s">
        <v>708</v>
      </c>
    </row>
    <row r="86" spans="1:17" x14ac:dyDescent="0.3">
      <c r="A86" s="3"/>
      <c r="B86" s="3" t="s">
        <v>542</v>
      </c>
      <c r="C86" s="3"/>
      <c r="D86" s="3"/>
      <c r="E86" s="21">
        <v>0.3</v>
      </c>
      <c r="F86" s="21"/>
      <c r="G86" s="21"/>
      <c r="H86" s="21"/>
      <c r="I86" s="21"/>
      <c r="J86" s="21"/>
      <c r="K86" s="21"/>
      <c r="L86" s="21"/>
      <c r="M86" s="21"/>
      <c r="N86" s="21"/>
      <c r="O86" s="21"/>
      <c r="P86" s="21"/>
      <c r="Q86" s="3" t="s">
        <v>709</v>
      </c>
    </row>
    <row r="87" spans="1:17" x14ac:dyDescent="0.3">
      <c r="A87" s="4"/>
      <c r="B87" s="4" t="s">
        <v>543</v>
      </c>
      <c r="C87" s="4"/>
      <c r="D87" s="4"/>
      <c r="E87" s="24">
        <v>1</v>
      </c>
      <c r="F87" s="24"/>
      <c r="G87" s="24"/>
      <c r="H87" s="24"/>
      <c r="I87" s="24"/>
      <c r="J87" s="24"/>
      <c r="K87" s="24"/>
      <c r="L87" s="24"/>
      <c r="M87" s="24"/>
      <c r="N87" s="24"/>
      <c r="O87" s="24"/>
      <c r="P87" s="24"/>
      <c r="Q87" s="4" t="s">
        <v>710</v>
      </c>
    </row>
    <row r="88" spans="1:17" x14ac:dyDescent="0.3">
      <c r="A88" s="3"/>
      <c r="B88" s="3" t="s">
        <v>544</v>
      </c>
      <c r="C88" s="3"/>
      <c r="D88" s="3"/>
      <c r="E88" s="21">
        <v>1</v>
      </c>
      <c r="F88" s="21"/>
      <c r="G88" s="21"/>
      <c r="H88" s="21"/>
      <c r="I88" s="21"/>
      <c r="J88" s="21"/>
      <c r="K88" s="21"/>
      <c r="L88" s="21"/>
      <c r="M88" s="21"/>
      <c r="N88" s="21"/>
      <c r="O88" s="21"/>
      <c r="P88" s="21"/>
      <c r="Q88" s="3"/>
    </row>
    <row r="89" spans="1:17" x14ac:dyDescent="0.3">
      <c r="A89" s="4"/>
      <c r="B89" s="4" t="s">
        <v>545</v>
      </c>
      <c r="C89" s="4"/>
      <c r="D89" s="4"/>
      <c r="E89" s="24">
        <v>1</v>
      </c>
      <c r="F89" s="24"/>
      <c r="G89" s="24"/>
      <c r="H89" s="24"/>
      <c r="I89" s="24"/>
      <c r="J89" s="24"/>
      <c r="K89" s="24"/>
      <c r="L89" s="24"/>
      <c r="M89" s="24"/>
      <c r="N89" s="24"/>
      <c r="O89" s="24"/>
      <c r="P89" s="24"/>
      <c r="Q89" s="4"/>
    </row>
    <row r="90" spans="1:17" x14ac:dyDescent="0.3">
      <c r="A90" s="3"/>
      <c r="B90" s="3" t="s">
        <v>546</v>
      </c>
      <c r="C90" s="3"/>
      <c r="D90" s="3"/>
      <c r="E90" s="21">
        <v>4</v>
      </c>
      <c r="F90" s="21"/>
      <c r="G90" s="21"/>
      <c r="H90" s="21"/>
      <c r="I90" s="21"/>
      <c r="J90" s="21"/>
      <c r="K90" s="21"/>
      <c r="L90" s="21"/>
      <c r="M90" s="21"/>
      <c r="N90" s="21"/>
      <c r="O90" s="21"/>
      <c r="P90" s="21"/>
      <c r="Q90" s="3" t="s">
        <v>711</v>
      </c>
    </row>
    <row r="91" spans="1:17" x14ac:dyDescent="0.3">
      <c r="A91" s="4"/>
      <c r="B91" s="4" t="s">
        <v>547</v>
      </c>
      <c r="C91" s="4"/>
      <c r="D91" s="4"/>
      <c r="E91" s="24">
        <v>45</v>
      </c>
      <c r="F91" s="24"/>
      <c r="G91" s="24"/>
      <c r="H91" s="24"/>
      <c r="I91" s="24"/>
      <c r="J91" s="24"/>
      <c r="K91" s="24"/>
      <c r="L91" s="24"/>
      <c r="M91" s="24"/>
      <c r="N91" s="24"/>
      <c r="O91" s="24"/>
      <c r="P91" s="24"/>
      <c r="Q91" s="4" t="s">
        <v>712</v>
      </c>
    </row>
    <row r="92" spans="1:17" x14ac:dyDescent="0.3">
      <c r="A92" s="3"/>
      <c r="B92" s="3" t="s">
        <v>548</v>
      </c>
      <c r="C92" s="3"/>
      <c r="D92" s="3"/>
      <c r="E92" s="21" t="s">
        <v>532</v>
      </c>
      <c r="F92" s="21"/>
      <c r="G92" s="21"/>
      <c r="H92" s="21"/>
      <c r="I92" s="21"/>
      <c r="J92" s="21"/>
      <c r="K92" s="21"/>
      <c r="L92" s="21"/>
      <c r="M92" s="21"/>
      <c r="N92" s="21"/>
      <c r="O92" s="21"/>
      <c r="P92" s="21"/>
      <c r="Q92" s="3"/>
    </row>
    <row r="93" spans="1:17" x14ac:dyDescent="0.3">
      <c r="A93" s="4" t="s">
        <v>1081</v>
      </c>
      <c r="B93" s="4" t="s">
        <v>549</v>
      </c>
      <c r="C93" s="4"/>
      <c r="D93" s="4"/>
      <c r="E93" s="24"/>
      <c r="F93" s="24"/>
      <c r="G93" s="24"/>
      <c r="H93" s="24"/>
      <c r="I93" s="24"/>
      <c r="J93" s="24"/>
      <c r="K93" s="24"/>
      <c r="L93" s="24"/>
      <c r="M93" s="24"/>
      <c r="N93" s="24"/>
      <c r="O93" s="24"/>
      <c r="P93" s="24"/>
      <c r="Q93" s="4"/>
    </row>
    <row r="94" spans="1:17" x14ac:dyDescent="0.3">
      <c r="A94" s="3" t="s">
        <v>1081</v>
      </c>
      <c r="B94" s="3" t="s">
        <v>466</v>
      </c>
      <c r="C94" s="3" t="s">
        <v>458</v>
      </c>
      <c r="D94" s="3"/>
      <c r="E94" s="21" t="s">
        <v>550</v>
      </c>
      <c r="F94" s="21"/>
      <c r="G94" s="21"/>
      <c r="H94" s="21"/>
      <c r="I94" s="21"/>
      <c r="J94" s="21"/>
      <c r="K94" s="21"/>
      <c r="L94" s="21"/>
      <c r="M94" s="21"/>
      <c r="N94" s="21"/>
      <c r="O94" s="21"/>
      <c r="P94" s="21"/>
      <c r="Q94" s="3"/>
    </row>
    <row r="95" spans="1:17" x14ac:dyDescent="0.3">
      <c r="A95" s="4" t="s">
        <v>1081</v>
      </c>
      <c r="B95" s="4"/>
      <c r="C95" s="4" t="s">
        <v>551</v>
      </c>
      <c r="D95" s="4"/>
      <c r="E95" s="24">
        <v>0</v>
      </c>
      <c r="F95" s="24"/>
      <c r="G95" s="24"/>
      <c r="H95" s="24"/>
      <c r="I95" s="24"/>
      <c r="J95" s="24"/>
      <c r="K95" s="24"/>
      <c r="L95" s="24"/>
      <c r="M95" s="24"/>
      <c r="N95" s="24"/>
      <c r="O95" s="24"/>
      <c r="P95" s="24"/>
      <c r="Q95" s="4"/>
    </row>
    <row r="96" spans="1:17" x14ac:dyDescent="0.3">
      <c r="A96" s="3" t="s">
        <v>1081</v>
      </c>
      <c r="B96" s="3"/>
      <c r="C96" s="3" t="s">
        <v>552</v>
      </c>
      <c r="D96" s="3"/>
      <c r="E96" s="21">
        <v>0</v>
      </c>
      <c r="F96" s="21"/>
      <c r="G96" s="21"/>
      <c r="H96" s="21"/>
      <c r="I96" s="21"/>
      <c r="J96" s="21"/>
      <c r="K96" s="21"/>
      <c r="L96" s="21"/>
      <c r="M96" s="21"/>
      <c r="N96" s="21"/>
      <c r="O96" s="21"/>
      <c r="P96" s="21"/>
      <c r="Q96" s="3"/>
    </row>
    <row r="97" spans="1:17" x14ac:dyDescent="0.3">
      <c r="A97" s="4" t="s">
        <v>1081</v>
      </c>
      <c r="B97" s="4"/>
      <c r="C97" s="4" t="s">
        <v>553</v>
      </c>
      <c r="D97" s="4"/>
      <c r="E97" s="24">
        <v>1</v>
      </c>
      <c r="F97" s="24"/>
      <c r="G97" s="24"/>
      <c r="H97" s="24"/>
      <c r="I97" s="24"/>
      <c r="J97" s="24"/>
      <c r="K97" s="24"/>
      <c r="L97" s="24"/>
      <c r="M97" s="24"/>
      <c r="N97" s="24"/>
      <c r="O97" s="24"/>
      <c r="P97" s="24"/>
      <c r="Q97" s="4"/>
    </row>
    <row r="98" spans="1:17" x14ac:dyDescent="0.3">
      <c r="A98" s="3" t="s">
        <v>1081</v>
      </c>
      <c r="B98" s="3"/>
      <c r="C98" s="3" t="s">
        <v>554</v>
      </c>
      <c r="D98" s="3"/>
      <c r="E98" s="21"/>
      <c r="F98" s="21"/>
      <c r="G98" s="21"/>
      <c r="H98" s="21"/>
      <c r="I98" s="21"/>
      <c r="J98" s="21"/>
      <c r="K98" s="21"/>
      <c r="L98" s="21"/>
      <c r="M98" s="21"/>
      <c r="N98" s="21"/>
      <c r="O98" s="21"/>
      <c r="P98" s="21"/>
      <c r="Q98" s="3"/>
    </row>
    <row r="99" spans="1:17" x14ac:dyDescent="0.3">
      <c r="A99" s="4" t="s">
        <v>1081</v>
      </c>
      <c r="B99" s="4"/>
      <c r="C99" s="4" t="s">
        <v>466</v>
      </c>
      <c r="D99" s="4" t="s">
        <v>555</v>
      </c>
      <c r="E99" s="24">
        <v>1</v>
      </c>
      <c r="F99" s="24"/>
      <c r="G99" s="24"/>
      <c r="H99" s="24"/>
      <c r="I99" s="24"/>
      <c r="J99" s="24"/>
      <c r="K99" s="24"/>
      <c r="L99" s="24"/>
      <c r="M99" s="24"/>
      <c r="N99" s="24"/>
      <c r="O99" s="24"/>
      <c r="P99" s="24"/>
      <c r="Q99" s="4"/>
    </row>
    <row r="100" spans="1:17" x14ac:dyDescent="0.3">
      <c r="A100" s="3" t="s">
        <v>1081</v>
      </c>
      <c r="B100" s="3"/>
      <c r="C100" s="3" t="s">
        <v>466</v>
      </c>
      <c r="D100" s="3" t="s">
        <v>108</v>
      </c>
      <c r="E100" s="21" t="str">
        <f>GetFilamentSpec($E$2,"first_layer_temperature")</f>
        <v>240</v>
      </c>
      <c r="F100" s="21"/>
      <c r="G100" s="21"/>
      <c r="H100" s="21"/>
      <c r="I100" s="21"/>
      <c r="J100" s="21"/>
      <c r="K100" s="21"/>
      <c r="L100" s="21"/>
      <c r="M100" s="21"/>
      <c r="N100" s="21"/>
      <c r="O100" s="21"/>
      <c r="P100" s="21"/>
      <c r="Q100" s="3"/>
    </row>
    <row r="101" spans="1:17" x14ac:dyDescent="0.3">
      <c r="A101" s="4" t="s">
        <v>1081</v>
      </c>
      <c r="B101" s="4"/>
      <c r="C101" s="4" t="s">
        <v>554</v>
      </c>
      <c r="D101" s="4"/>
      <c r="E101" s="24"/>
      <c r="F101" s="24"/>
      <c r="G101" s="24"/>
      <c r="H101" s="24"/>
      <c r="I101" s="24"/>
      <c r="J101" s="24"/>
      <c r="K101" s="24"/>
      <c r="L101" s="24"/>
      <c r="M101" s="24"/>
      <c r="N101" s="24"/>
      <c r="O101" s="24"/>
      <c r="P101" s="24"/>
      <c r="Q101" s="4"/>
    </row>
    <row r="102" spans="1:17" x14ac:dyDescent="0.3">
      <c r="A102" s="3" t="s">
        <v>1081</v>
      </c>
      <c r="B102" s="3"/>
      <c r="C102" s="3" t="s">
        <v>466</v>
      </c>
      <c r="D102" s="3" t="s">
        <v>555</v>
      </c>
      <c r="E102" s="21">
        <v>2</v>
      </c>
      <c r="F102" s="21"/>
      <c r="G102" s="21"/>
      <c r="H102" s="21"/>
      <c r="I102" s="21"/>
      <c r="J102" s="21"/>
      <c r="K102" s="21"/>
      <c r="L102" s="21"/>
      <c r="M102" s="21"/>
      <c r="N102" s="21"/>
      <c r="O102" s="21"/>
      <c r="P102" s="21"/>
      <c r="Q102" s="3"/>
    </row>
    <row r="103" spans="1:17" x14ac:dyDescent="0.3">
      <c r="A103" s="4" t="s">
        <v>1081</v>
      </c>
      <c r="B103" s="4"/>
      <c r="C103" s="4" t="s">
        <v>466</v>
      </c>
      <c r="D103" s="4" t="s">
        <v>108</v>
      </c>
      <c r="E103" s="24" t="str">
        <f>GetFilamentSpec($E$2,"temperature")</f>
        <v>245</v>
      </c>
      <c r="F103" s="24"/>
      <c r="G103" s="24"/>
      <c r="H103" s="24"/>
      <c r="I103" s="24"/>
      <c r="J103" s="24"/>
      <c r="K103" s="24"/>
      <c r="L103" s="24"/>
      <c r="M103" s="24"/>
      <c r="N103" s="24"/>
      <c r="O103" s="24"/>
      <c r="P103" s="24"/>
      <c r="Q103" s="4"/>
    </row>
    <row r="104" spans="1:17" x14ac:dyDescent="0.3">
      <c r="A104" s="3" t="s">
        <v>1081</v>
      </c>
      <c r="B104" s="3" t="s">
        <v>549</v>
      </c>
      <c r="C104" s="3"/>
      <c r="D104" s="3"/>
      <c r="E104" s="21"/>
      <c r="F104" s="21"/>
      <c r="G104" s="21"/>
      <c r="H104" s="21"/>
      <c r="I104" s="21"/>
      <c r="J104" s="21"/>
      <c r="K104" s="21"/>
      <c r="L104" s="21"/>
      <c r="M104" s="21"/>
      <c r="N104" s="21"/>
      <c r="O104" s="21"/>
      <c r="P104" s="21"/>
      <c r="Q104" s="3"/>
    </row>
    <row r="105" spans="1:17" x14ac:dyDescent="0.3">
      <c r="A105" s="4" t="s">
        <v>1081</v>
      </c>
      <c r="B105" s="4" t="s">
        <v>466</v>
      </c>
      <c r="C105" s="4" t="s">
        <v>458</v>
      </c>
      <c r="D105" s="4"/>
      <c r="E105" s="24" t="s">
        <v>556</v>
      </c>
      <c r="F105" s="24"/>
      <c r="G105" s="24"/>
      <c r="H105" s="24"/>
      <c r="I105" s="24"/>
      <c r="J105" s="24"/>
      <c r="K105" s="24"/>
      <c r="L105" s="24"/>
      <c r="M105" s="24"/>
      <c r="N105" s="24"/>
      <c r="O105" s="24"/>
      <c r="P105" s="24"/>
      <c r="Q105" s="4"/>
    </row>
    <row r="106" spans="1:17" x14ac:dyDescent="0.3">
      <c r="A106" s="3" t="s">
        <v>1081</v>
      </c>
      <c r="B106" s="3"/>
      <c r="C106" s="3" t="s">
        <v>551</v>
      </c>
      <c r="D106" s="3"/>
      <c r="E106" s="21">
        <v>0</v>
      </c>
      <c r="F106" s="21"/>
      <c r="G106" s="21"/>
      <c r="H106" s="21"/>
      <c r="I106" s="21"/>
      <c r="J106" s="21"/>
      <c r="K106" s="21"/>
      <c r="L106" s="21"/>
      <c r="M106" s="21"/>
      <c r="N106" s="21"/>
      <c r="O106" s="21"/>
      <c r="P106" s="21"/>
      <c r="Q106" s="3"/>
    </row>
    <row r="107" spans="1:17" x14ac:dyDescent="0.3">
      <c r="A107" s="4" t="s">
        <v>1081</v>
      </c>
      <c r="B107" s="4"/>
      <c r="C107" s="4" t="s">
        <v>552</v>
      </c>
      <c r="D107" s="4"/>
      <c r="E107" s="24">
        <v>1</v>
      </c>
      <c r="F107" s="24"/>
      <c r="G107" s="24"/>
      <c r="H107" s="24"/>
      <c r="I107" s="24"/>
      <c r="J107" s="24"/>
      <c r="K107" s="24"/>
      <c r="L107" s="24"/>
      <c r="M107" s="24"/>
      <c r="N107" s="24"/>
      <c r="O107" s="24"/>
      <c r="P107" s="24"/>
      <c r="Q107" s="4"/>
    </row>
    <row r="108" spans="1:17" x14ac:dyDescent="0.3">
      <c r="A108" s="3" t="s">
        <v>1081</v>
      </c>
      <c r="B108" s="3"/>
      <c r="C108" s="3" t="s">
        <v>553</v>
      </c>
      <c r="D108" s="3"/>
      <c r="E108" s="21">
        <v>1</v>
      </c>
      <c r="F108" s="21"/>
      <c r="G108" s="21"/>
      <c r="H108" s="21"/>
      <c r="I108" s="21"/>
      <c r="J108" s="21"/>
      <c r="K108" s="21"/>
      <c r="L108" s="21"/>
      <c r="M108" s="21"/>
      <c r="N108" s="21"/>
      <c r="O108" s="21"/>
      <c r="P108" s="21"/>
      <c r="Q108" s="3"/>
    </row>
    <row r="109" spans="1:17" x14ac:dyDescent="0.3">
      <c r="A109" s="4" t="s">
        <v>1081</v>
      </c>
      <c r="B109" s="4"/>
      <c r="C109" s="4" t="s">
        <v>554</v>
      </c>
      <c r="D109" s="4"/>
      <c r="E109" s="24"/>
      <c r="F109" s="24"/>
      <c r="G109" s="24"/>
      <c r="H109" s="24"/>
      <c r="I109" s="24"/>
      <c r="J109" s="24"/>
      <c r="K109" s="24"/>
      <c r="L109" s="24"/>
      <c r="M109" s="24"/>
      <c r="N109" s="24"/>
      <c r="O109" s="24"/>
      <c r="P109" s="24"/>
      <c r="Q109" s="4"/>
    </row>
    <row r="110" spans="1:17" x14ac:dyDescent="0.3">
      <c r="A110" s="3" t="s">
        <v>1081</v>
      </c>
      <c r="B110" s="3"/>
      <c r="C110" s="3" t="s">
        <v>466</v>
      </c>
      <c r="D110" s="3" t="s">
        <v>555</v>
      </c>
      <c r="E110" s="21">
        <v>1</v>
      </c>
      <c r="F110" s="21"/>
      <c r="G110" s="21"/>
      <c r="H110" s="21"/>
      <c r="I110" s="21"/>
      <c r="J110" s="21"/>
      <c r="K110" s="21"/>
      <c r="L110" s="21"/>
      <c r="M110" s="21"/>
      <c r="N110" s="21"/>
      <c r="O110" s="21"/>
      <c r="P110" s="21"/>
      <c r="Q110" s="3"/>
    </row>
    <row r="111" spans="1:17" x14ac:dyDescent="0.3">
      <c r="A111" s="4" t="s">
        <v>1081</v>
      </c>
      <c r="B111" s="4"/>
      <c r="C111" s="4" t="s">
        <v>466</v>
      </c>
      <c r="D111" s="4" t="s">
        <v>108</v>
      </c>
      <c r="E111" s="24" t="str">
        <f>GetFilamentSpec($E$2,"first_layer_bed_temperature")</f>
        <v>105</v>
      </c>
      <c r="F111" s="24"/>
      <c r="G111" s="24"/>
      <c r="H111" s="24"/>
      <c r="I111" s="24"/>
      <c r="J111" s="24"/>
      <c r="K111" s="24"/>
      <c r="L111" s="24"/>
      <c r="M111" s="24"/>
      <c r="N111" s="24"/>
      <c r="O111" s="24"/>
      <c r="P111" s="24"/>
      <c r="Q111" s="4"/>
    </row>
    <row r="112" spans="1:17" x14ac:dyDescent="0.3">
      <c r="A112" s="3" t="s">
        <v>1081</v>
      </c>
      <c r="B112" s="3"/>
      <c r="C112" s="3" t="s">
        <v>554</v>
      </c>
      <c r="D112" s="3"/>
      <c r="E112" s="21"/>
      <c r="F112" s="21"/>
      <c r="G112" s="21"/>
      <c r="H112" s="21"/>
      <c r="I112" s="21"/>
      <c r="J112" s="21"/>
      <c r="K112" s="21"/>
      <c r="L112" s="21"/>
      <c r="M112" s="21"/>
      <c r="N112" s="21"/>
      <c r="O112" s="21"/>
      <c r="P112" s="21"/>
      <c r="Q112" s="3"/>
    </row>
    <row r="113" spans="1:17" x14ac:dyDescent="0.3">
      <c r="A113" s="4" t="s">
        <v>1081</v>
      </c>
      <c r="B113" s="4"/>
      <c r="C113" s="4" t="s">
        <v>466</v>
      </c>
      <c r="D113" s="4" t="s">
        <v>555</v>
      </c>
      <c r="E113" s="24">
        <v>2</v>
      </c>
      <c r="F113" s="24"/>
      <c r="G113" s="24"/>
      <c r="H113" s="24"/>
      <c r="I113" s="24"/>
      <c r="J113" s="24"/>
      <c r="K113" s="24"/>
      <c r="L113" s="24"/>
      <c r="M113" s="24"/>
      <c r="N113" s="24"/>
      <c r="O113" s="24"/>
      <c r="P113" s="24"/>
      <c r="Q113" s="4"/>
    </row>
    <row r="114" spans="1:17" x14ac:dyDescent="0.3">
      <c r="A114" s="3" t="s">
        <v>1081</v>
      </c>
      <c r="B114" s="3"/>
      <c r="C114" s="3" t="s">
        <v>466</v>
      </c>
      <c r="D114" s="3" t="s">
        <v>108</v>
      </c>
      <c r="E114" s="21" t="str">
        <f>GetFilamentSpec($E$2,"bed_temperature")</f>
        <v>95</v>
      </c>
      <c r="F114" s="21"/>
      <c r="G114" s="21"/>
      <c r="H114" s="21"/>
      <c r="I114" s="21"/>
      <c r="J114" s="21"/>
      <c r="K114" s="21"/>
      <c r="L114" s="21"/>
      <c r="M114" s="21"/>
      <c r="N114" s="21"/>
      <c r="O114" s="21"/>
      <c r="P114" s="21"/>
      <c r="Q114" s="3"/>
    </row>
    <row r="115" spans="1:17" x14ac:dyDescent="0.3">
      <c r="A115" s="4" t="s">
        <v>1081</v>
      </c>
      <c r="B115" s="4" t="s">
        <v>557</v>
      </c>
      <c r="C115" s="4"/>
      <c r="D115" s="4"/>
      <c r="E115" s="24"/>
      <c r="F115" s="24"/>
      <c r="G115" s="24"/>
      <c r="H115" s="24"/>
      <c r="I115" s="24"/>
      <c r="J115" s="24"/>
      <c r="K115" s="24"/>
      <c r="L115" s="24"/>
      <c r="M115" s="24"/>
      <c r="N115" s="24"/>
      <c r="O115" s="24"/>
      <c r="P115" s="24"/>
      <c r="Q115" s="4"/>
    </row>
    <row r="116" spans="1:17" x14ac:dyDescent="0.3">
      <c r="A116" s="3" t="s">
        <v>1081</v>
      </c>
      <c r="B116" s="3"/>
      <c r="C116" s="3" t="s">
        <v>554</v>
      </c>
      <c r="D116" s="3"/>
      <c r="E116" s="21"/>
      <c r="F116" s="21"/>
      <c r="G116" s="21"/>
      <c r="H116" s="21"/>
      <c r="I116" s="21"/>
      <c r="J116" s="21"/>
      <c r="K116" s="21"/>
      <c r="L116" s="21"/>
      <c r="M116" s="21"/>
      <c r="N116" s="21"/>
      <c r="O116" s="21"/>
      <c r="P116" s="21"/>
      <c r="Q116" s="3" t="s">
        <v>671</v>
      </c>
    </row>
    <row r="117" spans="1:17" x14ac:dyDescent="0.3">
      <c r="A117" s="4" t="s">
        <v>1081</v>
      </c>
      <c r="B117" s="4"/>
      <c r="C117" s="4" t="s">
        <v>466</v>
      </c>
      <c r="D117" s="4" t="s">
        <v>555</v>
      </c>
      <c r="E117" s="24">
        <v>1</v>
      </c>
      <c r="F117" s="24"/>
      <c r="G117" s="24"/>
      <c r="H117" s="24"/>
      <c r="I117" s="24"/>
      <c r="J117" s="24"/>
      <c r="K117" s="24"/>
      <c r="L117" s="24"/>
      <c r="M117" s="24"/>
      <c r="N117" s="24"/>
      <c r="O117" s="24"/>
      <c r="P117" s="24"/>
      <c r="Q117" s="4"/>
    </row>
    <row r="118" spans="1:17" x14ac:dyDescent="0.3">
      <c r="A118" s="3" t="s">
        <v>1081</v>
      </c>
      <c r="B118" s="3"/>
      <c r="C118" s="3" t="s">
        <v>466</v>
      </c>
      <c r="D118" s="3" t="s">
        <v>558</v>
      </c>
      <c r="E118" s="21">
        <v>0</v>
      </c>
      <c r="F118" s="21"/>
      <c r="G118" s="21"/>
      <c r="H118" s="21"/>
      <c r="I118" s="21"/>
      <c r="J118" s="21"/>
      <c r="K118" s="21"/>
      <c r="L118" s="21"/>
      <c r="M118" s="21"/>
      <c r="N118" s="21"/>
      <c r="O118" s="21"/>
      <c r="P118" s="21"/>
      <c r="Q118" s="3"/>
    </row>
    <row r="119" spans="1:17" x14ac:dyDescent="0.3">
      <c r="A119" s="4" t="s">
        <v>1081</v>
      </c>
      <c r="B119" s="4"/>
      <c r="C119" s="4" t="s">
        <v>554</v>
      </c>
      <c r="D119" s="4"/>
      <c r="E119" s="24"/>
      <c r="F119" s="24"/>
      <c r="G119" s="24"/>
      <c r="H119" s="24"/>
      <c r="I119" s="24"/>
      <c r="J119" s="24"/>
      <c r="K119" s="24"/>
      <c r="L119" s="24"/>
      <c r="M119" s="24"/>
      <c r="N119" s="24"/>
      <c r="O119" s="24"/>
      <c r="P119" s="24"/>
      <c r="Q119" s="4"/>
    </row>
    <row r="120" spans="1:17" x14ac:dyDescent="0.3">
      <c r="A120" s="3" t="s">
        <v>1081</v>
      </c>
      <c r="B120" s="3"/>
      <c r="C120" s="3" t="s">
        <v>466</v>
      </c>
      <c r="D120" s="3" t="s">
        <v>555</v>
      </c>
      <c r="E120" s="21">
        <f>GetFilamentSpec($E$2,"disable_fan_first_layers") + 1</f>
        <v>6</v>
      </c>
      <c r="F120" s="21"/>
      <c r="G120" s="21"/>
      <c r="H120" s="21"/>
      <c r="I120" s="21"/>
      <c r="J120" s="21"/>
      <c r="K120" s="21"/>
      <c r="L120" s="21"/>
      <c r="M120" s="21"/>
      <c r="N120" s="21"/>
      <c r="O120" s="21"/>
      <c r="P120" s="21"/>
      <c r="Q120" s="3"/>
    </row>
    <row r="121" spans="1:17" x14ac:dyDescent="0.3">
      <c r="A121" s="4" t="s">
        <v>1081</v>
      </c>
      <c r="B121" s="4"/>
      <c r="C121" s="4" t="s">
        <v>466</v>
      </c>
      <c r="D121" s="4" t="s">
        <v>558</v>
      </c>
      <c r="E121" s="24">
        <f>GetFilamentSpec($E$2,"max_fan_speed") * 100</f>
        <v>80</v>
      </c>
      <c r="F121" s="24"/>
      <c r="G121" s="24"/>
      <c r="H121" s="24"/>
      <c r="I121" s="24"/>
      <c r="J121" s="24"/>
      <c r="K121" s="24"/>
      <c r="L121" s="24"/>
      <c r="M121" s="24"/>
      <c r="N121" s="24"/>
      <c r="O121" s="24"/>
      <c r="P121" s="24"/>
      <c r="Q121" s="4"/>
    </row>
    <row r="122" spans="1:17" x14ac:dyDescent="0.3">
      <c r="A122" s="3" t="s">
        <v>1081</v>
      </c>
      <c r="B122" s="3" t="s">
        <v>559</v>
      </c>
      <c r="C122" s="3"/>
      <c r="D122" s="3"/>
      <c r="E122" s="21">
        <v>0</v>
      </c>
      <c r="F122" s="21"/>
      <c r="G122" s="21"/>
      <c r="H122" s="21"/>
      <c r="I122" s="21"/>
      <c r="J122" s="21"/>
      <c r="K122" s="21"/>
      <c r="L122" s="21"/>
      <c r="M122" s="21"/>
      <c r="N122" s="21"/>
      <c r="O122" s="21"/>
      <c r="P122" s="21"/>
      <c r="Q122" s="3"/>
    </row>
    <row r="123" spans="1:17" x14ac:dyDescent="0.3">
      <c r="A123" s="4" t="s">
        <v>1081</v>
      </c>
      <c r="B123" s="4" t="s">
        <v>560</v>
      </c>
      <c r="C123" s="4"/>
      <c r="D123" s="4"/>
      <c r="E123" s="24" t="str">
        <f>GetFilamentSpec($E$2,"cooling")</f>
        <v>1</v>
      </c>
      <c r="F123" s="24"/>
      <c r="G123" s="24"/>
      <c r="H123" s="24"/>
      <c r="I123" s="24"/>
      <c r="J123" s="24"/>
      <c r="K123" s="24"/>
      <c r="L123" s="24"/>
      <c r="M123" s="24"/>
      <c r="N123" s="24"/>
      <c r="O123" s="24"/>
      <c r="P123" s="24"/>
      <c r="Q123" s="4" t="s">
        <v>668</v>
      </c>
    </row>
    <row r="124" spans="1:17" x14ac:dyDescent="0.3">
      <c r="A124" s="3" t="s">
        <v>1081</v>
      </c>
      <c r="B124" s="3" t="s">
        <v>561</v>
      </c>
      <c r="C124" s="3"/>
      <c r="D124" s="3"/>
      <c r="E124" s="21" t="str">
        <f>GetFilamentSpec($E$2,"min_print_speed")</f>
        <v/>
      </c>
      <c r="F124" s="21"/>
      <c r="G124" s="21"/>
      <c r="H124" s="21"/>
      <c r="I124" s="21"/>
      <c r="J124" s="21"/>
      <c r="K124" s="21"/>
      <c r="L124" s="21"/>
      <c r="M124" s="21"/>
      <c r="N124" s="21"/>
      <c r="O124" s="21"/>
      <c r="P124" s="21"/>
      <c r="Q124" s="3"/>
    </row>
    <row r="125" spans="1:17" x14ac:dyDescent="0.3">
      <c r="A125" s="4" t="s">
        <v>1081</v>
      </c>
      <c r="B125" s="4" t="s">
        <v>562</v>
      </c>
      <c r="C125" s="4"/>
      <c r="D125" s="4"/>
      <c r="E125" s="24" t="str">
        <f>GetFilamentSpec($E$2,"slowdown_below_layer_time")</f>
        <v>15</v>
      </c>
      <c r="F125" s="24"/>
      <c r="G125" s="24"/>
      <c r="H125" s="24"/>
      <c r="I125" s="24"/>
      <c r="J125" s="24"/>
      <c r="K125" s="24"/>
      <c r="L125" s="24"/>
      <c r="M125" s="24"/>
      <c r="N125" s="24"/>
      <c r="O125" s="24"/>
      <c r="P125" s="24"/>
      <c r="Q125" s="4"/>
    </row>
    <row r="126" spans="1:17" x14ac:dyDescent="0.3">
      <c r="A126" s="3" t="s">
        <v>1081</v>
      </c>
      <c r="B126" s="3" t="s">
        <v>563</v>
      </c>
      <c r="C126" s="3"/>
      <c r="D126" s="3"/>
      <c r="E126" s="21">
        <v>1</v>
      </c>
      <c r="F126" s="21"/>
      <c r="G126" s="21"/>
      <c r="H126" s="21"/>
      <c r="I126" s="21"/>
      <c r="J126" s="21"/>
      <c r="K126" s="21"/>
      <c r="L126" s="21"/>
      <c r="M126" s="21"/>
      <c r="N126" s="21"/>
      <c r="O126" s="21"/>
      <c r="P126" s="21"/>
      <c r="Q126" s="3" t="s">
        <v>669</v>
      </c>
    </row>
    <row r="127" spans="1:17" x14ac:dyDescent="0.3">
      <c r="A127" s="4" t="s">
        <v>1081</v>
      </c>
      <c r="B127" s="4" t="s">
        <v>564</v>
      </c>
      <c r="C127" s="4"/>
      <c r="D127" s="4"/>
      <c r="E127" s="24" t="str">
        <f>GetFilamentSpec($E$2,"fan_below_layer_time")</f>
        <v>45</v>
      </c>
      <c r="F127" s="24"/>
      <c r="G127" s="24"/>
      <c r="H127" s="24"/>
      <c r="I127" s="24"/>
      <c r="J127" s="24"/>
      <c r="K127" s="24"/>
      <c r="L127" s="24"/>
      <c r="M127" s="24"/>
      <c r="N127" s="24"/>
      <c r="O127" s="24"/>
      <c r="P127" s="24"/>
      <c r="Q127" s="4"/>
    </row>
    <row r="128" spans="1:17" x14ac:dyDescent="0.3">
      <c r="A128" s="3" t="s">
        <v>1081</v>
      </c>
      <c r="B128" s="3" t="s">
        <v>565</v>
      </c>
      <c r="C128" s="3"/>
      <c r="D128" s="3"/>
      <c r="E128" s="21">
        <f>GetFilamentSpec($E$2,"max_fan_speed") * 100</f>
        <v>80</v>
      </c>
      <c r="F128" s="21"/>
      <c r="G128" s="21"/>
      <c r="H128" s="21"/>
      <c r="I128" s="21"/>
      <c r="J128" s="21"/>
      <c r="K128" s="21"/>
      <c r="L128" s="21"/>
      <c r="M128" s="21"/>
      <c r="N128" s="21"/>
      <c r="O128" s="21"/>
      <c r="P128" s="21"/>
      <c r="Q128" s="3"/>
    </row>
    <row r="129" spans="1:17" x14ac:dyDescent="0.3">
      <c r="A129" s="4" t="s">
        <v>1081</v>
      </c>
      <c r="B129" s="4" t="s">
        <v>566</v>
      </c>
      <c r="C129" s="4"/>
      <c r="D129" s="4"/>
      <c r="E129" s="24">
        <v>1</v>
      </c>
      <c r="F129" s="24"/>
      <c r="G129" s="24"/>
      <c r="H129" s="24"/>
      <c r="I129" s="24"/>
      <c r="J129" s="24"/>
      <c r="K129" s="24"/>
      <c r="L129" s="24"/>
      <c r="M129" s="24"/>
      <c r="N129" s="24"/>
      <c r="O129" s="24"/>
      <c r="P129" s="24"/>
      <c r="Q129" s="4"/>
    </row>
    <row r="130" spans="1:17" x14ac:dyDescent="0.3">
      <c r="A130" s="3" t="s">
        <v>1081</v>
      </c>
      <c r="B130" s="3" t="s">
        <v>567</v>
      </c>
      <c r="C130" s="3"/>
      <c r="D130" s="3"/>
      <c r="E130" s="21">
        <f>GetFilamentSpec($E$2,"bridge_fan_speed") * 100</f>
        <v>80</v>
      </c>
      <c r="F130" s="21"/>
      <c r="G130" s="21"/>
      <c r="H130" s="21"/>
      <c r="I130" s="21"/>
      <c r="J130" s="21"/>
      <c r="K130" s="21"/>
      <c r="L130" s="21"/>
      <c r="M130" s="21"/>
      <c r="N130" s="21"/>
      <c r="O130" s="21"/>
      <c r="P130" s="21"/>
      <c r="Q130" s="3" t="s">
        <v>670</v>
      </c>
    </row>
    <row r="131" spans="1:17" x14ac:dyDescent="0.3">
      <c r="A131" s="4"/>
      <c r="B131" s="4" t="s">
        <v>568</v>
      </c>
      <c r="C131" s="4"/>
      <c r="D131" s="4"/>
      <c r="E131" s="24">
        <v>1</v>
      </c>
      <c r="F131" s="24"/>
      <c r="G131" s="24"/>
      <c r="H131" s="24"/>
      <c r="I131" s="24"/>
      <c r="J131" s="24"/>
      <c r="K131" s="24"/>
      <c r="L131" s="24"/>
      <c r="M131" s="24"/>
      <c r="N131" s="24"/>
      <c r="O131" s="24"/>
      <c r="P131" s="24"/>
      <c r="Q131" s="4" t="s">
        <v>713</v>
      </c>
    </row>
    <row r="132" spans="1:17" x14ac:dyDescent="0.3">
      <c r="A132" s="3"/>
      <c r="B132" s="3" t="s">
        <v>569</v>
      </c>
      <c r="C132" s="3"/>
      <c r="D132" s="3"/>
      <c r="E132" s="21">
        <v>1</v>
      </c>
      <c r="F132" s="21"/>
      <c r="G132" s="21"/>
      <c r="H132" s="21"/>
      <c r="I132" s="21"/>
      <c r="J132" s="21"/>
      <c r="K132" s="21"/>
      <c r="L132" s="21"/>
      <c r="M132" s="21"/>
      <c r="N132" s="21"/>
      <c r="O132" s="21"/>
      <c r="P132" s="21"/>
      <c r="Q132" s="3" t="s">
        <v>714</v>
      </c>
    </row>
    <row r="133" spans="1:17" x14ac:dyDescent="0.3">
      <c r="A133" s="4"/>
      <c r="B133" s="4" t="s">
        <v>570</v>
      </c>
      <c r="C133" s="4"/>
      <c r="D133" s="4"/>
      <c r="E133" s="24">
        <v>1</v>
      </c>
      <c r="F133" s="24"/>
      <c r="G133" s="24"/>
      <c r="H133" s="24"/>
      <c r="I133" s="24"/>
      <c r="J133" s="24"/>
      <c r="K133" s="24"/>
      <c r="L133" s="24"/>
      <c r="M133" s="24"/>
      <c r="N133" s="24"/>
      <c r="O133" s="24"/>
      <c r="P133" s="24"/>
      <c r="Q133" s="4" t="s">
        <v>715</v>
      </c>
    </row>
    <row r="134" spans="1:17" x14ac:dyDescent="0.3">
      <c r="A134" s="3"/>
      <c r="B134" s="3" t="s">
        <v>571</v>
      </c>
      <c r="C134" s="3"/>
      <c r="D134" s="3"/>
      <c r="E134" s="21">
        <v>0</v>
      </c>
      <c r="F134" s="21"/>
      <c r="G134" s="21"/>
      <c r="H134" s="21"/>
      <c r="I134" s="21"/>
      <c r="J134" s="21"/>
      <c r="K134" s="21"/>
      <c r="L134" s="21"/>
      <c r="M134" s="21"/>
      <c r="N134" s="21"/>
      <c r="O134" s="21"/>
      <c r="P134" s="21"/>
      <c r="Q134" s="3" t="s">
        <v>716</v>
      </c>
    </row>
    <row r="135" spans="1:17" x14ac:dyDescent="0.3">
      <c r="A135" s="4"/>
      <c r="B135" s="4" t="s">
        <v>572</v>
      </c>
      <c r="C135" s="4"/>
      <c r="D135" s="4"/>
      <c r="E135" s="24">
        <v>0</v>
      </c>
      <c r="F135" s="24"/>
      <c r="G135" s="24"/>
      <c r="H135" s="24"/>
      <c r="I135" s="24"/>
      <c r="J135" s="24"/>
      <c r="K135" s="24"/>
      <c r="L135" s="24"/>
      <c r="M135" s="24"/>
      <c r="N135" s="24"/>
      <c r="O135" s="24"/>
      <c r="P135" s="24"/>
      <c r="Q135" s="4" t="s">
        <v>717</v>
      </c>
    </row>
    <row r="136" spans="1:17" x14ac:dyDescent="0.3">
      <c r="A136" s="3"/>
      <c r="B136" s="3" t="s">
        <v>573</v>
      </c>
      <c r="C136" s="3"/>
      <c r="D136" s="3"/>
      <c r="E136" s="21">
        <v>1</v>
      </c>
      <c r="F136" s="21"/>
      <c r="G136" s="21"/>
      <c r="H136" s="21"/>
      <c r="I136" s="21"/>
      <c r="J136" s="21"/>
      <c r="K136" s="21"/>
      <c r="L136" s="21"/>
      <c r="M136" s="21"/>
      <c r="N136" s="21"/>
      <c r="O136" s="21"/>
      <c r="P136" s="21"/>
      <c r="Q136" s="3" t="s">
        <v>718</v>
      </c>
    </row>
    <row r="137" spans="1:17" x14ac:dyDescent="0.3">
      <c r="A137" s="4"/>
      <c r="B137" s="4" t="s">
        <v>574</v>
      </c>
      <c r="C137" s="4"/>
      <c r="D137" s="4"/>
      <c r="E137" s="24">
        <v>0</v>
      </c>
      <c r="F137" s="24"/>
      <c r="G137" s="24"/>
      <c r="H137" s="24"/>
      <c r="I137" s="24"/>
      <c r="J137" s="24"/>
      <c r="K137" s="24"/>
      <c r="L137" s="24"/>
      <c r="M137" s="24"/>
      <c r="N137" s="24"/>
      <c r="O137" s="24"/>
      <c r="P137" s="24"/>
      <c r="Q137" s="4" t="s">
        <v>719</v>
      </c>
    </row>
    <row r="138" spans="1:17" x14ac:dyDescent="0.3">
      <c r="A138" s="3"/>
      <c r="B138" s="3" t="s">
        <v>575</v>
      </c>
      <c r="C138" s="3"/>
      <c r="D138" s="3"/>
      <c r="E138" s="21">
        <v>0</v>
      </c>
      <c r="F138" s="21"/>
      <c r="G138" s="21"/>
      <c r="H138" s="21"/>
      <c r="I138" s="21"/>
      <c r="J138" s="21"/>
      <c r="K138" s="21"/>
      <c r="L138" s="21"/>
      <c r="M138" s="21"/>
      <c r="N138" s="21"/>
      <c r="O138" s="21"/>
      <c r="P138" s="21"/>
      <c r="Q138" s="3"/>
    </row>
    <row r="139" spans="1:17" x14ac:dyDescent="0.3">
      <c r="A139" s="4"/>
      <c r="B139" s="4" t="s">
        <v>576</v>
      </c>
      <c r="C139" s="4"/>
      <c r="D139" s="4"/>
      <c r="E139" s="24">
        <v>0</v>
      </c>
      <c r="F139" s="24"/>
      <c r="G139" s="24"/>
      <c r="H139" s="24"/>
      <c r="I139" s="24"/>
      <c r="J139" s="24"/>
      <c r="K139" s="24"/>
      <c r="L139" s="24"/>
      <c r="M139" s="24"/>
      <c r="N139" s="24"/>
      <c r="O139" s="24"/>
      <c r="P139" s="24"/>
      <c r="Q139" s="4"/>
    </row>
    <row r="140" spans="1:17" x14ac:dyDescent="0.3">
      <c r="A140" s="3" t="s">
        <v>1081</v>
      </c>
      <c r="B140" s="3" t="s">
        <v>577</v>
      </c>
      <c r="C140" s="3"/>
      <c r="D140" s="3"/>
      <c r="E140" s="21">
        <v>0</v>
      </c>
      <c r="F140" s="21"/>
      <c r="G140" s="21"/>
      <c r="H140" s="21"/>
      <c r="I140" s="21"/>
      <c r="J140" s="21"/>
      <c r="K140" s="21"/>
      <c r="L140" s="21"/>
      <c r="M140" s="21"/>
      <c r="N140" s="21"/>
      <c r="O140" s="21"/>
      <c r="P140" s="21"/>
      <c r="Q140" s="3"/>
    </row>
    <row r="141" spans="1:17" x14ac:dyDescent="0.3">
      <c r="A141" s="4"/>
      <c r="B141" s="4" t="s">
        <v>578</v>
      </c>
      <c r="C141" s="4"/>
      <c r="D141" s="4"/>
      <c r="E141" s="24">
        <v>1</v>
      </c>
      <c r="F141" s="24"/>
      <c r="G141" s="24"/>
      <c r="H141" s="24"/>
      <c r="I141" s="24"/>
      <c r="J141" s="24"/>
      <c r="K141" s="24"/>
      <c r="L141" s="24"/>
      <c r="M141" s="24"/>
      <c r="N141" s="24"/>
      <c r="O141" s="24"/>
      <c r="P141" s="24"/>
      <c r="Q141" s="4" t="s">
        <v>720</v>
      </c>
    </row>
    <row r="142" spans="1:17" x14ac:dyDescent="0.3">
      <c r="A142" s="3"/>
      <c r="B142" s="3" t="s">
        <v>579</v>
      </c>
      <c r="C142" s="3"/>
      <c r="D142" s="3"/>
      <c r="E142" s="21">
        <v>0</v>
      </c>
      <c r="F142" s="21"/>
      <c r="G142" s="21"/>
      <c r="H142" s="21"/>
      <c r="I142" s="21"/>
      <c r="J142" s="21"/>
      <c r="K142" s="21"/>
      <c r="L142" s="21"/>
      <c r="M142" s="21"/>
      <c r="N142" s="21"/>
      <c r="O142" s="21"/>
      <c r="P142" s="21"/>
      <c r="Q142" s="3"/>
    </row>
    <row r="143" spans="1:17" x14ac:dyDescent="0.3">
      <c r="A143" s="4"/>
      <c r="B143" s="4" t="s">
        <v>580</v>
      </c>
      <c r="C143" s="4"/>
      <c r="D143" s="4"/>
      <c r="E143" s="24">
        <f>spec!B45</f>
        <v>418</v>
      </c>
      <c r="F143" s="24"/>
      <c r="G143" s="24"/>
      <c r="H143" s="24"/>
      <c r="I143" s="24"/>
      <c r="J143" s="24"/>
      <c r="K143" s="24"/>
      <c r="L143" s="24"/>
      <c r="M143" s="24"/>
      <c r="N143" s="24"/>
      <c r="O143" s="24"/>
      <c r="P143" s="24"/>
      <c r="Q143" s="4"/>
    </row>
    <row r="144" spans="1:17" x14ac:dyDescent="0.3">
      <c r="A144" s="3"/>
      <c r="B144" s="3" t="s">
        <v>581</v>
      </c>
      <c r="C144" s="3"/>
      <c r="D144" s="3"/>
      <c r="E144" s="21">
        <f>spec!B47</f>
        <v>0</v>
      </c>
      <c r="F144" s="21"/>
      <c r="G144" s="21"/>
      <c r="H144" s="21"/>
      <c r="I144" s="21"/>
      <c r="J144" s="21"/>
      <c r="K144" s="21"/>
      <c r="L144" s="21"/>
      <c r="M144" s="21"/>
      <c r="N144" s="21"/>
      <c r="O144" s="21"/>
      <c r="P144" s="21"/>
      <c r="Q144" s="3"/>
    </row>
    <row r="145" spans="1:17" x14ac:dyDescent="0.3">
      <c r="A145" s="4"/>
      <c r="B145" s="4" t="s">
        <v>582</v>
      </c>
      <c r="C145" s="4"/>
      <c r="D145" s="4"/>
      <c r="E145" s="24">
        <f>spec!B49</f>
        <v>0</v>
      </c>
      <c r="F145" s="24"/>
      <c r="G145" s="24"/>
      <c r="H145" s="24"/>
      <c r="I145" s="24"/>
      <c r="J145" s="24"/>
      <c r="K145" s="24"/>
      <c r="L145" s="24"/>
      <c r="M145" s="24"/>
      <c r="N145" s="24"/>
      <c r="O145" s="24"/>
      <c r="P145" s="24"/>
      <c r="Q145" s="4"/>
    </row>
    <row r="146" spans="1:17" x14ac:dyDescent="0.3">
      <c r="A146" s="3"/>
      <c r="B146" s="3" t="s">
        <v>583</v>
      </c>
      <c r="C146" s="3"/>
      <c r="D146" s="3"/>
      <c r="E146" s="21">
        <f>spec!B44</f>
        <v>800</v>
      </c>
      <c r="F146" s="21"/>
      <c r="G146" s="21"/>
      <c r="H146" s="21"/>
      <c r="I146" s="21"/>
      <c r="J146" s="21"/>
      <c r="K146" s="21"/>
      <c r="L146" s="21"/>
      <c r="M146" s="21"/>
      <c r="N146" s="21"/>
      <c r="O146" s="21"/>
      <c r="P146" s="21"/>
      <c r="Q146" s="3" t="s">
        <v>721</v>
      </c>
    </row>
    <row r="147" spans="1:17" x14ac:dyDescent="0.3">
      <c r="A147" s="4"/>
      <c r="B147" s="4" t="s">
        <v>584</v>
      </c>
      <c r="C147" s="4"/>
      <c r="D147" s="4"/>
      <c r="E147" s="24">
        <f>spec!B46</f>
        <v>15</v>
      </c>
      <c r="F147" s="24"/>
      <c r="G147" s="24"/>
      <c r="H147" s="24"/>
      <c r="I147" s="24"/>
      <c r="J147" s="24"/>
      <c r="K147" s="24"/>
      <c r="L147" s="24"/>
      <c r="M147" s="24"/>
      <c r="N147" s="24"/>
      <c r="O147" s="24"/>
      <c r="P147" s="24"/>
      <c r="Q147" s="4"/>
    </row>
    <row r="148" spans="1:17" x14ac:dyDescent="0.3">
      <c r="A148" s="3"/>
      <c r="B148" s="3" t="s">
        <v>585</v>
      </c>
      <c r="C148" s="3"/>
      <c r="D148" s="3"/>
      <c r="E148" s="21">
        <f>spec!B48</f>
        <v>270</v>
      </c>
      <c r="F148" s="21"/>
      <c r="G148" s="21"/>
      <c r="H148" s="21"/>
      <c r="I148" s="21"/>
      <c r="J148" s="21"/>
      <c r="K148" s="21"/>
      <c r="L148" s="21"/>
      <c r="M148" s="21"/>
      <c r="N148" s="21"/>
      <c r="O148" s="21"/>
      <c r="P148" s="21"/>
      <c r="Q148" s="3"/>
    </row>
    <row r="149" spans="1:17" x14ac:dyDescent="0.3">
      <c r="A149" s="4"/>
      <c r="B149" s="4" t="s">
        <v>586</v>
      </c>
      <c r="C149" s="4"/>
      <c r="D149" s="4"/>
      <c r="E149" s="24">
        <v>1</v>
      </c>
      <c r="F149" s="24"/>
      <c r="G149" s="24"/>
      <c r="H149" s="24"/>
      <c r="I149" s="24"/>
      <c r="J149" s="24"/>
      <c r="K149" s="24"/>
      <c r="L149" s="24"/>
      <c r="M149" s="24"/>
      <c r="N149" s="24"/>
      <c r="O149" s="24"/>
      <c r="P149" s="24"/>
      <c r="Q149" s="4" t="s">
        <v>722</v>
      </c>
    </row>
    <row r="150" spans="1:17" x14ac:dyDescent="0.3">
      <c r="A150" s="3"/>
      <c r="B150" s="3" t="s">
        <v>587</v>
      </c>
      <c r="C150" s="3"/>
      <c r="D150" s="3"/>
      <c r="E150" s="21">
        <v>1</v>
      </c>
      <c r="F150" s="21"/>
      <c r="G150" s="21"/>
      <c r="H150" s="21"/>
      <c r="I150" s="21"/>
      <c r="J150" s="21"/>
      <c r="K150" s="21"/>
      <c r="L150" s="21"/>
      <c r="M150" s="21"/>
      <c r="N150" s="21"/>
      <c r="O150" s="21"/>
      <c r="P150" s="21"/>
      <c r="Q150" s="3"/>
    </row>
    <row r="151" spans="1:17" x14ac:dyDescent="0.3">
      <c r="A151" s="4"/>
      <c r="B151" s="4" t="s">
        <v>588</v>
      </c>
      <c r="C151" s="4"/>
      <c r="D151" s="4"/>
      <c r="E151" s="24">
        <v>1</v>
      </c>
      <c r="F151" s="24"/>
      <c r="G151" s="24"/>
      <c r="H151" s="24"/>
      <c r="I151" s="24"/>
      <c r="J151" s="24"/>
      <c r="K151" s="24"/>
      <c r="L151" s="24"/>
      <c r="M151" s="24"/>
      <c r="N151" s="24"/>
      <c r="O151" s="24"/>
      <c r="P151" s="24"/>
      <c r="Q151" s="4"/>
    </row>
    <row r="152" spans="1:17" x14ac:dyDescent="0.3">
      <c r="A152" s="3"/>
      <c r="B152" s="3" t="s">
        <v>589</v>
      </c>
      <c r="C152" s="3"/>
      <c r="D152" s="3"/>
      <c r="E152" s="21">
        <v>1</v>
      </c>
      <c r="F152" s="21"/>
      <c r="G152" s="21"/>
      <c r="H152" s="21"/>
      <c r="I152" s="21"/>
      <c r="J152" s="21"/>
      <c r="K152" s="21"/>
      <c r="L152" s="21"/>
      <c r="M152" s="21"/>
      <c r="N152" s="21"/>
      <c r="O152" s="21"/>
      <c r="P152" s="21"/>
      <c r="Q152" s="3" t="s">
        <v>723</v>
      </c>
    </row>
    <row r="153" spans="1:17" x14ac:dyDescent="0.3">
      <c r="A153" s="4"/>
      <c r="B153" s="4" t="s">
        <v>590</v>
      </c>
      <c r="C153" s="4"/>
      <c r="D153" s="4"/>
      <c r="E153" s="24">
        <v>-1</v>
      </c>
      <c r="F153" s="24"/>
      <c r="G153" s="24"/>
      <c r="H153" s="24"/>
      <c r="I153" s="24"/>
      <c r="J153" s="24"/>
      <c r="K153" s="24"/>
      <c r="L153" s="24"/>
      <c r="M153" s="24"/>
      <c r="N153" s="24"/>
      <c r="O153" s="24"/>
      <c r="P153" s="24"/>
      <c r="Q153" s="4"/>
    </row>
    <row r="154" spans="1:17" x14ac:dyDescent="0.3">
      <c r="A154" s="3"/>
      <c r="B154" s="3" t="s">
        <v>591</v>
      </c>
      <c r="C154" s="3"/>
      <c r="D154" s="3"/>
      <c r="E154" s="21">
        <v>1</v>
      </c>
      <c r="F154" s="21"/>
      <c r="G154" s="21"/>
      <c r="H154" s="21"/>
      <c r="I154" s="21"/>
      <c r="J154" s="21"/>
      <c r="K154" s="21"/>
      <c r="L154" s="21"/>
      <c r="M154" s="21"/>
      <c r="N154" s="21"/>
      <c r="O154" s="21"/>
      <c r="P154" s="21"/>
      <c r="Q154" s="3"/>
    </row>
    <row r="155" spans="1:17" x14ac:dyDescent="0.3">
      <c r="A155" s="4"/>
      <c r="B155" s="4" t="s">
        <v>592</v>
      </c>
      <c r="C155" s="4"/>
      <c r="D155" s="4"/>
      <c r="E155" s="24" t="s">
        <v>593</v>
      </c>
      <c r="F155" s="24"/>
      <c r="G155" s="24"/>
      <c r="H155" s="24"/>
      <c r="I155" s="24"/>
      <c r="J155" s="24"/>
      <c r="K155" s="24"/>
      <c r="L155" s="24"/>
      <c r="M155" s="24"/>
      <c r="N155" s="24"/>
      <c r="O155" s="24"/>
      <c r="P155" s="24"/>
      <c r="Q155" s="4"/>
    </row>
    <row r="156" spans="1:17" x14ac:dyDescent="0.3">
      <c r="A156" s="3"/>
      <c r="B156" s="3" t="s">
        <v>594</v>
      </c>
      <c r="C156" s="3"/>
      <c r="D156" s="3"/>
      <c r="E156" s="21">
        <v>1</v>
      </c>
      <c r="F156" s="21"/>
      <c r="G156" s="21"/>
      <c r="H156" s="21"/>
      <c r="I156" s="21"/>
      <c r="J156" s="21"/>
      <c r="K156" s="21"/>
      <c r="L156" s="21"/>
      <c r="M156" s="21"/>
      <c r="N156" s="21"/>
      <c r="O156" s="21"/>
      <c r="P156" s="21"/>
      <c r="Q156" s="3"/>
    </row>
    <row r="157" spans="1:17" x14ac:dyDescent="0.3">
      <c r="A157" s="4"/>
      <c r="B157" s="4" t="s">
        <v>595</v>
      </c>
      <c r="C157" s="4"/>
      <c r="D157" s="4"/>
      <c r="E157" s="24" t="s">
        <v>596</v>
      </c>
      <c r="F157" s="24"/>
      <c r="G157" s="24"/>
      <c r="H157" s="24"/>
      <c r="I157" s="24"/>
      <c r="J157" s="24"/>
      <c r="K157" s="24"/>
      <c r="L157" s="24"/>
      <c r="M157" s="24"/>
      <c r="N157" s="24"/>
      <c r="O157" s="24"/>
      <c r="P157" s="24"/>
      <c r="Q157" s="4"/>
    </row>
    <row r="158" spans="1:17" x14ac:dyDescent="0.3">
      <c r="A158" s="3"/>
      <c r="B158" s="3" t="s">
        <v>597</v>
      </c>
      <c r="C158" s="3"/>
      <c r="D158" s="3"/>
      <c r="E158" s="21" t="s">
        <v>598</v>
      </c>
      <c r="F158" s="21"/>
      <c r="G158" s="21"/>
      <c r="H158" s="21"/>
      <c r="I158" s="21"/>
      <c r="J158" s="21"/>
      <c r="K158" s="21"/>
      <c r="L158" s="21"/>
      <c r="M158" s="21"/>
      <c r="N158" s="21"/>
      <c r="O158" s="21"/>
      <c r="P158" s="21"/>
      <c r="Q158" s="3"/>
    </row>
    <row r="159" spans="1:17" x14ac:dyDescent="0.3">
      <c r="A159" s="4"/>
      <c r="B159" s="4" t="s">
        <v>599</v>
      </c>
      <c r="C159" s="4"/>
      <c r="D159" s="4"/>
      <c r="E159" s="24">
        <v>115200</v>
      </c>
      <c r="F159" s="24"/>
      <c r="G159" s="24"/>
      <c r="H159" s="24"/>
      <c r="I159" s="24"/>
      <c r="J159" s="24"/>
      <c r="K159" s="24"/>
      <c r="L159" s="24"/>
      <c r="M159" s="24"/>
      <c r="N159" s="24"/>
      <c r="O159" s="24"/>
      <c r="P159" s="24"/>
      <c r="Q159" s="4"/>
    </row>
    <row r="160" spans="1:17" x14ac:dyDescent="0.3">
      <c r="A160" s="3"/>
      <c r="B160" s="3" t="s">
        <v>600</v>
      </c>
      <c r="C160" s="3"/>
      <c r="D160" s="3"/>
      <c r="E160" s="21">
        <v>0</v>
      </c>
      <c r="F160" s="21"/>
      <c r="G160" s="21"/>
      <c r="H160" s="21"/>
      <c r="I160" s="21"/>
      <c r="J160" s="21"/>
      <c r="K160" s="21"/>
      <c r="L160" s="21"/>
      <c r="M160" s="21"/>
      <c r="N160" s="21"/>
      <c r="O160" s="21"/>
      <c r="P160" s="21"/>
      <c r="Q160" s="3"/>
    </row>
    <row r="161" spans="1:17" x14ac:dyDescent="0.3">
      <c r="A161" s="4"/>
      <c r="B161" s="4" t="s">
        <v>601</v>
      </c>
      <c r="C161" s="4"/>
      <c r="D161" s="4"/>
      <c r="E161" s="24" t="s">
        <v>1091</v>
      </c>
      <c r="F161" s="24"/>
      <c r="G161" s="24"/>
      <c r="H161" s="24"/>
      <c r="I161" s="24"/>
      <c r="J161" s="24"/>
      <c r="K161" s="24"/>
      <c r="L161" s="24"/>
      <c r="M161" s="24"/>
      <c r="N161" s="24"/>
      <c r="O161" s="24"/>
      <c r="P161" s="24"/>
      <c r="Q161" s="4"/>
    </row>
    <row r="162" spans="1:17" x14ac:dyDescent="0.3">
      <c r="A162" s="3"/>
      <c r="B162" s="3" t="s">
        <v>602</v>
      </c>
      <c r="C162" s="3"/>
      <c r="D162" s="3"/>
      <c r="E162" s="21" t="s">
        <v>604</v>
      </c>
      <c r="F162" s="21"/>
      <c r="G162" s="21"/>
      <c r="H162" s="21"/>
      <c r="I162" s="21"/>
      <c r="J162" s="21"/>
      <c r="K162" s="21"/>
      <c r="L162" s="21"/>
      <c r="M162" s="21"/>
      <c r="N162" s="21"/>
      <c r="O162" s="21"/>
      <c r="P162" s="21"/>
      <c r="Q162" s="3"/>
    </row>
    <row r="163" spans="1:17" x14ac:dyDescent="0.3">
      <c r="A163" s="4"/>
      <c r="B163" s="4" t="s">
        <v>603</v>
      </c>
      <c r="C163" s="4"/>
      <c r="D163" s="4"/>
      <c r="E163" s="24" t="s">
        <v>1084</v>
      </c>
      <c r="F163" s="24"/>
      <c r="G163" s="24"/>
      <c r="H163" s="24"/>
      <c r="I163" s="24"/>
      <c r="J163" s="24"/>
      <c r="K163" s="24"/>
      <c r="L163" s="24"/>
      <c r="M163" s="24"/>
      <c r="N163" s="24"/>
      <c r="O163" s="24"/>
      <c r="P163" s="24"/>
      <c r="Q163" s="4"/>
    </row>
    <row r="164" spans="1:17" x14ac:dyDescent="0.3">
      <c r="A164" s="3"/>
      <c r="B164" s="3" t="s">
        <v>605</v>
      </c>
      <c r="C164" s="3"/>
      <c r="D164" s="3"/>
      <c r="E164" s="21" t="s">
        <v>606</v>
      </c>
      <c r="F164" s="21"/>
      <c r="G164" s="21"/>
      <c r="H164" s="21"/>
      <c r="I164" s="21"/>
      <c r="J164" s="21"/>
      <c r="K164" s="21"/>
      <c r="L164" s="21"/>
      <c r="M164" s="21"/>
      <c r="N164" s="21"/>
      <c r="O164" s="21"/>
      <c r="P164" s="21"/>
      <c r="Q164" s="3"/>
    </row>
    <row r="165" spans="1:17" x14ac:dyDescent="0.3">
      <c r="A165" s="4"/>
      <c r="B165" s="4" t="s">
        <v>607</v>
      </c>
      <c r="C165" s="4"/>
      <c r="D165" s="4"/>
      <c r="E165" s="24" t="s">
        <v>1085</v>
      </c>
      <c r="F165" s="24"/>
      <c r="G165" s="24"/>
      <c r="H165" s="24"/>
      <c r="I165" s="24"/>
      <c r="J165" s="24"/>
      <c r="K165" s="24"/>
      <c r="L165" s="24"/>
      <c r="M165" s="24"/>
      <c r="N165" s="24"/>
      <c r="O165" s="24"/>
      <c r="P165" s="24"/>
      <c r="Q165" s="4"/>
    </row>
    <row r="166" spans="1:17" x14ac:dyDescent="0.3">
      <c r="A166" s="3"/>
      <c r="B166" s="3" t="s">
        <v>608</v>
      </c>
      <c r="C166" s="3"/>
      <c r="D166" s="3"/>
      <c r="E166" s="21" t="s">
        <v>1086</v>
      </c>
      <c r="F166" s="21"/>
      <c r="G166" s="21"/>
      <c r="H166" s="21"/>
      <c r="I166" s="21"/>
      <c r="J166" s="21"/>
      <c r="K166" s="21"/>
      <c r="L166" s="21"/>
      <c r="M166" s="21"/>
      <c r="N166" s="21"/>
      <c r="O166" s="21"/>
      <c r="P166" s="21"/>
      <c r="Q166" s="3"/>
    </row>
    <row r="167" spans="1:17" x14ac:dyDescent="0.3">
      <c r="A167" s="4"/>
      <c r="B167" s="4" t="s">
        <v>609</v>
      </c>
      <c r="C167" s="4"/>
      <c r="D167" s="4"/>
      <c r="E167" s="24" t="s">
        <v>610</v>
      </c>
      <c r="F167" s="24"/>
      <c r="G167" s="24"/>
      <c r="H167" s="24"/>
      <c r="I167" s="24"/>
      <c r="J167" s="24"/>
      <c r="K167" s="24"/>
      <c r="L167" s="24"/>
      <c r="M167" s="24"/>
      <c r="N167" s="24"/>
      <c r="O167" s="24"/>
      <c r="P167" s="24"/>
      <c r="Q167" s="4"/>
    </row>
    <row r="168" spans="1:17" x14ac:dyDescent="0.3">
      <c r="A168" s="3"/>
      <c r="B168" s="3" t="s">
        <v>611</v>
      </c>
      <c r="C168" s="3"/>
      <c r="D168" s="3"/>
      <c r="E168" s="21">
        <v>0</v>
      </c>
      <c r="F168" s="21"/>
      <c r="G168" s="21"/>
      <c r="H168" s="21"/>
      <c r="I168" s="21"/>
      <c r="J168" s="21"/>
      <c r="K168" s="21"/>
      <c r="L168" s="21"/>
      <c r="M168" s="21"/>
      <c r="N168" s="21"/>
      <c r="O168" s="21"/>
      <c r="P168" s="21"/>
      <c r="Q168" s="3"/>
    </row>
    <row r="169" spans="1:17" x14ac:dyDescent="0.3">
      <c r="A169" s="4"/>
      <c r="B169" s="4" t="s">
        <v>612</v>
      </c>
      <c r="C169" s="4"/>
      <c r="D169" s="4"/>
      <c r="E169" s="24" t="s">
        <v>613</v>
      </c>
      <c r="F169" s="24"/>
      <c r="G169" s="24"/>
      <c r="H169" s="24"/>
      <c r="I169" s="24"/>
      <c r="J169" s="24"/>
      <c r="K169" s="24"/>
      <c r="L169" s="24"/>
      <c r="M169" s="24"/>
      <c r="N169" s="24"/>
      <c r="O169" s="24"/>
      <c r="P169" s="24"/>
      <c r="Q169" s="4"/>
    </row>
    <row r="170" spans="1:17" x14ac:dyDescent="0.3">
      <c r="A170" s="3"/>
      <c r="B170" s="3" t="s">
        <v>614</v>
      </c>
      <c r="C170" s="3"/>
      <c r="D170" s="3"/>
      <c r="E170" s="21" t="s">
        <v>1091</v>
      </c>
      <c r="F170" s="21"/>
      <c r="G170" s="21"/>
      <c r="H170" s="21"/>
      <c r="I170" s="21"/>
      <c r="J170" s="21"/>
      <c r="K170" s="21"/>
      <c r="L170" s="21"/>
      <c r="M170" s="21"/>
      <c r="N170" s="21"/>
      <c r="O170" s="21"/>
      <c r="P170" s="21"/>
      <c r="Q170" s="3"/>
    </row>
    <row r="171" spans="1:17" x14ac:dyDescent="0.3">
      <c r="A171" s="39"/>
      <c r="B171" s="39" t="s">
        <v>415</v>
      </c>
      <c r="C171" s="5"/>
      <c r="D171" s="5"/>
      <c r="E171" s="32" t="str">
        <f>E8</f>
        <v>ABS</v>
      </c>
      <c r="F171" s="7">
        <f t="shared" ref="F171:P171" si="5" xml:space="preserve"> IF(SpeedType &lt;&gt; "ForceVolumetric",F$173, IFERROR($E$172/((Nozzle_Diameter*1.2)*F$1),0))</f>
        <v>190.97222222222223</v>
      </c>
      <c r="G171" s="7">
        <f t="shared" si="5"/>
        <v>114.58333333333333</v>
      </c>
      <c r="H171" s="7">
        <f t="shared" si="5"/>
        <v>95.486111111111114</v>
      </c>
      <c r="I171" s="7">
        <f t="shared" si="5"/>
        <v>81.845238095238088</v>
      </c>
      <c r="J171" s="7">
        <f t="shared" si="5"/>
        <v>71.614583333333343</v>
      </c>
      <c r="K171" s="7">
        <f t="shared" si="5"/>
        <v>57.291666666666664</v>
      </c>
      <c r="L171" s="7">
        <f t="shared" si="5"/>
        <v>47.743055555555557</v>
      </c>
      <c r="M171" s="7">
        <f t="shared" si="5"/>
        <v>40.922619047619044</v>
      </c>
      <c r="N171" s="7">
        <f t="shared" si="5"/>
        <v>35.807291666666671</v>
      </c>
      <c r="O171" s="7">
        <f t="shared" si="5"/>
        <v>31.828703703703706</v>
      </c>
      <c r="P171" s="7">
        <f t="shared" si="5"/>
        <v>28.645833333333332</v>
      </c>
      <c r="Q171" s="5"/>
    </row>
    <row r="172" spans="1:17" x14ac:dyDescent="0.3">
      <c r="A172" s="39"/>
      <c r="B172" s="39" t="s">
        <v>658</v>
      </c>
      <c r="C172" s="5"/>
      <c r="D172" s="5"/>
      <c r="E172" s="32" t="str">
        <f>GetFilamentSpec($E$2,"filament_max_volumetric_speed")</f>
        <v>11</v>
      </c>
      <c r="F172" s="32"/>
      <c r="G172" s="7"/>
      <c r="H172" s="7"/>
      <c r="I172" s="7"/>
      <c r="J172" s="7"/>
      <c r="K172" s="7"/>
      <c r="L172" s="7"/>
      <c r="M172" s="7"/>
      <c r="N172" s="7"/>
      <c r="O172" s="7"/>
      <c r="P172" s="7"/>
      <c r="Q172" s="5"/>
    </row>
    <row r="173" spans="1:17" s="55" customFormat="1" x14ac:dyDescent="0.3">
      <c r="A173" s="39"/>
      <c r="B173" s="39" t="s">
        <v>659</v>
      </c>
      <c r="C173" s="5"/>
      <c r="D173" s="5"/>
      <c r="E173" s="32">
        <v>60</v>
      </c>
      <c r="F173" s="32">
        <v>60</v>
      </c>
      <c r="G173" s="32">
        <v>60</v>
      </c>
      <c r="H173" s="32">
        <v>60</v>
      </c>
      <c r="I173" s="32">
        <v>60</v>
      </c>
      <c r="J173" s="32">
        <v>60</v>
      </c>
      <c r="K173" s="32">
        <v>60</v>
      </c>
      <c r="L173" s="32">
        <v>60</v>
      </c>
      <c r="M173" s="32">
        <v>60</v>
      </c>
      <c r="N173" s="32">
        <v>60</v>
      </c>
      <c r="O173" s="32">
        <v>60</v>
      </c>
      <c r="P173" s="32">
        <v>60</v>
      </c>
      <c r="Q173" s="5"/>
    </row>
    <row r="174" spans="1:17" s="55" customFormat="1" x14ac:dyDescent="0.3">
      <c r="A174" s="3" t="s">
        <v>1082</v>
      </c>
      <c r="B174" s="3" t="s">
        <v>615</v>
      </c>
      <c r="C174" s="3"/>
      <c r="D174" s="3"/>
      <c r="E174" s="21" t="str">
        <f>GetPrintSpec( $E$2,E$1,"infill_speed")</f>
        <v>125</v>
      </c>
      <c r="F174" s="21">
        <f t="shared" ref="F174:P174" si="6">GetPrintSpec( $E$2,F$1,"infill_speed")*60</f>
        <v>7500</v>
      </c>
      <c r="G174" s="21">
        <f t="shared" si="6"/>
        <v>7500</v>
      </c>
      <c r="H174" s="21">
        <f t="shared" si="6"/>
        <v>7500</v>
      </c>
      <c r="I174" s="21">
        <f t="shared" si="6"/>
        <v>7500</v>
      </c>
      <c r="J174" s="21">
        <f t="shared" si="6"/>
        <v>7500</v>
      </c>
      <c r="K174" s="21">
        <f t="shared" si="6"/>
        <v>7500</v>
      </c>
      <c r="L174" s="21">
        <f t="shared" si="6"/>
        <v>7500</v>
      </c>
      <c r="M174" s="21">
        <f t="shared" si="6"/>
        <v>7500</v>
      </c>
      <c r="N174" s="21">
        <f t="shared" si="6"/>
        <v>7500</v>
      </c>
      <c r="O174" s="21">
        <f t="shared" si="6"/>
        <v>7500</v>
      </c>
      <c r="P174" s="21">
        <f t="shared" si="6"/>
        <v>7500</v>
      </c>
      <c r="Q174" s="3" t="s">
        <v>724</v>
      </c>
    </row>
    <row r="175" spans="1:17" s="55" customFormat="1" x14ac:dyDescent="0.3">
      <c r="A175" s="4" t="s">
        <v>1082</v>
      </c>
      <c r="B175" s="4" t="s">
        <v>616</v>
      </c>
      <c r="C175" s="4"/>
      <c r="D175" s="4"/>
      <c r="E175" s="24" t="str">
        <f>GetPrintSpec( $E$2,E$1,"external_perimeter_speed")</f>
        <v>50</v>
      </c>
      <c r="F175" s="24">
        <f xml:space="preserve"> ROUNDUP((($E$175*60) /F$174),2)</f>
        <v>0.4</v>
      </c>
      <c r="G175" s="24">
        <f t="shared" ref="G175:P175" si="7" xml:space="preserve"> ROUNDUP((($E$175*60) /G$174),2)</f>
        <v>0.4</v>
      </c>
      <c r="H175" s="24">
        <f t="shared" si="7"/>
        <v>0.4</v>
      </c>
      <c r="I175" s="24">
        <f t="shared" si="7"/>
        <v>0.4</v>
      </c>
      <c r="J175" s="24">
        <f t="shared" si="7"/>
        <v>0.4</v>
      </c>
      <c r="K175" s="24">
        <f t="shared" si="7"/>
        <v>0.4</v>
      </c>
      <c r="L175" s="24">
        <f t="shared" si="7"/>
        <v>0.4</v>
      </c>
      <c r="M175" s="24">
        <f t="shared" si="7"/>
        <v>0.4</v>
      </c>
      <c r="N175" s="24">
        <f t="shared" si="7"/>
        <v>0.4</v>
      </c>
      <c r="O175" s="24">
        <f t="shared" si="7"/>
        <v>0.4</v>
      </c>
      <c r="P175" s="24">
        <f t="shared" si="7"/>
        <v>0.4</v>
      </c>
      <c r="Q175" s="4" t="s">
        <v>725</v>
      </c>
    </row>
    <row r="176" spans="1:17" s="55" customFormat="1" x14ac:dyDescent="0.3">
      <c r="A176" s="3" t="s">
        <v>1082</v>
      </c>
      <c r="B176" s="3" t="s">
        <v>617</v>
      </c>
      <c r="C176" s="3"/>
      <c r="D176" s="3"/>
      <c r="E176" s="21" t="str">
        <f>GetPrintSpec( $E$2,E$1,"top_solid_infill_speed")</f>
        <v>50</v>
      </c>
      <c r="F176" s="21">
        <f xml:space="preserve"> ROUNDUP((($E$176*60) /F$174),2)</f>
        <v>0.4</v>
      </c>
      <c r="G176" s="21">
        <f t="shared" ref="G176:P176" si="8" xml:space="preserve"> ROUNDUP((($E$176*60) /G$174),2)</f>
        <v>0.4</v>
      </c>
      <c r="H176" s="21">
        <f t="shared" si="8"/>
        <v>0.4</v>
      </c>
      <c r="I176" s="21">
        <f t="shared" si="8"/>
        <v>0.4</v>
      </c>
      <c r="J176" s="21">
        <f t="shared" si="8"/>
        <v>0.4</v>
      </c>
      <c r="K176" s="21">
        <f t="shared" si="8"/>
        <v>0.4</v>
      </c>
      <c r="L176" s="21">
        <f t="shared" si="8"/>
        <v>0.4</v>
      </c>
      <c r="M176" s="21">
        <f t="shared" si="8"/>
        <v>0.4</v>
      </c>
      <c r="N176" s="21">
        <f t="shared" si="8"/>
        <v>0.4</v>
      </c>
      <c r="O176" s="21">
        <f t="shared" si="8"/>
        <v>0.4</v>
      </c>
      <c r="P176" s="21">
        <f t="shared" si="8"/>
        <v>0.4</v>
      </c>
      <c r="Q176" s="3" t="s">
        <v>726</v>
      </c>
    </row>
    <row r="177" spans="1:17" s="55" customFormat="1" x14ac:dyDescent="0.3">
      <c r="A177" s="4" t="s">
        <v>1082</v>
      </c>
      <c r="B177" s="4" t="s">
        <v>618</v>
      </c>
      <c r="C177" s="4"/>
      <c r="D177" s="4"/>
      <c r="E177" s="24" t="str">
        <f>GetPrintSpec( $E$2,E$1,"support_material_speed")</f>
        <v>90</v>
      </c>
      <c r="F177" s="24">
        <f xml:space="preserve"> ROUNDUP((($E$177*60) /F$174),2)</f>
        <v>0.72</v>
      </c>
      <c r="G177" s="24">
        <f t="shared" ref="G177:P177" si="9" xml:space="preserve"> ROUNDUP((($E$177*60) /G$174),2)</f>
        <v>0.72</v>
      </c>
      <c r="H177" s="24">
        <f t="shared" si="9"/>
        <v>0.72</v>
      </c>
      <c r="I177" s="24">
        <f t="shared" si="9"/>
        <v>0.72</v>
      </c>
      <c r="J177" s="24">
        <f t="shared" si="9"/>
        <v>0.72</v>
      </c>
      <c r="K177" s="24">
        <f t="shared" si="9"/>
        <v>0.72</v>
      </c>
      <c r="L177" s="24">
        <f t="shared" si="9"/>
        <v>0.72</v>
      </c>
      <c r="M177" s="24">
        <f t="shared" si="9"/>
        <v>0.72</v>
      </c>
      <c r="N177" s="24">
        <f t="shared" si="9"/>
        <v>0.72</v>
      </c>
      <c r="O177" s="24">
        <f t="shared" si="9"/>
        <v>0.72</v>
      </c>
      <c r="P177" s="24">
        <f t="shared" si="9"/>
        <v>0.72</v>
      </c>
      <c r="Q177" s="4" t="s">
        <v>727</v>
      </c>
    </row>
    <row r="178" spans="1:17" s="55" customFormat="1" x14ac:dyDescent="0.3">
      <c r="A178" s="3"/>
      <c r="B178" s="3" t="s">
        <v>619</v>
      </c>
      <c r="C178" s="3"/>
      <c r="D178" s="3"/>
      <c r="E178" s="21">
        <f>GetPrintSpec( $E$2,E$1,"travel_speed")*60</f>
        <v>15000</v>
      </c>
      <c r="F178" s="21"/>
      <c r="G178" s="21"/>
      <c r="H178" s="21"/>
      <c r="I178" s="21"/>
      <c r="J178" s="21"/>
      <c r="K178" s="21"/>
      <c r="L178" s="21"/>
      <c r="M178" s="21"/>
      <c r="N178" s="21"/>
      <c r="O178" s="21"/>
      <c r="P178" s="21"/>
      <c r="Q178" s="3" t="s">
        <v>728</v>
      </c>
    </row>
    <row r="179" spans="1:17" s="55" customFormat="1" x14ac:dyDescent="0.3">
      <c r="A179" s="4"/>
      <c r="B179" s="4" t="s">
        <v>620</v>
      </c>
      <c r="C179" s="4"/>
      <c r="D179" s="4"/>
      <c r="E179" s="24">
        <f>spec!B19*60</f>
        <v>18000</v>
      </c>
      <c r="F179" s="24"/>
      <c r="G179" s="24"/>
      <c r="H179" s="24"/>
      <c r="I179" s="24"/>
      <c r="J179" s="24"/>
      <c r="K179" s="24"/>
      <c r="L179" s="24"/>
      <c r="M179" s="24"/>
      <c r="N179" s="24"/>
      <c r="O179" s="24"/>
      <c r="P179" s="24"/>
      <c r="Q179" s="4" t="s">
        <v>729</v>
      </c>
    </row>
    <row r="180" spans="1:17" x14ac:dyDescent="0.3">
      <c r="A180" s="3"/>
      <c r="B180" s="3" t="s">
        <v>621</v>
      </c>
      <c r="C180" s="3"/>
      <c r="D180" s="3"/>
      <c r="E180" s="21">
        <v>10</v>
      </c>
      <c r="F180" s="21"/>
      <c r="G180" s="21"/>
      <c r="H180" s="21"/>
      <c r="I180" s="21"/>
      <c r="J180" s="21"/>
      <c r="K180" s="21"/>
      <c r="L180" s="21"/>
      <c r="M180" s="21"/>
      <c r="N180" s="21"/>
      <c r="O180" s="21"/>
      <c r="P180" s="21"/>
      <c r="Q180" s="3" t="s">
        <v>732</v>
      </c>
    </row>
    <row r="181" spans="1:17" x14ac:dyDescent="0.3">
      <c r="A181" s="4"/>
      <c r="B181" s="4" t="s">
        <v>622</v>
      </c>
      <c r="C181" s="4"/>
      <c r="D181" s="4"/>
      <c r="E181" s="24">
        <v>3</v>
      </c>
      <c r="F181" s="24"/>
      <c r="G181" s="24"/>
      <c r="H181" s="24"/>
      <c r="I181" s="24"/>
      <c r="J181" s="24"/>
      <c r="K181" s="24"/>
      <c r="L181" s="24"/>
      <c r="M181" s="24"/>
      <c r="N181" s="24"/>
      <c r="O181" s="24"/>
      <c r="P181" s="24"/>
      <c r="Q181" s="4"/>
    </row>
    <row r="182" spans="1:17" x14ac:dyDescent="0.3">
      <c r="A182" s="3"/>
      <c r="B182" s="3" t="s">
        <v>623</v>
      </c>
      <c r="C182" s="3"/>
      <c r="D182" s="3"/>
      <c r="E182" s="21">
        <v>0.8</v>
      </c>
      <c r="F182" s="21"/>
      <c r="G182" s="21"/>
      <c r="H182" s="21"/>
      <c r="I182" s="21"/>
      <c r="J182" s="21"/>
      <c r="K182" s="21"/>
      <c r="L182" s="21"/>
      <c r="M182" s="21"/>
      <c r="N182" s="21"/>
      <c r="O182" s="21"/>
      <c r="P182" s="21"/>
      <c r="Q182" s="3" t="s">
        <v>733</v>
      </c>
    </row>
    <row r="183" spans="1:17" x14ac:dyDescent="0.3">
      <c r="A183" s="4"/>
      <c r="B183" s="4" t="s">
        <v>624</v>
      </c>
      <c r="C183" s="4"/>
      <c r="D183" s="4"/>
      <c r="E183" s="24" t="str">
        <f>GetPrintSpec( $E$2,E$1,"bridge_speed")</f>
        <v>60</v>
      </c>
      <c r="F183" s="24">
        <f xml:space="preserve"> ROUNDUP((($E$183*60) /F$174),2)</f>
        <v>0.48</v>
      </c>
      <c r="G183" s="24">
        <f t="shared" ref="G183:P183" si="10" xml:space="preserve"> ROUNDUP((($E$183*60) /G$174),2)</f>
        <v>0.48</v>
      </c>
      <c r="H183" s="24">
        <f t="shared" si="10"/>
        <v>0.48</v>
      </c>
      <c r="I183" s="24">
        <f t="shared" si="10"/>
        <v>0.48</v>
      </c>
      <c r="J183" s="24">
        <f t="shared" si="10"/>
        <v>0.48</v>
      </c>
      <c r="K183" s="24">
        <f t="shared" si="10"/>
        <v>0.48</v>
      </c>
      <c r="L183" s="24">
        <f t="shared" si="10"/>
        <v>0.48</v>
      </c>
      <c r="M183" s="24">
        <f t="shared" si="10"/>
        <v>0.48</v>
      </c>
      <c r="N183" s="24">
        <f t="shared" si="10"/>
        <v>0.48</v>
      </c>
      <c r="O183" s="24">
        <f t="shared" si="10"/>
        <v>0.48</v>
      </c>
      <c r="P183" s="24">
        <f t="shared" si="10"/>
        <v>0.48</v>
      </c>
      <c r="Q183" s="4" t="s">
        <v>734</v>
      </c>
    </row>
    <row r="184" spans="1:17" x14ac:dyDescent="0.3">
      <c r="A184" s="3"/>
      <c r="B184" s="3" t="s">
        <v>625</v>
      </c>
      <c r="C184" s="3"/>
      <c r="D184" s="3"/>
      <c r="E184" s="21">
        <v>0</v>
      </c>
      <c r="F184" s="21"/>
      <c r="G184" s="21"/>
      <c r="H184" s="21"/>
      <c r="I184" s="21"/>
      <c r="J184" s="21"/>
      <c r="K184" s="21"/>
      <c r="L184" s="21"/>
      <c r="M184" s="21"/>
      <c r="N184" s="21"/>
      <c r="O184" s="21"/>
      <c r="P184" s="21"/>
      <c r="Q184" s="3"/>
    </row>
    <row r="185" spans="1:17" x14ac:dyDescent="0.3">
      <c r="A185" s="4"/>
      <c r="B185" s="4" t="s">
        <v>626</v>
      </c>
      <c r="C185" s="4"/>
      <c r="D185" s="4"/>
      <c r="E185" s="24">
        <v>0</v>
      </c>
      <c r="F185" s="24"/>
      <c r="G185" s="24"/>
      <c r="H185" s="24"/>
      <c r="I185" s="24"/>
      <c r="J185" s="24"/>
      <c r="K185" s="24"/>
      <c r="L185" s="24"/>
      <c r="M185" s="24"/>
      <c r="N185" s="24"/>
      <c r="O185" s="24"/>
      <c r="P185" s="24"/>
      <c r="Q185" s="4"/>
    </row>
    <row r="186" spans="1:17" x14ac:dyDescent="0.3">
      <c r="A186" s="3"/>
      <c r="B186" s="3" t="s">
        <v>627</v>
      </c>
      <c r="C186" s="3"/>
      <c r="D186" s="3"/>
      <c r="E186" s="21">
        <v>1</v>
      </c>
      <c r="F186" s="21"/>
      <c r="G186" s="21"/>
      <c r="H186" s="21"/>
      <c r="I186" s="21"/>
      <c r="J186" s="21"/>
      <c r="K186" s="21"/>
      <c r="L186" s="21"/>
      <c r="M186" s="21"/>
      <c r="N186" s="21"/>
      <c r="O186" s="21"/>
      <c r="P186" s="21"/>
      <c r="Q186" s="3"/>
    </row>
    <row r="187" spans="1:17" x14ac:dyDescent="0.3">
      <c r="A187" s="4" t="s">
        <v>1081</v>
      </c>
      <c r="B187" s="4" t="s">
        <v>628</v>
      </c>
      <c r="C187" s="4"/>
      <c r="D187" s="4"/>
      <c r="E187" s="24" t="str">
        <f>GetFilamentSpec($E$2,"filament_diameter") &amp; "|1.75|1.75|1.75|1.75|1.75"</f>
        <v>1.75|1.75|1.75|1.75|1.75|1.75</v>
      </c>
      <c r="F187" s="24"/>
      <c r="G187" s="24"/>
      <c r="H187" s="24"/>
      <c r="I187" s="24"/>
      <c r="J187" s="24"/>
      <c r="K187" s="24"/>
      <c r="L187" s="24"/>
      <c r="M187" s="24"/>
      <c r="N187" s="24"/>
      <c r="O187" s="24"/>
      <c r="P187" s="24"/>
      <c r="Q187" s="4" t="s">
        <v>730</v>
      </c>
    </row>
    <row r="188" spans="1:17" x14ac:dyDescent="0.3">
      <c r="A188" s="3" t="s">
        <v>1081</v>
      </c>
      <c r="B188" s="3" t="s">
        <v>629</v>
      </c>
      <c r="C188" s="3"/>
      <c r="D188" s="3"/>
      <c r="E188" s="21" t="str">
        <f>GetFilamentSpec($E$2,"filament_cost")&amp;"|46|46|46|46|46"</f>
        <v>20|46|46|46|46|46</v>
      </c>
      <c r="F188" s="21"/>
      <c r="G188" s="21"/>
      <c r="H188" s="21"/>
      <c r="I188" s="21"/>
      <c r="J188" s="21"/>
      <c r="K188" s="21"/>
      <c r="L188" s="21"/>
      <c r="M188" s="21"/>
      <c r="N188" s="21"/>
      <c r="O188" s="21"/>
      <c r="P188" s="21"/>
      <c r="Q188" s="3" t="s">
        <v>731</v>
      </c>
    </row>
    <row r="189" spans="1:17" x14ac:dyDescent="0.3">
      <c r="A189" s="4" t="s">
        <v>1081</v>
      </c>
      <c r="B189" s="4" t="s">
        <v>630</v>
      </c>
      <c r="C189" s="4"/>
      <c r="D189" s="4"/>
      <c r="E189" s="24" t="str">
        <f>GetFilamentSpec($E$2,"filament_density")&amp;"|1.25|1.25|1.25|1.25|1.25"</f>
        <v>1.04|1.25|1.25|1.25|1.25|1.25</v>
      </c>
      <c r="F189" s="24"/>
      <c r="G189" s="24"/>
      <c r="H189" s="24"/>
      <c r="I189" s="24"/>
      <c r="J189" s="24"/>
      <c r="K189" s="24"/>
      <c r="L189" s="24"/>
      <c r="M189" s="24"/>
      <c r="N189" s="24"/>
      <c r="O189" s="24"/>
      <c r="P189" s="24"/>
      <c r="Q189" s="4"/>
    </row>
    <row r="190" spans="1:17" x14ac:dyDescent="0.3">
      <c r="A190" s="3"/>
      <c r="B190" s="3" t="s">
        <v>631</v>
      </c>
      <c r="C190" s="3"/>
      <c r="D190" s="3"/>
      <c r="E190" s="21">
        <v>0</v>
      </c>
      <c r="F190" s="21"/>
      <c r="G190" s="21"/>
      <c r="H190" s="21"/>
      <c r="I190" s="21"/>
      <c r="J190" s="21"/>
      <c r="K190" s="21"/>
      <c r="L190" s="21"/>
      <c r="M190" s="21"/>
      <c r="N190" s="21"/>
      <c r="O190" s="21"/>
      <c r="P190" s="21"/>
      <c r="Q190" s="3"/>
    </row>
    <row r="191" spans="1:17" x14ac:dyDescent="0.3">
      <c r="A191" s="4"/>
      <c r="B191" s="4" t="s">
        <v>632</v>
      </c>
      <c r="C191" s="4"/>
      <c r="D191" s="4"/>
      <c r="E191" s="24">
        <v>0</v>
      </c>
      <c r="F191" s="24"/>
      <c r="G191" s="24"/>
      <c r="H191" s="24"/>
      <c r="I191" s="24"/>
      <c r="J191" s="24"/>
      <c r="K191" s="24"/>
      <c r="L191" s="24"/>
      <c r="M191" s="24"/>
      <c r="N191" s="24"/>
      <c r="O191" s="24"/>
      <c r="P191" s="24"/>
      <c r="Q191" s="4"/>
    </row>
    <row r="192" spans="1:17" x14ac:dyDescent="0.3">
      <c r="A192" s="3"/>
      <c r="B192" s="3" t="s">
        <v>633</v>
      </c>
      <c r="C192" s="3"/>
      <c r="D192" s="3"/>
      <c r="E192" s="21">
        <v>0</v>
      </c>
      <c r="F192" s="21"/>
      <c r="G192" s="21"/>
      <c r="H192" s="21"/>
      <c r="I192" s="21"/>
      <c r="J192" s="21"/>
      <c r="K192" s="21"/>
      <c r="L192" s="21"/>
      <c r="M192" s="21"/>
      <c r="N192" s="21"/>
      <c r="O192" s="21"/>
      <c r="P192" s="21"/>
      <c r="Q192" s="3"/>
    </row>
    <row r="193" spans="1:17" x14ac:dyDescent="0.3">
      <c r="A193" s="4"/>
      <c r="B193" s="4" t="s">
        <v>634</v>
      </c>
      <c r="C193" s="4"/>
      <c r="D193" s="4"/>
      <c r="E193" s="24">
        <v>0</v>
      </c>
      <c r="F193" s="24"/>
      <c r="G193" s="24"/>
      <c r="H193" s="24"/>
      <c r="I193" s="24"/>
      <c r="J193" s="24"/>
      <c r="K193" s="24"/>
      <c r="L193" s="24"/>
      <c r="M193" s="24"/>
      <c r="N193" s="24"/>
      <c r="O193" s="24"/>
      <c r="P193" s="24"/>
      <c r="Q193" s="4"/>
    </row>
    <row r="194" spans="1:17" x14ac:dyDescent="0.3">
      <c r="A194" s="3"/>
      <c r="B194" s="3" t="s">
        <v>635</v>
      </c>
      <c r="C194" s="3"/>
      <c r="D194" s="3"/>
      <c r="E194" s="21">
        <v>0</v>
      </c>
      <c r="F194" s="21"/>
      <c r="G194" s="21"/>
      <c r="H194" s="21"/>
      <c r="I194" s="21"/>
      <c r="J194" s="21"/>
      <c r="K194" s="21"/>
      <c r="L194" s="21"/>
      <c r="M194" s="21"/>
      <c r="N194" s="21"/>
      <c r="O194" s="21"/>
      <c r="P194" s="21"/>
      <c r="Q194" s="3"/>
    </row>
    <row r="195" spans="1:17" x14ac:dyDescent="0.3">
      <c r="A195" s="4"/>
      <c r="B195" s="4" t="s">
        <v>636</v>
      </c>
      <c r="C195" s="4"/>
      <c r="D195" s="4"/>
      <c r="E195" s="24">
        <v>20</v>
      </c>
      <c r="F195" s="24"/>
      <c r="G195" s="24"/>
      <c r="H195" s="24"/>
      <c r="I195" s="24"/>
      <c r="J195" s="24"/>
      <c r="K195" s="24"/>
      <c r="L195" s="24"/>
      <c r="M195" s="24"/>
      <c r="N195" s="24"/>
      <c r="O195" s="24"/>
      <c r="P195" s="24"/>
      <c r="Q195" s="4"/>
    </row>
    <row r="196" spans="1:17" x14ac:dyDescent="0.3">
      <c r="A196" s="3"/>
      <c r="B196" s="3" t="s">
        <v>637</v>
      </c>
      <c r="C196" s="3"/>
      <c r="D196" s="3"/>
      <c r="E196" s="21">
        <v>1</v>
      </c>
      <c r="F196" s="21"/>
      <c r="G196" s="21"/>
      <c r="H196" s="21"/>
      <c r="I196" s="21"/>
      <c r="J196" s="21"/>
      <c r="K196" s="21"/>
      <c r="L196" s="21"/>
      <c r="M196" s="21"/>
      <c r="N196" s="21"/>
      <c r="O196" s="21"/>
      <c r="P196" s="21"/>
      <c r="Q196" s="3"/>
    </row>
    <row r="197" spans="1:17" x14ac:dyDescent="0.3">
      <c r="A197" s="4"/>
      <c r="B197" s="4" t="s">
        <v>638</v>
      </c>
      <c r="C197" s="4"/>
      <c r="D197" s="4"/>
      <c r="E197" s="24">
        <v>0</v>
      </c>
      <c r="F197" s="24"/>
      <c r="G197" s="24"/>
      <c r="H197" s="24"/>
      <c r="I197" s="24"/>
      <c r="J197" s="24"/>
      <c r="K197" s="24"/>
      <c r="L197" s="24"/>
      <c r="M197" s="24"/>
      <c r="N197" s="24"/>
      <c r="O197" s="24"/>
      <c r="P197" s="24"/>
      <c r="Q197" s="4"/>
    </row>
    <row r="198" spans="1:17" x14ac:dyDescent="0.3">
      <c r="A198" s="3"/>
      <c r="B198" s="3" t="s">
        <v>639</v>
      </c>
      <c r="C198" s="3"/>
      <c r="D198" s="3"/>
      <c r="E198" s="21">
        <v>1</v>
      </c>
      <c r="F198" s="21"/>
      <c r="G198" s="21"/>
      <c r="H198" s="21"/>
      <c r="I198" s="21"/>
      <c r="J198" s="21"/>
      <c r="K198" s="21"/>
      <c r="L198" s="21"/>
      <c r="M198" s="21"/>
      <c r="N198" s="21"/>
      <c r="O198" s="21"/>
      <c r="P198" s="21"/>
      <c r="Q198" s="3"/>
    </row>
    <row r="199" spans="1:17" x14ac:dyDescent="0.3">
      <c r="A199" s="4" t="s">
        <v>1081</v>
      </c>
      <c r="B199" s="4" t="s">
        <v>640</v>
      </c>
      <c r="C199" s="4"/>
      <c r="D199" s="4"/>
      <c r="E199" s="24" t="str">
        <f>GetFilamentSpec($E$2,"filament_retract_layer_change")</f>
        <v>1</v>
      </c>
      <c r="F199" s="24"/>
      <c r="G199" s="24"/>
      <c r="H199" s="24"/>
      <c r="I199" s="24"/>
      <c r="J199" s="24"/>
      <c r="K199" s="24"/>
      <c r="L199" s="24"/>
      <c r="M199" s="24"/>
      <c r="N199" s="24"/>
      <c r="O199" s="24"/>
      <c r="P199" s="24"/>
      <c r="Q199" s="4" t="s">
        <v>736</v>
      </c>
    </row>
    <row r="200" spans="1:17" x14ac:dyDescent="0.3">
      <c r="A200" s="3"/>
      <c r="B200" s="3" t="s">
        <v>641</v>
      </c>
      <c r="C200" s="3"/>
      <c r="D200" s="3"/>
      <c r="E200" s="21">
        <v>1</v>
      </c>
      <c r="F200" s="21"/>
      <c r="G200" s="21"/>
      <c r="H200" s="21"/>
      <c r="I200" s="21"/>
      <c r="J200" s="21"/>
      <c r="K200" s="21"/>
      <c r="L200" s="21"/>
      <c r="M200" s="21"/>
      <c r="N200" s="21"/>
      <c r="O200" s="21"/>
      <c r="P200" s="21"/>
      <c r="Q200" s="3" t="s">
        <v>737</v>
      </c>
    </row>
    <row r="201" spans="1:17" x14ac:dyDescent="0.3">
      <c r="A201" s="4"/>
      <c r="B201" s="4" t="s">
        <v>642</v>
      </c>
      <c r="C201" s="4"/>
      <c r="D201" s="4"/>
      <c r="E201" s="24">
        <v>2</v>
      </c>
      <c r="F201" s="24"/>
      <c r="G201" s="24"/>
      <c r="H201" s="24"/>
      <c r="I201" s="24"/>
      <c r="J201" s="24"/>
      <c r="K201" s="24"/>
      <c r="L201" s="24"/>
      <c r="M201" s="24"/>
      <c r="N201" s="24"/>
      <c r="O201" s="24"/>
      <c r="P201" s="24"/>
      <c r="Q201" s="4" t="s">
        <v>738</v>
      </c>
    </row>
    <row r="202" spans="1:17" x14ac:dyDescent="0.3">
      <c r="A202" s="3"/>
      <c r="B202" s="3" t="s">
        <v>643</v>
      </c>
      <c r="C202" s="3"/>
      <c r="D202" s="3"/>
      <c r="E202" s="21">
        <v>1</v>
      </c>
      <c r="F202" s="21"/>
      <c r="G202" s="21"/>
      <c r="H202" s="21"/>
      <c r="I202" s="21"/>
      <c r="J202" s="21"/>
      <c r="K202" s="21"/>
      <c r="L202" s="21"/>
      <c r="M202" s="21"/>
      <c r="N202" s="21"/>
      <c r="O202" s="21"/>
      <c r="P202" s="21"/>
      <c r="Q202" s="3"/>
    </row>
    <row r="203" spans="1:17" x14ac:dyDescent="0.3">
      <c r="A203" s="4"/>
      <c r="B203" s="4" t="s">
        <v>644</v>
      </c>
      <c r="C203" s="4"/>
      <c r="D203" s="4"/>
      <c r="E203" s="24">
        <v>1</v>
      </c>
      <c r="F203" s="24"/>
      <c r="G203" s="24"/>
      <c r="H203" s="24"/>
      <c r="I203" s="24"/>
      <c r="J203" s="24"/>
      <c r="K203" s="24"/>
      <c r="L203" s="24"/>
      <c r="M203" s="24"/>
      <c r="N203" s="24"/>
      <c r="O203" s="24"/>
      <c r="P203" s="24"/>
      <c r="Q203" s="4" t="s">
        <v>739</v>
      </c>
    </row>
    <row r="204" spans="1:17" x14ac:dyDescent="0.3">
      <c r="A204" s="3"/>
      <c r="B204" s="3" t="s">
        <v>645</v>
      </c>
      <c r="C204" s="3"/>
      <c r="D204" s="3"/>
      <c r="E204" s="21">
        <v>1</v>
      </c>
      <c r="F204" s="21"/>
      <c r="G204" s="21"/>
      <c r="H204" s="21"/>
      <c r="I204" s="21"/>
      <c r="J204" s="21"/>
      <c r="K204" s="21"/>
      <c r="L204" s="21"/>
      <c r="M204" s="21"/>
      <c r="N204" s="21"/>
      <c r="O204" s="21"/>
      <c r="P204" s="21"/>
      <c r="Q204" s="3"/>
    </row>
    <row r="205" spans="1:17" x14ac:dyDescent="0.3">
      <c r="A205" s="4"/>
      <c r="B205" s="4" t="s">
        <v>646</v>
      </c>
      <c r="C205" s="4"/>
      <c r="D205" s="4"/>
      <c r="E205" s="24">
        <v>3</v>
      </c>
      <c r="F205" s="24"/>
      <c r="G205" s="24"/>
      <c r="H205" s="24"/>
      <c r="I205" s="24"/>
      <c r="J205" s="24"/>
      <c r="K205" s="24"/>
      <c r="L205" s="24"/>
      <c r="M205" s="24"/>
      <c r="N205" s="24"/>
      <c r="O205" s="24"/>
      <c r="P205" s="24"/>
      <c r="Q205" s="4"/>
    </row>
    <row r="206" spans="1:17" x14ac:dyDescent="0.3">
      <c r="A206" s="3"/>
      <c r="B206" s="3" t="s">
        <v>647</v>
      </c>
      <c r="C206" s="3"/>
      <c r="D206" s="3"/>
      <c r="E206" s="21">
        <v>12</v>
      </c>
      <c r="F206" s="21"/>
      <c r="G206" s="21"/>
      <c r="H206" s="21"/>
      <c r="I206" s="21"/>
      <c r="J206" s="21"/>
      <c r="K206" s="21"/>
      <c r="L206" s="21"/>
      <c r="M206" s="21"/>
      <c r="N206" s="21"/>
      <c r="O206" s="21"/>
      <c r="P206" s="21"/>
      <c r="Q206" s="3"/>
    </row>
    <row r="207" spans="1:17" x14ac:dyDescent="0.3">
      <c r="A207" s="4"/>
      <c r="B207" s="4" t="s">
        <v>648</v>
      </c>
      <c r="C207" s="4"/>
      <c r="D207" s="4"/>
      <c r="E207" s="24">
        <v>-0.5</v>
      </c>
      <c r="F207" s="24"/>
      <c r="G207" s="24"/>
      <c r="H207" s="24"/>
      <c r="I207" s="24"/>
      <c r="J207" s="24"/>
      <c r="K207" s="24"/>
      <c r="L207" s="24"/>
      <c r="M207" s="24"/>
      <c r="N207" s="24"/>
      <c r="O207" s="24"/>
      <c r="P207" s="24"/>
      <c r="Q207" s="4"/>
    </row>
    <row r="208" spans="1:17" x14ac:dyDescent="0.3">
      <c r="A208" s="3"/>
      <c r="B208" s="3" t="s">
        <v>649</v>
      </c>
      <c r="C208" s="3"/>
      <c r="D208" s="3"/>
      <c r="E208" s="21">
        <v>600</v>
      </c>
      <c r="F208" s="21"/>
      <c r="G208" s="21"/>
      <c r="H208" s="21"/>
      <c r="I208" s="21"/>
      <c r="J208" s="21"/>
      <c r="K208" s="21"/>
      <c r="L208" s="21"/>
      <c r="M208" s="21"/>
      <c r="N208" s="21"/>
      <c r="O208" s="21"/>
      <c r="P208" s="21"/>
      <c r="Q208" s="3"/>
    </row>
    <row r="209" spans="1:17" ht="13.5" customHeight="1" x14ac:dyDescent="0.3">
      <c r="A209" s="4"/>
      <c r="B209" s="4" t="s">
        <v>650</v>
      </c>
      <c r="C209" s="4"/>
      <c r="D209" s="4"/>
      <c r="E209" s="24">
        <v>1</v>
      </c>
      <c r="F209" s="24"/>
      <c r="G209" s="24"/>
      <c r="H209" s="24"/>
      <c r="I209" s="24"/>
      <c r="J209" s="24"/>
      <c r="K209" s="24"/>
      <c r="L209" s="24"/>
      <c r="M209" s="24"/>
      <c r="N209" s="24"/>
      <c r="O209" s="24"/>
      <c r="P209" s="24"/>
      <c r="Q209" s="65" t="s">
        <v>735</v>
      </c>
    </row>
    <row r="210" spans="1:17" x14ac:dyDescent="0.3">
      <c r="A210" s="3"/>
      <c r="B210" s="3" t="s">
        <v>651</v>
      </c>
      <c r="C210" s="3"/>
      <c r="D210" s="3"/>
      <c r="E210" s="21">
        <v>1</v>
      </c>
      <c r="F210" s="21"/>
      <c r="G210" s="21"/>
      <c r="H210" s="21"/>
      <c r="I210" s="21"/>
      <c r="J210" s="21"/>
      <c r="K210" s="21"/>
      <c r="L210" s="21"/>
      <c r="M210" s="21"/>
      <c r="N210" s="21"/>
      <c r="O210" s="21"/>
      <c r="P210" s="21"/>
      <c r="Q210" s="3"/>
    </row>
    <row r="211" spans="1:17" x14ac:dyDescent="0.3">
      <c r="A211" s="4"/>
      <c r="B211" s="4" t="s">
        <v>652</v>
      </c>
      <c r="C211" s="4"/>
      <c r="D211" s="4"/>
      <c r="E211" s="24">
        <v>10</v>
      </c>
      <c r="F211" s="24"/>
      <c r="G211" s="24"/>
      <c r="H211" s="24"/>
      <c r="I211" s="24"/>
      <c r="J211" s="24"/>
      <c r="K211" s="24"/>
      <c r="L211" s="24"/>
      <c r="M211" s="24"/>
      <c r="N211" s="24"/>
      <c r="O211" s="24"/>
      <c r="P211" s="24"/>
      <c r="Q211" s="4"/>
    </row>
    <row r="212" spans="1:17" x14ac:dyDescent="0.3">
      <c r="A212" s="3"/>
      <c r="B212" s="3" t="s">
        <v>653</v>
      </c>
      <c r="C212" s="3"/>
      <c r="D212" s="3"/>
      <c r="E212" s="21">
        <v>1</v>
      </c>
      <c r="F212" s="21"/>
      <c r="G212" s="21"/>
      <c r="H212" s="21"/>
      <c r="I212" s="21"/>
      <c r="J212" s="21"/>
      <c r="K212" s="21"/>
      <c r="L212" s="21"/>
      <c r="M212" s="21"/>
      <c r="N212" s="21"/>
      <c r="O212" s="21"/>
      <c r="P212" s="21"/>
      <c r="Q212" s="3"/>
    </row>
    <row r="213" spans="1:17" x14ac:dyDescent="0.3">
      <c r="A213" s="4"/>
      <c r="B213" s="4" t="s">
        <v>654</v>
      </c>
      <c r="C213" s="4"/>
      <c r="D213" s="4"/>
      <c r="E213" s="24">
        <v>50</v>
      </c>
      <c r="F213" s="24"/>
      <c r="G213" s="24"/>
      <c r="H213" s="24"/>
      <c r="I213" s="24"/>
      <c r="J213" s="24"/>
      <c r="K213" s="24"/>
      <c r="L213" s="24"/>
      <c r="M213" s="24"/>
      <c r="N213" s="24"/>
      <c r="O213" s="24"/>
      <c r="P213" s="24"/>
      <c r="Q213" s="4"/>
    </row>
    <row r="214" spans="1:17" x14ac:dyDescent="0.3">
      <c r="A214" s="3"/>
      <c r="B214" s="3" t="s">
        <v>655</v>
      </c>
      <c r="C214" s="3"/>
      <c r="D214" s="3"/>
      <c r="E214" s="21">
        <v>200</v>
      </c>
      <c r="F214" s="21"/>
      <c r="G214" s="21"/>
      <c r="H214" s="21"/>
      <c r="I214" s="21"/>
      <c r="J214" s="21"/>
      <c r="K214" s="21"/>
      <c r="L214" s="21"/>
      <c r="M214" s="21"/>
      <c r="N214" s="21"/>
      <c r="O214" s="21"/>
      <c r="P214" s="21"/>
      <c r="Q214" s="3"/>
    </row>
    <row r="215" spans="1:17" x14ac:dyDescent="0.3">
      <c r="A215" s="4"/>
      <c r="B215" s="4" t="s">
        <v>656</v>
      </c>
      <c r="C215" s="4"/>
      <c r="D215" s="4"/>
      <c r="E215" s="24">
        <v>0.2</v>
      </c>
      <c r="F215" s="24"/>
      <c r="G215" s="24"/>
      <c r="H215" s="24"/>
      <c r="I215" s="24"/>
      <c r="J215" s="24"/>
      <c r="K215" s="24"/>
      <c r="L215" s="24"/>
      <c r="M215" s="24"/>
      <c r="N215" s="24"/>
      <c r="O215" s="24"/>
      <c r="P215" s="24"/>
      <c r="Q215" s="4"/>
    </row>
    <row r="216" spans="1:17" x14ac:dyDescent="0.3">
      <c r="A216" s="3"/>
      <c r="B216" s="3" t="s">
        <v>657</v>
      </c>
      <c r="C216" s="3"/>
      <c r="D216" s="3"/>
      <c r="E216" s="21">
        <v>0</v>
      </c>
      <c r="F216" s="21"/>
      <c r="G216" s="21"/>
      <c r="H216" s="21"/>
      <c r="I216" s="21"/>
      <c r="J216" s="21"/>
      <c r="K216" s="21"/>
      <c r="L216" s="21"/>
      <c r="M216" s="21"/>
      <c r="N216" s="21"/>
      <c r="O216" s="21"/>
      <c r="P216" s="21"/>
      <c r="Q216" s="3"/>
    </row>
    <row r="217" spans="1:17" x14ac:dyDescent="0.3">
      <c r="A217" s="4" t="s">
        <v>1083</v>
      </c>
      <c r="B217" s="4"/>
      <c r="C217" s="4"/>
      <c r="D217" s="4"/>
      <c r="E217" s="24"/>
      <c r="F217" s="24"/>
      <c r="G217" s="24"/>
      <c r="H217" s="24"/>
      <c r="I217" s="24"/>
      <c r="J217" s="24"/>
      <c r="K217" s="24"/>
      <c r="L217" s="24"/>
      <c r="M217" s="24"/>
      <c r="N217" s="24"/>
      <c r="O217" s="24"/>
      <c r="P217" s="24"/>
      <c r="Q217" s="4"/>
    </row>
    <row r="218" spans="1:17" x14ac:dyDescent="0.3">
      <c r="A218" s="3" t="s">
        <v>1083</v>
      </c>
      <c r="B218" s="3"/>
      <c r="C218" s="3"/>
      <c r="D218" s="3"/>
      <c r="E218" s="21"/>
      <c r="F218" s="21"/>
      <c r="G218" s="21"/>
      <c r="H218" s="21"/>
      <c r="I218" s="21"/>
      <c r="J218" s="21"/>
      <c r="K218" s="21"/>
      <c r="L218" s="21"/>
      <c r="M218" s="21"/>
      <c r="N218" s="21"/>
      <c r="O218" s="21"/>
      <c r="P218" s="21"/>
      <c r="Q218" s="3"/>
    </row>
    <row r="219" spans="1:17" x14ac:dyDescent="0.3">
      <c r="A219" s="4" t="s">
        <v>1083</v>
      </c>
      <c r="B219" s="4"/>
      <c r="C219" s="4"/>
      <c r="D219" s="4"/>
      <c r="E219" s="24"/>
      <c r="F219" s="24"/>
      <c r="G219" s="24"/>
      <c r="H219" s="24"/>
      <c r="I219" s="24"/>
      <c r="J219" s="24"/>
      <c r="K219" s="24"/>
      <c r="L219" s="24"/>
      <c r="M219" s="24"/>
      <c r="N219" s="24"/>
      <c r="O219" s="24"/>
      <c r="P219" s="24"/>
      <c r="Q219" s="4"/>
    </row>
    <row r="220" spans="1:17" x14ac:dyDescent="0.3">
      <c r="A220" s="3" t="s">
        <v>1083</v>
      </c>
      <c r="B220" s="3"/>
      <c r="C220" s="3"/>
      <c r="D220" s="3"/>
      <c r="E220" s="21"/>
      <c r="F220" s="21"/>
      <c r="G220" s="21"/>
      <c r="H220" s="21"/>
      <c r="I220" s="21"/>
      <c r="J220" s="21"/>
      <c r="K220" s="21"/>
      <c r="L220" s="21"/>
      <c r="M220" s="21"/>
      <c r="N220" s="21"/>
      <c r="O220" s="21"/>
      <c r="P220" s="21"/>
      <c r="Q220" s="3"/>
    </row>
    <row r="221" spans="1:17" x14ac:dyDescent="0.3">
      <c r="A221" s="4" t="s">
        <v>1083</v>
      </c>
      <c r="B221" s="4"/>
      <c r="C221" s="4"/>
      <c r="D221" s="4"/>
      <c r="E221" s="24"/>
      <c r="F221" s="24"/>
      <c r="G221" s="24"/>
      <c r="H221" s="24"/>
      <c r="I221" s="24"/>
      <c r="J221" s="24"/>
      <c r="K221" s="24"/>
      <c r="L221" s="24"/>
      <c r="M221" s="24"/>
      <c r="N221" s="24"/>
      <c r="O221" s="24"/>
      <c r="P221" s="24"/>
      <c r="Q221" s="4"/>
    </row>
    <row r="222" spans="1:17" x14ac:dyDescent="0.3">
      <c r="A222" s="3" t="s">
        <v>1083</v>
      </c>
      <c r="B222" s="3"/>
      <c r="C222" s="3"/>
      <c r="D222" s="3"/>
      <c r="E222" s="21"/>
      <c r="F222" s="21"/>
      <c r="G222" s="21"/>
      <c r="H222" s="21"/>
      <c r="I222" s="21"/>
      <c r="J222" s="21"/>
      <c r="K222" s="21"/>
      <c r="L222" s="21"/>
      <c r="M222" s="21"/>
      <c r="N222" s="21"/>
      <c r="O222" s="21"/>
      <c r="P222" s="21"/>
      <c r="Q222" s="3"/>
    </row>
    <row r="223" spans="1:17" x14ac:dyDescent="0.3">
      <c r="A223" s="4" t="s">
        <v>1083</v>
      </c>
      <c r="B223" s="4"/>
      <c r="C223" s="4"/>
      <c r="D223" s="4"/>
      <c r="E223" s="24"/>
      <c r="F223" s="24"/>
      <c r="G223" s="24"/>
      <c r="H223" s="24"/>
      <c r="I223" s="24"/>
      <c r="J223" s="24"/>
      <c r="K223" s="24"/>
      <c r="L223" s="24"/>
      <c r="M223" s="24"/>
      <c r="N223" s="24"/>
      <c r="O223" s="24"/>
      <c r="P223" s="24"/>
      <c r="Q223" s="4"/>
    </row>
    <row r="224" spans="1:17" x14ac:dyDescent="0.3">
      <c r="A224" s="3" t="s">
        <v>1083</v>
      </c>
      <c r="B224" s="3"/>
      <c r="C224" s="3"/>
      <c r="D224" s="3"/>
      <c r="E224" s="21"/>
      <c r="F224" s="21"/>
      <c r="G224" s="21"/>
      <c r="H224" s="21"/>
      <c r="I224" s="21"/>
      <c r="J224" s="21"/>
      <c r="K224" s="21"/>
      <c r="L224" s="21"/>
      <c r="M224" s="21"/>
      <c r="N224" s="21"/>
      <c r="O224" s="21"/>
      <c r="P224" s="21"/>
      <c r="Q224" s="3"/>
    </row>
    <row r="225" spans="1:17" x14ac:dyDescent="0.3">
      <c r="A225" s="4" t="s">
        <v>1083</v>
      </c>
      <c r="B225" s="4"/>
      <c r="C225" s="4"/>
      <c r="D225" s="4"/>
      <c r="E225" s="24"/>
      <c r="F225" s="24"/>
      <c r="G225" s="24"/>
      <c r="H225" s="24"/>
      <c r="I225" s="24"/>
      <c r="J225" s="24"/>
      <c r="K225" s="24"/>
      <c r="L225" s="24"/>
      <c r="M225" s="24"/>
      <c r="N225" s="24"/>
      <c r="O225" s="24"/>
      <c r="P225" s="24"/>
      <c r="Q225" s="4"/>
    </row>
    <row r="226" spans="1:17" x14ac:dyDescent="0.3">
      <c r="A226" s="3" t="s">
        <v>1083</v>
      </c>
      <c r="B226" s="3"/>
      <c r="C226" s="3"/>
      <c r="D226" s="3"/>
      <c r="E226" s="21"/>
      <c r="F226" s="21"/>
      <c r="G226" s="21"/>
      <c r="H226" s="21"/>
      <c r="I226" s="21"/>
      <c r="J226" s="21"/>
      <c r="K226" s="21"/>
      <c r="L226" s="21"/>
      <c r="M226" s="21"/>
      <c r="N226" s="21"/>
      <c r="O226" s="21"/>
      <c r="P226" s="21"/>
      <c r="Q226" s="3"/>
    </row>
    <row r="227" spans="1:17" x14ac:dyDescent="0.3">
      <c r="A227" s="4" t="s">
        <v>1083</v>
      </c>
      <c r="B227" s="4"/>
      <c r="C227" s="4"/>
      <c r="D227" s="4"/>
      <c r="E227" s="24"/>
      <c r="F227" s="24"/>
      <c r="G227" s="24"/>
      <c r="H227" s="24"/>
      <c r="I227" s="24"/>
      <c r="J227" s="24"/>
      <c r="K227" s="24"/>
      <c r="L227" s="24"/>
      <c r="M227" s="24"/>
      <c r="N227" s="24"/>
      <c r="O227" s="24"/>
      <c r="P227" s="24"/>
      <c r="Q227" s="4"/>
    </row>
    <row r="228" spans="1:17" x14ac:dyDescent="0.3">
      <c r="A228" s="3" t="s">
        <v>1083</v>
      </c>
      <c r="B228" s="3"/>
      <c r="C228" s="3"/>
      <c r="D228" s="3"/>
      <c r="E228" s="21"/>
      <c r="F228" s="21"/>
      <c r="G228" s="21"/>
      <c r="H228" s="21"/>
      <c r="I228" s="21"/>
      <c r="J228" s="21"/>
      <c r="K228" s="21"/>
      <c r="L228" s="21"/>
      <c r="M228" s="21"/>
      <c r="N228" s="21"/>
      <c r="O228" s="21"/>
      <c r="P228" s="21"/>
      <c r="Q228" s="3"/>
    </row>
    <row r="229" spans="1:17" x14ac:dyDescent="0.3">
      <c r="A229" s="4" t="s">
        <v>1083</v>
      </c>
      <c r="B229" s="4"/>
      <c r="C229" s="4"/>
      <c r="D229" s="4"/>
      <c r="E229" s="24"/>
      <c r="F229" s="24"/>
      <c r="G229" s="24"/>
      <c r="H229" s="24"/>
      <c r="I229" s="24"/>
      <c r="J229" s="24"/>
      <c r="K229" s="24"/>
      <c r="L229" s="24"/>
      <c r="M229" s="24"/>
      <c r="N229" s="24"/>
      <c r="O229" s="24"/>
      <c r="P229" s="24"/>
      <c r="Q229" s="4"/>
    </row>
    <row r="230" spans="1:17" x14ac:dyDescent="0.3">
      <c r="A230" s="3" t="s">
        <v>1083</v>
      </c>
      <c r="B230" s="3"/>
      <c r="C230" s="3"/>
      <c r="D230" s="3"/>
      <c r="E230" s="21"/>
      <c r="F230" s="21"/>
      <c r="G230" s="21"/>
      <c r="H230" s="21"/>
      <c r="I230" s="21"/>
      <c r="J230" s="21"/>
      <c r="K230" s="21"/>
      <c r="L230" s="21"/>
      <c r="M230" s="21"/>
      <c r="N230" s="21"/>
      <c r="O230" s="21"/>
      <c r="P230" s="21"/>
      <c r="Q230" s="3"/>
    </row>
    <row r="231" spans="1:17" x14ac:dyDescent="0.3">
      <c r="A231" s="4" t="s">
        <v>1083</v>
      </c>
      <c r="B231" s="4"/>
      <c r="C231" s="4"/>
      <c r="D231" s="4"/>
      <c r="E231" s="24"/>
      <c r="F231" s="24"/>
      <c r="G231" s="24"/>
      <c r="H231" s="24"/>
      <c r="I231" s="24"/>
      <c r="J231" s="24"/>
      <c r="K231" s="24"/>
      <c r="L231" s="24"/>
      <c r="M231" s="24"/>
      <c r="N231" s="24"/>
      <c r="O231" s="24"/>
      <c r="P231" s="24"/>
      <c r="Q231" s="4"/>
    </row>
    <row r="232" spans="1:17" x14ac:dyDescent="0.3">
      <c r="A232" s="3" t="s">
        <v>1083</v>
      </c>
      <c r="B232" s="3"/>
      <c r="C232" s="3"/>
      <c r="D232" s="3"/>
      <c r="E232" s="21"/>
      <c r="F232" s="21"/>
      <c r="G232" s="21"/>
      <c r="H232" s="21"/>
      <c r="I232" s="21"/>
      <c r="J232" s="21"/>
      <c r="K232" s="21"/>
      <c r="L232" s="21"/>
      <c r="M232" s="21"/>
      <c r="N232" s="21"/>
      <c r="O232" s="21"/>
      <c r="P232" s="21"/>
      <c r="Q232" s="3"/>
    </row>
    <row r="233" spans="1:17" x14ac:dyDescent="0.3">
      <c r="A233" s="4" t="s">
        <v>1083</v>
      </c>
      <c r="B233" s="4"/>
      <c r="C233" s="4"/>
      <c r="D233" s="4"/>
      <c r="E233" s="24"/>
      <c r="F233" s="24"/>
      <c r="G233" s="24"/>
      <c r="H233" s="24"/>
      <c r="I233" s="24"/>
      <c r="J233" s="24"/>
      <c r="K233" s="24"/>
      <c r="L233" s="24"/>
      <c r="M233" s="24"/>
      <c r="N233" s="24"/>
      <c r="O233" s="24"/>
      <c r="P233" s="24"/>
      <c r="Q233" s="4"/>
    </row>
    <row r="234" spans="1:17" x14ac:dyDescent="0.3">
      <c r="A234" s="3" t="s">
        <v>1083</v>
      </c>
      <c r="B234" s="3"/>
      <c r="C234" s="3"/>
      <c r="D234" s="3"/>
      <c r="E234" s="21"/>
      <c r="F234" s="21"/>
      <c r="G234" s="21"/>
      <c r="H234" s="21"/>
      <c r="I234" s="21"/>
      <c r="J234" s="21"/>
      <c r="K234" s="21"/>
      <c r="L234" s="21"/>
      <c r="M234" s="21"/>
      <c r="N234" s="21"/>
      <c r="O234" s="21"/>
      <c r="P234" s="21"/>
      <c r="Q234" s="3"/>
    </row>
    <row r="235" spans="1:17" x14ac:dyDescent="0.3">
      <c r="A235" s="4" t="s">
        <v>1083</v>
      </c>
      <c r="B235" s="4"/>
      <c r="C235" s="4"/>
      <c r="D235" s="4"/>
      <c r="E235" s="24"/>
      <c r="F235" s="24"/>
      <c r="G235" s="24"/>
      <c r="H235" s="24"/>
      <c r="I235" s="24"/>
      <c r="J235" s="24"/>
      <c r="K235" s="24"/>
      <c r="L235" s="24"/>
      <c r="M235" s="24"/>
      <c r="N235" s="24"/>
      <c r="O235" s="24"/>
      <c r="P235" s="24"/>
      <c r="Q235" s="4"/>
    </row>
    <row r="236" spans="1:17" x14ac:dyDescent="0.3">
      <c r="A236" s="3" t="s">
        <v>1083</v>
      </c>
      <c r="B236" s="3"/>
      <c r="C236" s="3"/>
      <c r="D236" s="3"/>
      <c r="E236" s="21"/>
      <c r="F236" s="21"/>
      <c r="G236" s="21"/>
      <c r="H236" s="21"/>
      <c r="I236" s="21"/>
      <c r="J236" s="21"/>
      <c r="K236" s="21"/>
      <c r="L236" s="21"/>
      <c r="M236" s="21"/>
      <c r="N236" s="21"/>
      <c r="O236" s="21"/>
      <c r="P236" s="21"/>
      <c r="Q236" s="3"/>
    </row>
    <row r="237" spans="1:17" x14ac:dyDescent="0.3">
      <c r="A237" s="4" t="s">
        <v>1083</v>
      </c>
      <c r="B237" s="4"/>
      <c r="C237" s="4"/>
      <c r="D237" s="4"/>
      <c r="E237" s="24"/>
      <c r="F237" s="24"/>
      <c r="G237" s="24"/>
      <c r="H237" s="24"/>
      <c r="I237" s="24"/>
      <c r="J237" s="24"/>
      <c r="K237" s="24"/>
      <c r="L237" s="24"/>
      <c r="M237" s="24"/>
      <c r="N237" s="24"/>
      <c r="O237" s="24"/>
      <c r="P237" s="24"/>
      <c r="Q237" s="4"/>
    </row>
    <row r="238" spans="1:17" x14ac:dyDescent="0.3">
      <c r="A238" s="3" t="s">
        <v>1083</v>
      </c>
      <c r="B238" s="3"/>
      <c r="C238" s="3"/>
      <c r="D238" s="3"/>
      <c r="E238" s="21"/>
      <c r="F238" s="21"/>
      <c r="G238" s="21"/>
      <c r="H238" s="21"/>
      <c r="I238" s="21"/>
      <c r="J238" s="21"/>
      <c r="K238" s="21"/>
      <c r="L238" s="21"/>
      <c r="M238" s="21"/>
      <c r="N238" s="21"/>
      <c r="O238" s="21"/>
      <c r="P238" s="21"/>
      <c r="Q238" s="3"/>
    </row>
    <row r="239" spans="1:17" x14ac:dyDescent="0.3">
      <c r="A239" s="4" t="s">
        <v>1083</v>
      </c>
      <c r="B239" s="4"/>
      <c r="C239" s="4"/>
      <c r="D239" s="4"/>
      <c r="E239" s="24"/>
      <c r="F239" s="24"/>
      <c r="G239" s="24"/>
      <c r="H239" s="24"/>
      <c r="I239" s="24"/>
      <c r="J239" s="24"/>
      <c r="K239" s="24"/>
      <c r="L239" s="24"/>
      <c r="M239" s="24"/>
      <c r="N239" s="24"/>
      <c r="O239" s="24"/>
      <c r="P239" s="24"/>
      <c r="Q239" s="4"/>
    </row>
    <row r="240" spans="1:17" x14ac:dyDescent="0.3">
      <c r="A240" s="3" t="s">
        <v>1083</v>
      </c>
      <c r="B240" s="3"/>
      <c r="C240" s="3"/>
      <c r="D240" s="3"/>
      <c r="E240" s="21"/>
      <c r="F240" s="21"/>
      <c r="G240" s="21"/>
      <c r="H240" s="21"/>
      <c r="I240" s="21"/>
      <c r="J240" s="21"/>
      <c r="K240" s="21"/>
      <c r="L240" s="21"/>
      <c r="M240" s="21"/>
      <c r="N240" s="21"/>
      <c r="O240" s="21"/>
      <c r="P240" s="21"/>
      <c r="Q240" s="3"/>
    </row>
    <row r="241" spans="1:17" x14ac:dyDescent="0.3">
      <c r="A241" s="4" t="s">
        <v>1083</v>
      </c>
      <c r="B241" s="4"/>
      <c r="C241" s="4"/>
      <c r="D241" s="4"/>
      <c r="E241" s="24"/>
      <c r="F241" s="24"/>
      <c r="G241" s="24"/>
      <c r="H241" s="24"/>
      <c r="I241" s="24"/>
      <c r="J241" s="24"/>
      <c r="K241" s="24"/>
      <c r="L241" s="24"/>
      <c r="M241" s="24"/>
      <c r="N241" s="24"/>
      <c r="O241" s="24"/>
      <c r="P241" s="24"/>
      <c r="Q241" s="4"/>
    </row>
    <row r="242" spans="1:17" x14ac:dyDescent="0.3">
      <c r="A242" s="3" t="s">
        <v>1083</v>
      </c>
      <c r="B242" s="3"/>
      <c r="C242" s="3"/>
      <c r="D242" s="3"/>
      <c r="E242" s="21"/>
      <c r="F242" s="21"/>
      <c r="G242" s="21"/>
      <c r="H242" s="21"/>
      <c r="I242" s="21"/>
      <c r="J242" s="21"/>
      <c r="K242" s="21"/>
      <c r="L242" s="21"/>
      <c r="M242" s="21"/>
      <c r="N242" s="21"/>
      <c r="O242" s="21"/>
      <c r="P242" s="21"/>
      <c r="Q242" s="3"/>
    </row>
    <row r="243" spans="1:17" x14ac:dyDescent="0.3">
      <c r="A243" s="4" t="s">
        <v>1083</v>
      </c>
      <c r="B243" s="4"/>
      <c r="C243" s="4"/>
      <c r="D243" s="4"/>
      <c r="E243" s="24"/>
      <c r="F243" s="24"/>
      <c r="G243" s="24"/>
      <c r="H243" s="24"/>
      <c r="I243" s="24"/>
      <c r="J243" s="24"/>
      <c r="K243" s="24"/>
      <c r="L243" s="24"/>
      <c r="M243" s="24"/>
      <c r="N243" s="24"/>
      <c r="O243" s="24"/>
      <c r="P243" s="24"/>
      <c r="Q243" s="4"/>
    </row>
    <row r="244" spans="1:17" x14ac:dyDescent="0.3">
      <c r="A244" s="3" t="s">
        <v>1083</v>
      </c>
      <c r="B244" s="3"/>
      <c r="C244" s="3"/>
      <c r="D244" s="3"/>
      <c r="E244" s="21"/>
      <c r="F244" s="21"/>
      <c r="G244" s="21"/>
      <c r="H244" s="21"/>
      <c r="I244" s="21"/>
      <c r="J244" s="21"/>
      <c r="K244" s="21"/>
      <c r="L244" s="21"/>
      <c r="M244" s="21"/>
      <c r="N244" s="21"/>
      <c r="O244" s="21"/>
      <c r="P244" s="21"/>
      <c r="Q244" s="3"/>
    </row>
    <row r="245" spans="1:17" x14ac:dyDescent="0.3">
      <c r="A245" s="4" t="s">
        <v>1083</v>
      </c>
      <c r="B245" s="4"/>
      <c r="C245" s="4"/>
      <c r="D245" s="4"/>
      <c r="E245" s="24"/>
      <c r="F245" s="24"/>
      <c r="G245" s="24"/>
      <c r="H245" s="24"/>
      <c r="I245" s="24"/>
      <c r="J245" s="24"/>
      <c r="K245" s="24"/>
      <c r="L245" s="24"/>
      <c r="M245" s="24"/>
      <c r="N245" s="24"/>
      <c r="O245" s="24"/>
      <c r="P245" s="24"/>
      <c r="Q245" s="4"/>
    </row>
    <row r="246" spans="1:17" x14ac:dyDescent="0.3">
      <c r="A246" s="3" t="s">
        <v>1083</v>
      </c>
      <c r="B246" s="3"/>
      <c r="C246" s="3"/>
      <c r="D246" s="3"/>
      <c r="E246" s="21"/>
      <c r="F246" s="21"/>
      <c r="G246" s="21"/>
      <c r="H246" s="21"/>
      <c r="I246" s="21"/>
      <c r="J246" s="21"/>
      <c r="K246" s="21"/>
      <c r="L246" s="21"/>
      <c r="M246" s="21"/>
      <c r="N246" s="21"/>
      <c r="O246" s="21"/>
      <c r="P246" s="21"/>
      <c r="Q246" s="3"/>
    </row>
    <row r="247" spans="1:17" x14ac:dyDescent="0.3">
      <c r="A247" s="4" t="s">
        <v>1083</v>
      </c>
      <c r="B247" s="4"/>
      <c r="C247" s="4"/>
      <c r="D247" s="4"/>
      <c r="E247" s="24"/>
      <c r="F247" s="24"/>
      <c r="G247" s="24"/>
      <c r="H247" s="24"/>
      <c r="I247" s="24"/>
      <c r="J247" s="24"/>
      <c r="K247" s="24"/>
      <c r="L247" s="24"/>
      <c r="M247" s="24"/>
      <c r="N247" s="24"/>
      <c r="O247" s="24"/>
      <c r="P247" s="24"/>
      <c r="Q247" s="4"/>
    </row>
    <row r="248" spans="1:17" x14ac:dyDescent="0.3">
      <c r="A248" s="3" t="s">
        <v>1083</v>
      </c>
      <c r="B248" s="3"/>
      <c r="C248" s="3"/>
      <c r="D248" s="3"/>
      <c r="E248" s="21"/>
      <c r="F248" s="21"/>
      <c r="G248" s="21"/>
      <c r="H248" s="21"/>
      <c r="I248" s="21"/>
      <c r="J248" s="21"/>
      <c r="K248" s="21"/>
      <c r="L248" s="21"/>
      <c r="M248" s="21"/>
      <c r="N248" s="21"/>
      <c r="O248" s="21"/>
      <c r="P248" s="21"/>
      <c r="Q248" s="3"/>
    </row>
    <row r="249" spans="1:17" x14ac:dyDescent="0.3">
      <c r="A249" s="4" t="s">
        <v>1083</v>
      </c>
      <c r="B249" s="4"/>
      <c r="C249" s="4"/>
      <c r="D249" s="4"/>
      <c r="E249" s="24"/>
      <c r="F249" s="24"/>
      <c r="G249" s="24"/>
      <c r="H249" s="24"/>
      <c r="I249" s="24"/>
      <c r="J249" s="24"/>
      <c r="K249" s="24"/>
      <c r="L249" s="24"/>
      <c r="M249" s="24"/>
      <c r="N249" s="24"/>
      <c r="O249" s="24"/>
      <c r="P249" s="24"/>
      <c r="Q249" s="4"/>
    </row>
    <row r="250" spans="1:17" x14ac:dyDescent="0.3">
      <c r="A250" s="3" t="s">
        <v>1083</v>
      </c>
      <c r="B250" s="3"/>
      <c r="C250" s="3"/>
      <c r="D250" s="3"/>
      <c r="E250" s="21"/>
      <c r="F250" s="21"/>
      <c r="G250" s="21"/>
      <c r="H250" s="21"/>
      <c r="I250" s="21"/>
      <c r="J250" s="21"/>
      <c r="K250" s="21"/>
      <c r="L250" s="21"/>
      <c r="M250" s="21"/>
      <c r="N250" s="21"/>
      <c r="O250" s="21"/>
      <c r="P250" s="21"/>
      <c r="Q250" s="3"/>
    </row>
    <row r="251" spans="1:17" x14ac:dyDescent="0.3">
      <c r="A251" s="4" t="s">
        <v>1083</v>
      </c>
      <c r="B251" s="4"/>
      <c r="C251" s="4"/>
      <c r="D251" s="4"/>
      <c r="E251" s="24"/>
      <c r="F251" s="24"/>
      <c r="G251" s="24"/>
      <c r="H251" s="24"/>
      <c r="I251" s="24"/>
      <c r="J251" s="24"/>
      <c r="K251" s="24"/>
      <c r="L251" s="24"/>
      <c r="M251" s="24"/>
      <c r="N251" s="24"/>
      <c r="O251" s="24"/>
      <c r="P251" s="24"/>
      <c r="Q251" s="4"/>
    </row>
    <row r="252" spans="1:17" x14ac:dyDescent="0.3">
      <c r="A252" s="3" t="s">
        <v>1083</v>
      </c>
      <c r="B252" s="3"/>
      <c r="C252" s="3"/>
      <c r="D252" s="3"/>
      <c r="E252" s="21"/>
      <c r="F252" s="21"/>
      <c r="G252" s="21"/>
      <c r="H252" s="21"/>
      <c r="I252" s="21"/>
      <c r="J252" s="21"/>
      <c r="K252" s="21"/>
      <c r="L252" s="21"/>
      <c r="M252" s="21"/>
      <c r="N252" s="21"/>
      <c r="O252" s="21"/>
      <c r="P252" s="21"/>
      <c r="Q252" s="3"/>
    </row>
    <row r="253" spans="1:17" x14ac:dyDescent="0.3">
      <c r="A253" s="4" t="s">
        <v>1083</v>
      </c>
      <c r="B253" s="4"/>
      <c r="C253" s="4"/>
      <c r="D253" s="4"/>
      <c r="E253" s="24"/>
      <c r="F253" s="24"/>
      <c r="G253" s="24"/>
      <c r="H253" s="24"/>
      <c r="I253" s="24"/>
      <c r="J253" s="24"/>
      <c r="K253" s="24"/>
      <c r="L253" s="24"/>
      <c r="M253" s="24"/>
      <c r="N253" s="24"/>
      <c r="O253" s="24"/>
      <c r="P253" s="24"/>
      <c r="Q253" s="4"/>
    </row>
    <row r="254" spans="1:17" x14ac:dyDescent="0.3">
      <c r="A254" s="3" t="s">
        <v>1083</v>
      </c>
      <c r="B254" s="3"/>
      <c r="C254" s="3"/>
      <c r="D254" s="3"/>
      <c r="E254" s="21"/>
      <c r="F254" s="21"/>
      <c r="G254" s="21"/>
      <c r="H254" s="21"/>
      <c r="I254" s="21"/>
      <c r="J254" s="21"/>
      <c r="K254" s="21"/>
      <c r="L254" s="21"/>
      <c r="M254" s="21"/>
      <c r="N254" s="21"/>
      <c r="O254" s="21"/>
      <c r="P254" s="21"/>
      <c r="Q254" s="3"/>
    </row>
    <row r="255" spans="1:17" x14ac:dyDescent="0.3">
      <c r="A255" s="4" t="s">
        <v>1083</v>
      </c>
      <c r="B255" s="4"/>
      <c r="C255" s="4"/>
      <c r="D255" s="4"/>
      <c r="E255" s="24"/>
      <c r="F255" s="24"/>
      <c r="G255" s="24"/>
      <c r="H255" s="24"/>
      <c r="I255" s="24"/>
      <c r="J255" s="24"/>
      <c r="K255" s="24"/>
      <c r="L255" s="24"/>
      <c r="M255" s="24"/>
      <c r="N255" s="24"/>
      <c r="O255" s="24"/>
      <c r="P255" s="24"/>
      <c r="Q255" s="4"/>
    </row>
    <row r="256" spans="1:17" x14ac:dyDescent="0.3">
      <c r="A256" s="3" t="s">
        <v>1083</v>
      </c>
      <c r="B256" s="3"/>
      <c r="C256" s="3"/>
      <c r="D256" s="3"/>
      <c r="E256" s="21"/>
      <c r="F256" s="21"/>
      <c r="G256" s="21"/>
      <c r="H256" s="21"/>
      <c r="I256" s="21"/>
      <c r="J256" s="21"/>
      <c r="K256" s="21"/>
      <c r="L256" s="21"/>
      <c r="M256" s="21"/>
      <c r="N256" s="21"/>
      <c r="O256" s="21"/>
      <c r="P256" s="21"/>
      <c r="Q256" s="3"/>
    </row>
    <row r="257" spans="1:17" x14ac:dyDescent="0.3">
      <c r="A257" s="4" t="s">
        <v>1083</v>
      </c>
      <c r="B257" s="4"/>
      <c r="C257" s="4"/>
      <c r="D257" s="4"/>
      <c r="E257" s="24"/>
      <c r="F257" s="24"/>
      <c r="G257" s="24"/>
      <c r="H257" s="24"/>
      <c r="I257" s="24"/>
      <c r="J257" s="24"/>
      <c r="K257" s="24"/>
      <c r="L257" s="24"/>
      <c r="M257" s="24"/>
      <c r="N257" s="24"/>
      <c r="O257" s="24"/>
      <c r="P257" s="24"/>
      <c r="Q257" s="4"/>
    </row>
    <row r="258" spans="1:17" x14ac:dyDescent="0.3">
      <c r="A258" s="3" t="s">
        <v>1083</v>
      </c>
      <c r="B258" s="3"/>
      <c r="C258" s="3"/>
      <c r="D258" s="3"/>
      <c r="E258" s="21"/>
      <c r="F258" s="21"/>
      <c r="G258" s="21"/>
      <c r="H258" s="21"/>
      <c r="I258" s="21"/>
      <c r="J258" s="21"/>
      <c r="K258" s="21"/>
      <c r="L258" s="21"/>
      <c r="M258" s="21"/>
      <c r="N258" s="21"/>
      <c r="O258" s="21"/>
      <c r="P258" s="21"/>
      <c r="Q258" s="3"/>
    </row>
    <row r="259" spans="1:17" x14ac:dyDescent="0.3">
      <c r="A259" s="4" t="s">
        <v>1083</v>
      </c>
      <c r="B259" s="4"/>
      <c r="C259" s="4"/>
      <c r="D259" s="4"/>
      <c r="E259" s="24"/>
      <c r="F259" s="24"/>
      <c r="G259" s="24"/>
      <c r="H259" s="24"/>
      <c r="I259" s="24"/>
      <c r="J259" s="24"/>
      <c r="K259" s="24"/>
      <c r="L259" s="24"/>
      <c r="M259" s="24"/>
      <c r="N259" s="24"/>
      <c r="O259" s="24"/>
      <c r="P259" s="24"/>
      <c r="Q259" s="4"/>
    </row>
    <row r="260" spans="1:17" x14ac:dyDescent="0.3">
      <c r="A260" s="3" t="s">
        <v>1083</v>
      </c>
      <c r="B260" s="3"/>
      <c r="C260" s="3"/>
      <c r="D260" s="3"/>
      <c r="E260" s="21"/>
      <c r="F260" s="21"/>
      <c r="G260" s="21"/>
      <c r="H260" s="21"/>
      <c r="I260" s="21"/>
      <c r="J260" s="21"/>
      <c r="K260" s="21"/>
      <c r="L260" s="21"/>
      <c r="M260" s="21"/>
      <c r="N260" s="21"/>
      <c r="O260" s="21"/>
      <c r="P260" s="21"/>
      <c r="Q260" s="3"/>
    </row>
    <row r="261" spans="1:17" x14ac:dyDescent="0.3">
      <c r="A261" s="4" t="s">
        <v>1083</v>
      </c>
      <c r="B261" s="4"/>
      <c r="C261" s="4"/>
      <c r="D261" s="4"/>
      <c r="E261" s="24"/>
      <c r="F261" s="24"/>
      <c r="G261" s="24"/>
      <c r="H261" s="24"/>
      <c r="I261" s="24"/>
      <c r="J261" s="24"/>
      <c r="K261" s="24"/>
      <c r="L261" s="24"/>
      <c r="M261" s="24"/>
      <c r="N261" s="24"/>
      <c r="O261" s="24"/>
      <c r="P261" s="24"/>
      <c r="Q261" s="4"/>
    </row>
    <row r="262" spans="1:17" x14ac:dyDescent="0.3">
      <c r="A262" s="3" t="s">
        <v>1083</v>
      </c>
      <c r="B262" s="3"/>
      <c r="C262" s="3"/>
      <c r="D262" s="3"/>
      <c r="E262" s="21"/>
      <c r="F262" s="21"/>
      <c r="G262" s="21"/>
      <c r="H262" s="21"/>
      <c r="I262" s="21"/>
      <c r="J262" s="21"/>
      <c r="K262" s="21"/>
      <c r="L262" s="21"/>
      <c r="M262" s="21"/>
      <c r="N262" s="21"/>
      <c r="O262" s="21"/>
      <c r="P262" s="21"/>
      <c r="Q262" s="3"/>
    </row>
    <row r="263" spans="1:17" x14ac:dyDescent="0.3">
      <c r="A263" s="4" t="s">
        <v>1083</v>
      </c>
      <c r="B263" s="4"/>
      <c r="C263" s="4"/>
      <c r="D263" s="4"/>
      <c r="E263" s="24"/>
      <c r="F263" s="24"/>
      <c r="G263" s="24"/>
      <c r="H263" s="24"/>
      <c r="I263" s="24"/>
      <c r="J263" s="24"/>
      <c r="K263" s="24"/>
      <c r="L263" s="24"/>
      <c r="M263" s="24"/>
      <c r="N263" s="24"/>
      <c r="O263" s="24"/>
      <c r="P263" s="24"/>
      <c r="Q263" s="4"/>
    </row>
    <row r="264" spans="1:17" x14ac:dyDescent="0.3">
      <c r="A264" s="3" t="s">
        <v>1083</v>
      </c>
      <c r="B264" s="3"/>
      <c r="C264" s="3"/>
      <c r="D264" s="3"/>
      <c r="E264" s="21"/>
      <c r="F264" s="21"/>
      <c r="G264" s="21"/>
      <c r="H264" s="21"/>
      <c r="I264" s="21"/>
      <c r="J264" s="21"/>
      <c r="K264" s="21"/>
      <c r="L264" s="21"/>
      <c r="M264" s="21"/>
      <c r="N264" s="21"/>
      <c r="O264" s="21"/>
      <c r="P264" s="21"/>
      <c r="Q264" s="3"/>
    </row>
    <row r="265" spans="1:17" x14ac:dyDescent="0.3">
      <c r="A265" s="4" t="s">
        <v>1083</v>
      </c>
      <c r="B265" s="4"/>
      <c r="C265" s="4"/>
      <c r="D265" s="4"/>
      <c r="E265" s="24"/>
      <c r="F265" s="24"/>
      <c r="G265" s="24"/>
      <c r="H265" s="24"/>
      <c r="I265" s="24"/>
      <c r="J265" s="24"/>
      <c r="K265" s="24"/>
      <c r="L265" s="24"/>
      <c r="M265" s="24"/>
      <c r="N265" s="24"/>
      <c r="O265" s="24"/>
      <c r="P265" s="24"/>
      <c r="Q265" s="4"/>
    </row>
    <row r="266" spans="1:17" x14ac:dyDescent="0.3">
      <c r="A266" s="3" t="s">
        <v>1083</v>
      </c>
      <c r="B266" s="3"/>
      <c r="C266" s="3"/>
      <c r="D266" s="3"/>
      <c r="E266" s="21"/>
      <c r="F266" s="21"/>
      <c r="G266" s="21"/>
      <c r="H266" s="21"/>
      <c r="I266" s="21"/>
      <c r="J266" s="21"/>
      <c r="K266" s="21"/>
      <c r="L266" s="21"/>
      <c r="M266" s="21"/>
      <c r="N266" s="21"/>
      <c r="O266" s="21"/>
      <c r="P266" s="21"/>
      <c r="Q266" s="3"/>
    </row>
    <row r="267" spans="1:17" x14ac:dyDescent="0.3">
      <c r="A267" s="4" t="s">
        <v>1083</v>
      </c>
      <c r="B267" s="4"/>
      <c r="C267" s="4"/>
      <c r="D267" s="4"/>
      <c r="E267" s="24"/>
      <c r="F267" s="24"/>
      <c r="G267" s="24"/>
      <c r="H267" s="24"/>
      <c r="I267" s="24"/>
      <c r="J267" s="24"/>
      <c r="K267" s="24"/>
      <c r="L267" s="24"/>
      <c r="M267" s="24"/>
      <c r="N267" s="24"/>
      <c r="O267" s="24"/>
      <c r="P267" s="24"/>
      <c r="Q267" s="4"/>
    </row>
    <row r="268" spans="1:17" x14ac:dyDescent="0.3">
      <c r="A268" s="3" t="s">
        <v>1083</v>
      </c>
      <c r="B268" s="3"/>
      <c r="C268" s="3"/>
      <c r="D268" s="3"/>
      <c r="E268" s="21"/>
      <c r="F268" s="21"/>
      <c r="G268" s="21"/>
      <c r="H268" s="21"/>
      <c r="I268" s="21"/>
      <c r="J268" s="21"/>
      <c r="K268" s="21"/>
      <c r="L268" s="21"/>
      <c r="M268" s="21"/>
      <c r="N268" s="21"/>
      <c r="O268" s="21"/>
      <c r="P268" s="21"/>
      <c r="Q268" s="3"/>
    </row>
    <row r="269" spans="1:17" x14ac:dyDescent="0.3">
      <c r="A269" s="4" t="s">
        <v>1083</v>
      </c>
      <c r="B269" s="4"/>
      <c r="C269" s="4"/>
      <c r="D269" s="4"/>
      <c r="E269" s="24"/>
      <c r="F269" s="24"/>
      <c r="G269" s="24"/>
      <c r="H269" s="24"/>
      <c r="I269" s="24"/>
      <c r="J269" s="24"/>
      <c r="K269" s="24"/>
      <c r="L269" s="24"/>
      <c r="M269" s="24"/>
      <c r="N269" s="24"/>
      <c r="O269" s="24"/>
      <c r="P269" s="24"/>
      <c r="Q269" s="4"/>
    </row>
    <row r="270" spans="1:17" x14ac:dyDescent="0.3">
      <c r="A270" s="3" t="s">
        <v>1083</v>
      </c>
      <c r="B270" s="3"/>
      <c r="C270" s="3"/>
      <c r="D270" s="3"/>
      <c r="E270" s="21"/>
      <c r="F270" s="21"/>
      <c r="G270" s="21"/>
      <c r="H270" s="21"/>
      <c r="I270" s="21"/>
      <c r="J270" s="21"/>
      <c r="K270" s="21"/>
      <c r="L270" s="21"/>
      <c r="M270" s="21"/>
      <c r="N270" s="21"/>
      <c r="O270" s="21"/>
      <c r="P270" s="21"/>
      <c r="Q270" s="3"/>
    </row>
    <row r="271" spans="1:17" x14ac:dyDescent="0.3">
      <c r="A271" s="4" t="s">
        <v>1083</v>
      </c>
      <c r="B271" s="4"/>
      <c r="C271" s="4"/>
      <c r="D271" s="4"/>
      <c r="E271" s="24"/>
      <c r="F271" s="24"/>
      <c r="G271" s="24"/>
      <c r="H271" s="24"/>
      <c r="I271" s="24"/>
      <c r="J271" s="24"/>
      <c r="K271" s="24"/>
      <c r="L271" s="24"/>
      <c r="M271" s="24"/>
      <c r="N271" s="24"/>
      <c r="O271" s="24"/>
      <c r="P271" s="24"/>
      <c r="Q271" s="4"/>
    </row>
    <row r="272" spans="1:17" x14ac:dyDescent="0.3">
      <c r="A272" s="3" t="s">
        <v>1083</v>
      </c>
      <c r="B272" s="3"/>
      <c r="C272" s="3"/>
      <c r="D272" s="3"/>
      <c r="E272" s="21"/>
      <c r="F272" s="21"/>
      <c r="G272" s="21"/>
      <c r="H272" s="21"/>
      <c r="I272" s="21"/>
      <c r="J272" s="21"/>
      <c r="K272" s="21"/>
      <c r="L272" s="21"/>
      <c r="M272" s="21"/>
      <c r="N272" s="21"/>
      <c r="O272" s="21"/>
      <c r="P272" s="21"/>
      <c r="Q272" s="3"/>
    </row>
    <row r="273" spans="1:17" x14ac:dyDescent="0.3">
      <c r="A273" s="4" t="s">
        <v>1083</v>
      </c>
      <c r="B273" s="4"/>
      <c r="C273" s="4"/>
      <c r="D273" s="4"/>
      <c r="E273" s="24"/>
      <c r="F273" s="24"/>
      <c r="G273" s="24"/>
      <c r="H273" s="24"/>
      <c r="I273" s="24"/>
      <c r="J273" s="24"/>
      <c r="K273" s="24"/>
      <c r="L273" s="24"/>
      <c r="M273" s="24"/>
      <c r="N273" s="24"/>
      <c r="O273" s="24"/>
      <c r="P273" s="24"/>
      <c r="Q273" s="4"/>
    </row>
    <row r="274" spans="1:17" x14ac:dyDescent="0.3">
      <c r="A274" s="3" t="s">
        <v>1083</v>
      </c>
      <c r="B274" s="3"/>
      <c r="C274" s="3"/>
      <c r="D274" s="3"/>
      <c r="E274" s="21"/>
      <c r="F274" s="21"/>
      <c r="G274" s="21"/>
      <c r="H274" s="21"/>
      <c r="I274" s="21"/>
      <c r="J274" s="21"/>
      <c r="K274" s="21"/>
      <c r="L274" s="21"/>
      <c r="M274" s="21"/>
      <c r="N274" s="21"/>
      <c r="O274" s="21"/>
      <c r="P274" s="21"/>
      <c r="Q274" s="3"/>
    </row>
    <row r="275" spans="1:17" x14ac:dyDescent="0.3">
      <c r="A275" s="4" t="s">
        <v>1083</v>
      </c>
      <c r="B275" s="4"/>
      <c r="C275" s="4"/>
      <c r="D275" s="4"/>
      <c r="E275" s="24"/>
      <c r="F275" s="24"/>
      <c r="G275" s="24"/>
      <c r="H275" s="24"/>
      <c r="I275" s="24"/>
      <c r="J275" s="24"/>
      <c r="K275" s="24"/>
      <c r="L275" s="24"/>
      <c r="M275" s="24"/>
      <c r="N275" s="24"/>
      <c r="O275" s="24"/>
      <c r="P275" s="24"/>
      <c r="Q275" s="4"/>
    </row>
    <row r="276" spans="1:17" x14ac:dyDescent="0.3">
      <c r="A276" s="3" t="s">
        <v>1083</v>
      </c>
      <c r="B276" s="3"/>
      <c r="C276" s="3"/>
      <c r="D276" s="3"/>
      <c r="E276" s="21"/>
      <c r="F276" s="21"/>
      <c r="G276" s="21"/>
      <c r="H276" s="21"/>
      <c r="I276" s="21"/>
      <c r="J276" s="21"/>
      <c r="K276" s="21"/>
      <c r="L276" s="21"/>
      <c r="M276" s="21"/>
      <c r="N276" s="21"/>
      <c r="O276" s="21"/>
      <c r="P276" s="21"/>
      <c r="Q276" s="3"/>
    </row>
    <row r="277" spans="1:17" x14ac:dyDescent="0.3">
      <c r="A277" s="4" t="s">
        <v>1083</v>
      </c>
      <c r="B277" s="4"/>
      <c r="C277" s="4"/>
      <c r="D277" s="4"/>
      <c r="E277" s="24"/>
      <c r="F277" s="24"/>
      <c r="G277" s="24"/>
      <c r="H277" s="24"/>
      <c r="I277" s="24"/>
      <c r="J277" s="24"/>
      <c r="K277" s="24"/>
      <c r="L277" s="24"/>
      <c r="M277" s="24"/>
      <c r="N277" s="24"/>
      <c r="O277" s="24"/>
      <c r="P277" s="24"/>
      <c r="Q277" s="4"/>
    </row>
    <row r="278" spans="1:17" x14ac:dyDescent="0.3">
      <c r="A278" s="3" t="s">
        <v>1083</v>
      </c>
      <c r="B278" s="3"/>
      <c r="C278" s="3"/>
      <c r="D278" s="3"/>
      <c r="E278" s="21"/>
      <c r="F278" s="21"/>
      <c r="G278" s="21"/>
      <c r="H278" s="21"/>
      <c r="I278" s="21"/>
      <c r="J278" s="21"/>
      <c r="K278" s="21"/>
      <c r="L278" s="21"/>
      <c r="M278" s="21"/>
      <c r="N278" s="21"/>
      <c r="O278" s="21"/>
      <c r="P278" s="21"/>
      <c r="Q278" s="3"/>
    </row>
    <row r="279" spans="1:17" x14ac:dyDescent="0.3">
      <c r="A279" s="4" t="s">
        <v>1083</v>
      </c>
      <c r="B279" s="4"/>
      <c r="C279" s="4"/>
      <c r="D279" s="4"/>
      <c r="E279" s="24"/>
      <c r="F279" s="24"/>
      <c r="G279" s="24"/>
      <c r="H279" s="24"/>
      <c r="I279" s="24"/>
      <c r="J279" s="24"/>
      <c r="K279" s="24"/>
      <c r="L279" s="24"/>
      <c r="M279" s="24"/>
      <c r="N279" s="24"/>
      <c r="O279" s="24"/>
      <c r="P279" s="24"/>
      <c r="Q279" s="4"/>
    </row>
    <row r="280" spans="1:17" x14ac:dyDescent="0.3">
      <c r="A280" s="3" t="s">
        <v>1083</v>
      </c>
      <c r="B280" s="3"/>
      <c r="C280" s="3"/>
      <c r="D280" s="3"/>
      <c r="E280" s="21"/>
      <c r="F280" s="21"/>
      <c r="G280" s="21"/>
      <c r="H280" s="21"/>
      <c r="I280" s="21"/>
      <c r="J280" s="21"/>
      <c r="K280" s="21"/>
      <c r="L280" s="21"/>
      <c r="M280" s="21"/>
      <c r="N280" s="21"/>
      <c r="O280" s="21"/>
      <c r="P280" s="21"/>
      <c r="Q280" s="3"/>
    </row>
    <row r="281" spans="1:17" x14ac:dyDescent="0.3">
      <c r="A281" s="4" t="s">
        <v>1083</v>
      </c>
      <c r="B281" s="4"/>
      <c r="C281" s="4"/>
      <c r="D281" s="4"/>
      <c r="E281" s="24"/>
      <c r="F281" s="24"/>
      <c r="G281" s="24"/>
      <c r="H281" s="24"/>
      <c r="I281" s="24"/>
      <c r="J281" s="24"/>
      <c r="K281" s="24"/>
      <c r="L281" s="24"/>
      <c r="M281" s="24"/>
      <c r="N281" s="24"/>
      <c r="O281" s="24"/>
      <c r="P281" s="24"/>
      <c r="Q281" s="4"/>
    </row>
    <row r="282" spans="1:17" x14ac:dyDescent="0.3">
      <c r="A282" s="3" t="s">
        <v>1083</v>
      </c>
      <c r="B282" s="3"/>
      <c r="C282" s="3"/>
      <c r="D282" s="3"/>
      <c r="E282" s="21"/>
      <c r="F282" s="21"/>
      <c r="G282" s="21"/>
      <c r="H282" s="21"/>
      <c r="I282" s="21"/>
      <c r="J282" s="21"/>
      <c r="K282" s="21"/>
      <c r="L282" s="21"/>
      <c r="M282" s="21"/>
      <c r="N282" s="21"/>
      <c r="O282" s="21"/>
      <c r="P282" s="21"/>
      <c r="Q282" s="3"/>
    </row>
    <row r="283" spans="1:17" x14ac:dyDescent="0.3">
      <c r="A283" s="4" t="s">
        <v>1083</v>
      </c>
      <c r="B283" s="4"/>
      <c r="C283" s="4"/>
      <c r="D283" s="4"/>
      <c r="E283" s="24"/>
      <c r="F283" s="24"/>
      <c r="G283" s="24"/>
      <c r="H283" s="24"/>
      <c r="I283" s="24"/>
      <c r="J283" s="24"/>
      <c r="K283" s="24"/>
      <c r="L283" s="24"/>
      <c r="M283" s="24"/>
      <c r="N283" s="24"/>
      <c r="O283" s="24"/>
      <c r="P283" s="24"/>
      <c r="Q283" s="4"/>
    </row>
    <row r="284" spans="1:17" x14ac:dyDescent="0.3">
      <c r="A284" s="3" t="s">
        <v>1083</v>
      </c>
      <c r="B284" s="3"/>
      <c r="C284" s="3"/>
      <c r="D284" s="3"/>
      <c r="E284" s="21"/>
      <c r="F284" s="21"/>
      <c r="G284" s="21"/>
      <c r="H284" s="21"/>
      <c r="I284" s="21"/>
      <c r="J284" s="21"/>
      <c r="K284" s="21"/>
      <c r="L284" s="21"/>
      <c r="M284" s="21"/>
      <c r="N284" s="21"/>
      <c r="O284" s="21"/>
      <c r="P284" s="21"/>
      <c r="Q284" s="3"/>
    </row>
    <row r="285" spans="1:17" x14ac:dyDescent="0.3">
      <c r="A285" s="4" t="s">
        <v>1083</v>
      </c>
      <c r="B285" s="4"/>
      <c r="C285" s="4"/>
      <c r="D285" s="4"/>
      <c r="E285" s="24"/>
      <c r="F285" s="24"/>
      <c r="G285" s="24"/>
      <c r="H285" s="24"/>
      <c r="I285" s="24"/>
      <c r="J285" s="24"/>
      <c r="K285" s="24"/>
      <c r="L285" s="24"/>
      <c r="M285" s="24"/>
      <c r="N285" s="24"/>
      <c r="O285" s="24"/>
      <c r="P285" s="24"/>
      <c r="Q285" s="4"/>
    </row>
    <row r="286" spans="1:17" x14ac:dyDescent="0.3">
      <c r="A286" s="3" t="s">
        <v>1083</v>
      </c>
      <c r="B286" s="3"/>
      <c r="C286" s="3"/>
      <c r="D286" s="3"/>
      <c r="E286" s="21"/>
      <c r="F286" s="21"/>
      <c r="G286" s="21"/>
      <c r="H286" s="21"/>
      <c r="I286" s="21"/>
      <c r="J286" s="21"/>
      <c r="K286" s="21"/>
      <c r="L286" s="21"/>
      <c r="M286" s="21"/>
      <c r="N286" s="21"/>
      <c r="O286" s="21"/>
      <c r="P286" s="21"/>
      <c r="Q286" s="3"/>
    </row>
    <row r="287" spans="1:17" x14ac:dyDescent="0.3">
      <c r="A287" s="4" t="s">
        <v>1083</v>
      </c>
      <c r="B287" s="4"/>
      <c r="C287" s="4"/>
      <c r="D287" s="4"/>
      <c r="E287" s="24"/>
      <c r="F287" s="24"/>
      <c r="G287" s="24"/>
      <c r="H287" s="24"/>
      <c r="I287" s="24"/>
      <c r="J287" s="24"/>
      <c r="K287" s="24"/>
      <c r="L287" s="24"/>
      <c r="M287" s="24"/>
      <c r="N287" s="24"/>
      <c r="O287" s="24"/>
      <c r="P287" s="24"/>
      <c r="Q287" s="4"/>
    </row>
    <row r="288" spans="1:17" x14ac:dyDescent="0.3">
      <c r="A288" s="3" t="s">
        <v>1083</v>
      </c>
      <c r="B288" s="3"/>
      <c r="C288" s="3"/>
      <c r="D288" s="3"/>
      <c r="E288" s="21"/>
      <c r="F288" s="21"/>
      <c r="G288" s="21"/>
      <c r="H288" s="21"/>
      <c r="I288" s="21"/>
      <c r="J288" s="21"/>
      <c r="K288" s="21"/>
      <c r="L288" s="21"/>
      <c r="M288" s="21"/>
      <c r="N288" s="21"/>
      <c r="O288" s="21"/>
      <c r="P288" s="21"/>
      <c r="Q288" s="3"/>
    </row>
    <row r="289" spans="1:17" x14ac:dyDescent="0.3">
      <c r="A289" s="4" t="s">
        <v>1083</v>
      </c>
      <c r="B289" s="4"/>
      <c r="C289" s="4"/>
      <c r="D289" s="4"/>
      <c r="E289" s="24"/>
      <c r="F289" s="24"/>
      <c r="G289" s="24"/>
      <c r="H289" s="24"/>
      <c r="I289" s="24"/>
      <c r="J289" s="24"/>
      <c r="K289" s="24"/>
      <c r="L289" s="24"/>
      <c r="M289" s="24"/>
      <c r="N289" s="24"/>
      <c r="O289" s="24"/>
      <c r="P289" s="24"/>
      <c r="Q289" s="4"/>
    </row>
    <row r="290" spans="1:17" x14ac:dyDescent="0.3">
      <c r="A290" s="3" t="s">
        <v>1083</v>
      </c>
      <c r="B290" s="3"/>
      <c r="C290" s="3"/>
      <c r="D290" s="3"/>
      <c r="E290" s="21"/>
      <c r="F290" s="21"/>
      <c r="G290" s="21"/>
      <c r="H290" s="21"/>
      <c r="I290" s="21"/>
      <c r="J290" s="21"/>
      <c r="K290" s="21"/>
      <c r="L290" s="21"/>
      <c r="M290" s="21"/>
      <c r="N290" s="21"/>
      <c r="O290" s="21"/>
      <c r="P290" s="21"/>
      <c r="Q290" s="3"/>
    </row>
    <row r="291" spans="1:17" x14ac:dyDescent="0.3">
      <c r="A291" s="4" t="s">
        <v>1083</v>
      </c>
      <c r="B291" s="4"/>
      <c r="C291" s="4"/>
      <c r="D291" s="4"/>
      <c r="E291" s="24"/>
      <c r="F291" s="24"/>
      <c r="G291" s="24"/>
      <c r="H291" s="24"/>
      <c r="I291" s="24"/>
      <c r="J291" s="24"/>
      <c r="K291" s="24"/>
      <c r="L291" s="24"/>
      <c r="M291" s="24"/>
      <c r="N291" s="24"/>
      <c r="O291" s="24"/>
      <c r="P291" s="24"/>
      <c r="Q291" s="4"/>
    </row>
    <row r="292" spans="1:17" x14ac:dyDescent="0.3">
      <c r="A292" s="3" t="s">
        <v>1083</v>
      </c>
      <c r="B292" s="3"/>
      <c r="C292" s="3"/>
      <c r="D292" s="3"/>
      <c r="E292" s="21"/>
      <c r="F292" s="21"/>
      <c r="G292" s="21"/>
      <c r="H292" s="21"/>
      <c r="I292" s="21"/>
      <c r="J292" s="21"/>
      <c r="K292" s="21"/>
      <c r="L292" s="21"/>
      <c r="M292" s="21"/>
      <c r="N292" s="21"/>
      <c r="O292" s="21"/>
      <c r="P292" s="21"/>
      <c r="Q292" s="3"/>
    </row>
    <row r="293" spans="1:17" x14ac:dyDescent="0.3">
      <c r="A293" s="4" t="s">
        <v>1083</v>
      </c>
      <c r="B293" s="4"/>
      <c r="C293" s="4"/>
      <c r="D293" s="4"/>
      <c r="E293" s="24"/>
      <c r="F293" s="24"/>
      <c r="G293" s="24"/>
      <c r="H293" s="24"/>
      <c r="I293" s="24"/>
      <c r="J293" s="24"/>
      <c r="K293" s="24"/>
      <c r="L293" s="24"/>
      <c r="M293" s="24"/>
      <c r="N293" s="24"/>
      <c r="O293" s="24"/>
      <c r="P293" s="24"/>
      <c r="Q293" s="4"/>
    </row>
    <row r="294" spans="1:17" x14ac:dyDescent="0.3">
      <c r="A294" s="3" t="s">
        <v>1083</v>
      </c>
      <c r="B294" s="3"/>
      <c r="C294" s="3"/>
      <c r="D294" s="3"/>
      <c r="E294" s="21"/>
      <c r="F294" s="21"/>
      <c r="G294" s="21"/>
      <c r="H294" s="21"/>
      <c r="I294" s="21"/>
      <c r="J294" s="21"/>
      <c r="K294" s="21"/>
      <c r="L294" s="21"/>
      <c r="M294" s="21"/>
      <c r="N294" s="21"/>
      <c r="O294" s="21"/>
      <c r="P294" s="21"/>
      <c r="Q294" s="3"/>
    </row>
    <row r="295" spans="1:17" x14ac:dyDescent="0.3">
      <c r="A295" s="4" t="s">
        <v>1083</v>
      </c>
      <c r="B295" s="4"/>
      <c r="C295" s="4"/>
      <c r="D295" s="4"/>
      <c r="E295" s="24"/>
      <c r="F295" s="24"/>
      <c r="G295" s="24"/>
      <c r="H295" s="24"/>
      <c r="I295" s="24"/>
      <c r="J295" s="24"/>
      <c r="K295" s="24"/>
      <c r="L295" s="24"/>
      <c r="M295" s="24"/>
      <c r="N295" s="24"/>
      <c r="O295" s="24"/>
      <c r="P295" s="24"/>
      <c r="Q295" s="4"/>
    </row>
    <row r="296" spans="1:17" x14ac:dyDescent="0.3">
      <c r="A296" s="3" t="s">
        <v>1083</v>
      </c>
      <c r="B296" s="3"/>
      <c r="C296" s="3"/>
      <c r="D296" s="3"/>
      <c r="E296" s="21"/>
      <c r="F296" s="21"/>
      <c r="G296" s="21"/>
      <c r="H296" s="21"/>
      <c r="I296" s="21"/>
      <c r="J296" s="21"/>
      <c r="K296" s="21"/>
      <c r="L296" s="21"/>
      <c r="M296" s="21"/>
      <c r="N296" s="21"/>
      <c r="O296" s="21"/>
      <c r="P296" s="21"/>
      <c r="Q296" s="3"/>
    </row>
    <row r="297" spans="1:17" x14ac:dyDescent="0.3">
      <c r="A297" s="4" t="s">
        <v>1083</v>
      </c>
      <c r="B297" s="4"/>
      <c r="C297" s="4"/>
      <c r="D297" s="4"/>
      <c r="E297" s="24"/>
      <c r="F297" s="24"/>
      <c r="G297" s="24"/>
      <c r="H297" s="24"/>
      <c r="I297" s="24"/>
      <c r="J297" s="24"/>
      <c r="K297" s="24"/>
      <c r="L297" s="24"/>
      <c r="M297" s="24"/>
      <c r="N297" s="24"/>
      <c r="O297" s="24"/>
      <c r="P297" s="24"/>
      <c r="Q297" s="4"/>
    </row>
    <row r="298" spans="1:17" x14ac:dyDescent="0.3">
      <c r="A298" s="3" t="s">
        <v>1083</v>
      </c>
      <c r="B298" s="3"/>
      <c r="C298" s="3"/>
      <c r="D298" s="3"/>
      <c r="E298" s="21"/>
      <c r="F298" s="21"/>
      <c r="G298" s="21"/>
      <c r="H298" s="21"/>
      <c r="I298" s="21"/>
      <c r="J298" s="21"/>
      <c r="K298" s="21"/>
      <c r="L298" s="21"/>
      <c r="M298" s="21"/>
      <c r="N298" s="21"/>
      <c r="O298" s="21"/>
      <c r="P298" s="21"/>
      <c r="Q298" s="3"/>
    </row>
    <row r="299" spans="1:17" x14ac:dyDescent="0.3">
      <c r="A299" s="4" t="s">
        <v>1083</v>
      </c>
      <c r="B299" s="4"/>
      <c r="C299" s="4"/>
      <c r="D299" s="4"/>
      <c r="E299" s="24"/>
      <c r="F299" s="24"/>
      <c r="G299" s="24"/>
      <c r="H299" s="24"/>
      <c r="I299" s="24"/>
      <c r="J299" s="24"/>
      <c r="K299" s="24"/>
      <c r="L299" s="24"/>
      <c r="M299" s="24"/>
      <c r="N299" s="24"/>
      <c r="O299" s="24"/>
      <c r="P299" s="24"/>
      <c r="Q299" s="4"/>
    </row>
    <row r="300" spans="1:17" x14ac:dyDescent="0.3">
      <c r="A300" s="3" t="s">
        <v>1083</v>
      </c>
      <c r="B300" s="3"/>
      <c r="C300" s="3"/>
      <c r="D300" s="3"/>
      <c r="E300" s="21"/>
      <c r="F300" s="21"/>
      <c r="G300" s="21"/>
      <c r="H300" s="21"/>
      <c r="I300" s="21"/>
      <c r="J300" s="21"/>
      <c r="K300" s="21"/>
      <c r="L300" s="21"/>
      <c r="M300" s="21"/>
      <c r="N300" s="21"/>
      <c r="O300" s="21"/>
      <c r="P300" s="21"/>
      <c r="Q300" s="3"/>
    </row>
    <row r="301" spans="1:17" x14ac:dyDescent="0.3">
      <c r="A301" s="4" t="s">
        <v>1083</v>
      </c>
      <c r="B301" s="4"/>
      <c r="C301" s="4"/>
      <c r="D301" s="4"/>
      <c r="E301" s="24"/>
      <c r="F301" s="24"/>
      <c r="G301" s="24"/>
      <c r="H301" s="24"/>
      <c r="I301" s="24"/>
      <c r="J301" s="24"/>
      <c r="K301" s="24"/>
      <c r="L301" s="24"/>
      <c r="M301" s="24"/>
      <c r="N301" s="24"/>
      <c r="O301" s="24"/>
      <c r="P301" s="24"/>
      <c r="Q301" s="4"/>
    </row>
    <row r="302" spans="1:17" x14ac:dyDescent="0.3">
      <c r="A302" s="3" t="s">
        <v>1083</v>
      </c>
      <c r="B302" s="3"/>
      <c r="C302" s="3"/>
      <c r="D302" s="3"/>
      <c r="E302" s="21"/>
      <c r="F302" s="21"/>
      <c r="G302" s="21"/>
      <c r="H302" s="21"/>
      <c r="I302" s="21"/>
      <c r="J302" s="21"/>
      <c r="K302" s="21"/>
      <c r="L302" s="21"/>
      <c r="M302" s="21"/>
      <c r="N302" s="21"/>
      <c r="O302" s="21"/>
      <c r="P302" s="21"/>
      <c r="Q302" s="3"/>
    </row>
    <row r="303" spans="1:17" x14ac:dyDescent="0.3">
      <c r="A303" s="4" t="s">
        <v>1083</v>
      </c>
      <c r="B303" s="4"/>
      <c r="C303" s="4"/>
      <c r="D303" s="4"/>
      <c r="E303" s="24"/>
      <c r="F303" s="24"/>
      <c r="G303" s="24"/>
      <c r="H303" s="24"/>
      <c r="I303" s="24"/>
      <c r="J303" s="24"/>
      <c r="K303" s="24"/>
      <c r="L303" s="24"/>
      <c r="M303" s="24"/>
      <c r="N303" s="24"/>
      <c r="O303" s="24"/>
      <c r="P303" s="24"/>
      <c r="Q303" s="4"/>
    </row>
    <row r="304" spans="1:17" x14ac:dyDescent="0.3">
      <c r="A304" s="3" t="s">
        <v>1083</v>
      </c>
      <c r="B304" s="3"/>
      <c r="C304" s="3"/>
      <c r="D304" s="3"/>
      <c r="E304" s="21"/>
      <c r="F304" s="21"/>
      <c r="G304" s="21"/>
      <c r="H304" s="21"/>
      <c r="I304" s="21"/>
      <c r="J304" s="21"/>
      <c r="K304" s="21"/>
      <c r="L304" s="21"/>
      <c r="M304" s="21"/>
      <c r="N304" s="21"/>
      <c r="O304" s="21"/>
      <c r="P304" s="21"/>
      <c r="Q304" s="3"/>
    </row>
    <row r="305" spans="1:17" x14ac:dyDescent="0.3">
      <c r="A305" s="4" t="s">
        <v>1083</v>
      </c>
      <c r="B305" s="4"/>
      <c r="C305" s="4"/>
      <c r="D305" s="4"/>
      <c r="E305" s="24"/>
      <c r="F305" s="24"/>
      <c r="G305" s="24"/>
      <c r="H305" s="24"/>
      <c r="I305" s="24"/>
      <c r="J305" s="24"/>
      <c r="K305" s="24"/>
      <c r="L305" s="24"/>
      <c r="M305" s="24"/>
      <c r="N305" s="24"/>
      <c r="O305" s="24"/>
      <c r="P305" s="24"/>
      <c r="Q305" s="4"/>
    </row>
    <row r="306" spans="1:17" x14ac:dyDescent="0.3">
      <c r="A306" s="3" t="s">
        <v>1083</v>
      </c>
      <c r="B306" s="3"/>
      <c r="C306" s="3"/>
      <c r="D306" s="3"/>
      <c r="E306" s="21"/>
      <c r="F306" s="21"/>
      <c r="G306" s="21"/>
      <c r="H306" s="21"/>
      <c r="I306" s="21"/>
      <c r="J306" s="21"/>
      <c r="K306" s="21"/>
      <c r="L306" s="21"/>
      <c r="M306" s="21"/>
      <c r="N306" s="21"/>
      <c r="O306" s="21"/>
      <c r="P306" s="21"/>
      <c r="Q306" s="3"/>
    </row>
    <row r="307" spans="1:17" x14ac:dyDescent="0.3">
      <c r="A307" s="4" t="s">
        <v>1083</v>
      </c>
      <c r="B307" s="4"/>
      <c r="C307" s="4"/>
      <c r="D307" s="4"/>
      <c r="E307" s="24"/>
      <c r="F307" s="24"/>
      <c r="G307" s="24"/>
      <c r="H307" s="24"/>
      <c r="I307" s="24"/>
      <c r="J307" s="24"/>
      <c r="K307" s="24"/>
      <c r="L307" s="24"/>
      <c r="M307" s="24"/>
      <c r="N307" s="24"/>
      <c r="O307" s="24"/>
      <c r="P307" s="24"/>
      <c r="Q307" s="4"/>
    </row>
    <row r="308" spans="1:17" x14ac:dyDescent="0.3">
      <c r="A308" s="3" t="s">
        <v>1083</v>
      </c>
      <c r="B308" s="3"/>
      <c r="C308" s="3"/>
      <c r="D308" s="3"/>
      <c r="E308" s="21"/>
      <c r="F308" s="21"/>
      <c r="G308" s="21"/>
      <c r="H308" s="21"/>
      <c r="I308" s="21"/>
      <c r="J308" s="21"/>
      <c r="K308" s="21"/>
      <c r="L308" s="21"/>
      <c r="M308" s="21"/>
      <c r="N308" s="21"/>
      <c r="O308" s="21"/>
      <c r="P308" s="21"/>
      <c r="Q308" s="3"/>
    </row>
    <row r="309" spans="1:17" x14ac:dyDescent="0.3">
      <c r="A309" s="4" t="s">
        <v>1083</v>
      </c>
      <c r="B309" s="4"/>
      <c r="C309" s="4"/>
      <c r="D309" s="4"/>
      <c r="E309" s="24"/>
      <c r="F309" s="24"/>
      <c r="G309" s="24"/>
      <c r="H309" s="24"/>
      <c r="I309" s="24"/>
      <c r="J309" s="24"/>
      <c r="K309" s="24"/>
      <c r="L309" s="24"/>
      <c r="M309" s="24"/>
      <c r="N309" s="24"/>
      <c r="O309" s="24"/>
      <c r="P309" s="24"/>
      <c r="Q309" s="4"/>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5757F-AEA8-45E8-94CB-162C3B862D99}">
  <sheetPr codeName="Sheet12"/>
  <dimension ref="A1:S365"/>
  <sheetViews>
    <sheetView workbookViewId="0">
      <pane xSplit="5" ySplit="1" topLeftCell="F77" activePane="bottomRight" state="frozen"/>
      <selection pane="topRight" activeCell="E1" sqref="E1"/>
      <selection pane="bottomLeft" activeCell="A2" sqref="A2"/>
      <selection pane="bottomRight" activeCell="E6" sqref="E6"/>
    </sheetView>
  </sheetViews>
  <sheetFormatPr defaultColWidth="8.88671875" defaultRowHeight="14.4" x14ac:dyDescent="0.3"/>
  <cols>
    <col min="1" max="1" width="10.109375" customWidth="1"/>
    <col min="2" max="2" width="17.6640625" style="62" bestFit="1" customWidth="1"/>
    <col min="3" max="3" width="17.6640625" style="62" customWidth="1"/>
    <col min="4" max="4" width="44.5546875" bestFit="1" customWidth="1"/>
    <col min="5" max="5" width="21.33203125" style="34" customWidth="1"/>
    <col min="6" max="6" width="10.33203125" style="62" customWidth="1"/>
    <col min="7" max="7" width="9.44140625" style="62" customWidth="1"/>
    <col min="8" max="8" width="9.88671875" style="62" customWidth="1"/>
    <col min="9" max="10" width="9.6640625" style="62" customWidth="1"/>
    <col min="11" max="11" width="10.44140625" style="62" bestFit="1" customWidth="1"/>
    <col min="12" max="12" width="11.109375" style="62" customWidth="1"/>
    <col min="13" max="13" width="12.6640625" style="62" bestFit="1" customWidth="1"/>
    <col min="14" max="14" width="11.109375" style="62" customWidth="1"/>
    <col min="15" max="15" width="12.109375" style="62" bestFit="1" customWidth="1"/>
    <col min="16" max="16" width="11.109375" style="62" bestFit="1" customWidth="1"/>
    <col min="17" max="17" width="255.6640625" bestFit="1" customWidth="1"/>
    <col min="18" max="18" width="17.33203125" bestFit="1" customWidth="1"/>
  </cols>
  <sheetData>
    <row r="1" spans="1:19" x14ac:dyDescent="0.3">
      <c r="A1" s="56" t="s">
        <v>740</v>
      </c>
      <c r="B1" s="57" t="s">
        <v>1159</v>
      </c>
      <c r="C1" s="57" t="s">
        <v>1092</v>
      </c>
      <c r="D1" s="56" t="s">
        <v>199</v>
      </c>
      <c r="E1" s="58" t="s">
        <v>100</v>
      </c>
      <c r="F1" s="63" t="s">
        <v>234</v>
      </c>
      <c r="G1" s="63" t="s">
        <v>235</v>
      </c>
      <c r="H1" s="63" t="s">
        <v>660</v>
      </c>
      <c r="I1" s="63" t="s">
        <v>661</v>
      </c>
      <c r="J1" s="63" t="s">
        <v>236</v>
      </c>
      <c r="K1" s="63" t="s">
        <v>237</v>
      </c>
      <c r="L1" s="63" t="s">
        <v>238</v>
      </c>
      <c r="M1" s="63" t="s">
        <v>239</v>
      </c>
      <c r="N1" s="63" t="s">
        <v>240</v>
      </c>
      <c r="O1" s="63" t="s">
        <v>241</v>
      </c>
      <c r="P1" s="63" t="s">
        <v>242</v>
      </c>
      <c r="Q1" s="56" t="s">
        <v>205</v>
      </c>
      <c r="R1" s="2"/>
      <c r="S1" s="2"/>
    </row>
    <row r="2" spans="1:19" x14ac:dyDescent="0.3">
      <c r="A2" s="5" t="s">
        <v>741</v>
      </c>
      <c r="B2" s="5"/>
      <c r="C2" s="5"/>
      <c r="D2" s="5" t="s">
        <v>1095</v>
      </c>
      <c r="E2" s="32" t="s">
        <v>142</v>
      </c>
      <c r="F2" s="5"/>
      <c r="G2" s="5"/>
      <c r="H2" s="5"/>
      <c r="I2" s="5"/>
      <c r="J2" s="5"/>
      <c r="K2" s="5"/>
      <c r="L2" s="5"/>
      <c r="M2" s="5"/>
      <c r="N2" s="5"/>
      <c r="O2" s="5"/>
      <c r="P2" s="5"/>
      <c r="Q2" s="5"/>
      <c r="R2" s="5"/>
      <c r="S2" s="5"/>
    </row>
    <row r="3" spans="1:19" x14ac:dyDescent="0.3">
      <c r="A3" s="3"/>
      <c r="B3" s="59"/>
      <c r="C3" s="59" t="s">
        <v>1094</v>
      </c>
      <c r="D3" s="3" t="s">
        <v>458</v>
      </c>
      <c r="E3" s="21"/>
      <c r="F3" s="59" t="s">
        <v>742</v>
      </c>
      <c r="G3" s="59" t="s">
        <v>743</v>
      </c>
      <c r="H3" s="59" t="s">
        <v>744</v>
      </c>
      <c r="I3" s="59" t="s">
        <v>745</v>
      </c>
      <c r="J3" s="59" t="s">
        <v>746</v>
      </c>
      <c r="K3" s="59" t="s">
        <v>747</v>
      </c>
      <c r="L3" s="59" t="s">
        <v>748</v>
      </c>
      <c r="M3" s="59" t="s">
        <v>749</v>
      </c>
      <c r="N3" s="59" t="s">
        <v>750</v>
      </c>
      <c r="O3" s="59" t="s">
        <v>751</v>
      </c>
      <c r="P3" s="59" t="s">
        <v>752</v>
      </c>
      <c r="Q3" s="3"/>
      <c r="R3" s="3"/>
      <c r="S3" s="3"/>
    </row>
    <row r="4" spans="1:19" x14ac:dyDescent="0.3">
      <c r="A4" s="4"/>
      <c r="B4" s="60"/>
      <c r="C4" s="60" t="s">
        <v>1094</v>
      </c>
      <c r="D4" s="4" t="s">
        <v>459</v>
      </c>
      <c r="E4" s="24">
        <v>4</v>
      </c>
      <c r="F4" s="60"/>
      <c r="G4" s="60"/>
      <c r="H4" s="60"/>
      <c r="I4" s="60"/>
      <c r="J4" s="60"/>
      <c r="K4" s="60"/>
      <c r="L4" s="60"/>
      <c r="M4" s="60"/>
      <c r="N4" s="60"/>
      <c r="O4" s="60"/>
      <c r="P4" s="60"/>
      <c r="Q4" s="4"/>
      <c r="R4" s="4"/>
      <c r="S4" s="4"/>
    </row>
    <row r="5" spans="1:19" x14ac:dyDescent="0.3">
      <c r="A5" s="3"/>
      <c r="B5" s="59"/>
      <c r="C5" s="59" t="s">
        <v>1094</v>
      </c>
      <c r="D5" s="3" t="s">
        <v>753</v>
      </c>
      <c r="E5" s="21" t="str">
        <f>PRINTER_DEF</f>
        <v>anycubic_e3d_v6_general_0_4_mm</v>
      </c>
      <c r="F5" s="59"/>
      <c r="G5" s="59"/>
      <c r="H5" s="59"/>
      <c r="I5" s="59"/>
      <c r="J5" s="59"/>
      <c r="K5" s="59"/>
      <c r="L5" s="59"/>
      <c r="M5" s="59"/>
      <c r="N5" s="59"/>
      <c r="O5" s="59"/>
      <c r="P5" s="59"/>
      <c r="Q5" s="3"/>
      <c r="R5" s="3"/>
      <c r="S5" s="3"/>
    </row>
    <row r="6" spans="1:19" x14ac:dyDescent="0.3">
      <c r="A6" s="4"/>
      <c r="B6" s="60"/>
      <c r="C6" s="60"/>
      <c r="D6" s="4" t="s">
        <v>1</v>
      </c>
      <c r="E6" s="24">
        <f>MAX(0.2,Min_Layer_Height)</f>
        <v>0.2</v>
      </c>
      <c r="F6" s="60">
        <v>0.12</v>
      </c>
      <c r="G6" s="60">
        <v>0.2</v>
      </c>
      <c r="H6" s="60">
        <v>0.24</v>
      </c>
      <c r="I6" s="60">
        <v>0.28000000000000003</v>
      </c>
      <c r="J6" s="60">
        <v>0.32</v>
      </c>
      <c r="K6" s="60">
        <v>0.4</v>
      </c>
      <c r="L6" s="60">
        <v>0.48</v>
      </c>
      <c r="M6" s="60">
        <v>0.56000000000000005</v>
      </c>
      <c r="N6" s="60">
        <v>0.64</v>
      </c>
      <c r="O6" s="60">
        <v>0.72</v>
      </c>
      <c r="P6" s="60">
        <v>0.8</v>
      </c>
      <c r="Q6" s="4"/>
      <c r="R6" s="4"/>
      <c r="S6" s="4"/>
    </row>
    <row r="7" spans="1:19" x14ac:dyDescent="0.3">
      <c r="A7" s="3" t="s">
        <v>754</v>
      </c>
      <c r="B7" s="59"/>
      <c r="C7" s="59" t="s">
        <v>1094</v>
      </c>
      <c r="D7" s="3" t="s">
        <v>755</v>
      </c>
      <c r="E7" s="21"/>
      <c r="F7" s="74" t="s">
        <v>206</v>
      </c>
      <c r="G7" s="74" t="s">
        <v>207</v>
      </c>
      <c r="H7" s="74" t="s">
        <v>339</v>
      </c>
      <c r="I7" s="74" t="s">
        <v>340</v>
      </c>
      <c r="J7" s="74" t="s">
        <v>208</v>
      </c>
      <c r="K7" s="74" t="s">
        <v>209</v>
      </c>
      <c r="L7" s="74" t="s">
        <v>210</v>
      </c>
      <c r="M7" s="74" t="s">
        <v>211</v>
      </c>
      <c r="N7" s="74" t="s">
        <v>212</v>
      </c>
      <c r="O7" s="74" t="s">
        <v>213</v>
      </c>
      <c r="P7" s="74" t="s">
        <v>214</v>
      </c>
      <c r="Q7" s="3"/>
      <c r="R7" s="3"/>
      <c r="S7" s="3"/>
    </row>
    <row r="8" spans="1:19" x14ac:dyDescent="0.3">
      <c r="A8" s="4"/>
      <c r="B8" s="60"/>
      <c r="C8" s="60" t="s">
        <v>1094</v>
      </c>
      <c r="D8" s="4" t="s">
        <v>756</v>
      </c>
      <c r="E8" s="24" t="s">
        <v>207</v>
      </c>
      <c r="F8" s="60"/>
      <c r="G8" s="60"/>
      <c r="H8" s="60"/>
      <c r="I8" s="60"/>
      <c r="J8" s="60"/>
      <c r="K8" s="60"/>
      <c r="L8" s="60"/>
      <c r="M8" s="60"/>
      <c r="N8" s="60"/>
      <c r="O8" s="60"/>
      <c r="P8" s="60"/>
      <c r="Q8" s="4"/>
      <c r="R8" s="4"/>
      <c r="S8" s="4"/>
    </row>
    <row r="9" spans="1:19" x14ac:dyDescent="0.3">
      <c r="A9" s="3"/>
      <c r="B9" s="59"/>
      <c r="C9" s="59" t="s">
        <v>1094</v>
      </c>
      <c r="D9" s="3" t="s">
        <v>757</v>
      </c>
      <c r="E9" s="21">
        <v>13</v>
      </c>
      <c r="F9" s="59"/>
      <c r="G9" s="59"/>
      <c r="H9" s="59"/>
      <c r="I9" s="59"/>
      <c r="J9" s="59"/>
      <c r="K9" s="59"/>
      <c r="L9" s="59"/>
      <c r="M9" s="59"/>
      <c r="N9" s="59"/>
      <c r="O9" s="59"/>
      <c r="P9" s="59"/>
      <c r="Q9" s="3"/>
      <c r="R9" s="3"/>
      <c r="S9" s="3"/>
    </row>
    <row r="10" spans="1:19" x14ac:dyDescent="0.3">
      <c r="A10" s="4"/>
      <c r="B10" s="60"/>
      <c r="C10" s="60" t="s">
        <v>1094</v>
      </c>
      <c r="D10" s="4" t="s">
        <v>1210</v>
      </c>
      <c r="E10" s="24">
        <v>-2</v>
      </c>
      <c r="F10" s="60"/>
      <c r="G10" s="60"/>
      <c r="H10" s="60"/>
      <c r="I10" s="60"/>
      <c r="J10" s="60"/>
      <c r="K10" s="60"/>
      <c r="L10" s="60"/>
      <c r="M10" s="60"/>
      <c r="N10" s="60"/>
      <c r="O10" s="60"/>
      <c r="P10" s="60"/>
      <c r="Q10" s="4"/>
      <c r="R10" s="4"/>
      <c r="S10" s="4"/>
    </row>
    <row r="11" spans="1:19" x14ac:dyDescent="0.3">
      <c r="A11" s="3"/>
      <c r="B11" s="59"/>
      <c r="C11" s="59" t="s">
        <v>207</v>
      </c>
      <c r="D11" s="3" t="s">
        <v>758</v>
      </c>
      <c r="E11" s="71" t="s">
        <v>1002</v>
      </c>
      <c r="F11" s="59"/>
      <c r="G11" s="59"/>
      <c r="H11" s="59"/>
      <c r="I11" s="59"/>
      <c r="J11" s="59"/>
      <c r="K11" s="59"/>
      <c r="L11" s="59"/>
      <c r="M11" s="59"/>
      <c r="N11" s="59"/>
      <c r="O11" s="59"/>
      <c r="P11" s="59"/>
      <c r="Q11" s="3"/>
      <c r="R11" s="3"/>
      <c r="S11" s="3"/>
    </row>
    <row r="12" spans="1:19" x14ac:dyDescent="0.3">
      <c r="A12" s="4"/>
      <c r="B12" s="60"/>
      <c r="C12" s="60" t="s">
        <v>1093</v>
      </c>
      <c r="D12" s="4" t="s">
        <v>1071</v>
      </c>
      <c r="E12" s="24" t="str">
        <f>"generic_" &amp; LOWER($E$2)</f>
        <v>generic_abs</v>
      </c>
      <c r="F12" s="60"/>
      <c r="G12" s="60"/>
      <c r="H12" s="60"/>
      <c r="I12" s="60"/>
      <c r="J12" s="60"/>
      <c r="K12" s="60"/>
      <c r="L12" s="60"/>
      <c r="M12" s="60"/>
      <c r="N12" s="60"/>
      <c r="O12" s="60"/>
      <c r="P12" s="60"/>
      <c r="Q12" s="4"/>
      <c r="R12" s="4"/>
      <c r="S12" s="4"/>
    </row>
    <row r="13" spans="1:19" x14ac:dyDescent="0.3">
      <c r="A13" s="3" t="s">
        <v>759</v>
      </c>
      <c r="B13" s="59" t="s">
        <v>92</v>
      </c>
      <c r="C13" s="59" t="s">
        <v>1208</v>
      </c>
      <c r="D13" s="3" t="s">
        <v>1</v>
      </c>
      <c r="E13" s="21">
        <f>E6</f>
        <v>0.2</v>
      </c>
      <c r="F13" s="59">
        <f>F6</f>
        <v>0.12</v>
      </c>
      <c r="G13" s="59">
        <f>G6</f>
        <v>0.2</v>
      </c>
      <c r="H13" s="59">
        <v>0.24</v>
      </c>
      <c r="I13" s="59">
        <v>0.28000000000000003</v>
      </c>
      <c r="J13" s="59">
        <f t="shared" ref="J13:P13" si="0">J6</f>
        <v>0.32</v>
      </c>
      <c r="K13" s="59">
        <f t="shared" si="0"/>
        <v>0.4</v>
      </c>
      <c r="L13" s="59">
        <f t="shared" si="0"/>
        <v>0.48</v>
      </c>
      <c r="M13" s="59">
        <f t="shared" si="0"/>
        <v>0.56000000000000005</v>
      </c>
      <c r="N13" s="59">
        <f t="shared" si="0"/>
        <v>0.64</v>
      </c>
      <c r="O13" s="59">
        <f t="shared" si="0"/>
        <v>0.72</v>
      </c>
      <c r="P13" s="59">
        <f t="shared" si="0"/>
        <v>0.8</v>
      </c>
      <c r="Q13" s="3" t="s">
        <v>760</v>
      </c>
      <c r="R13" s="3"/>
      <c r="S13" s="3"/>
    </row>
    <row r="14" spans="1:19" x14ac:dyDescent="0.3">
      <c r="A14" s="4"/>
      <c r="B14" s="60"/>
      <c r="C14" s="60" t="s">
        <v>1208</v>
      </c>
      <c r="D14" s="4" t="s">
        <v>761</v>
      </c>
      <c r="E14" s="24">
        <v>0.2</v>
      </c>
      <c r="F14" s="60"/>
      <c r="G14" s="60"/>
      <c r="H14" s="60"/>
      <c r="I14" s="60"/>
      <c r="J14" s="60"/>
      <c r="K14" s="60"/>
      <c r="L14" s="60"/>
      <c r="M14" s="60"/>
      <c r="N14" s="60"/>
      <c r="O14" s="60"/>
      <c r="P14" s="60"/>
      <c r="Q14" s="4" t="s">
        <v>762</v>
      </c>
      <c r="R14" s="4"/>
      <c r="S14" s="4"/>
    </row>
    <row r="15" spans="1:19" x14ac:dyDescent="0.3">
      <c r="A15" s="3"/>
      <c r="B15" s="59"/>
      <c r="C15" s="59" t="s">
        <v>1208</v>
      </c>
      <c r="D15" s="3" t="s">
        <v>763</v>
      </c>
      <c r="E15" s="21" t="str">
        <f t="shared" ref="E15:E25" si="1">GetAutoExtrusionWidth($D15,Nozzle_Diameter)</f>
        <v>0.56</v>
      </c>
      <c r="F15" s="59"/>
      <c r="G15" s="59"/>
      <c r="H15" s="59"/>
      <c r="I15" s="59"/>
      <c r="J15" s="59"/>
      <c r="K15" s="59"/>
      <c r="L15" s="59"/>
      <c r="M15" s="59"/>
      <c r="N15" s="59"/>
      <c r="O15" s="59"/>
      <c r="P15" s="59"/>
      <c r="Q15" s="3" t="s">
        <v>764</v>
      </c>
      <c r="R15" s="3"/>
      <c r="S15" s="3"/>
    </row>
    <row r="16" spans="1:19" x14ac:dyDescent="0.3">
      <c r="A16" s="4"/>
      <c r="B16" s="60"/>
      <c r="C16" s="60" t="s">
        <v>1208</v>
      </c>
      <c r="D16" s="4" t="s">
        <v>765</v>
      </c>
      <c r="E16" s="24" t="str">
        <f t="shared" si="1"/>
        <v>0.464</v>
      </c>
      <c r="F16" s="60"/>
      <c r="G16" s="60"/>
      <c r="H16" s="60"/>
      <c r="I16" s="60"/>
      <c r="J16" s="60"/>
      <c r="K16" s="60"/>
      <c r="L16" s="60"/>
      <c r="M16" s="60"/>
      <c r="N16" s="60"/>
      <c r="O16" s="60"/>
      <c r="P16" s="60"/>
      <c r="Q16" s="4" t="s">
        <v>766</v>
      </c>
      <c r="R16" s="4"/>
      <c r="S16" s="4"/>
    </row>
    <row r="17" spans="1:19" x14ac:dyDescent="0.3">
      <c r="A17" s="3"/>
      <c r="B17" s="59"/>
      <c r="C17" s="59" t="s">
        <v>207</v>
      </c>
      <c r="D17" s="3" t="s">
        <v>1223</v>
      </c>
      <c r="E17" s="21" t="str">
        <f t="shared" si="1"/>
        <v>0.42</v>
      </c>
      <c r="F17" s="59"/>
      <c r="G17" s="59"/>
      <c r="H17" s="59"/>
      <c r="I17" s="59"/>
      <c r="J17" s="59"/>
      <c r="K17" s="59"/>
      <c r="L17" s="59"/>
      <c r="M17" s="59"/>
      <c r="N17" s="59"/>
      <c r="O17" s="59"/>
      <c r="P17" s="59"/>
      <c r="Q17" s="3" t="s">
        <v>1230</v>
      </c>
      <c r="R17" s="3"/>
      <c r="S17" s="3"/>
    </row>
    <row r="18" spans="1:19" x14ac:dyDescent="0.3">
      <c r="A18" s="4"/>
      <c r="B18" s="60"/>
      <c r="C18" s="60" t="s">
        <v>207</v>
      </c>
      <c r="D18" s="4" t="s">
        <v>1224</v>
      </c>
      <c r="E18" s="24" t="str">
        <f t="shared" si="1"/>
        <v>0.464</v>
      </c>
      <c r="F18" s="60"/>
      <c r="G18" s="60"/>
      <c r="H18" s="60"/>
      <c r="I18" s="60"/>
      <c r="J18" s="60"/>
      <c r="K18" s="60"/>
      <c r="L18" s="60"/>
      <c r="M18" s="60"/>
      <c r="N18" s="60"/>
      <c r="O18" s="60"/>
      <c r="P18" s="60"/>
      <c r="Q18" s="4" t="s">
        <v>1229</v>
      </c>
      <c r="R18" s="4"/>
      <c r="S18" s="4"/>
    </row>
    <row r="19" spans="1:19" x14ac:dyDescent="0.3">
      <c r="A19" s="3"/>
      <c r="B19" s="59"/>
      <c r="C19" s="59" t="s">
        <v>207</v>
      </c>
      <c r="D19" s="3" t="s">
        <v>767</v>
      </c>
      <c r="E19" s="21" t="str">
        <f t="shared" si="1"/>
        <v>0.464</v>
      </c>
      <c r="F19" s="59"/>
      <c r="G19" s="59"/>
      <c r="H19" s="59"/>
      <c r="I19" s="59"/>
      <c r="J19" s="59"/>
      <c r="K19" s="59"/>
      <c r="L19" s="59"/>
      <c r="M19" s="59"/>
      <c r="N19" s="59"/>
      <c r="O19" s="59"/>
      <c r="P19" s="59"/>
      <c r="Q19" s="3" t="s">
        <v>768</v>
      </c>
      <c r="R19" s="3"/>
      <c r="S19" s="3"/>
    </row>
    <row r="20" spans="1:19" x14ac:dyDescent="0.3">
      <c r="A20" s="4"/>
      <c r="B20" s="60"/>
      <c r="C20" s="60" t="s">
        <v>207</v>
      </c>
      <c r="D20" s="4" t="s">
        <v>775</v>
      </c>
      <c r="E20" s="24" t="str">
        <f t="shared" si="1"/>
        <v>0.44</v>
      </c>
      <c r="F20" s="60"/>
      <c r="G20" s="60"/>
      <c r="H20" s="60"/>
      <c r="I20" s="60"/>
      <c r="J20" s="60"/>
      <c r="K20" s="60"/>
      <c r="L20" s="60"/>
      <c r="M20" s="60"/>
      <c r="N20" s="60"/>
      <c r="O20" s="60"/>
      <c r="P20" s="60"/>
      <c r="Q20" s="4" t="s">
        <v>776</v>
      </c>
      <c r="R20" s="4"/>
      <c r="S20" s="4"/>
    </row>
    <row r="21" spans="1:19" x14ac:dyDescent="0.3">
      <c r="A21" s="3"/>
      <c r="B21" s="59"/>
      <c r="C21" s="59" t="s">
        <v>207</v>
      </c>
      <c r="D21" s="3" t="s">
        <v>769</v>
      </c>
      <c r="E21" s="21" t="str">
        <f t="shared" si="1"/>
        <v>0.56</v>
      </c>
      <c r="F21" s="59"/>
      <c r="G21" s="59"/>
      <c r="H21" s="59"/>
      <c r="I21" s="59"/>
      <c r="J21" s="59"/>
      <c r="K21" s="59"/>
      <c r="L21" s="59"/>
      <c r="M21" s="59"/>
      <c r="N21" s="59"/>
      <c r="O21" s="59"/>
      <c r="P21" s="59"/>
      <c r="Q21" s="3" t="s">
        <v>770</v>
      </c>
      <c r="R21" s="3"/>
      <c r="S21" s="3"/>
    </row>
    <row r="22" spans="1:19" x14ac:dyDescent="0.3">
      <c r="A22" s="4"/>
      <c r="B22" s="60"/>
      <c r="C22" s="60" t="s">
        <v>207</v>
      </c>
      <c r="D22" s="4" t="s">
        <v>771</v>
      </c>
      <c r="E22" s="24" t="str">
        <f t="shared" si="1"/>
        <v>0.44</v>
      </c>
      <c r="F22" s="60"/>
      <c r="G22" s="60"/>
      <c r="H22" s="60"/>
      <c r="I22" s="60"/>
      <c r="J22" s="60"/>
      <c r="K22" s="60"/>
      <c r="L22" s="60"/>
      <c r="M22" s="60"/>
      <c r="N22" s="60"/>
      <c r="O22" s="60"/>
      <c r="P22" s="60"/>
      <c r="Q22" s="4" t="s">
        <v>772</v>
      </c>
      <c r="R22" s="4"/>
      <c r="S22" s="4"/>
    </row>
    <row r="23" spans="1:19" x14ac:dyDescent="0.3">
      <c r="A23" s="3"/>
      <c r="B23" s="59"/>
      <c r="C23" s="59" t="s">
        <v>207</v>
      </c>
      <c r="D23" s="3" t="s">
        <v>773</v>
      </c>
      <c r="E23" s="21" t="str">
        <f t="shared" si="1"/>
        <v>0.44</v>
      </c>
      <c r="F23" s="59"/>
      <c r="G23" s="59"/>
      <c r="H23" s="59"/>
      <c r="I23" s="59"/>
      <c r="J23" s="59"/>
      <c r="K23" s="59"/>
      <c r="L23" s="59"/>
      <c r="M23" s="59"/>
      <c r="N23" s="59"/>
      <c r="O23" s="59"/>
      <c r="P23" s="59"/>
      <c r="Q23" s="3" t="s">
        <v>774</v>
      </c>
      <c r="R23" s="3"/>
      <c r="S23" s="3"/>
    </row>
    <row r="24" spans="1:19" x14ac:dyDescent="0.3">
      <c r="A24" s="4"/>
      <c r="B24" s="60"/>
      <c r="C24" s="60" t="s">
        <v>207</v>
      </c>
      <c r="D24" s="4" t="s">
        <v>1225</v>
      </c>
      <c r="E24" s="24" t="str">
        <f t="shared" si="1"/>
        <v>0.44</v>
      </c>
      <c r="F24" s="60"/>
      <c r="G24" s="60"/>
      <c r="H24" s="60"/>
      <c r="I24" s="60"/>
      <c r="J24" s="60"/>
      <c r="K24" s="60"/>
      <c r="L24" s="60"/>
      <c r="M24" s="60"/>
      <c r="N24" s="60"/>
      <c r="O24" s="60"/>
      <c r="P24" s="60"/>
      <c r="Q24" s="4" t="s">
        <v>1228</v>
      </c>
      <c r="R24" s="4"/>
      <c r="S24" s="4"/>
    </row>
    <row r="25" spans="1:19" x14ac:dyDescent="0.3">
      <c r="A25" s="3"/>
      <c r="B25" s="59"/>
      <c r="C25" s="59" t="s">
        <v>1208</v>
      </c>
      <c r="D25" s="3" t="s">
        <v>1226</v>
      </c>
      <c r="E25" s="21" t="str">
        <f t="shared" si="1"/>
        <v>0.44</v>
      </c>
      <c r="F25" s="59"/>
      <c r="G25" s="59"/>
      <c r="H25" s="59"/>
      <c r="I25" s="59"/>
      <c r="J25" s="59"/>
      <c r="K25" s="59"/>
      <c r="L25" s="59"/>
      <c r="M25" s="59"/>
      <c r="N25" s="59"/>
      <c r="O25" s="59"/>
      <c r="P25" s="59"/>
      <c r="Q25" s="3" t="s">
        <v>1227</v>
      </c>
      <c r="R25" s="3"/>
      <c r="S25" s="3"/>
    </row>
    <row r="26" spans="1:19" x14ac:dyDescent="0.3">
      <c r="A26" s="4"/>
      <c r="B26" s="60"/>
      <c r="C26" s="60" t="s">
        <v>207</v>
      </c>
      <c r="D26" s="4" t="s">
        <v>777</v>
      </c>
      <c r="E26" s="24" t="str">
        <f>GetAutoExtrusionWidth($D26,Nozzle_Diameter)</f>
        <v>100</v>
      </c>
      <c r="F26" s="60"/>
      <c r="G26" s="60"/>
      <c r="H26" s="60"/>
      <c r="I26" s="60"/>
      <c r="J26" s="60"/>
      <c r="K26" s="60"/>
      <c r="L26" s="60"/>
      <c r="M26" s="60"/>
      <c r="N26" s="60"/>
      <c r="O26" s="60"/>
      <c r="P26" s="60"/>
      <c r="Q26" s="4" t="s">
        <v>778</v>
      </c>
      <c r="R26" s="4"/>
      <c r="S26" s="4"/>
    </row>
    <row r="27" spans="1:19" x14ac:dyDescent="0.3">
      <c r="A27" s="3"/>
      <c r="B27" s="59" t="s">
        <v>1166</v>
      </c>
      <c r="C27" s="59" t="s">
        <v>1208</v>
      </c>
      <c r="D27" s="3" t="s">
        <v>779</v>
      </c>
      <c r="E27" s="21">
        <f>$E$16*E$28</f>
        <v>1.3920000000000001</v>
      </c>
      <c r="F27" s="59">
        <f t="shared" ref="F27:P27" si="2">$E$16*F$28</f>
        <v>1.3920000000000001</v>
      </c>
      <c r="G27" s="59">
        <f t="shared" si="2"/>
        <v>1.3920000000000001</v>
      </c>
      <c r="H27" s="59">
        <f t="shared" si="2"/>
        <v>1.3920000000000001</v>
      </c>
      <c r="I27" s="59">
        <f t="shared" si="2"/>
        <v>1.3920000000000001</v>
      </c>
      <c r="J27" s="59">
        <f t="shared" si="2"/>
        <v>1.3920000000000001</v>
      </c>
      <c r="K27" s="59">
        <f t="shared" si="2"/>
        <v>1.3920000000000001</v>
      </c>
      <c r="L27" s="59">
        <f t="shared" si="2"/>
        <v>1.3920000000000001</v>
      </c>
      <c r="M27" s="59">
        <f t="shared" si="2"/>
        <v>1.3920000000000001</v>
      </c>
      <c r="N27" s="59">
        <f t="shared" si="2"/>
        <v>1.3920000000000001</v>
      </c>
      <c r="O27" s="59">
        <f t="shared" si="2"/>
        <v>1.3920000000000001</v>
      </c>
      <c r="P27" s="59">
        <f t="shared" si="2"/>
        <v>1.3920000000000001</v>
      </c>
      <c r="Q27" s="3" t="s">
        <v>780</v>
      </c>
      <c r="R27" s="3"/>
      <c r="S27" s="3"/>
    </row>
    <row r="28" spans="1:19" x14ac:dyDescent="0.3">
      <c r="A28" s="4"/>
      <c r="B28" s="60"/>
      <c r="C28" s="60" t="s">
        <v>1208</v>
      </c>
      <c r="D28" s="4" t="s">
        <v>1263</v>
      </c>
      <c r="E28" s="24">
        <v>3</v>
      </c>
      <c r="F28" s="60" t="str">
        <f t="shared" ref="F28:P28" si="3">GetPrintSpec( $E$2,F$1,"perimeters")</f>
        <v>3</v>
      </c>
      <c r="G28" s="60" t="str">
        <f t="shared" si="3"/>
        <v>3</v>
      </c>
      <c r="H28" s="60" t="str">
        <f t="shared" si="3"/>
        <v>3</v>
      </c>
      <c r="I28" s="60" t="str">
        <f t="shared" si="3"/>
        <v>3</v>
      </c>
      <c r="J28" s="60" t="str">
        <f t="shared" si="3"/>
        <v>3</v>
      </c>
      <c r="K28" s="60" t="str">
        <f t="shared" si="3"/>
        <v>3</v>
      </c>
      <c r="L28" s="60" t="str">
        <f t="shared" si="3"/>
        <v>3</v>
      </c>
      <c r="M28" s="60" t="str">
        <f t="shared" si="3"/>
        <v>3</v>
      </c>
      <c r="N28" s="60" t="str">
        <f t="shared" si="3"/>
        <v>3</v>
      </c>
      <c r="O28" s="60" t="str">
        <f t="shared" si="3"/>
        <v>3</v>
      </c>
      <c r="P28" s="60" t="str">
        <f t="shared" si="3"/>
        <v>3</v>
      </c>
      <c r="Q28" s="4" t="s">
        <v>1158</v>
      </c>
      <c r="R28" s="4"/>
      <c r="S28" s="4"/>
    </row>
    <row r="29" spans="1:19" x14ac:dyDescent="0.3">
      <c r="A29" s="3"/>
      <c r="B29" s="59"/>
      <c r="C29" s="59" t="s">
        <v>207</v>
      </c>
      <c r="D29" s="3" t="s">
        <v>1109</v>
      </c>
      <c r="E29" s="21" t="str">
        <f>GetFilamentSpec($E$2,"#filament_wipe_distance")</f>
        <v>0</v>
      </c>
      <c r="F29" s="59"/>
      <c r="G29" s="59"/>
      <c r="H29" s="59"/>
      <c r="I29" s="59"/>
      <c r="J29" s="59"/>
      <c r="K29" s="59"/>
      <c r="L29" s="59"/>
      <c r="M29" s="59"/>
      <c r="N29" s="59"/>
      <c r="O29" s="59"/>
      <c r="P29" s="59"/>
      <c r="Q29" s="3" t="s">
        <v>1115</v>
      </c>
      <c r="R29" s="3"/>
      <c r="S29" s="3"/>
    </row>
    <row r="30" spans="1:19" x14ac:dyDescent="0.3">
      <c r="A30" s="4"/>
      <c r="B30" s="60"/>
      <c r="C30" s="60" t="s">
        <v>207</v>
      </c>
      <c r="D30" s="4" t="s">
        <v>1112</v>
      </c>
      <c r="E30" s="24">
        <v>1</v>
      </c>
      <c r="F30" s="60"/>
      <c r="G30" s="60"/>
      <c r="H30" s="60"/>
      <c r="I30" s="60"/>
      <c r="J30" s="60"/>
      <c r="K30" s="60"/>
      <c r="L30" s="60"/>
      <c r="M30" s="60"/>
      <c r="N30" s="60"/>
      <c r="O30" s="60"/>
      <c r="P30" s="60"/>
      <c r="Q30" s="4" t="s">
        <v>1113</v>
      </c>
      <c r="R30" s="4"/>
      <c r="S30" s="4"/>
    </row>
    <row r="31" spans="1:19" x14ac:dyDescent="0.3">
      <c r="A31" s="3"/>
      <c r="B31" s="59"/>
      <c r="C31" s="59" t="s">
        <v>1208</v>
      </c>
      <c r="D31" s="3" t="s">
        <v>781</v>
      </c>
      <c r="E31" s="21">
        <f>E$13*E$33</f>
        <v>0.60000000000000009</v>
      </c>
      <c r="F31" s="59">
        <f t="shared" ref="F31:P32" si="4">F$13*F$33</f>
        <v>1.08</v>
      </c>
      <c r="G31" s="59">
        <f t="shared" si="4"/>
        <v>1.2000000000000002</v>
      </c>
      <c r="H31" s="59">
        <f t="shared" si="4"/>
        <v>1.2</v>
      </c>
      <c r="I31" s="59">
        <f t="shared" si="4"/>
        <v>1.1200000000000001</v>
      </c>
      <c r="J31" s="59">
        <f t="shared" si="4"/>
        <v>1.28</v>
      </c>
      <c r="K31" s="59">
        <f t="shared" si="4"/>
        <v>1.6</v>
      </c>
      <c r="L31" s="59">
        <f t="shared" si="4"/>
        <v>1.92</v>
      </c>
      <c r="M31" s="59">
        <f t="shared" si="4"/>
        <v>2.2400000000000002</v>
      </c>
      <c r="N31" s="59">
        <f t="shared" si="4"/>
        <v>2.56</v>
      </c>
      <c r="O31" s="59">
        <f t="shared" si="4"/>
        <v>2.88</v>
      </c>
      <c r="P31" s="59">
        <f t="shared" si="4"/>
        <v>3.2</v>
      </c>
      <c r="Q31" s="3" t="s">
        <v>782</v>
      </c>
      <c r="R31" s="3"/>
      <c r="S31" s="3"/>
    </row>
    <row r="32" spans="1:19" x14ac:dyDescent="0.3">
      <c r="A32" s="4"/>
      <c r="B32" s="60"/>
      <c r="C32" s="60" t="s">
        <v>1208</v>
      </c>
      <c r="D32" s="4" t="s">
        <v>1152</v>
      </c>
      <c r="E32" s="24">
        <f>E$13*E$33</f>
        <v>0.60000000000000009</v>
      </c>
      <c r="F32" s="60">
        <f t="shared" si="4"/>
        <v>1.08</v>
      </c>
      <c r="G32" s="60">
        <f t="shared" si="4"/>
        <v>1.2000000000000002</v>
      </c>
      <c r="H32" s="60">
        <f t="shared" si="4"/>
        <v>1.2</v>
      </c>
      <c r="I32" s="60">
        <f t="shared" si="4"/>
        <v>1.1200000000000001</v>
      </c>
      <c r="J32" s="60">
        <f t="shared" si="4"/>
        <v>1.28</v>
      </c>
      <c r="K32" s="60">
        <f t="shared" si="4"/>
        <v>1.6</v>
      </c>
      <c r="L32" s="60">
        <f t="shared" si="4"/>
        <v>1.92</v>
      </c>
      <c r="M32" s="60">
        <f t="shared" si="4"/>
        <v>2.2400000000000002</v>
      </c>
      <c r="N32" s="60">
        <f t="shared" si="4"/>
        <v>2.56</v>
      </c>
      <c r="O32" s="60">
        <f t="shared" si="4"/>
        <v>2.88</v>
      </c>
      <c r="P32" s="60">
        <f t="shared" si="4"/>
        <v>3.2</v>
      </c>
      <c r="Q32" s="4" t="s">
        <v>1157</v>
      </c>
      <c r="R32" s="4"/>
      <c r="S32" s="4"/>
    </row>
    <row r="33" spans="1:19" x14ac:dyDescent="0.3">
      <c r="A33" s="3"/>
      <c r="B33" s="59"/>
      <c r="C33" s="59" t="s">
        <v>1208</v>
      </c>
      <c r="D33" s="3" t="s">
        <v>1264</v>
      </c>
      <c r="E33" s="21">
        <v>3</v>
      </c>
      <c r="F33" s="59" t="str">
        <f t="shared" ref="F33:P33" si="5">GetPrintSpec( $E$2,F$1,"top_solid_layers")</f>
        <v>9</v>
      </c>
      <c r="G33" s="59" t="str">
        <f t="shared" si="5"/>
        <v>6</v>
      </c>
      <c r="H33" s="59" t="str">
        <f t="shared" si="5"/>
        <v>5</v>
      </c>
      <c r="I33" s="59" t="str">
        <f t="shared" si="5"/>
        <v>4</v>
      </c>
      <c r="J33" s="59" t="str">
        <f t="shared" si="5"/>
        <v>4</v>
      </c>
      <c r="K33" s="59" t="str">
        <f t="shared" si="5"/>
        <v>4</v>
      </c>
      <c r="L33" s="59" t="str">
        <f t="shared" si="5"/>
        <v>4</v>
      </c>
      <c r="M33" s="59" t="str">
        <f t="shared" si="5"/>
        <v>4</v>
      </c>
      <c r="N33" s="59" t="str">
        <f t="shared" si="5"/>
        <v>4</v>
      </c>
      <c r="O33" s="59" t="str">
        <f t="shared" si="5"/>
        <v>4</v>
      </c>
      <c r="P33" s="59" t="str">
        <f t="shared" si="5"/>
        <v>4</v>
      </c>
      <c r="Q33" s="3" t="s">
        <v>1156</v>
      </c>
      <c r="R33" s="3"/>
      <c r="S33" s="3"/>
    </row>
    <row r="34" spans="1:19" x14ac:dyDescent="0.3">
      <c r="A34" s="4"/>
      <c r="B34" s="60"/>
      <c r="C34" s="60" t="s">
        <v>1208</v>
      </c>
      <c r="D34" s="4" t="s">
        <v>1153</v>
      </c>
      <c r="E34" s="24">
        <f>E$13*E$35</f>
        <v>0.60000000000000009</v>
      </c>
      <c r="F34" s="60">
        <f t="shared" ref="F34:P34" si="6">F$13*F$35</f>
        <v>0.96</v>
      </c>
      <c r="G34" s="60">
        <f t="shared" si="6"/>
        <v>1</v>
      </c>
      <c r="H34" s="60">
        <f t="shared" si="6"/>
        <v>1.2</v>
      </c>
      <c r="I34" s="60">
        <f t="shared" si="6"/>
        <v>1.1200000000000001</v>
      </c>
      <c r="J34" s="60">
        <f t="shared" si="6"/>
        <v>1.28</v>
      </c>
      <c r="K34" s="60">
        <f t="shared" si="6"/>
        <v>1.2000000000000002</v>
      </c>
      <c r="L34" s="60">
        <f t="shared" si="6"/>
        <v>1.44</v>
      </c>
      <c r="M34" s="60">
        <f t="shared" si="6"/>
        <v>1.6800000000000002</v>
      </c>
      <c r="N34" s="60">
        <f t="shared" si="6"/>
        <v>1.92</v>
      </c>
      <c r="O34" s="60">
        <f t="shared" si="6"/>
        <v>2.16</v>
      </c>
      <c r="P34" s="60">
        <f t="shared" si="6"/>
        <v>2.4000000000000004</v>
      </c>
      <c r="Q34" s="4" t="s">
        <v>1154</v>
      </c>
      <c r="R34" s="4"/>
      <c r="S34" s="4"/>
    </row>
    <row r="35" spans="1:19" x14ac:dyDescent="0.3">
      <c r="A35" s="3"/>
      <c r="B35" s="59"/>
      <c r="C35" s="59" t="s">
        <v>1208</v>
      </c>
      <c r="D35" s="3" t="s">
        <v>1265</v>
      </c>
      <c r="E35" s="21">
        <v>3</v>
      </c>
      <c r="F35" s="59" t="str">
        <f t="shared" ref="F35:P35" si="7">GetPrintSpec( $E$2,F$1,"bottom_solid_layers")</f>
        <v>8</v>
      </c>
      <c r="G35" s="59" t="str">
        <f t="shared" si="7"/>
        <v>5</v>
      </c>
      <c r="H35" s="59" t="str">
        <f t="shared" si="7"/>
        <v>5</v>
      </c>
      <c r="I35" s="59" t="str">
        <f t="shared" si="7"/>
        <v>4</v>
      </c>
      <c r="J35" s="59" t="str">
        <f t="shared" si="7"/>
        <v>4</v>
      </c>
      <c r="K35" s="59" t="str">
        <f t="shared" si="7"/>
        <v>3</v>
      </c>
      <c r="L35" s="59" t="str">
        <f t="shared" si="7"/>
        <v>3</v>
      </c>
      <c r="M35" s="59" t="str">
        <f t="shared" si="7"/>
        <v>3</v>
      </c>
      <c r="N35" s="59" t="str">
        <f t="shared" si="7"/>
        <v>3</v>
      </c>
      <c r="O35" s="59" t="str">
        <f t="shared" si="7"/>
        <v>3</v>
      </c>
      <c r="P35" s="59" t="str">
        <f t="shared" si="7"/>
        <v>3</v>
      </c>
      <c r="Q35" s="3" t="s">
        <v>1155</v>
      </c>
      <c r="R35" s="3"/>
      <c r="S35" s="3"/>
    </row>
    <row r="36" spans="1:19" x14ac:dyDescent="0.3">
      <c r="A36" s="4"/>
      <c r="B36" s="60"/>
      <c r="C36" s="60" t="s">
        <v>1208</v>
      </c>
      <c r="D36" s="4" t="s">
        <v>783</v>
      </c>
      <c r="E36" s="24" t="s">
        <v>784</v>
      </c>
      <c r="F36" s="60"/>
      <c r="G36" s="60"/>
      <c r="H36" s="60"/>
      <c r="I36" s="60"/>
      <c r="J36" s="60"/>
      <c r="K36" s="60"/>
      <c r="L36" s="60"/>
      <c r="M36" s="60"/>
      <c r="N36" s="60"/>
      <c r="O36" s="60"/>
      <c r="P36" s="60"/>
      <c r="Q36" s="4" t="s">
        <v>785</v>
      </c>
      <c r="R36" s="4"/>
      <c r="S36" s="4"/>
    </row>
    <row r="37" spans="1:19" x14ac:dyDescent="0.3">
      <c r="A37" s="3"/>
      <c r="B37" s="59"/>
      <c r="C37" s="59" t="s">
        <v>207</v>
      </c>
      <c r="D37" s="3" t="s">
        <v>1267</v>
      </c>
      <c r="E37" s="21"/>
      <c r="F37" s="59"/>
      <c r="G37" s="59"/>
      <c r="H37" s="59"/>
      <c r="I37" s="59"/>
      <c r="J37" s="59"/>
      <c r="K37" s="59"/>
      <c r="L37" s="59"/>
      <c r="M37" s="59"/>
      <c r="N37" s="59"/>
      <c r="O37" s="59"/>
      <c r="P37" s="59"/>
      <c r="Q37" s="3" t="s">
        <v>1268</v>
      </c>
      <c r="R37" s="3"/>
      <c r="S37" s="3"/>
    </row>
    <row r="38" spans="1:19" x14ac:dyDescent="0.3">
      <c r="A38" s="4"/>
      <c r="B38" s="60"/>
      <c r="C38" s="60" t="s">
        <v>207</v>
      </c>
      <c r="D38" s="4" t="s">
        <v>786</v>
      </c>
      <c r="E38" s="24" t="str">
        <f>"True"</f>
        <v>True</v>
      </c>
      <c r="F38" s="60"/>
      <c r="G38" s="60"/>
      <c r="H38" s="60"/>
      <c r="I38" s="60"/>
      <c r="J38" s="60"/>
      <c r="K38" s="60"/>
      <c r="L38" s="60"/>
      <c r="M38" s="60"/>
      <c r="N38" s="60"/>
      <c r="O38" s="60"/>
      <c r="P38" s="60"/>
      <c r="Q38" s="4" t="s">
        <v>787</v>
      </c>
      <c r="R38" s="4"/>
      <c r="S38" s="4"/>
    </row>
    <row r="39" spans="1:19" x14ac:dyDescent="0.3">
      <c r="A39" s="3"/>
      <c r="B39" s="59"/>
      <c r="C39" s="59" t="s">
        <v>207</v>
      </c>
      <c r="D39" s="3" t="s">
        <v>788</v>
      </c>
      <c r="E39" s="21" t="str">
        <f>"True"</f>
        <v>True</v>
      </c>
      <c r="F39" s="59"/>
      <c r="G39" s="59"/>
      <c r="H39" s="59"/>
      <c r="I39" s="59"/>
      <c r="J39" s="59"/>
      <c r="K39" s="59"/>
      <c r="L39" s="59"/>
      <c r="M39" s="59"/>
      <c r="N39" s="59"/>
      <c r="O39" s="59"/>
      <c r="P39" s="59"/>
      <c r="Q39" s="3" t="s">
        <v>789</v>
      </c>
      <c r="R39" s="3"/>
      <c r="S39" s="3"/>
    </row>
    <row r="40" spans="1:19" x14ac:dyDescent="0.3">
      <c r="A40" s="4"/>
      <c r="B40" s="60"/>
      <c r="C40" s="60" t="s">
        <v>207</v>
      </c>
      <c r="D40" s="4" t="s">
        <v>790</v>
      </c>
      <c r="E40" s="24" t="str">
        <f>"False"</f>
        <v>False</v>
      </c>
      <c r="F40" s="60"/>
      <c r="G40" s="60"/>
      <c r="H40" s="60"/>
      <c r="I40" s="60"/>
      <c r="J40" s="60"/>
      <c r="K40" s="60"/>
      <c r="L40" s="60"/>
      <c r="M40" s="60"/>
      <c r="N40" s="60"/>
      <c r="O40" s="60"/>
      <c r="P40" s="60"/>
      <c r="Q40" s="4" t="s">
        <v>791</v>
      </c>
      <c r="R40" s="4"/>
      <c r="S40" s="4"/>
    </row>
    <row r="41" spans="1:19" x14ac:dyDescent="0.3">
      <c r="A41" s="3"/>
      <c r="B41" s="59"/>
      <c r="C41" s="59" t="s">
        <v>207</v>
      </c>
      <c r="D41" s="3" t="s">
        <v>792</v>
      </c>
      <c r="E41" s="21" t="str">
        <f>"True"</f>
        <v>True</v>
      </c>
      <c r="F41" s="59"/>
      <c r="G41" s="59"/>
      <c r="H41" s="59"/>
      <c r="I41" s="59"/>
      <c r="J41" s="59"/>
      <c r="K41" s="59"/>
      <c r="L41" s="59"/>
      <c r="M41" s="59"/>
      <c r="N41" s="59"/>
      <c r="O41" s="59"/>
      <c r="P41" s="59"/>
      <c r="Q41" s="3" t="s">
        <v>793</v>
      </c>
      <c r="R41" s="3"/>
      <c r="S41" s="3"/>
    </row>
    <row r="42" spans="1:19" x14ac:dyDescent="0.3">
      <c r="A42" s="4"/>
      <c r="B42" s="60"/>
      <c r="C42" s="60" t="s">
        <v>207</v>
      </c>
      <c r="D42" s="4" t="s">
        <v>794</v>
      </c>
      <c r="E42" s="24" t="str">
        <f>"True"</f>
        <v>True</v>
      </c>
      <c r="F42" s="60"/>
      <c r="G42" s="60"/>
      <c r="H42" s="60"/>
      <c r="I42" s="60"/>
      <c r="J42" s="60"/>
      <c r="K42" s="60"/>
      <c r="L42" s="60"/>
      <c r="M42" s="60"/>
      <c r="N42" s="60"/>
      <c r="O42" s="60"/>
      <c r="P42" s="60"/>
      <c r="Q42" s="4" t="s">
        <v>795</v>
      </c>
      <c r="R42" s="4"/>
      <c r="S42" s="4"/>
    </row>
    <row r="43" spans="1:19" x14ac:dyDescent="0.3">
      <c r="A43" s="3"/>
      <c r="B43" s="59"/>
      <c r="C43" s="59" t="s">
        <v>207</v>
      </c>
      <c r="D43" s="3" t="s">
        <v>796</v>
      </c>
      <c r="E43" s="33">
        <v>0</v>
      </c>
      <c r="F43" s="59"/>
      <c r="G43" s="59"/>
      <c r="H43" s="59"/>
      <c r="I43" s="59"/>
      <c r="J43" s="59"/>
      <c r="K43" s="59"/>
      <c r="L43" s="59"/>
      <c r="M43" s="59"/>
      <c r="N43" s="59"/>
      <c r="O43" s="59"/>
      <c r="P43" s="59"/>
      <c r="Q43" s="3" t="s">
        <v>797</v>
      </c>
      <c r="R43" s="3"/>
      <c r="S43" s="3"/>
    </row>
    <row r="44" spans="1:19" x14ac:dyDescent="0.3">
      <c r="A44" s="4"/>
      <c r="B44" s="60"/>
      <c r="C44" s="60" t="s">
        <v>207</v>
      </c>
      <c r="D44" s="4" t="s">
        <v>798</v>
      </c>
      <c r="E44" s="24" t="str">
        <f>"True"</f>
        <v>True</v>
      </c>
      <c r="F44" s="60"/>
      <c r="G44" s="60"/>
      <c r="H44" s="60"/>
      <c r="I44" s="60"/>
      <c r="J44" s="60"/>
      <c r="K44" s="60"/>
      <c r="L44" s="60"/>
      <c r="M44" s="60"/>
      <c r="N44" s="60"/>
      <c r="O44" s="60"/>
      <c r="P44" s="60"/>
      <c r="Q44" s="4" t="s">
        <v>799</v>
      </c>
      <c r="R44" s="4"/>
      <c r="S44" s="4"/>
    </row>
    <row r="45" spans="1:19" x14ac:dyDescent="0.3">
      <c r="A45" s="3"/>
      <c r="B45" s="59"/>
      <c r="C45" s="59" t="s">
        <v>207</v>
      </c>
      <c r="D45" s="3" t="s">
        <v>800</v>
      </c>
      <c r="E45" s="21" t="str">
        <f>"everywhere"</f>
        <v>everywhere</v>
      </c>
      <c r="F45" s="59"/>
      <c r="G45" s="59"/>
      <c r="H45" s="59"/>
      <c r="I45" s="59"/>
      <c r="J45" s="59"/>
      <c r="K45" s="59"/>
      <c r="L45" s="59"/>
      <c r="M45" s="59"/>
      <c r="N45" s="59"/>
      <c r="O45" s="59"/>
      <c r="P45" s="59"/>
      <c r="Q45" s="3" t="s">
        <v>801</v>
      </c>
      <c r="R45" s="3"/>
      <c r="S45" s="3"/>
    </row>
    <row r="46" spans="1:19" x14ac:dyDescent="0.3">
      <c r="A46" s="4"/>
      <c r="B46" s="60"/>
      <c r="C46" s="60" t="s">
        <v>207</v>
      </c>
      <c r="D46" s="4" t="s">
        <v>802</v>
      </c>
      <c r="E46" s="24" t="str">
        <f>"True"</f>
        <v>True</v>
      </c>
      <c r="F46" s="60"/>
      <c r="G46" s="60"/>
      <c r="H46" s="60"/>
      <c r="I46" s="60"/>
      <c r="J46" s="60"/>
      <c r="K46" s="60"/>
      <c r="L46" s="60"/>
      <c r="M46" s="60"/>
      <c r="N46" s="60"/>
      <c r="O46" s="60"/>
      <c r="P46" s="60"/>
      <c r="Q46" s="4" t="s">
        <v>803</v>
      </c>
      <c r="R46" s="4"/>
      <c r="S46" s="4"/>
    </row>
    <row r="47" spans="1:19" x14ac:dyDescent="0.3">
      <c r="A47" s="3"/>
      <c r="B47" s="59"/>
      <c r="C47" s="59" t="s">
        <v>207</v>
      </c>
      <c r="D47" s="3" t="s">
        <v>804</v>
      </c>
      <c r="E47" s="21" t="str">
        <f>"True"</f>
        <v>True</v>
      </c>
      <c r="F47" s="59"/>
      <c r="G47" s="59"/>
      <c r="H47" s="59"/>
      <c r="I47" s="59"/>
      <c r="J47" s="59"/>
      <c r="K47" s="59"/>
      <c r="L47" s="59"/>
      <c r="M47" s="59"/>
      <c r="N47" s="59"/>
      <c r="O47" s="59"/>
      <c r="P47" s="59"/>
      <c r="Q47" s="3" t="s">
        <v>805</v>
      </c>
      <c r="R47" s="3"/>
      <c r="S47" s="3"/>
    </row>
    <row r="48" spans="1:19" x14ac:dyDescent="0.3">
      <c r="A48" s="4"/>
      <c r="B48" s="60"/>
      <c r="C48" s="60" t="s">
        <v>1093</v>
      </c>
      <c r="D48" s="4" t="s">
        <v>806</v>
      </c>
      <c r="E48" s="24"/>
      <c r="F48" s="60"/>
      <c r="G48" s="60"/>
      <c r="H48" s="60"/>
      <c r="I48" s="60"/>
      <c r="J48" s="60"/>
      <c r="K48" s="60"/>
      <c r="L48" s="60"/>
      <c r="M48" s="60"/>
      <c r="N48" s="60"/>
      <c r="O48" s="60"/>
      <c r="P48" s="60"/>
      <c r="Q48" s="4" t="s">
        <v>807</v>
      </c>
      <c r="R48" s="4"/>
      <c r="S48" s="4"/>
    </row>
    <row r="49" spans="1:19" x14ac:dyDescent="0.3">
      <c r="A49" s="3"/>
      <c r="B49" s="59"/>
      <c r="C49" s="59" t="s">
        <v>1093</v>
      </c>
      <c r="D49" s="3" t="s">
        <v>808</v>
      </c>
      <c r="E49" s="21"/>
      <c r="F49" s="59"/>
      <c r="G49" s="59"/>
      <c r="H49" s="59"/>
      <c r="I49" s="59"/>
      <c r="J49" s="59"/>
      <c r="K49" s="59"/>
      <c r="L49" s="59"/>
      <c r="M49" s="59"/>
      <c r="N49" s="59"/>
      <c r="O49" s="59"/>
      <c r="P49" s="59"/>
      <c r="Q49" s="3" t="s">
        <v>809</v>
      </c>
      <c r="R49" s="3"/>
      <c r="S49" s="3"/>
    </row>
    <row r="50" spans="1:19" x14ac:dyDescent="0.3">
      <c r="A50" s="4"/>
      <c r="B50" s="60"/>
      <c r="C50" s="60" t="s">
        <v>1093</v>
      </c>
      <c r="D50" s="4" t="s">
        <v>1150</v>
      </c>
      <c r="E50" s="24"/>
      <c r="F50" s="60"/>
      <c r="G50" s="60"/>
      <c r="H50" s="60"/>
      <c r="I50" s="60"/>
      <c r="J50" s="60"/>
      <c r="K50" s="60"/>
      <c r="L50" s="60"/>
      <c r="M50" s="60"/>
      <c r="N50" s="60"/>
      <c r="O50" s="60"/>
      <c r="P50" s="60"/>
      <c r="Q50" s="4" t="s">
        <v>1151</v>
      </c>
      <c r="R50" s="4"/>
      <c r="S50" s="4"/>
    </row>
    <row r="51" spans="1:19" x14ac:dyDescent="0.3">
      <c r="A51" s="3"/>
      <c r="B51" s="59"/>
      <c r="C51" s="59" t="s">
        <v>207</v>
      </c>
      <c r="D51" s="3" t="s">
        <v>810</v>
      </c>
      <c r="E51" s="21" t="s">
        <v>1475</v>
      </c>
      <c r="F51" s="59"/>
      <c r="G51" s="59"/>
      <c r="H51" s="59"/>
      <c r="I51" s="59"/>
      <c r="J51" s="59"/>
      <c r="K51" s="59"/>
      <c r="L51" s="59"/>
      <c r="M51" s="59"/>
      <c r="N51" s="59"/>
      <c r="O51" s="59"/>
      <c r="P51" s="59"/>
      <c r="Q51" s="3" t="s">
        <v>811</v>
      </c>
      <c r="R51" s="3"/>
      <c r="S51" s="3"/>
    </row>
    <row r="52" spans="1:19" x14ac:dyDescent="0.3">
      <c r="A52" s="4"/>
      <c r="B52" s="60"/>
      <c r="C52" s="60" t="s">
        <v>207</v>
      </c>
      <c r="D52" s="4" t="s">
        <v>812</v>
      </c>
      <c r="E52" s="24" t="s">
        <v>813</v>
      </c>
      <c r="F52" s="60"/>
      <c r="G52" s="60"/>
      <c r="H52" s="60"/>
      <c r="I52" s="60"/>
      <c r="J52" s="60"/>
      <c r="K52" s="60"/>
      <c r="L52" s="60"/>
      <c r="M52" s="60"/>
      <c r="N52" s="60"/>
      <c r="O52" s="60"/>
      <c r="P52" s="60"/>
      <c r="Q52" s="4" t="s">
        <v>814</v>
      </c>
      <c r="R52" s="4"/>
      <c r="S52" s="4"/>
    </row>
    <row r="53" spans="1:19" x14ac:dyDescent="0.3">
      <c r="A53" s="3"/>
      <c r="B53" s="59"/>
      <c r="C53" s="59" t="s">
        <v>207</v>
      </c>
      <c r="D53" s="3" t="s">
        <v>815</v>
      </c>
      <c r="E53" s="21" t="str">
        <f>"True"</f>
        <v>True</v>
      </c>
      <c r="F53" s="59"/>
      <c r="G53" s="59"/>
      <c r="H53" s="59"/>
      <c r="I53" s="59"/>
      <c r="J53" s="59"/>
      <c r="K53" s="59"/>
      <c r="L53" s="59"/>
      <c r="M53" s="59"/>
      <c r="N53" s="59"/>
      <c r="O53" s="59"/>
      <c r="P53" s="59"/>
      <c r="Q53" s="3" t="s">
        <v>816</v>
      </c>
      <c r="R53" s="3"/>
      <c r="S53" s="3"/>
    </row>
    <row r="54" spans="1:19" x14ac:dyDescent="0.3">
      <c r="A54" s="4"/>
      <c r="B54" s="60"/>
      <c r="C54" s="60" t="s">
        <v>207</v>
      </c>
      <c r="D54" s="4" t="s">
        <v>1269</v>
      </c>
      <c r="E54" s="24"/>
      <c r="F54" s="60"/>
      <c r="G54" s="60"/>
      <c r="H54" s="60"/>
      <c r="I54" s="60"/>
      <c r="J54" s="60"/>
      <c r="K54" s="60"/>
      <c r="L54" s="60"/>
      <c r="M54" s="60"/>
      <c r="N54" s="60"/>
      <c r="O54" s="60"/>
      <c r="P54" s="60"/>
      <c r="Q54" s="4" t="s">
        <v>1270</v>
      </c>
      <c r="R54" s="4"/>
      <c r="S54" s="4"/>
    </row>
    <row r="55" spans="1:19" x14ac:dyDescent="0.3">
      <c r="A55" s="3"/>
      <c r="B55" s="59"/>
      <c r="C55" s="59" t="s">
        <v>1208</v>
      </c>
      <c r="D55" s="3" t="s">
        <v>817</v>
      </c>
      <c r="E55" s="21" t="str">
        <f>"False"</f>
        <v>False</v>
      </c>
      <c r="F55" s="59"/>
      <c r="G55" s="59"/>
      <c r="H55" s="59"/>
      <c r="I55" s="59"/>
      <c r="J55" s="59"/>
      <c r="K55" s="59"/>
      <c r="L55" s="59"/>
      <c r="M55" s="59"/>
      <c r="N55" s="59"/>
      <c r="O55" s="59"/>
      <c r="P55" s="59"/>
      <c r="Q55" s="3" t="s">
        <v>818</v>
      </c>
      <c r="R55" s="3"/>
      <c r="S55" s="3"/>
    </row>
    <row r="56" spans="1:19" x14ac:dyDescent="0.3">
      <c r="A56" s="4"/>
      <c r="B56" s="60"/>
      <c r="C56" s="60" t="s">
        <v>207</v>
      </c>
      <c r="D56" s="4" t="s">
        <v>819</v>
      </c>
      <c r="E56" s="24" t="str">
        <f>"True"</f>
        <v>True</v>
      </c>
      <c r="F56" s="60"/>
      <c r="G56" s="60"/>
      <c r="H56" s="60"/>
      <c r="I56" s="60"/>
      <c r="J56" s="60"/>
      <c r="K56" s="60"/>
      <c r="L56" s="60"/>
      <c r="M56" s="60"/>
      <c r="N56" s="60"/>
      <c r="O56" s="60"/>
      <c r="P56" s="60"/>
      <c r="Q56" s="4" t="s">
        <v>820</v>
      </c>
      <c r="R56" s="4"/>
      <c r="S56" s="4"/>
    </row>
    <row r="57" spans="1:19" x14ac:dyDescent="0.3">
      <c r="A57" s="3"/>
      <c r="B57" s="59"/>
      <c r="C57" s="59" t="s">
        <v>207</v>
      </c>
      <c r="D57" s="3" t="s">
        <v>1271</v>
      </c>
      <c r="E57" s="21" t="str">
        <f>"resolveOrValue('top_bottom_pattern') if resolveOrValue('top_bottom_pattern') == 'zigzag' or resolveOrValue('top_bottom_pattern') == 'concentric' else  'zigzag'"</f>
        <v>resolveOrValue('top_bottom_pattern') if resolveOrValue('top_bottom_pattern') == 'zigzag' or resolveOrValue('top_bottom_pattern') == 'concentric' else  'zigzag'</v>
      </c>
      <c r="F57" s="59"/>
      <c r="G57" s="59"/>
      <c r="H57" s="59"/>
      <c r="I57" s="59"/>
      <c r="J57" s="59"/>
      <c r="K57" s="59"/>
      <c r="L57" s="59"/>
      <c r="M57" s="59"/>
      <c r="N57" s="59"/>
      <c r="O57" s="59"/>
      <c r="P57" s="59"/>
      <c r="Q57" s="3" t="s">
        <v>1278</v>
      </c>
      <c r="R57" s="3"/>
      <c r="S57" s="3"/>
    </row>
    <row r="58" spans="1:19" x14ac:dyDescent="0.3">
      <c r="A58" s="4"/>
      <c r="B58" s="60"/>
      <c r="C58" s="60" t="s">
        <v>207</v>
      </c>
      <c r="D58" s="4" t="s">
        <v>821</v>
      </c>
      <c r="E58" s="24"/>
      <c r="F58" s="60"/>
      <c r="G58" s="60"/>
      <c r="H58" s="60"/>
      <c r="I58" s="60"/>
      <c r="J58" s="60"/>
      <c r="K58" s="60"/>
      <c r="L58" s="60"/>
      <c r="M58" s="60"/>
      <c r="N58" s="60"/>
      <c r="O58" s="60"/>
      <c r="P58" s="60"/>
      <c r="Q58" s="4" t="s">
        <v>822</v>
      </c>
      <c r="R58" s="4"/>
      <c r="S58" s="4"/>
    </row>
    <row r="59" spans="1:19" x14ac:dyDescent="0.3">
      <c r="A59" s="3"/>
      <c r="B59" s="59"/>
      <c r="C59" s="59" t="s">
        <v>207</v>
      </c>
      <c r="D59" s="3" t="s">
        <v>823</v>
      </c>
      <c r="E59" s="21">
        <v>10</v>
      </c>
      <c r="F59" s="59"/>
      <c r="G59" s="59"/>
      <c r="H59" s="59"/>
      <c r="I59" s="59"/>
      <c r="J59" s="59"/>
      <c r="K59" s="59"/>
      <c r="L59" s="59"/>
      <c r="M59" s="59"/>
      <c r="N59" s="59"/>
      <c r="O59" s="59"/>
      <c r="P59" s="59"/>
      <c r="Q59" s="3" t="s">
        <v>824</v>
      </c>
      <c r="R59" s="3"/>
      <c r="S59" s="3"/>
    </row>
    <row r="60" spans="1:19" x14ac:dyDescent="0.3">
      <c r="A60" s="4"/>
      <c r="B60" s="60"/>
      <c r="C60" s="60" t="s">
        <v>207</v>
      </c>
      <c r="D60" s="4" t="s">
        <v>1272</v>
      </c>
      <c r="E60" s="24"/>
      <c r="F60" s="60"/>
      <c r="G60" s="60"/>
      <c r="H60" s="60"/>
      <c r="I60" s="60"/>
      <c r="J60" s="60"/>
      <c r="K60" s="60"/>
      <c r="L60" s="60"/>
      <c r="M60" s="60"/>
      <c r="N60" s="60"/>
      <c r="O60" s="60"/>
      <c r="P60" s="60"/>
      <c r="Q60" s="4" t="s">
        <v>1277</v>
      </c>
      <c r="R60" s="4"/>
      <c r="S60" s="4"/>
    </row>
    <row r="61" spans="1:19" x14ac:dyDescent="0.3">
      <c r="A61" s="3"/>
      <c r="B61" s="59" t="s">
        <v>1167</v>
      </c>
      <c r="C61" s="59" t="s">
        <v>1208</v>
      </c>
      <c r="D61" s="3" t="s">
        <v>825</v>
      </c>
      <c r="E61" s="21">
        <f>GetPrintSpec( $E$2,F$1,"fill_density")*100</f>
        <v>15</v>
      </c>
      <c r="F61" s="59"/>
      <c r="G61" s="59"/>
      <c r="H61" s="59"/>
      <c r="I61" s="59"/>
      <c r="J61" s="59"/>
      <c r="K61" s="59"/>
      <c r="L61" s="59"/>
      <c r="M61" s="59"/>
      <c r="N61" s="59"/>
      <c r="O61" s="59"/>
      <c r="P61" s="59"/>
      <c r="Q61" s="3" t="s">
        <v>826</v>
      </c>
      <c r="R61" s="3"/>
      <c r="S61" s="3"/>
    </row>
    <row r="62" spans="1:19" x14ac:dyDescent="0.3">
      <c r="A62" s="4"/>
      <c r="B62" s="60"/>
      <c r="C62" s="60" t="s">
        <v>207</v>
      </c>
      <c r="D62" s="4" t="s">
        <v>1273</v>
      </c>
      <c r="E62" s="24"/>
      <c r="F62" s="60"/>
      <c r="G62" s="60"/>
      <c r="H62" s="60"/>
      <c r="I62" s="60"/>
      <c r="J62" s="60"/>
      <c r="K62" s="60"/>
      <c r="L62" s="60"/>
      <c r="M62" s="60"/>
      <c r="N62" s="60"/>
      <c r="O62" s="60"/>
      <c r="P62" s="60"/>
      <c r="Q62" s="4" t="s">
        <v>1276</v>
      </c>
      <c r="R62" s="4"/>
      <c r="S62" s="4"/>
    </row>
    <row r="63" spans="1:19" x14ac:dyDescent="0.3">
      <c r="A63" s="3"/>
      <c r="B63" s="59"/>
      <c r="C63" s="59" t="s">
        <v>1208</v>
      </c>
      <c r="D63" s="3" t="s">
        <v>827</v>
      </c>
      <c r="E63" s="33" t="str">
        <f>"grid"</f>
        <v>grid</v>
      </c>
      <c r="F63" s="59"/>
      <c r="G63" s="59"/>
      <c r="H63" s="59"/>
      <c r="I63" s="59"/>
      <c r="J63" s="59"/>
      <c r="K63" s="59"/>
      <c r="L63" s="59"/>
      <c r="M63" s="59"/>
      <c r="N63" s="59"/>
      <c r="O63" s="59"/>
      <c r="P63" s="59"/>
      <c r="Q63" s="3" t="s">
        <v>828</v>
      </c>
      <c r="R63" s="3"/>
      <c r="S63" s="3"/>
    </row>
    <row r="64" spans="1:19" x14ac:dyDescent="0.3">
      <c r="A64" s="4"/>
      <c r="B64" s="60"/>
      <c r="C64" s="60" t="s">
        <v>207</v>
      </c>
      <c r="D64" s="4" t="s">
        <v>829</v>
      </c>
      <c r="E64" s="24" t="str">
        <f>"True"</f>
        <v>True</v>
      </c>
      <c r="F64" s="60"/>
      <c r="G64" s="60"/>
      <c r="H64" s="60"/>
      <c r="I64" s="60"/>
      <c r="J64" s="60"/>
      <c r="K64" s="60"/>
      <c r="L64" s="60"/>
      <c r="M64" s="60"/>
      <c r="N64" s="60"/>
      <c r="O64" s="60"/>
      <c r="P64" s="60"/>
      <c r="Q64" s="4" t="s">
        <v>830</v>
      </c>
      <c r="R64" s="4"/>
      <c r="S64" s="4"/>
    </row>
    <row r="65" spans="1:19" x14ac:dyDescent="0.3">
      <c r="A65" s="3"/>
      <c r="B65" s="59"/>
      <c r="C65" s="59" t="s">
        <v>207</v>
      </c>
      <c r="D65" s="3" t="s">
        <v>831</v>
      </c>
      <c r="E65" s="21" t="str">
        <f>"True"</f>
        <v>True</v>
      </c>
      <c r="F65" s="59"/>
      <c r="G65" s="59"/>
      <c r="H65" s="59"/>
      <c r="I65" s="59"/>
      <c r="J65" s="59"/>
      <c r="K65" s="59"/>
      <c r="L65" s="59"/>
      <c r="M65" s="59"/>
      <c r="N65" s="59"/>
      <c r="O65" s="59"/>
      <c r="P65" s="59"/>
      <c r="Q65" s="3" t="s">
        <v>832</v>
      </c>
      <c r="R65" s="3"/>
      <c r="S65" s="3"/>
    </row>
    <row r="66" spans="1:19" x14ac:dyDescent="0.3">
      <c r="A66" s="4"/>
      <c r="B66" s="60"/>
      <c r="C66" s="60" t="s">
        <v>1208</v>
      </c>
      <c r="D66" s="4" t="s">
        <v>1211</v>
      </c>
      <c r="E66" s="24"/>
      <c r="F66" s="60"/>
      <c r="G66" s="60"/>
      <c r="H66" s="60"/>
      <c r="I66" s="60"/>
      <c r="J66" s="60"/>
      <c r="K66" s="60"/>
      <c r="L66" s="60"/>
      <c r="M66" s="60"/>
      <c r="N66" s="60"/>
      <c r="O66" s="60"/>
      <c r="P66" s="60"/>
      <c r="Q66" s="4" t="s">
        <v>1213</v>
      </c>
      <c r="R66" s="4"/>
      <c r="S66" s="4"/>
    </row>
    <row r="67" spans="1:19" x14ac:dyDescent="0.3">
      <c r="A67" s="3"/>
      <c r="B67" s="59"/>
      <c r="C67" s="59" t="s">
        <v>1208</v>
      </c>
      <c r="D67" s="3" t="s">
        <v>1212</v>
      </c>
      <c r="E67" s="21"/>
      <c r="F67" s="59"/>
      <c r="G67" s="59"/>
      <c r="H67" s="59"/>
      <c r="I67" s="59"/>
      <c r="J67" s="59"/>
      <c r="K67" s="59"/>
      <c r="L67" s="59"/>
      <c r="M67" s="59"/>
      <c r="N67" s="59"/>
      <c r="O67" s="59"/>
      <c r="P67" s="59"/>
      <c r="Q67" s="3" t="s">
        <v>1214</v>
      </c>
      <c r="R67" s="3"/>
      <c r="S67" s="3"/>
    </row>
    <row r="68" spans="1:19" x14ac:dyDescent="0.3">
      <c r="A68" s="4"/>
      <c r="B68" s="60"/>
      <c r="C68" s="60" t="s">
        <v>1208</v>
      </c>
      <c r="D68" s="4" t="s">
        <v>1215</v>
      </c>
      <c r="E68" s="24"/>
      <c r="F68" s="60"/>
      <c r="G68" s="60"/>
      <c r="H68" s="60"/>
      <c r="I68" s="60"/>
      <c r="J68" s="60"/>
      <c r="K68" s="60"/>
      <c r="L68" s="60"/>
      <c r="M68" s="60"/>
      <c r="N68" s="60"/>
      <c r="O68" s="60"/>
      <c r="P68" s="60"/>
      <c r="Q68" s="4" t="s">
        <v>1218</v>
      </c>
      <c r="R68" s="4"/>
      <c r="S68" s="4"/>
    </row>
    <row r="69" spans="1:19" x14ac:dyDescent="0.3">
      <c r="A69" s="3"/>
      <c r="B69" s="59"/>
      <c r="C69" s="59" t="s">
        <v>207</v>
      </c>
      <c r="D69" s="59" t="s">
        <v>87</v>
      </c>
      <c r="E69" s="21">
        <v>10</v>
      </c>
      <c r="F69" s="59"/>
      <c r="G69" s="59"/>
      <c r="H69" s="59"/>
      <c r="I69" s="59"/>
      <c r="J69" s="59"/>
      <c r="K69" s="59"/>
      <c r="L69" s="59"/>
      <c r="M69" s="59"/>
      <c r="N69" s="59"/>
      <c r="O69" s="59"/>
      <c r="P69" s="59"/>
      <c r="Q69" s="3" t="s">
        <v>833</v>
      </c>
      <c r="R69" s="3"/>
      <c r="S69" s="3"/>
    </row>
    <row r="70" spans="1:19" x14ac:dyDescent="0.3">
      <c r="A70" s="4"/>
      <c r="B70" s="60"/>
      <c r="C70" s="60" t="s">
        <v>207</v>
      </c>
      <c r="D70" s="60" t="s">
        <v>1274</v>
      </c>
      <c r="E70" s="24"/>
      <c r="F70" s="60"/>
      <c r="G70" s="60"/>
      <c r="H70" s="60"/>
      <c r="I70" s="60"/>
      <c r="J70" s="60"/>
      <c r="K70" s="60"/>
      <c r="L70" s="60"/>
      <c r="M70" s="60"/>
      <c r="N70" s="60"/>
      <c r="O70" s="60"/>
      <c r="P70" s="60"/>
      <c r="Q70" s="4" t="s">
        <v>1275</v>
      </c>
      <c r="R70" s="4"/>
      <c r="S70" s="4"/>
    </row>
    <row r="71" spans="1:19" x14ac:dyDescent="0.3">
      <c r="A71" s="3"/>
      <c r="B71" s="59"/>
      <c r="C71" s="59" t="s">
        <v>207</v>
      </c>
      <c r="D71" s="3" t="s">
        <v>1108</v>
      </c>
      <c r="E71" s="21" t="str">
        <f>GetFilamentSpec($E$2,"#filament_wipe_distance")</f>
        <v>0</v>
      </c>
      <c r="F71" s="59"/>
      <c r="G71" s="59"/>
      <c r="H71" s="59"/>
      <c r="I71" s="59"/>
      <c r="J71" s="59"/>
      <c r="K71" s="59"/>
      <c r="L71" s="59"/>
      <c r="M71" s="59"/>
      <c r="N71" s="59"/>
      <c r="O71" s="59"/>
      <c r="P71" s="59"/>
      <c r="Q71" s="3" t="s">
        <v>1114</v>
      </c>
      <c r="R71" s="3"/>
      <c r="S71" s="3"/>
    </row>
    <row r="72" spans="1:19" x14ac:dyDescent="0.3">
      <c r="A72" s="4"/>
      <c r="B72" s="60"/>
      <c r="C72" s="60" t="s">
        <v>207</v>
      </c>
      <c r="D72" s="60" t="s">
        <v>834</v>
      </c>
      <c r="E72" s="24"/>
      <c r="F72" s="60"/>
      <c r="G72" s="60"/>
      <c r="H72" s="60"/>
      <c r="I72" s="60"/>
      <c r="J72" s="60"/>
      <c r="K72" s="60"/>
      <c r="L72" s="60"/>
      <c r="M72" s="60"/>
      <c r="N72" s="60"/>
      <c r="O72" s="60"/>
      <c r="P72" s="60"/>
      <c r="Q72" s="4" t="s">
        <v>835</v>
      </c>
      <c r="R72" s="4"/>
      <c r="S72" s="4"/>
    </row>
    <row r="73" spans="1:19" x14ac:dyDescent="0.3">
      <c r="A73" s="3"/>
      <c r="B73" s="59"/>
      <c r="C73" s="59" t="s">
        <v>1209</v>
      </c>
      <c r="D73" s="59" t="s">
        <v>1288</v>
      </c>
      <c r="E73" s="21"/>
      <c r="F73" s="59"/>
      <c r="G73" s="59"/>
      <c r="H73" s="59"/>
      <c r="I73" s="59"/>
      <c r="J73" s="59"/>
      <c r="K73" s="59"/>
      <c r="L73" s="59"/>
      <c r="M73" s="59"/>
      <c r="N73" s="59"/>
      <c r="O73" s="59"/>
      <c r="P73" s="59"/>
      <c r="Q73" s="3" t="s">
        <v>1290</v>
      </c>
      <c r="R73" s="3"/>
      <c r="S73" s="3"/>
    </row>
    <row r="74" spans="1:19" x14ac:dyDescent="0.3">
      <c r="A74" s="4"/>
      <c r="B74" s="60"/>
      <c r="C74" s="60" t="s">
        <v>1209</v>
      </c>
      <c r="D74" s="60" t="s">
        <v>1289</v>
      </c>
      <c r="E74" s="24"/>
      <c r="F74" s="60"/>
      <c r="G74" s="60"/>
      <c r="H74" s="60"/>
      <c r="I74" s="60"/>
      <c r="J74" s="60"/>
      <c r="K74" s="60"/>
      <c r="L74" s="60"/>
      <c r="M74" s="60"/>
      <c r="N74" s="60"/>
      <c r="O74" s="60"/>
      <c r="P74" s="60"/>
      <c r="Q74" s="4" t="s">
        <v>1291</v>
      </c>
      <c r="R74" s="4"/>
      <c r="S74" s="4"/>
    </row>
    <row r="75" spans="1:19" x14ac:dyDescent="0.3">
      <c r="A75" s="3"/>
      <c r="B75" s="59"/>
      <c r="C75" s="59" t="s">
        <v>1208</v>
      </c>
      <c r="D75" s="59" t="s">
        <v>836</v>
      </c>
      <c r="E75" s="21" t="str">
        <f>"True"</f>
        <v>True</v>
      </c>
      <c r="F75" s="59"/>
      <c r="G75" s="59"/>
      <c r="H75" s="59"/>
      <c r="I75" s="59"/>
      <c r="J75" s="59"/>
      <c r="K75" s="59"/>
      <c r="L75" s="59"/>
      <c r="M75" s="59"/>
      <c r="N75" s="59"/>
      <c r="O75" s="59"/>
      <c r="P75" s="59"/>
      <c r="Q75" s="3" t="s">
        <v>837</v>
      </c>
      <c r="R75" s="3"/>
      <c r="S75" s="3"/>
    </row>
    <row r="76" spans="1:19" x14ac:dyDescent="0.3">
      <c r="A76" s="4"/>
      <c r="B76" s="60"/>
      <c r="C76" s="60" t="s">
        <v>207</v>
      </c>
      <c r="D76" s="60" t="s">
        <v>1309</v>
      </c>
      <c r="E76" s="24"/>
      <c r="F76" s="60"/>
      <c r="G76" s="60"/>
      <c r="H76" s="60"/>
      <c r="I76" s="60"/>
      <c r="J76" s="60"/>
      <c r="K76" s="60"/>
      <c r="L76" s="60"/>
      <c r="M76" s="60"/>
      <c r="N76" s="60"/>
      <c r="O76" s="60"/>
      <c r="P76" s="60"/>
      <c r="Q76" s="4" t="s">
        <v>1310</v>
      </c>
      <c r="R76" s="4"/>
      <c r="S76" s="4"/>
    </row>
    <row r="77" spans="1:19" x14ac:dyDescent="0.3">
      <c r="A77" s="3"/>
      <c r="B77" s="59"/>
      <c r="C77" s="59" t="s">
        <v>207</v>
      </c>
      <c r="D77" s="59" t="s">
        <v>1311</v>
      </c>
      <c r="E77" s="21"/>
      <c r="F77" s="59"/>
      <c r="G77" s="59"/>
      <c r="H77" s="59"/>
      <c r="I77" s="59"/>
      <c r="J77" s="59"/>
      <c r="K77" s="59"/>
      <c r="L77" s="59"/>
      <c r="M77" s="59"/>
      <c r="N77" s="59"/>
      <c r="O77" s="59"/>
      <c r="P77" s="59"/>
      <c r="Q77" s="3" t="s">
        <v>1312</v>
      </c>
      <c r="R77" s="3"/>
      <c r="S77" s="3"/>
    </row>
    <row r="78" spans="1:19" x14ac:dyDescent="0.3">
      <c r="A78" s="4"/>
      <c r="B78" s="60"/>
      <c r="C78" s="60" t="s">
        <v>207</v>
      </c>
      <c r="D78" s="60" t="s">
        <v>1313</v>
      </c>
      <c r="E78" s="24"/>
      <c r="F78" s="60"/>
      <c r="G78" s="60"/>
      <c r="H78" s="60"/>
      <c r="I78" s="60"/>
      <c r="J78" s="60"/>
      <c r="K78" s="60"/>
      <c r="L78" s="60"/>
      <c r="M78" s="60"/>
      <c r="N78" s="60"/>
      <c r="O78" s="60"/>
      <c r="P78" s="60"/>
      <c r="Q78" s="4" t="s">
        <v>1314</v>
      </c>
      <c r="R78" s="4"/>
      <c r="S78" s="4"/>
    </row>
    <row r="79" spans="1:19" x14ac:dyDescent="0.3">
      <c r="A79" s="3"/>
      <c r="B79" s="59"/>
      <c r="C79" s="59" t="s">
        <v>207</v>
      </c>
      <c r="D79" s="59" t="s">
        <v>838</v>
      </c>
      <c r="E79" s="21" t="str">
        <f>"=wall_line_width * wall_line_width"</f>
        <v>=wall_line_width * wall_line_width</v>
      </c>
      <c r="F79" s="59"/>
      <c r="G79" s="59"/>
      <c r="H79" s="59"/>
      <c r="I79" s="59"/>
      <c r="J79" s="59"/>
      <c r="K79" s="59"/>
      <c r="L79" s="59"/>
      <c r="M79" s="59"/>
      <c r="N79" s="59"/>
      <c r="O79" s="59"/>
      <c r="P79" s="59"/>
      <c r="Q79" s="3" t="s">
        <v>839</v>
      </c>
      <c r="R79" s="3"/>
      <c r="S79" s="3"/>
    </row>
    <row r="80" spans="1:19" x14ac:dyDescent="0.3">
      <c r="A80" s="4"/>
      <c r="B80" s="60"/>
      <c r="C80" s="60" t="s">
        <v>207</v>
      </c>
      <c r="D80" s="4" t="s">
        <v>840</v>
      </c>
      <c r="E80" s="24" t="str">
        <f>"False"</f>
        <v>False</v>
      </c>
      <c r="F80" s="60"/>
      <c r="G80" s="60"/>
      <c r="H80" s="60"/>
      <c r="I80" s="60"/>
      <c r="J80" s="60"/>
      <c r="K80" s="60"/>
      <c r="L80" s="60"/>
      <c r="M80" s="60"/>
      <c r="N80" s="60"/>
      <c r="O80" s="60"/>
      <c r="P80" s="60"/>
      <c r="Q80" s="4" t="s">
        <v>841</v>
      </c>
      <c r="R80" s="4"/>
      <c r="S80" s="4"/>
    </row>
    <row r="81" spans="1:19" x14ac:dyDescent="0.3">
      <c r="A81" s="3"/>
      <c r="B81" s="59"/>
      <c r="C81" s="59" t="s">
        <v>207</v>
      </c>
      <c r="D81" s="3" t="s">
        <v>1313</v>
      </c>
      <c r="E81" s="21"/>
      <c r="F81" s="59"/>
      <c r="G81" s="59"/>
      <c r="H81" s="59"/>
      <c r="I81" s="59"/>
      <c r="J81" s="59"/>
      <c r="K81" s="59"/>
      <c r="L81" s="59"/>
      <c r="M81" s="59"/>
      <c r="N81" s="59"/>
      <c r="O81" s="59"/>
      <c r="P81" s="59"/>
      <c r="Q81" s="3" t="s">
        <v>1314</v>
      </c>
      <c r="R81" s="3"/>
      <c r="S81" s="3"/>
    </row>
    <row r="82" spans="1:19" x14ac:dyDescent="0.3">
      <c r="A82" s="4"/>
      <c r="B82" s="60"/>
      <c r="C82" s="60" t="s">
        <v>1208</v>
      </c>
      <c r="D82" s="4" t="s">
        <v>1317</v>
      </c>
      <c r="E82" s="24">
        <v>3</v>
      </c>
      <c r="F82" s="60"/>
      <c r="G82" s="60"/>
      <c r="H82" s="60"/>
      <c r="I82" s="60"/>
      <c r="J82" s="60"/>
      <c r="K82" s="60"/>
      <c r="L82" s="60"/>
      <c r="M82" s="60"/>
      <c r="N82" s="60"/>
      <c r="O82" s="60"/>
      <c r="P82" s="60"/>
      <c r="Q82" s="4" t="s">
        <v>1318</v>
      </c>
      <c r="R82" s="4"/>
      <c r="S82" s="4"/>
    </row>
    <row r="83" spans="1:19" x14ac:dyDescent="0.3">
      <c r="A83" s="3"/>
      <c r="B83" s="59" t="s">
        <v>1071</v>
      </c>
      <c r="C83" s="59" t="s">
        <v>1209</v>
      </c>
      <c r="D83" s="59" t="s">
        <v>842</v>
      </c>
      <c r="E83" s="21" t="str">
        <f>GetFilamentSpec($E$2,"temperature")</f>
        <v>245</v>
      </c>
      <c r="F83" s="59"/>
      <c r="G83" s="59"/>
      <c r="H83" s="59"/>
      <c r="I83" s="59"/>
      <c r="J83" s="59"/>
      <c r="K83" s="59"/>
      <c r="L83" s="59"/>
      <c r="M83" s="59"/>
      <c r="N83" s="59"/>
      <c r="O83" s="59"/>
      <c r="P83" s="59"/>
      <c r="Q83" s="3" t="s">
        <v>843</v>
      </c>
      <c r="R83" s="3"/>
      <c r="S83" s="3"/>
    </row>
    <row r="84" spans="1:19" x14ac:dyDescent="0.3">
      <c r="A84" s="4"/>
      <c r="B84" s="60"/>
      <c r="C84" s="60" t="s">
        <v>1209</v>
      </c>
      <c r="D84" s="4" t="s">
        <v>844</v>
      </c>
      <c r="E84" s="24" t="str">
        <f>GetFilamentSpec($E$2,"first_layer_temperature")</f>
        <v>240</v>
      </c>
      <c r="F84" s="60"/>
      <c r="G84" s="60"/>
      <c r="H84" s="60"/>
      <c r="I84" s="60"/>
      <c r="J84" s="60"/>
      <c r="K84" s="60"/>
      <c r="L84" s="60"/>
      <c r="M84" s="60"/>
      <c r="N84" s="60"/>
      <c r="O84" s="60"/>
      <c r="P84" s="60"/>
      <c r="Q84" s="4" t="s">
        <v>1116</v>
      </c>
      <c r="R84" s="4"/>
      <c r="S84" s="4"/>
    </row>
    <row r="85" spans="1:19" x14ac:dyDescent="0.3">
      <c r="A85" s="3"/>
      <c r="B85" s="59"/>
      <c r="C85" s="59" t="s">
        <v>1209</v>
      </c>
      <c r="D85" s="3" t="s">
        <v>845</v>
      </c>
      <c r="E85" s="21" t="str">
        <f>GetFilamentSpec($E$2,"bed_temperature")</f>
        <v>95</v>
      </c>
      <c r="F85" s="59"/>
      <c r="G85" s="59"/>
      <c r="H85" s="59"/>
      <c r="I85" s="59"/>
      <c r="J85" s="59"/>
      <c r="K85" s="59"/>
      <c r="L85" s="59"/>
      <c r="M85" s="59"/>
      <c r="N85" s="59"/>
      <c r="O85" s="59"/>
      <c r="P85" s="59"/>
      <c r="Q85" s="3" t="s">
        <v>846</v>
      </c>
      <c r="R85" s="3"/>
      <c r="S85" s="3"/>
    </row>
    <row r="86" spans="1:19" x14ac:dyDescent="0.3">
      <c r="A86" s="4"/>
      <c r="B86" s="60"/>
      <c r="C86" s="60" t="s">
        <v>1209</v>
      </c>
      <c r="D86" s="4" t="s">
        <v>847</v>
      </c>
      <c r="E86" s="24" t="str">
        <f>GetFilamentSpec($E$2,"first_layer_bed_temperature")</f>
        <v>105</v>
      </c>
      <c r="F86" s="60"/>
      <c r="G86" s="60"/>
      <c r="H86" s="60"/>
      <c r="I86" s="60"/>
      <c r="J86" s="60"/>
      <c r="K86" s="60"/>
      <c r="L86" s="60"/>
      <c r="M86" s="60"/>
      <c r="N86" s="60"/>
      <c r="O86" s="60"/>
      <c r="P86" s="60"/>
      <c r="Q86" s="4" t="s">
        <v>1117</v>
      </c>
      <c r="R86" s="4"/>
      <c r="S86" s="4"/>
    </row>
    <row r="87" spans="1:19" x14ac:dyDescent="0.3">
      <c r="A87" s="3"/>
      <c r="B87" s="59"/>
      <c r="C87" s="59" t="s">
        <v>1209</v>
      </c>
      <c r="D87" s="3" t="s">
        <v>848</v>
      </c>
      <c r="E87" s="21">
        <f>GetFilamentSpec($E$2,"extrusion_multiplier")*100</f>
        <v>100</v>
      </c>
      <c r="F87" s="59"/>
      <c r="G87" s="59"/>
      <c r="H87" s="59"/>
      <c r="I87" s="59"/>
      <c r="J87" s="59"/>
      <c r="K87" s="59"/>
      <c r="L87" s="59"/>
      <c r="M87" s="59"/>
      <c r="N87" s="59"/>
      <c r="O87" s="59"/>
      <c r="P87" s="59"/>
      <c r="Q87" s="3" t="s">
        <v>849</v>
      </c>
      <c r="R87" s="3"/>
      <c r="S87" s="3"/>
    </row>
    <row r="88" spans="1:19" x14ac:dyDescent="0.3">
      <c r="A88" s="4"/>
      <c r="B88" s="60"/>
      <c r="C88" s="60" t="s">
        <v>1209</v>
      </c>
      <c r="D88" s="4" t="s">
        <v>850</v>
      </c>
      <c r="E88" s="24">
        <f>GetFilamentSpec($E$2,"extrusion_multiplier")*100</f>
        <v>100</v>
      </c>
      <c r="F88" s="60"/>
      <c r="G88" s="60"/>
      <c r="H88" s="60"/>
      <c r="I88" s="60"/>
      <c r="J88" s="60"/>
      <c r="K88" s="60"/>
      <c r="L88" s="60"/>
      <c r="M88" s="60"/>
      <c r="N88" s="60"/>
      <c r="O88" s="60"/>
      <c r="P88" s="60"/>
      <c r="Q88" s="4" t="s">
        <v>1118</v>
      </c>
      <c r="R88" s="4"/>
      <c r="S88" s="4"/>
    </row>
    <row r="89" spans="1:19" x14ac:dyDescent="0.3">
      <c r="A89" s="5"/>
      <c r="B89" s="72" t="s">
        <v>558</v>
      </c>
      <c r="C89" s="72"/>
      <c r="D89" s="5" t="s">
        <v>871</v>
      </c>
      <c r="E89" s="32"/>
      <c r="F89" s="75">
        <f>IFERROR(VLOOKUP($E$2,spec_filament!$A$44:$M$54,2,FALSE)/((Nozzle_Diameter*1.2)*F$1),0)</f>
        <v>173.61111111111111</v>
      </c>
      <c r="G89" s="75">
        <f>IFERROR(VLOOKUP($E$2,spec_filament!$A$44:$M$54,2,FALSE)/((Nozzle_Diameter*1.2)*G$1),0)</f>
        <v>104.16666666666667</v>
      </c>
      <c r="H89" s="75">
        <f>IFERROR(VLOOKUP($E$2,spec_filament!$A$44:$M$54,2,FALSE)/((Nozzle_Diameter*1.2)*H$1),0)</f>
        <v>86.805555555555557</v>
      </c>
      <c r="I89" s="75">
        <f>IFERROR(VLOOKUP($E$2,spec_filament!$A$44:$M$54,2,FALSE)/((Nozzle_Diameter*1.2)*I$1),0)</f>
        <v>74.404761904761898</v>
      </c>
      <c r="J89" s="75">
        <f>IFERROR(VLOOKUP($E$2,spec_filament!$A$44:$M$54,2,FALSE)/((Nozzle_Diameter*1.2)*J$1),0)</f>
        <v>65.104166666666671</v>
      </c>
      <c r="K89" s="75">
        <f>IFERROR(VLOOKUP($E$2,spec_filament!$A$44:$M$54,2,FALSE)/((Nozzle_Diameter*1.2)*K$1),0)</f>
        <v>52.083333333333336</v>
      </c>
      <c r="L89" s="75">
        <f>IFERROR(VLOOKUP($E$2,spec_filament!$A$44:$M$54,2,FALSE)/((Nozzle_Diameter*1.2)*L$1),0)</f>
        <v>43.402777777777779</v>
      </c>
      <c r="M89" s="75">
        <f>IFERROR(VLOOKUP($E$2,spec_filament!$A$44:$M$54,2,FALSE)/((Nozzle_Diameter*1.2)*M$1),0)</f>
        <v>37.202380952380949</v>
      </c>
      <c r="N89" s="75">
        <f>IFERROR(VLOOKUP($E$2,spec_filament!$A$44:$M$54,2,FALSE)/((Nozzle_Diameter*1.2)*N$1),0)</f>
        <v>32.552083333333336</v>
      </c>
      <c r="O89" s="75">
        <f>IFERROR(VLOOKUP($E$2,spec_filament!$A$44:$M$54,2,FALSE)/((Nozzle_Diameter*1.2)*O$1),0)</f>
        <v>28.935185185185187</v>
      </c>
      <c r="P89" s="75">
        <f>IFERROR(VLOOKUP($E$2,spec_filament!$A$44:$M$54,2,FALSE)/((Nozzle_Diameter*1.2)*P$1),0)</f>
        <v>26.041666666666668</v>
      </c>
      <c r="Q89" s="5"/>
      <c r="R89" s="5"/>
      <c r="S89" s="5"/>
    </row>
    <row r="90" spans="1:19" x14ac:dyDescent="0.3">
      <c r="A90" s="5"/>
      <c r="B90" s="72"/>
      <c r="C90" s="72"/>
      <c r="D90" s="5" t="s">
        <v>872</v>
      </c>
      <c r="E90" s="32" t="str">
        <f t="shared" ref="E90:P90" si="8">GetPrintSpec( $E$2,E$1,"max_print_speed")</f>
        <v>150</v>
      </c>
      <c r="F90" s="72" t="str">
        <f t="shared" si="8"/>
        <v>150</v>
      </c>
      <c r="G90" s="72" t="str">
        <f t="shared" si="8"/>
        <v>150</v>
      </c>
      <c r="H90" s="72" t="str">
        <f t="shared" si="8"/>
        <v>150</v>
      </c>
      <c r="I90" s="72" t="str">
        <f t="shared" si="8"/>
        <v>150</v>
      </c>
      <c r="J90" s="72" t="str">
        <f t="shared" si="8"/>
        <v>150</v>
      </c>
      <c r="K90" s="72" t="str">
        <f t="shared" si="8"/>
        <v>150</v>
      </c>
      <c r="L90" s="72" t="str">
        <f t="shared" si="8"/>
        <v>150</v>
      </c>
      <c r="M90" s="72" t="str">
        <f t="shared" si="8"/>
        <v>150</v>
      </c>
      <c r="N90" s="72" t="str">
        <f t="shared" si="8"/>
        <v>150</v>
      </c>
      <c r="O90" s="72" t="str">
        <f t="shared" si="8"/>
        <v>150</v>
      </c>
      <c r="P90" s="72" t="str">
        <f t="shared" si="8"/>
        <v>150</v>
      </c>
      <c r="Q90" s="5"/>
      <c r="R90" s="5"/>
      <c r="S90" s="5"/>
    </row>
    <row r="91" spans="1:19" x14ac:dyDescent="0.3">
      <c r="A91" s="3"/>
      <c r="B91" s="59"/>
      <c r="C91" s="59" t="s">
        <v>1209</v>
      </c>
      <c r="D91" s="3" t="s">
        <v>873</v>
      </c>
      <c r="E91" s="21" t="str">
        <f t="shared" ref="E91:P92" si="9">GetPrintSpec( $E$2,E$1,"infill_speed")</f>
        <v>125</v>
      </c>
      <c r="F91" s="59" t="str">
        <f t="shared" si="9"/>
        <v>125</v>
      </c>
      <c r="G91" s="59" t="str">
        <f t="shared" si="9"/>
        <v>125</v>
      </c>
      <c r="H91" s="59" t="str">
        <f t="shared" si="9"/>
        <v>125</v>
      </c>
      <c r="I91" s="59" t="str">
        <f t="shared" si="9"/>
        <v>125</v>
      </c>
      <c r="J91" s="59" t="str">
        <f t="shared" si="9"/>
        <v>125</v>
      </c>
      <c r="K91" s="59" t="str">
        <f t="shared" si="9"/>
        <v>125</v>
      </c>
      <c r="L91" s="59" t="str">
        <f t="shared" si="9"/>
        <v>125</v>
      </c>
      <c r="M91" s="59" t="str">
        <f t="shared" si="9"/>
        <v>125</v>
      </c>
      <c r="N91" s="59" t="str">
        <f t="shared" si="9"/>
        <v>125</v>
      </c>
      <c r="O91" s="59" t="str">
        <f t="shared" si="9"/>
        <v>125</v>
      </c>
      <c r="P91" s="59" t="str">
        <f t="shared" si="9"/>
        <v>125</v>
      </c>
      <c r="Q91" s="3" t="s">
        <v>1119</v>
      </c>
      <c r="R91" s="3"/>
      <c r="S91" s="3"/>
    </row>
    <row r="92" spans="1:19" x14ac:dyDescent="0.3">
      <c r="A92" s="4"/>
      <c r="B92" s="60"/>
      <c r="C92" s="60" t="s">
        <v>1209</v>
      </c>
      <c r="D92" s="4" t="s">
        <v>874</v>
      </c>
      <c r="E92" s="24" t="str">
        <f>GetPrintSpec( $E$2,E$1,"infill_speed")</f>
        <v>125</v>
      </c>
      <c r="F92" s="60" t="str">
        <f t="shared" si="9"/>
        <v>125</v>
      </c>
      <c r="G92" s="60" t="str">
        <f t="shared" si="9"/>
        <v>125</v>
      </c>
      <c r="H92" s="60" t="str">
        <f t="shared" si="9"/>
        <v>125</v>
      </c>
      <c r="I92" s="60" t="str">
        <f t="shared" si="9"/>
        <v>125</v>
      </c>
      <c r="J92" s="60" t="str">
        <f t="shared" si="9"/>
        <v>125</v>
      </c>
      <c r="K92" s="60" t="str">
        <f t="shared" si="9"/>
        <v>125</v>
      </c>
      <c r="L92" s="60" t="str">
        <f t="shared" si="9"/>
        <v>125</v>
      </c>
      <c r="M92" s="60" t="str">
        <f t="shared" si="9"/>
        <v>125</v>
      </c>
      <c r="N92" s="60" t="str">
        <f t="shared" si="9"/>
        <v>125</v>
      </c>
      <c r="O92" s="60" t="str">
        <f t="shared" si="9"/>
        <v>125</v>
      </c>
      <c r="P92" s="60" t="str">
        <f t="shared" si="9"/>
        <v>125</v>
      </c>
      <c r="Q92" s="4" t="s">
        <v>1120</v>
      </c>
      <c r="R92" s="4"/>
      <c r="S92" s="4"/>
    </row>
    <row r="93" spans="1:19" x14ac:dyDescent="0.3">
      <c r="A93" s="3"/>
      <c r="B93" s="59"/>
      <c r="C93" s="59" t="s">
        <v>1209</v>
      </c>
      <c r="D93" s="3" t="s">
        <v>875</v>
      </c>
      <c r="E93" s="21" t="str">
        <f t="shared" ref="E93:P93" si="10">GetPrintSpec( $E$2,E$1,"perimeter_speed")</f>
        <v>100</v>
      </c>
      <c r="F93" s="59" t="str">
        <f t="shared" si="10"/>
        <v>100</v>
      </c>
      <c r="G93" s="59" t="str">
        <f t="shared" si="10"/>
        <v>100</v>
      </c>
      <c r="H93" s="59" t="str">
        <f t="shared" si="10"/>
        <v>100</v>
      </c>
      <c r="I93" s="59" t="str">
        <f t="shared" si="10"/>
        <v>100</v>
      </c>
      <c r="J93" s="59" t="str">
        <f t="shared" si="10"/>
        <v>100</v>
      </c>
      <c r="K93" s="59" t="str">
        <f t="shared" si="10"/>
        <v>100</v>
      </c>
      <c r="L93" s="59" t="str">
        <f t="shared" si="10"/>
        <v>100</v>
      </c>
      <c r="M93" s="59" t="str">
        <f t="shared" si="10"/>
        <v>100</v>
      </c>
      <c r="N93" s="59" t="str">
        <f t="shared" si="10"/>
        <v>100</v>
      </c>
      <c r="O93" s="59" t="str">
        <f t="shared" si="10"/>
        <v>100</v>
      </c>
      <c r="P93" s="59" t="str">
        <f t="shared" si="10"/>
        <v>100</v>
      </c>
      <c r="Q93" s="3" t="s">
        <v>1121</v>
      </c>
      <c r="R93" s="3"/>
      <c r="S93" s="3"/>
    </row>
    <row r="94" spans="1:19" x14ac:dyDescent="0.3">
      <c r="A94" s="4"/>
      <c r="B94" s="60"/>
      <c r="C94" s="60" t="s">
        <v>1209</v>
      </c>
      <c r="D94" s="4" t="s">
        <v>876</v>
      </c>
      <c r="E94" s="24" t="str">
        <f t="shared" ref="E94:P94" si="11">GetPrintSpec( $E$2,E$1,"external_perimeter_speed")</f>
        <v>50</v>
      </c>
      <c r="F94" s="60" t="str">
        <f t="shared" si="11"/>
        <v>50</v>
      </c>
      <c r="G94" s="60" t="str">
        <f t="shared" si="11"/>
        <v>50</v>
      </c>
      <c r="H94" s="60" t="str">
        <f t="shared" si="11"/>
        <v>50</v>
      </c>
      <c r="I94" s="60" t="str">
        <f t="shared" si="11"/>
        <v>50</v>
      </c>
      <c r="J94" s="60" t="str">
        <f t="shared" si="11"/>
        <v>50</v>
      </c>
      <c r="K94" s="60" t="str">
        <f t="shared" si="11"/>
        <v>50</v>
      </c>
      <c r="L94" s="60" t="str">
        <f t="shared" si="11"/>
        <v>50</v>
      </c>
      <c r="M94" s="60" t="str">
        <f t="shared" si="11"/>
        <v>50</v>
      </c>
      <c r="N94" s="60" t="str">
        <f t="shared" si="11"/>
        <v>50</v>
      </c>
      <c r="O94" s="60" t="str">
        <f t="shared" si="11"/>
        <v>50</v>
      </c>
      <c r="P94" s="60" t="str">
        <f t="shared" si="11"/>
        <v>50</v>
      </c>
      <c r="Q94" s="4" t="s">
        <v>1122</v>
      </c>
      <c r="R94" s="4"/>
      <c r="S94" s="4"/>
    </row>
    <row r="95" spans="1:19" x14ac:dyDescent="0.3">
      <c r="A95" s="3"/>
      <c r="B95" s="59"/>
      <c r="C95" s="59" t="s">
        <v>1209</v>
      </c>
      <c r="D95" s="59" t="s">
        <v>877</v>
      </c>
      <c r="E95" s="21" t="str">
        <f t="shared" ref="E95:P95" si="12">GetPrintSpec( $E$2,E$1,"perimeter_speed")</f>
        <v>100</v>
      </c>
      <c r="F95" s="59" t="str">
        <f t="shared" si="12"/>
        <v>100</v>
      </c>
      <c r="G95" s="59" t="str">
        <f t="shared" si="12"/>
        <v>100</v>
      </c>
      <c r="H95" s="59" t="str">
        <f t="shared" si="12"/>
        <v>100</v>
      </c>
      <c r="I95" s="59" t="str">
        <f t="shared" si="12"/>
        <v>100</v>
      </c>
      <c r="J95" s="59" t="str">
        <f t="shared" si="12"/>
        <v>100</v>
      </c>
      <c r="K95" s="59" t="str">
        <f t="shared" si="12"/>
        <v>100</v>
      </c>
      <c r="L95" s="59" t="str">
        <f t="shared" si="12"/>
        <v>100</v>
      </c>
      <c r="M95" s="59" t="str">
        <f t="shared" si="12"/>
        <v>100</v>
      </c>
      <c r="N95" s="59" t="str">
        <f t="shared" si="12"/>
        <v>100</v>
      </c>
      <c r="O95" s="59" t="str">
        <f t="shared" si="12"/>
        <v>100</v>
      </c>
      <c r="P95" s="59" t="str">
        <f t="shared" si="12"/>
        <v>100</v>
      </c>
      <c r="Q95" s="3" t="s">
        <v>1124</v>
      </c>
      <c r="R95" s="3"/>
      <c r="S95" s="3"/>
    </row>
    <row r="96" spans="1:19" x14ac:dyDescent="0.3">
      <c r="A96" s="4"/>
      <c r="B96" s="60"/>
      <c r="C96" s="60" t="s">
        <v>1209</v>
      </c>
      <c r="D96" s="60" t="s">
        <v>1125</v>
      </c>
      <c r="E96" s="24" t="str">
        <f>GetPrintSpec( $E$2,E$1,"top_solid_infill_speed")</f>
        <v>50</v>
      </c>
      <c r="F96" s="60" t="str">
        <f t="shared" ref="F96:P96" si="13">GetPrintSpec( $E$2,F$1,"top_solid_infill_speed")</f>
        <v>50</v>
      </c>
      <c r="G96" s="60" t="str">
        <f t="shared" si="13"/>
        <v>50</v>
      </c>
      <c r="H96" s="60" t="str">
        <f t="shared" si="13"/>
        <v>50</v>
      </c>
      <c r="I96" s="60" t="str">
        <f t="shared" si="13"/>
        <v>50</v>
      </c>
      <c r="J96" s="60" t="str">
        <f t="shared" si="13"/>
        <v>50</v>
      </c>
      <c r="K96" s="60" t="str">
        <f t="shared" si="13"/>
        <v>50</v>
      </c>
      <c r="L96" s="60" t="str">
        <f t="shared" si="13"/>
        <v>50</v>
      </c>
      <c r="M96" s="60" t="str">
        <f t="shared" si="13"/>
        <v>50</v>
      </c>
      <c r="N96" s="60" t="str">
        <f t="shared" si="13"/>
        <v>50</v>
      </c>
      <c r="O96" s="60" t="str">
        <f t="shared" si="13"/>
        <v>50</v>
      </c>
      <c r="P96" s="60" t="str">
        <f t="shared" si="13"/>
        <v>50</v>
      </c>
      <c r="Q96" s="4" t="s">
        <v>1126</v>
      </c>
      <c r="R96" s="4"/>
      <c r="S96" s="4"/>
    </row>
    <row r="97" spans="1:19" x14ac:dyDescent="0.3">
      <c r="A97" s="3"/>
      <c r="B97" s="59"/>
      <c r="C97" s="59" t="s">
        <v>1209</v>
      </c>
      <c r="D97" s="3" t="s">
        <v>878</v>
      </c>
      <c r="E97" s="21" t="str">
        <f>GetPrintSpec( $E$2,E$1,"solid_infill_speed")</f>
        <v>120</v>
      </c>
      <c r="F97" s="59" t="str">
        <f t="shared" ref="F97:P97" si="14">GetPrintSpec( $E$2,F$1,"solid_infill_speed")</f>
        <v>120</v>
      </c>
      <c r="G97" s="59" t="str">
        <f t="shared" si="14"/>
        <v>120</v>
      </c>
      <c r="H97" s="59" t="str">
        <f t="shared" si="14"/>
        <v>120</v>
      </c>
      <c r="I97" s="59" t="str">
        <f t="shared" si="14"/>
        <v>120</v>
      </c>
      <c r="J97" s="59" t="str">
        <f t="shared" si="14"/>
        <v>120</v>
      </c>
      <c r="K97" s="59" t="str">
        <f t="shared" si="14"/>
        <v>120</v>
      </c>
      <c r="L97" s="59" t="str">
        <f t="shared" si="14"/>
        <v>120</v>
      </c>
      <c r="M97" s="59" t="str">
        <f t="shared" si="14"/>
        <v>120</v>
      </c>
      <c r="N97" s="59" t="str">
        <f t="shared" si="14"/>
        <v>120</v>
      </c>
      <c r="O97" s="59" t="str">
        <f t="shared" si="14"/>
        <v>120</v>
      </c>
      <c r="P97" s="59" t="str">
        <f t="shared" si="14"/>
        <v>120</v>
      </c>
      <c r="Q97" s="3" t="s">
        <v>1127</v>
      </c>
      <c r="R97" s="3"/>
      <c r="S97" s="3"/>
    </row>
    <row r="98" spans="1:19" x14ac:dyDescent="0.3">
      <c r="A98" s="4"/>
      <c r="B98" s="60"/>
      <c r="C98" s="60" t="s">
        <v>1209</v>
      </c>
      <c r="D98" s="4" t="s">
        <v>879</v>
      </c>
      <c r="E98" s="24" t="str">
        <f t="shared" ref="E98:P98" si="15">GetPrintSpec( $E$2,E$1,"support_material_speed")</f>
        <v>90</v>
      </c>
      <c r="F98" s="60" t="str">
        <f t="shared" si="15"/>
        <v>90</v>
      </c>
      <c r="G98" s="60" t="str">
        <f t="shared" si="15"/>
        <v>90</v>
      </c>
      <c r="H98" s="60" t="str">
        <f t="shared" si="15"/>
        <v>90</v>
      </c>
      <c r="I98" s="60" t="str">
        <f t="shared" si="15"/>
        <v>90</v>
      </c>
      <c r="J98" s="60" t="str">
        <f t="shared" si="15"/>
        <v>90</v>
      </c>
      <c r="K98" s="60" t="str">
        <f t="shared" si="15"/>
        <v>90</v>
      </c>
      <c r="L98" s="60" t="str">
        <f t="shared" si="15"/>
        <v>90</v>
      </c>
      <c r="M98" s="60" t="str">
        <f t="shared" si="15"/>
        <v>90</v>
      </c>
      <c r="N98" s="60" t="str">
        <f t="shared" si="15"/>
        <v>90</v>
      </c>
      <c r="O98" s="60" t="str">
        <f t="shared" si="15"/>
        <v>90</v>
      </c>
      <c r="P98" s="60" t="str">
        <f t="shared" si="15"/>
        <v>90</v>
      </c>
      <c r="Q98" s="65" t="s">
        <v>1128</v>
      </c>
      <c r="R98" s="4"/>
      <c r="S98" s="4"/>
    </row>
    <row r="99" spans="1:19" x14ac:dyDescent="0.3">
      <c r="A99" s="3"/>
      <c r="B99" s="59"/>
      <c r="C99" s="59" t="s">
        <v>207</v>
      </c>
      <c r="D99" s="3" t="s">
        <v>880</v>
      </c>
      <c r="E99" s="21" t="str">
        <f>GetPrintSpec( $E$2,E$1,"travel_speed")</f>
        <v>250</v>
      </c>
      <c r="F99" s="59"/>
      <c r="G99" s="59"/>
      <c r="H99" s="59"/>
      <c r="I99" s="59"/>
      <c r="J99" s="59"/>
      <c r="K99" s="59"/>
      <c r="L99" s="59"/>
      <c r="M99" s="59"/>
      <c r="N99" s="59"/>
      <c r="O99" s="59"/>
      <c r="P99" s="59"/>
      <c r="Q99" s="3" t="s">
        <v>1129</v>
      </c>
      <c r="R99" s="3"/>
      <c r="S99" s="3"/>
    </row>
    <row r="100" spans="1:19" x14ac:dyDescent="0.3">
      <c r="A100" s="4"/>
      <c r="B100" s="60"/>
      <c r="C100" s="60" t="s">
        <v>1209</v>
      </c>
      <c r="D100" s="4" t="s">
        <v>881</v>
      </c>
      <c r="E100" s="24" t="str">
        <f>GetPrintSpec( $E$2,E$1,"first_layer_speed")</f>
        <v>30</v>
      </c>
      <c r="F100" s="60"/>
      <c r="G100" s="60"/>
      <c r="H100" s="60"/>
      <c r="I100" s="60"/>
      <c r="J100" s="60"/>
      <c r="K100" s="60"/>
      <c r="L100" s="60"/>
      <c r="M100" s="60"/>
      <c r="N100" s="60"/>
      <c r="O100" s="60"/>
      <c r="P100" s="60"/>
      <c r="Q100" s="4" t="s">
        <v>1130</v>
      </c>
      <c r="R100" s="4"/>
      <c r="S100" s="4"/>
    </row>
    <row r="101" spans="1:19" x14ac:dyDescent="0.3">
      <c r="A101" s="3"/>
      <c r="B101" s="59"/>
      <c r="C101" s="59" t="s">
        <v>1093</v>
      </c>
      <c r="D101" s="3" t="s">
        <v>882</v>
      </c>
      <c r="E101" s="21"/>
      <c r="F101" s="59"/>
      <c r="G101" s="59"/>
      <c r="H101" s="59"/>
      <c r="I101" s="59"/>
      <c r="J101" s="59"/>
      <c r="K101" s="59"/>
      <c r="L101" s="59"/>
      <c r="M101" s="59"/>
      <c r="N101" s="59"/>
      <c r="O101" s="59"/>
      <c r="P101" s="59"/>
      <c r="Q101" s="3" t="s">
        <v>1133</v>
      </c>
      <c r="R101" s="3"/>
      <c r="S101" s="3"/>
    </row>
    <row r="102" spans="1:19" x14ac:dyDescent="0.3">
      <c r="A102" s="4"/>
      <c r="B102" s="60"/>
      <c r="C102" s="60" t="s">
        <v>1093</v>
      </c>
      <c r="D102" s="60" t="s">
        <v>883</v>
      </c>
      <c r="E102" s="24" t="str">
        <f>IF(VALUE(GetFilamentSpec($E$2,"filament_retract_lift")) &gt; 0,GetPrintSpec( $E$2,E$1,"travel_speed"),"")</f>
        <v>250</v>
      </c>
      <c r="F102" s="60"/>
      <c r="G102" s="60"/>
      <c r="H102" s="60"/>
      <c r="I102" s="60"/>
      <c r="J102" s="60"/>
      <c r="K102" s="60"/>
      <c r="L102" s="60"/>
      <c r="M102" s="60"/>
      <c r="N102" s="60"/>
      <c r="O102" s="60"/>
      <c r="P102" s="60"/>
      <c r="Q102" s="4" t="s">
        <v>1132</v>
      </c>
      <c r="R102" s="4"/>
      <c r="S102" s="4"/>
    </row>
    <row r="103" spans="1:19" x14ac:dyDescent="0.3">
      <c r="A103" s="3"/>
      <c r="B103" s="59"/>
      <c r="C103" s="59" t="s">
        <v>207</v>
      </c>
      <c r="D103" s="3" t="s">
        <v>1070</v>
      </c>
      <c r="E103" s="21">
        <v>10</v>
      </c>
      <c r="F103" s="59"/>
      <c r="G103" s="59"/>
      <c r="H103" s="59"/>
      <c r="I103" s="59"/>
      <c r="J103" s="59"/>
      <c r="K103" s="59"/>
      <c r="L103" s="59"/>
      <c r="M103" s="59"/>
      <c r="N103" s="59"/>
      <c r="O103" s="59"/>
      <c r="P103" s="59"/>
      <c r="Q103" s="3" t="s">
        <v>1131</v>
      </c>
      <c r="R103" s="3"/>
      <c r="S103" s="3"/>
    </row>
    <row r="104" spans="1:19" x14ac:dyDescent="0.3">
      <c r="A104" s="4"/>
      <c r="B104" s="60"/>
      <c r="C104" s="60" t="s">
        <v>1093</v>
      </c>
      <c r="D104" s="4" t="s">
        <v>884</v>
      </c>
      <c r="E104" s="24">
        <v>1</v>
      </c>
      <c r="F104" s="60"/>
      <c r="G104" s="60"/>
      <c r="H104" s="60"/>
      <c r="I104" s="60"/>
      <c r="J104" s="60"/>
      <c r="K104" s="60"/>
      <c r="L104" s="60"/>
      <c r="M104" s="60"/>
      <c r="N104" s="60"/>
      <c r="O104" s="60"/>
      <c r="P104" s="60"/>
      <c r="Q104" s="4" t="s">
        <v>1135</v>
      </c>
      <c r="R104" s="4"/>
      <c r="S104" s="4"/>
    </row>
    <row r="105" spans="1:19" x14ac:dyDescent="0.3">
      <c r="A105" s="3"/>
      <c r="B105" s="59"/>
      <c r="C105" s="59" t="s">
        <v>207</v>
      </c>
      <c r="D105" s="59" t="s">
        <v>885</v>
      </c>
      <c r="E105" s="21" t="str">
        <f>"True"</f>
        <v>True</v>
      </c>
      <c r="F105" s="59"/>
      <c r="G105" s="59"/>
      <c r="H105" s="59"/>
      <c r="I105" s="59"/>
      <c r="J105" s="59"/>
      <c r="K105" s="59"/>
      <c r="L105" s="59"/>
      <c r="M105" s="59"/>
      <c r="N105" s="59"/>
      <c r="O105" s="59"/>
      <c r="P105" s="59"/>
      <c r="Q105" s="3" t="s">
        <v>1134</v>
      </c>
      <c r="R105" s="3"/>
      <c r="S105" s="3"/>
    </row>
    <row r="106" spans="1:19" x14ac:dyDescent="0.3">
      <c r="A106" s="4"/>
      <c r="B106" s="60"/>
      <c r="C106" s="60" t="s">
        <v>1093</v>
      </c>
      <c r="D106" s="60" t="s">
        <v>1216</v>
      </c>
      <c r="E106" s="24"/>
      <c r="F106" s="60"/>
      <c r="G106" s="60"/>
      <c r="H106" s="60"/>
      <c r="I106" s="60"/>
      <c r="J106" s="60"/>
      <c r="K106" s="60"/>
      <c r="L106" s="60"/>
      <c r="M106" s="60"/>
      <c r="N106" s="60"/>
      <c r="O106" s="60"/>
      <c r="P106" s="60"/>
      <c r="Q106" s="4" t="s">
        <v>1217</v>
      </c>
      <c r="R106" s="4"/>
      <c r="S106" s="4"/>
    </row>
    <row r="107" spans="1:19" x14ac:dyDescent="0.3">
      <c r="A107" s="3"/>
      <c r="B107" s="59"/>
      <c r="C107" s="59" t="s">
        <v>207</v>
      </c>
      <c r="D107" s="3" t="s">
        <v>886</v>
      </c>
      <c r="E107" s="21" t="str">
        <f>"True"</f>
        <v>True</v>
      </c>
      <c r="F107" s="59"/>
      <c r="G107" s="59"/>
      <c r="H107" s="59"/>
      <c r="I107" s="59"/>
      <c r="J107" s="59"/>
      <c r="K107" s="59"/>
      <c r="L107" s="59"/>
      <c r="M107" s="59"/>
      <c r="N107" s="59"/>
      <c r="O107" s="59"/>
      <c r="P107" s="59"/>
      <c r="Q107" s="3" t="s">
        <v>1200</v>
      </c>
      <c r="R107" s="3"/>
      <c r="S107" s="3"/>
    </row>
    <row r="108" spans="1:19" x14ac:dyDescent="0.3">
      <c r="A108" s="4"/>
      <c r="B108" s="60"/>
      <c r="C108" s="60" t="s">
        <v>207</v>
      </c>
      <c r="D108" s="4" t="s">
        <v>887</v>
      </c>
      <c r="E108" s="24" t="str">
        <f>Get_Machine_Spec("machine_max_acceleration_extruding")</f>
        <v>10000</v>
      </c>
      <c r="F108" s="60"/>
      <c r="G108" s="60"/>
      <c r="H108" s="60"/>
      <c r="I108" s="60"/>
      <c r="J108" s="60"/>
      <c r="K108" s="60"/>
      <c r="L108" s="60"/>
      <c r="M108" s="60"/>
      <c r="N108" s="60"/>
      <c r="O108" s="60"/>
      <c r="P108" s="60"/>
      <c r="Q108" s="4" t="s">
        <v>1201</v>
      </c>
      <c r="R108" s="4"/>
      <c r="S108" s="4"/>
    </row>
    <row r="109" spans="1:19" x14ac:dyDescent="0.3">
      <c r="A109" s="3"/>
      <c r="B109" s="59"/>
      <c r="C109" s="59" t="s">
        <v>207</v>
      </c>
      <c r="D109" s="3" t="s">
        <v>888</v>
      </c>
      <c r="E109" s="21" t="str">
        <f>Get_Machine_Spec("machine_max_acceleration_travel")</f>
        <v>3000</v>
      </c>
      <c r="F109" s="59"/>
      <c r="G109" s="59"/>
      <c r="H109" s="59"/>
      <c r="I109" s="59"/>
      <c r="J109" s="59"/>
      <c r="K109" s="59"/>
      <c r="L109" s="59"/>
      <c r="M109" s="59"/>
      <c r="N109" s="59"/>
      <c r="O109" s="59"/>
      <c r="P109" s="59"/>
      <c r="Q109" s="3" t="s">
        <v>1202</v>
      </c>
      <c r="R109" s="3"/>
      <c r="S109" s="3"/>
    </row>
    <row r="110" spans="1:19" x14ac:dyDescent="0.3">
      <c r="A110" s="4"/>
      <c r="B110" s="60"/>
      <c r="C110" s="60" t="s">
        <v>207</v>
      </c>
      <c r="D110" s="4" t="s">
        <v>889</v>
      </c>
      <c r="E110" s="24" t="str">
        <f t="shared" ref="E110" si="16">Get_Machine_Spec("machine_max_acceleration_extruding")</f>
        <v>10000</v>
      </c>
      <c r="F110" s="60"/>
      <c r="G110" s="60"/>
      <c r="H110" s="60"/>
      <c r="I110" s="60"/>
      <c r="J110" s="60"/>
      <c r="K110" s="60"/>
      <c r="L110" s="60"/>
      <c r="M110" s="60"/>
      <c r="N110" s="60"/>
      <c r="O110" s="60"/>
      <c r="P110" s="60"/>
      <c r="Q110" s="4" t="s">
        <v>1203</v>
      </c>
      <c r="R110" s="4"/>
      <c r="S110" s="4"/>
    </row>
    <row r="111" spans="1:19" x14ac:dyDescent="0.3">
      <c r="A111" s="3"/>
      <c r="B111" s="59"/>
      <c r="C111" s="59" t="s">
        <v>207</v>
      </c>
      <c r="D111" s="3" t="s">
        <v>890</v>
      </c>
      <c r="E111" s="21" t="str">
        <f>"False"</f>
        <v>False</v>
      </c>
      <c r="F111" s="59"/>
      <c r="G111" s="59"/>
      <c r="H111" s="59"/>
      <c r="I111" s="59"/>
      <c r="J111" s="59"/>
      <c r="K111" s="59"/>
      <c r="L111" s="59"/>
      <c r="M111" s="59"/>
      <c r="N111" s="59"/>
      <c r="O111" s="59"/>
      <c r="P111" s="59"/>
      <c r="Q111" s="3" t="s">
        <v>1204</v>
      </c>
      <c r="R111" s="3"/>
      <c r="S111" s="3"/>
    </row>
    <row r="112" spans="1:19" x14ac:dyDescent="0.3">
      <c r="A112" s="4"/>
      <c r="B112" s="60"/>
      <c r="C112" s="60" t="s">
        <v>207</v>
      </c>
      <c r="D112" s="4" t="s">
        <v>891</v>
      </c>
      <c r="E112" s="24"/>
      <c r="F112" s="60"/>
      <c r="G112" s="60"/>
      <c r="H112" s="60"/>
      <c r="I112" s="60"/>
      <c r="J112" s="60"/>
      <c r="K112" s="60"/>
      <c r="L112" s="60"/>
      <c r="M112" s="60"/>
      <c r="N112" s="60"/>
      <c r="O112" s="60"/>
      <c r="P112" s="60"/>
      <c r="Q112" s="4" t="s">
        <v>1205</v>
      </c>
      <c r="R112" s="4"/>
      <c r="S112" s="4"/>
    </row>
    <row r="113" spans="1:19" x14ac:dyDescent="0.3">
      <c r="A113" s="3"/>
      <c r="B113" s="59"/>
      <c r="C113" s="59" t="s">
        <v>207</v>
      </c>
      <c r="D113" s="3" t="s">
        <v>892</v>
      </c>
      <c r="E113" s="21"/>
      <c r="F113" s="59"/>
      <c r="G113" s="59"/>
      <c r="H113" s="59"/>
      <c r="I113" s="59"/>
      <c r="J113" s="59"/>
      <c r="K113" s="59"/>
      <c r="L113" s="59"/>
      <c r="M113" s="59"/>
      <c r="N113" s="59"/>
      <c r="O113" s="59"/>
      <c r="P113" s="59"/>
      <c r="Q113" s="3" t="s">
        <v>1206</v>
      </c>
      <c r="R113" s="3"/>
      <c r="S113" s="3"/>
    </row>
    <row r="114" spans="1:19" x14ac:dyDescent="0.3">
      <c r="A114" s="4"/>
      <c r="B114" s="60"/>
      <c r="C114" s="60" t="s">
        <v>207</v>
      </c>
      <c r="D114" s="4" t="s">
        <v>893</v>
      </c>
      <c r="E114" s="24"/>
      <c r="F114" s="60"/>
      <c r="G114" s="60"/>
      <c r="H114" s="60"/>
      <c r="I114" s="60"/>
      <c r="J114" s="60"/>
      <c r="K114" s="60"/>
      <c r="L114" s="60"/>
      <c r="M114" s="60"/>
      <c r="N114" s="60"/>
      <c r="O114" s="60"/>
      <c r="P114" s="60"/>
      <c r="Q114" s="4" t="s">
        <v>1207</v>
      </c>
      <c r="R114" s="4"/>
      <c r="S114" s="4"/>
    </row>
    <row r="115" spans="1:19" x14ac:dyDescent="0.3">
      <c r="A115" s="5"/>
      <c r="B115" s="72" t="s">
        <v>1169</v>
      </c>
      <c r="C115" s="72"/>
      <c r="D115" s="5" t="s">
        <v>1170</v>
      </c>
      <c r="E115" s="32"/>
      <c r="F115" s="72"/>
      <c r="G115" s="72"/>
      <c r="H115" s="72"/>
      <c r="I115" s="72"/>
      <c r="J115" s="72"/>
      <c r="K115" s="72"/>
      <c r="L115" s="72"/>
      <c r="M115" s="72"/>
      <c r="N115" s="72"/>
      <c r="O115" s="72"/>
      <c r="P115" s="72"/>
      <c r="Q115" s="5"/>
      <c r="R115" s="5"/>
      <c r="S115" s="5"/>
    </row>
    <row r="116" spans="1:19" x14ac:dyDescent="0.3">
      <c r="A116" s="3"/>
      <c r="B116" s="59" t="s">
        <v>1171</v>
      </c>
      <c r="C116" s="59" t="s">
        <v>1209</v>
      </c>
      <c r="D116" s="3" t="s">
        <v>851</v>
      </c>
      <c r="E116" s="21" t="str">
        <f>IF(VALUE(GetFilamentSpec($E$2,"filament_retract_length"))&gt;0,"True","False")</f>
        <v>True</v>
      </c>
      <c r="F116" s="59"/>
      <c r="G116" s="59"/>
      <c r="H116" s="59"/>
      <c r="I116" s="59"/>
      <c r="J116" s="59"/>
      <c r="K116" s="59"/>
      <c r="L116" s="59"/>
      <c r="M116" s="59"/>
      <c r="N116" s="59"/>
      <c r="O116" s="59"/>
      <c r="P116" s="59"/>
      <c r="Q116" s="3" t="s">
        <v>852</v>
      </c>
      <c r="R116" s="3"/>
      <c r="S116" s="3"/>
    </row>
    <row r="117" spans="1:19" x14ac:dyDescent="0.3">
      <c r="A117" s="4"/>
      <c r="B117" s="60"/>
      <c r="C117" s="60" t="s">
        <v>1093</v>
      </c>
      <c r="D117" s="4" t="s">
        <v>853</v>
      </c>
      <c r="E117" s="24" t="str">
        <f>IF(VALUE(GetFilamentSpec($E$2,"filament_retract_layer_change")) &gt; 0,"True","False")</f>
        <v>True</v>
      </c>
      <c r="F117" s="60"/>
      <c r="G117" s="60"/>
      <c r="H117" s="60"/>
      <c r="I117" s="60"/>
      <c r="J117" s="60"/>
      <c r="K117" s="60"/>
      <c r="L117" s="60"/>
      <c r="M117" s="60"/>
      <c r="N117" s="60"/>
      <c r="O117" s="60"/>
      <c r="P117" s="60"/>
      <c r="Q117" s="4" t="s">
        <v>854</v>
      </c>
      <c r="R117" s="4"/>
      <c r="S117" s="4"/>
    </row>
    <row r="118" spans="1:19" x14ac:dyDescent="0.3">
      <c r="A118" s="3"/>
      <c r="B118" s="59"/>
      <c r="C118" s="59" t="s">
        <v>1209</v>
      </c>
      <c r="D118" s="3" t="s">
        <v>855</v>
      </c>
      <c r="E118" s="21" t="str">
        <f>GetFilamentSpec($E$2,"#filament_retract_length")</f>
        <v>0.6</v>
      </c>
      <c r="F118" s="59"/>
      <c r="G118" s="59"/>
      <c r="H118" s="59"/>
      <c r="I118" s="59"/>
      <c r="J118" s="59"/>
      <c r="K118" s="59"/>
      <c r="L118" s="59"/>
      <c r="M118" s="59"/>
      <c r="N118" s="59"/>
      <c r="O118" s="59"/>
      <c r="P118" s="59"/>
      <c r="Q118" s="3" t="s">
        <v>856</v>
      </c>
      <c r="R118" s="3"/>
      <c r="S118" s="3"/>
    </row>
    <row r="119" spans="1:19" x14ac:dyDescent="0.3">
      <c r="A119" s="4"/>
      <c r="B119" s="60"/>
      <c r="C119" s="60" t="s">
        <v>1209</v>
      </c>
      <c r="D119" s="4" t="s">
        <v>1172</v>
      </c>
      <c r="E119" s="24" t="str">
        <f>GetFilamentSpec($E$2,"filament_retract_speed")</f>
        <v>50</v>
      </c>
      <c r="F119" s="60"/>
      <c r="G119" s="60"/>
      <c r="H119" s="60"/>
      <c r="I119" s="60"/>
      <c r="J119" s="60"/>
      <c r="K119" s="60"/>
      <c r="L119" s="60"/>
      <c r="M119" s="60"/>
      <c r="N119" s="60"/>
      <c r="O119" s="60"/>
      <c r="P119" s="60"/>
      <c r="Q119" s="4" t="s">
        <v>1199</v>
      </c>
      <c r="R119" s="4"/>
      <c r="S119" s="4"/>
    </row>
    <row r="120" spans="1:19" x14ac:dyDescent="0.3">
      <c r="A120" s="3"/>
      <c r="B120" s="59"/>
      <c r="C120" s="59" t="s">
        <v>1209</v>
      </c>
      <c r="D120" s="3" t="s">
        <v>857</v>
      </c>
      <c r="E120" s="21" t="str">
        <f>GetFilamentSpec($E$2,"filament_retract_speed")</f>
        <v>50</v>
      </c>
      <c r="F120" s="59"/>
      <c r="G120" s="59"/>
      <c r="H120" s="59"/>
      <c r="I120" s="59"/>
      <c r="J120" s="59"/>
      <c r="K120" s="59"/>
      <c r="L120" s="59"/>
      <c r="M120" s="59"/>
      <c r="N120" s="59"/>
      <c r="O120" s="59"/>
      <c r="P120" s="59"/>
      <c r="Q120" s="3" t="s">
        <v>858</v>
      </c>
      <c r="R120" s="3"/>
      <c r="S120" s="3"/>
    </row>
    <row r="121" spans="1:19" x14ac:dyDescent="0.3">
      <c r="A121" s="4"/>
      <c r="B121" s="60"/>
      <c r="C121" s="60" t="s">
        <v>1209</v>
      </c>
      <c r="D121" s="4" t="s">
        <v>859</v>
      </c>
      <c r="E121" s="24" t="str">
        <f>IF(VALUE(GetFilamentSpec($E$2,"filament_deretract_speed")) &gt; 0,GetFilamentSpec($E$2,"filament_deretract_speed"),"")</f>
        <v>30</v>
      </c>
      <c r="F121" s="60"/>
      <c r="G121" s="60"/>
      <c r="H121" s="60"/>
      <c r="I121" s="60"/>
      <c r="J121" s="60"/>
      <c r="K121" s="60"/>
      <c r="L121" s="60"/>
      <c r="M121" s="60"/>
      <c r="N121" s="60"/>
      <c r="O121" s="60"/>
      <c r="P121" s="60"/>
      <c r="Q121" s="4" t="s">
        <v>860</v>
      </c>
      <c r="R121" s="4"/>
      <c r="S121" s="4"/>
    </row>
    <row r="122" spans="1:19" x14ac:dyDescent="0.3">
      <c r="A122" s="3"/>
      <c r="B122" s="59"/>
      <c r="C122" s="59" t="s">
        <v>1093</v>
      </c>
      <c r="D122" s="3" t="s">
        <v>861</v>
      </c>
      <c r="E122" s="21" t="str">
        <f>IF(VALUE(GetFilamentSpec($E$2,"filament_retract_restart_extra")) &gt; 0,GetFilamentSpec($E$2,"filament_retract_restart_extra"),"")</f>
        <v/>
      </c>
      <c r="F122" s="59"/>
      <c r="G122" s="59"/>
      <c r="H122" s="59"/>
      <c r="I122" s="59"/>
      <c r="J122" s="59"/>
      <c r="K122" s="59"/>
      <c r="L122" s="59"/>
      <c r="M122" s="59"/>
      <c r="N122" s="59"/>
      <c r="O122" s="59"/>
      <c r="P122" s="59"/>
      <c r="Q122" s="3" t="s">
        <v>862</v>
      </c>
      <c r="R122" s="3"/>
      <c r="S122" s="3"/>
    </row>
    <row r="123" spans="1:19" x14ac:dyDescent="0.3">
      <c r="A123" s="4"/>
      <c r="B123" s="60"/>
      <c r="C123" s="60" t="s">
        <v>1093</v>
      </c>
      <c r="D123" s="4" t="s">
        <v>863</v>
      </c>
      <c r="E123" s="24"/>
      <c r="F123" s="60"/>
      <c r="G123" s="60"/>
      <c r="H123" s="60"/>
      <c r="I123" s="60"/>
      <c r="J123" s="60"/>
      <c r="K123" s="60"/>
      <c r="L123" s="60"/>
      <c r="M123" s="60"/>
      <c r="N123" s="60"/>
      <c r="O123" s="60"/>
      <c r="P123" s="60"/>
      <c r="Q123" s="4" t="s">
        <v>864</v>
      </c>
      <c r="R123" s="4"/>
      <c r="S123" s="4"/>
    </row>
    <row r="124" spans="1:19" x14ac:dyDescent="0.3">
      <c r="A124" s="3"/>
      <c r="B124" s="59"/>
      <c r="C124" s="59" t="s">
        <v>1093</v>
      </c>
      <c r="D124" s="3" t="s">
        <v>865</v>
      </c>
      <c r="E124" s="21"/>
      <c r="F124" s="59"/>
      <c r="G124" s="59"/>
      <c r="H124" s="59"/>
      <c r="I124" s="59"/>
      <c r="J124" s="59"/>
      <c r="K124" s="59"/>
      <c r="L124" s="59"/>
      <c r="M124" s="59"/>
      <c r="N124" s="59"/>
      <c r="O124" s="59"/>
      <c r="P124" s="59"/>
      <c r="Q124" s="3" t="s">
        <v>866</v>
      </c>
      <c r="R124" s="3"/>
      <c r="S124" s="3"/>
    </row>
    <row r="125" spans="1:19" x14ac:dyDescent="0.3">
      <c r="A125" s="4"/>
      <c r="B125" s="60"/>
      <c r="C125" s="60" t="s">
        <v>1093</v>
      </c>
      <c r="D125" s="4" t="s">
        <v>867</v>
      </c>
      <c r="E125" s="24"/>
      <c r="F125" s="60"/>
      <c r="G125" s="60"/>
      <c r="H125" s="60"/>
      <c r="I125" s="60"/>
      <c r="J125" s="60"/>
      <c r="K125" s="60"/>
      <c r="L125" s="60"/>
      <c r="M125" s="60"/>
      <c r="N125" s="60"/>
      <c r="O125" s="60"/>
      <c r="P125" s="60"/>
      <c r="Q125" s="4" t="s">
        <v>868</v>
      </c>
      <c r="R125" s="4"/>
      <c r="S125" s="4"/>
    </row>
    <row r="126" spans="1:19" x14ac:dyDescent="0.3">
      <c r="A126" s="3"/>
      <c r="B126" s="59"/>
      <c r="C126" s="59" t="s">
        <v>207</v>
      </c>
      <c r="D126" s="3" t="s">
        <v>869</v>
      </c>
      <c r="E126" s="21"/>
      <c r="F126" s="59"/>
      <c r="G126" s="59"/>
      <c r="H126" s="59"/>
      <c r="I126" s="59"/>
      <c r="J126" s="59"/>
      <c r="K126" s="59"/>
      <c r="L126" s="59"/>
      <c r="M126" s="59"/>
      <c r="N126" s="59"/>
      <c r="O126" s="59"/>
      <c r="P126" s="59"/>
      <c r="Q126" s="3" t="s">
        <v>870</v>
      </c>
      <c r="R126" s="3"/>
      <c r="S126" s="3"/>
    </row>
    <row r="127" spans="1:19" x14ac:dyDescent="0.3">
      <c r="A127" s="4"/>
      <c r="B127" s="60"/>
      <c r="C127" s="60" t="s">
        <v>1209</v>
      </c>
      <c r="D127" s="4" t="s">
        <v>1078</v>
      </c>
      <c r="E127" s="24" t="str">
        <f>GetFilamentSpec($E$2,"#filament_pressure_advance")</f>
        <v>0.04</v>
      </c>
      <c r="F127" s="60"/>
      <c r="G127" s="60"/>
      <c r="H127" s="60"/>
      <c r="I127" s="60"/>
      <c r="J127" s="60"/>
      <c r="K127" s="60"/>
      <c r="L127" s="60"/>
      <c r="M127" s="60"/>
      <c r="N127" s="60"/>
      <c r="O127" s="60"/>
      <c r="P127" s="60"/>
      <c r="Q127" s="4"/>
      <c r="R127" s="4"/>
      <c r="S127" s="4"/>
    </row>
    <row r="128" spans="1:19" x14ac:dyDescent="0.3">
      <c r="A128" s="3"/>
      <c r="B128" s="59"/>
      <c r="C128" s="59" t="s">
        <v>1209</v>
      </c>
      <c r="D128" s="3" t="s">
        <v>1079</v>
      </c>
      <c r="E128" s="21" t="str">
        <f>GetFilamentSpec($E$2,"#filament_z_offset")</f>
        <v>0.24</v>
      </c>
      <c r="F128" s="59"/>
      <c r="G128" s="59"/>
      <c r="H128" s="59"/>
      <c r="I128" s="59"/>
      <c r="J128" s="59"/>
      <c r="K128" s="59"/>
      <c r="L128" s="59"/>
      <c r="M128" s="59"/>
      <c r="N128" s="59"/>
      <c r="O128" s="59"/>
      <c r="P128" s="59"/>
      <c r="Q128" s="3"/>
      <c r="R128" s="3"/>
      <c r="S128" s="3"/>
    </row>
    <row r="129" spans="1:19" x14ac:dyDescent="0.3">
      <c r="A129" s="4"/>
      <c r="B129" s="60" t="s">
        <v>1168</v>
      </c>
      <c r="C129" s="60" t="s">
        <v>1209</v>
      </c>
      <c r="D129" s="4" t="s">
        <v>894</v>
      </c>
      <c r="E129" s="24" t="str">
        <f>GetFilamentSpec($E$2,"#filament_combingmode")</f>
        <v>off</v>
      </c>
      <c r="F129" s="60"/>
      <c r="G129" s="60"/>
      <c r="H129" s="60"/>
      <c r="I129" s="60"/>
      <c r="J129" s="60"/>
      <c r="K129" s="60"/>
      <c r="L129" s="60"/>
      <c r="M129" s="60"/>
      <c r="N129" s="60"/>
      <c r="O129" s="60"/>
      <c r="P129" s="60"/>
      <c r="Q129" s="4" t="s">
        <v>895</v>
      </c>
      <c r="R129" s="4"/>
      <c r="S129" s="4"/>
    </row>
    <row r="130" spans="1:19" x14ac:dyDescent="0.3">
      <c r="A130" s="3"/>
      <c r="B130" s="59"/>
      <c r="C130" s="59" t="s">
        <v>1093</v>
      </c>
      <c r="D130" s="3" t="s">
        <v>896</v>
      </c>
      <c r="E130" s="21">
        <v>20</v>
      </c>
      <c r="F130" s="59"/>
      <c r="G130" s="59"/>
      <c r="H130" s="59"/>
      <c r="I130" s="59"/>
      <c r="J130" s="59"/>
      <c r="K130" s="59"/>
      <c r="L130" s="59"/>
      <c r="M130" s="59"/>
      <c r="N130" s="59"/>
      <c r="O130" s="59"/>
      <c r="P130" s="59"/>
      <c r="Q130" s="3" t="s">
        <v>897</v>
      </c>
      <c r="R130" s="3"/>
      <c r="S130" s="3"/>
    </row>
    <row r="131" spans="1:19" x14ac:dyDescent="0.3">
      <c r="A131" s="4"/>
      <c r="B131" s="60"/>
      <c r="C131" s="60" t="s">
        <v>1093</v>
      </c>
      <c r="D131" s="4" t="s">
        <v>898</v>
      </c>
      <c r="E131" s="24" t="str">
        <f>"False"</f>
        <v>False</v>
      </c>
      <c r="F131" s="60"/>
      <c r="G131" s="60"/>
      <c r="H131" s="60"/>
      <c r="I131" s="60"/>
      <c r="J131" s="60"/>
      <c r="K131" s="60"/>
      <c r="L131" s="60"/>
      <c r="M131" s="60"/>
      <c r="N131" s="60"/>
      <c r="O131" s="60"/>
      <c r="P131" s="60"/>
      <c r="Q131" s="4" t="s">
        <v>899</v>
      </c>
      <c r="R131" s="4"/>
      <c r="S131" s="4"/>
    </row>
    <row r="132" spans="1:19" x14ac:dyDescent="0.3">
      <c r="A132" s="3"/>
      <c r="B132" s="59"/>
      <c r="C132" s="59" t="s">
        <v>1093</v>
      </c>
      <c r="D132" s="3" t="s">
        <v>900</v>
      </c>
      <c r="E132" s="21" t="str">
        <f>"True"</f>
        <v>True</v>
      </c>
      <c r="F132" s="59"/>
      <c r="G132" s="59"/>
      <c r="H132" s="59"/>
      <c r="I132" s="59"/>
      <c r="J132" s="59"/>
      <c r="K132" s="59"/>
      <c r="L132" s="59"/>
      <c r="M132" s="59"/>
      <c r="N132" s="59"/>
      <c r="O132" s="59"/>
      <c r="P132" s="59"/>
      <c r="Q132" s="3" t="s">
        <v>901</v>
      </c>
      <c r="R132" s="3"/>
      <c r="S132" s="3"/>
    </row>
    <row r="133" spans="1:19" x14ac:dyDescent="0.3">
      <c r="A133" s="4"/>
      <c r="B133" s="60"/>
      <c r="C133" s="60" t="s">
        <v>1093</v>
      </c>
      <c r="D133" s="4" t="s">
        <v>902</v>
      </c>
      <c r="E133" s="24" t="str">
        <f>"False"</f>
        <v>False</v>
      </c>
      <c r="F133" s="60"/>
      <c r="G133" s="60"/>
      <c r="H133" s="60"/>
      <c r="I133" s="60"/>
      <c r="J133" s="60"/>
      <c r="K133" s="60"/>
      <c r="L133" s="60"/>
      <c r="M133" s="60"/>
      <c r="N133" s="60"/>
      <c r="O133" s="60"/>
      <c r="P133" s="60"/>
      <c r="Q133" s="4" t="s">
        <v>903</v>
      </c>
      <c r="R133" s="4"/>
      <c r="S133" s="4"/>
    </row>
    <row r="134" spans="1:19" x14ac:dyDescent="0.3">
      <c r="A134" s="3"/>
      <c r="B134" s="59"/>
      <c r="C134" s="59" t="s">
        <v>1093</v>
      </c>
      <c r="D134" s="3" t="s">
        <v>1219</v>
      </c>
      <c r="E134" s="21"/>
      <c r="F134" s="59"/>
      <c r="G134" s="59"/>
      <c r="H134" s="59"/>
      <c r="I134" s="59"/>
      <c r="J134" s="59"/>
      <c r="K134" s="59"/>
      <c r="L134" s="59"/>
      <c r="M134" s="59"/>
      <c r="N134" s="59"/>
      <c r="O134" s="59"/>
      <c r="P134" s="59"/>
      <c r="Q134" s="3" t="s">
        <v>1220</v>
      </c>
      <c r="R134" s="3"/>
      <c r="S134" s="3"/>
    </row>
    <row r="135" spans="1:19" x14ac:dyDescent="0.3">
      <c r="A135" s="4"/>
      <c r="B135" s="60"/>
      <c r="C135" s="60" t="s">
        <v>1209</v>
      </c>
      <c r="D135" s="4" t="s">
        <v>904</v>
      </c>
      <c r="E135" s="24" t="str">
        <f>IF(VALUE(GetFilamentSpec($E$2,"filament_retract_lift")) &gt; 0,"True","False")</f>
        <v>True</v>
      </c>
      <c r="F135" s="60"/>
      <c r="G135" s="60"/>
      <c r="H135" s="60"/>
      <c r="I135" s="60"/>
      <c r="J135" s="60"/>
      <c r="K135" s="60"/>
      <c r="L135" s="60"/>
      <c r="M135" s="60"/>
      <c r="N135" s="60"/>
      <c r="O135" s="60"/>
      <c r="P135" s="60"/>
      <c r="Q135" s="4" t="s">
        <v>905</v>
      </c>
      <c r="R135" s="4"/>
      <c r="S135" s="4"/>
    </row>
    <row r="136" spans="1:19" x14ac:dyDescent="0.3">
      <c r="A136" s="3"/>
      <c r="B136" s="59"/>
      <c r="C136" s="59" t="s">
        <v>1209</v>
      </c>
      <c r="D136" s="3" t="s">
        <v>906</v>
      </c>
      <c r="E136" s="21" t="str">
        <f>"True"</f>
        <v>True</v>
      </c>
      <c r="F136" s="59"/>
      <c r="G136" s="59"/>
      <c r="H136" s="59"/>
      <c r="I136" s="59"/>
      <c r="J136" s="59"/>
      <c r="K136" s="59"/>
      <c r="L136" s="59"/>
      <c r="M136" s="59"/>
      <c r="N136" s="59"/>
      <c r="O136" s="59"/>
      <c r="P136" s="59"/>
      <c r="Q136" s="3" t="s">
        <v>907</v>
      </c>
      <c r="R136" s="3"/>
      <c r="S136" s="3"/>
    </row>
    <row r="137" spans="1:19" x14ac:dyDescent="0.3">
      <c r="A137" s="4"/>
      <c r="B137" s="60"/>
      <c r="C137" s="60" t="s">
        <v>1209</v>
      </c>
      <c r="D137" s="4" t="s">
        <v>908</v>
      </c>
      <c r="E137" s="24" t="str">
        <f>IF(VALUE(GetFilamentSpec($E$2,"filament_retract_lift"))&gt; 0,GetFilamentSpec($E$2,"filament_retract_lift"),"=layer_height*2")</f>
        <v>0.4</v>
      </c>
      <c r="F137" s="60"/>
      <c r="G137" s="60"/>
      <c r="H137" s="60"/>
      <c r="I137" s="60"/>
      <c r="J137" s="60"/>
      <c r="K137" s="60"/>
      <c r="L137" s="60"/>
      <c r="M137" s="60"/>
      <c r="N137" s="60"/>
      <c r="O137" s="60"/>
      <c r="P137" s="60"/>
      <c r="Q137" s="4" t="s">
        <v>909</v>
      </c>
      <c r="R137" s="4"/>
      <c r="S137" s="4"/>
    </row>
    <row r="138" spans="1:19" x14ac:dyDescent="0.3">
      <c r="A138" s="3"/>
      <c r="B138" s="59" t="s">
        <v>112</v>
      </c>
      <c r="C138" s="59" t="s">
        <v>1209</v>
      </c>
      <c r="D138" s="3" t="s">
        <v>910</v>
      </c>
      <c r="E138" s="21" t="str">
        <f>IF(VALUE(GetFilamentSpec($E$2,"fan_always_on")) &gt; 0,"True","False")</f>
        <v>True</v>
      </c>
      <c r="F138" s="59"/>
      <c r="G138" s="59"/>
      <c r="H138" s="59"/>
      <c r="I138" s="59"/>
      <c r="J138" s="59"/>
      <c r="K138" s="59"/>
      <c r="L138" s="59"/>
      <c r="M138" s="59"/>
      <c r="N138" s="59"/>
      <c r="O138" s="59"/>
      <c r="P138" s="59"/>
      <c r="Q138" s="3" t="s">
        <v>911</v>
      </c>
      <c r="R138" s="3"/>
      <c r="S138" s="3"/>
    </row>
    <row r="139" spans="1:19" x14ac:dyDescent="0.3">
      <c r="A139" s="4"/>
      <c r="B139" s="60"/>
      <c r="C139" s="60" t="s">
        <v>1209</v>
      </c>
      <c r="D139" s="4" t="s">
        <v>912</v>
      </c>
      <c r="E139" s="24">
        <f>GetFilamentSpec($E$2,"min_fan_speed")*100</f>
        <v>30</v>
      </c>
      <c r="F139" s="60"/>
      <c r="G139" s="60"/>
      <c r="H139" s="60"/>
      <c r="I139" s="60"/>
      <c r="J139" s="60"/>
      <c r="K139" s="60"/>
      <c r="L139" s="60"/>
      <c r="M139" s="60"/>
      <c r="N139" s="60"/>
      <c r="O139" s="60"/>
      <c r="P139" s="60"/>
      <c r="Q139" s="4" t="s">
        <v>913</v>
      </c>
      <c r="R139" s="4"/>
      <c r="S139" s="4"/>
    </row>
    <row r="140" spans="1:19" x14ac:dyDescent="0.3">
      <c r="A140" s="3"/>
      <c r="B140" s="59"/>
      <c r="C140" s="59" t="s">
        <v>1209</v>
      </c>
      <c r="D140" s="3" t="s">
        <v>914</v>
      </c>
      <c r="E140" s="21">
        <f>GetFilamentSpec($E$2,"min_fan_speed")*100</f>
        <v>30</v>
      </c>
      <c r="F140" s="59"/>
      <c r="G140" s="59"/>
      <c r="H140" s="59"/>
      <c r="I140" s="59"/>
      <c r="J140" s="59"/>
      <c r="K140" s="59"/>
      <c r="L140" s="59"/>
      <c r="M140" s="59"/>
      <c r="N140" s="59"/>
      <c r="O140" s="59"/>
      <c r="P140" s="59"/>
      <c r="Q140" s="3" t="s">
        <v>915</v>
      </c>
      <c r="R140" s="3"/>
      <c r="S140" s="3"/>
    </row>
    <row r="141" spans="1:19" x14ac:dyDescent="0.3">
      <c r="A141" s="4"/>
      <c r="B141" s="60"/>
      <c r="C141" s="60" t="s">
        <v>1209</v>
      </c>
      <c r="D141" s="4" t="s">
        <v>916</v>
      </c>
      <c r="E141" s="24">
        <f>GetFilamentSpec($E$2,"max_fan_speed")*100</f>
        <v>80</v>
      </c>
      <c r="F141" s="60"/>
      <c r="G141" s="60"/>
      <c r="H141" s="60"/>
      <c r="I141" s="60"/>
      <c r="J141" s="60"/>
      <c r="K141" s="60"/>
      <c r="L141" s="60"/>
      <c r="M141" s="60"/>
      <c r="N141" s="60"/>
      <c r="O141" s="60"/>
      <c r="P141" s="60"/>
      <c r="Q141" s="4" t="s">
        <v>917</v>
      </c>
      <c r="R141" s="4"/>
      <c r="S141" s="4"/>
    </row>
    <row r="142" spans="1:19" x14ac:dyDescent="0.3">
      <c r="A142" s="3"/>
      <c r="B142" s="59"/>
      <c r="C142" s="59" t="s">
        <v>1209</v>
      </c>
      <c r="D142" s="3" t="s">
        <v>918</v>
      </c>
      <c r="E142" s="21" t="str">
        <f>GetFilamentSpec($E$2,"fan_below_layer_time")</f>
        <v>45</v>
      </c>
      <c r="F142" s="59"/>
      <c r="G142" s="59"/>
      <c r="H142" s="59"/>
      <c r="I142" s="59"/>
      <c r="J142" s="59"/>
      <c r="K142" s="59"/>
      <c r="L142" s="59"/>
      <c r="M142" s="59"/>
      <c r="N142" s="59"/>
      <c r="O142" s="59"/>
      <c r="P142" s="59"/>
      <c r="Q142" s="3" t="s">
        <v>919</v>
      </c>
      <c r="R142" s="3"/>
      <c r="S142" s="3"/>
    </row>
    <row r="143" spans="1:19" x14ac:dyDescent="0.3">
      <c r="A143" s="4"/>
      <c r="B143" s="60"/>
      <c r="C143" s="60" t="s">
        <v>1209</v>
      </c>
      <c r="D143" s="4" t="s">
        <v>920</v>
      </c>
      <c r="E143" s="24"/>
      <c r="F143" s="60"/>
      <c r="G143" s="60"/>
      <c r="H143" s="60"/>
      <c r="I143" s="60"/>
      <c r="J143" s="60"/>
      <c r="K143" s="60"/>
      <c r="L143" s="60"/>
      <c r="M143" s="60"/>
      <c r="N143" s="60"/>
      <c r="O143" s="60"/>
      <c r="P143" s="60"/>
      <c r="Q143" s="4" t="s">
        <v>921</v>
      </c>
      <c r="R143" s="4"/>
      <c r="S143" s="4"/>
    </row>
    <row r="144" spans="1:19" x14ac:dyDescent="0.3">
      <c r="A144" s="3"/>
      <c r="B144" s="59"/>
      <c r="C144" s="59" t="s">
        <v>1209</v>
      </c>
      <c r="D144" s="3" t="s">
        <v>922</v>
      </c>
      <c r="E144" s="21"/>
      <c r="F144" s="59"/>
      <c r="G144" s="59"/>
      <c r="H144" s="59"/>
      <c r="I144" s="59"/>
      <c r="J144" s="59"/>
      <c r="K144" s="59"/>
      <c r="L144" s="59"/>
      <c r="M144" s="59"/>
      <c r="N144" s="59"/>
      <c r="O144" s="59"/>
      <c r="P144" s="59"/>
      <c r="Q144" s="3" t="s">
        <v>923</v>
      </c>
      <c r="R144" s="3"/>
      <c r="S144" s="3"/>
    </row>
    <row r="145" spans="1:19" x14ac:dyDescent="0.3">
      <c r="A145" s="4"/>
      <c r="B145" s="60"/>
      <c r="C145" s="60" t="s">
        <v>1209</v>
      </c>
      <c r="D145" s="4" t="s">
        <v>924</v>
      </c>
      <c r="E145" s="24">
        <f>GetFilamentSpec($E$2,"disable_fan_first_layers")+1</f>
        <v>6</v>
      </c>
      <c r="F145" s="60"/>
      <c r="G145" s="60"/>
      <c r="H145" s="60"/>
      <c r="I145" s="60"/>
      <c r="J145" s="60"/>
      <c r="K145" s="60"/>
      <c r="L145" s="60"/>
      <c r="M145" s="60"/>
      <c r="N145" s="60"/>
      <c r="O145" s="60"/>
      <c r="P145" s="60"/>
      <c r="Q145" s="4" t="s">
        <v>925</v>
      </c>
      <c r="R145" s="4"/>
      <c r="S145" s="4"/>
    </row>
    <row r="146" spans="1:19" x14ac:dyDescent="0.3">
      <c r="A146" s="3"/>
      <c r="B146" s="59"/>
      <c r="C146" s="59" t="s">
        <v>1209</v>
      </c>
      <c r="D146" s="3" t="s">
        <v>926</v>
      </c>
      <c r="E146" s="21" t="str">
        <f>GetFilamentSpec($E$2,"slowdown_below_layer_time")</f>
        <v>15</v>
      </c>
      <c r="F146" s="59"/>
      <c r="G146" s="59"/>
      <c r="H146" s="59"/>
      <c r="I146" s="59"/>
      <c r="J146" s="59"/>
      <c r="K146" s="59"/>
      <c r="L146" s="59"/>
      <c r="M146" s="59"/>
      <c r="N146" s="59"/>
      <c r="O146" s="59"/>
      <c r="P146" s="59"/>
      <c r="Q146" s="3" t="s">
        <v>927</v>
      </c>
      <c r="R146" s="3"/>
      <c r="S146" s="3"/>
    </row>
    <row r="147" spans="1:19" x14ac:dyDescent="0.3">
      <c r="A147" s="4"/>
      <c r="B147" s="60"/>
      <c r="C147" s="60" t="s">
        <v>1093</v>
      </c>
      <c r="D147" s="4" t="s">
        <v>928</v>
      </c>
      <c r="E147" s="24" t="str">
        <f>GetFilamentSpec($E$2,"min_print_speed")</f>
        <v/>
      </c>
      <c r="F147" s="60"/>
      <c r="G147" s="60"/>
      <c r="H147" s="60"/>
      <c r="I147" s="60"/>
      <c r="J147" s="60"/>
      <c r="K147" s="60"/>
      <c r="L147" s="60"/>
      <c r="M147" s="60"/>
      <c r="N147" s="60"/>
      <c r="O147" s="60"/>
      <c r="P147" s="60"/>
      <c r="Q147" s="4" t="s">
        <v>929</v>
      </c>
      <c r="R147" s="4"/>
      <c r="S147" s="4"/>
    </row>
    <row r="148" spans="1:19" x14ac:dyDescent="0.3">
      <c r="A148" s="3"/>
      <c r="B148" s="59"/>
      <c r="C148" s="59" t="s">
        <v>207</v>
      </c>
      <c r="D148" s="3" t="s">
        <v>930</v>
      </c>
      <c r="E148" s="21" t="str">
        <f>"False"</f>
        <v>False</v>
      </c>
      <c r="F148" s="59"/>
      <c r="G148" s="59"/>
      <c r="H148" s="59"/>
      <c r="I148" s="59"/>
      <c r="J148" s="59"/>
      <c r="K148" s="59"/>
      <c r="L148" s="59"/>
      <c r="M148" s="59"/>
      <c r="N148" s="59"/>
      <c r="O148" s="59"/>
      <c r="P148" s="59"/>
      <c r="Q148" s="3" t="s">
        <v>931</v>
      </c>
      <c r="R148" s="3"/>
      <c r="S148" s="3"/>
    </row>
    <row r="149" spans="1:19" x14ac:dyDescent="0.3">
      <c r="A149" s="4"/>
      <c r="B149" s="60" t="s">
        <v>1173</v>
      </c>
      <c r="C149" s="60" t="s">
        <v>1208</v>
      </c>
      <c r="D149" s="4" t="s">
        <v>932</v>
      </c>
      <c r="E149" s="24" t="str">
        <f>"True"</f>
        <v>True</v>
      </c>
      <c r="F149" s="60"/>
      <c r="G149" s="60"/>
      <c r="H149" s="60"/>
      <c r="I149" s="60"/>
      <c r="J149" s="60"/>
      <c r="K149" s="60"/>
      <c r="L149" s="60"/>
      <c r="M149" s="60"/>
      <c r="N149" s="60"/>
      <c r="O149" s="60"/>
      <c r="P149" s="60"/>
      <c r="Q149" s="4" t="s">
        <v>933</v>
      </c>
      <c r="R149" s="4"/>
      <c r="S149" s="4"/>
    </row>
    <row r="150" spans="1:19" x14ac:dyDescent="0.3">
      <c r="A150" s="3"/>
      <c r="B150" s="59"/>
      <c r="C150" s="59" t="s">
        <v>1208</v>
      </c>
      <c r="D150" s="3" t="s">
        <v>1307</v>
      </c>
      <c r="E150" s="21" t="str">
        <f>"tree"</f>
        <v>tree</v>
      </c>
      <c r="F150" s="59"/>
      <c r="G150" s="59"/>
      <c r="H150" s="59"/>
      <c r="I150" s="59"/>
      <c r="J150" s="59"/>
      <c r="K150" s="59"/>
      <c r="L150" s="59"/>
      <c r="M150" s="59"/>
      <c r="N150" s="59"/>
      <c r="O150" s="59"/>
      <c r="P150" s="59"/>
      <c r="Q150" s="3" t="s">
        <v>1316</v>
      </c>
      <c r="R150" s="3"/>
      <c r="S150" s="3"/>
    </row>
    <row r="151" spans="1:19" x14ac:dyDescent="0.3">
      <c r="A151" s="4"/>
      <c r="B151" s="60"/>
      <c r="C151" s="60" t="s">
        <v>207</v>
      </c>
      <c r="D151" s="4" t="s">
        <v>1308</v>
      </c>
      <c r="E151" s="24"/>
      <c r="F151" s="60"/>
      <c r="G151" s="60"/>
      <c r="H151" s="60"/>
      <c r="I151" s="60"/>
      <c r="J151" s="60"/>
      <c r="K151" s="60"/>
      <c r="L151" s="60"/>
      <c r="M151" s="60"/>
      <c r="N151" s="60"/>
      <c r="O151" s="60"/>
      <c r="P151" s="60"/>
      <c r="Q151" s="4" t="s">
        <v>1315</v>
      </c>
      <c r="R151" s="4"/>
      <c r="S151" s="4"/>
    </row>
    <row r="152" spans="1:19" x14ac:dyDescent="0.3">
      <c r="A152" s="3"/>
      <c r="B152" s="59"/>
      <c r="C152" s="59" t="s">
        <v>207</v>
      </c>
      <c r="D152" s="3" t="s">
        <v>1007</v>
      </c>
      <c r="E152" s="21"/>
      <c r="F152" s="59"/>
      <c r="G152" s="59"/>
      <c r="H152" s="59"/>
      <c r="I152" s="59"/>
      <c r="J152" s="59"/>
      <c r="K152" s="59"/>
      <c r="L152" s="59"/>
      <c r="M152" s="59"/>
      <c r="N152" s="59"/>
      <c r="O152" s="59"/>
      <c r="P152" s="59"/>
      <c r="Q152" s="3" t="s">
        <v>1008</v>
      </c>
      <c r="R152" s="3"/>
      <c r="S152" s="3"/>
    </row>
    <row r="153" spans="1:19" x14ac:dyDescent="0.3">
      <c r="A153" s="4"/>
      <c r="B153" s="60"/>
      <c r="C153" s="60" t="s">
        <v>1208</v>
      </c>
      <c r="D153" s="4" t="s">
        <v>934</v>
      </c>
      <c r="E153" s="24" t="s">
        <v>935</v>
      </c>
      <c r="F153" s="60"/>
      <c r="G153" s="60"/>
      <c r="H153" s="60"/>
      <c r="I153" s="60"/>
      <c r="J153" s="60"/>
      <c r="K153" s="60"/>
      <c r="L153" s="60"/>
      <c r="M153" s="60"/>
      <c r="N153" s="60"/>
      <c r="O153" s="60"/>
      <c r="P153" s="60"/>
      <c r="Q153" s="4" t="s">
        <v>936</v>
      </c>
      <c r="R153" s="4"/>
      <c r="S153" s="4"/>
    </row>
    <row r="154" spans="1:19" x14ac:dyDescent="0.3">
      <c r="A154" s="3"/>
      <c r="B154" s="59"/>
      <c r="C154" s="59" t="s">
        <v>207</v>
      </c>
      <c r="D154" s="3" t="s">
        <v>937</v>
      </c>
      <c r="E154" s="71" t="s">
        <v>1098</v>
      </c>
      <c r="F154" s="59"/>
      <c r="G154" s="59"/>
      <c r="H154" s="59"/>
      <c r="I154" s="59"/>
      <c r="J154" s="59"/>
      <c r="K154" s="59"/>
      <c r="L154" s="59"/>
      <c r="M154" s="59"/>
      <c r="N154" s="59"/>
      <c r="O154" s="59"/>
      <c r="P154" s="59"/>
      <c r="Q154" s="3" t="s">
        <v>938</v>
      </c>
      <c r="R154" s="3"/>
      <c r="S154" s="3"/>
    </row>
    <row r="155" spans="1:19" x14ac:dyDescent="0.3">
      <c r="A155" s="4"/>
      <c r="B155" s="60"/>
      <c r="C155" s="60" t="s">
        <v>207</v>
      </c>
      <c r="D155" s="4" t="s">
        <v>1099</v>
      </c>
      <c r="E155" s="61" t="s">
        <v>784</v>
      </c>
      <c r="F155" s="60"/>
      <c r="G155" s="60"/>
      <c r="H155" s="60"/>
      <c r="I155" s="60"/>
      <c r="J155" s="60"/>
      <c r="K155" s="60"/>
      <c r="L155" s="60"/>
      <c r="M155" s="60"/>
      <c r="N155" s="60"/>
      <c r="O155" s="60"/>
      <c r="P155" s="60"/>
      <c r="Q155" s="4" t="s">
        <v>1198</v>
      </c>
      <c r="R155" s="4"/>
      <c r="S155" s="4"/>
    </row>
    <row r="156" spans="1:19" x14ac:dyDescent="0.3">
      <c r="A156" s="3"/>
      <c r="B156" s="59"/>
      <c r="C156" s="59" t="s">
        <v>207</v>
      </c>
      <c r="D156" s="3" t="s">
        <v>939</v>
      </c>
      <c r="E156" s="21">
        <v>1</v>
      </c>
      <c r="F156" s="59"/>
      <c r="G156" s="59"/>
      <c r="H156" s="59"/>
      <c r="I156" s="59"/>
      <c r="J156" s="59"/>
      <c r="K156" s="59"/>
      <c r="L156" s="59"/>
      <c r="M156" s="59"/>
      <c r="N156" s="59"/>
      <c r="O156" s="59"/>
      <c r="P156" s="59"/>
      <c r="Q156" s="3" t="s">
        <v>940</v>
      </c>
      <c r="R156" s="3"/>
      <c r="S156" s="3"/>
    </row>
    <row r="157" spans="1:19" x14ac:dyDescent="0.3">
      <c r="A157" s="4"/>
      <c r="B157" s="60"/>
      <c r="C157" s="60" t="s">
        <v>207</v>
      </c>
      <c r="D157" s="4" t="s">
        <v>941</v>
      </c>
      <c r="E157" s="24"/>
      <c r="F157" s="60"/>
      <c r="G157" s="60"/>
      <c r="H157" s="60"/>
      <c r="I157" s="60"/>
      <c r="J157" s="60"/>
      <c r="K157" s="60"/>
      <c r="L157" s="60"/>
      <c r="M157" s="60"/>
      <c r="N157" s="60"/>
      <c r="O157" s="60"/>
      <c r="P157" s="60"/>
      <c r="Q157" s="4" t="s">
        <v>942</v>
      </c>
      <c r="R157" s="4"/>
      <c r="S157" s="4"/>
    </row>
    <row r="158" spans="1:19" x14ac:dyDescent="0.3">
      <c r="A158" s="3"/>
      <c r="B158" s="59"/>
      <c r="C158" s="59" t="s">
        <v>207</v>
      </c>
      <c r="D158" s="3" t="s">
        <v>943</v>
      </c>
      <c r="E158" s="21"/>
      <c r="F158" s="59"/>
      <c r="G158" s="59"/>
      <c r="H158" s="59"/>
      <c r="I158" s="59"/>
      <c r="J158" s="59"/>
      <c r="K158" s="59"/>
      <c r="L158" s="59"/>
      <c r="M158" s="59"/>
      <c r="N158" s="59"/>
      <c r="O158" s="59"/>
      <c r="P158" s="59"/>
      <c r="Q158" s="3" t="s">
        <v>944</v>
      </c>
      <c r="R158" s="3"/>
      <c r="S158" s="3"/>
    </row>
    <row r="159" spans="1:19" x14ac:dyDescent="0.3">
      <c r="A159" s="4"/>
      <c r="B159" s="60"/>
      <c r="C159" s="60" t="s">
        <v>207</v>
      </c>
      <c r="D159" s="4" t="s">
        <v>945</v>
      </c>
      <c r="E159" s="61" t="str">
        <f>"=0 if support_tree_enable else 15"</f>
        <v>=0 if support_tree_enable else 15</v>
      </c>
      <c r="F159" s="60"/>
      <c r="G159" s="60"/>
      <c r="H159" s="60"/>
      <c r="I159" s="60"/>
      <c r="J159" s="60"/>
      <c r="K159" s="60"/>
      <c r="L159" s="60"/>
      <c r="M159" s="60"/>
      <c r="N159" s="60"/>
      <c r="O159" s="60"/>
      <c r="P159" s="60"/>
      <c r="Q159" s="4" t="s">
        <v>946</v>
      </c>
      <c r="R159" s="4"/>
      <c r="S159" s="4"/>
    </row>
    <row r="160" spans="1:19" x14ac:dyDescent="0.3">
      <c r="A160" s="3"/>
      <c r="B160" s="59"/>
      <c r="C160" s="59" t="s">
        <v>207</v>
      </c>
      <c r="D160" s="3" t="s">
        <v>947</v>
      </c>
      <c r="E160" s="21" t="str">
        <f>"True"</f>
        <v>True</v>
      </c>
      <c r="F160" s="59"/>
      <c r="G160" s="59"/>
      <c r="H160" s="59"/>
      <c r="I160" s="59"/>
      <c r="J160" s="59"/>
      <c r="K160" s="59"/>
      <c r="L160" s="59"/>
      <c r="M160" s="59"/>
      <c r="N160" s="59"/>
      <c r="O160" s="59"/>
      <c r="P160" s="59"/>
      <c r="Q160" s="3" t="s">
        <v>948</v>
      </c>
      <c r="R160" s="3"/>
      <c r="S160" s="3"/>
    </row>
    <row r="161" spans="1:19" x14ac:dyDescent="0.3">
      <c r="A161" s="4"/>
      <c r="B161" s="60"/>
      <c r="C161" s="60" t="s">
        <v>207</v>
      </c>
      <c r="D161" s="4" t="s">
        <v>949</v>
      </c>
      <c r="E161" s="61" t="s">
        <v>1105</v>
      </c>
      <c r="F161" s="60"/>
      <c r="G161" s="60"/>
      <c r="H161" s="60"/>
      <c r="I161" s="60"/>
      <c r="J161" s="60"/>
      <c r="K161" s="60"/>
      <c r="L161" s="60"/>
      <c r="M161" s="60"/>
      <c r="N161" s="60"/>
      <c r="O161" s="60"/>
      <c r="P161" s="60"/>
      <c r="Q161" s="4" t="s">
        <v>950</v>
      </c>
      <c r="R161" s="4"/>
      <c r="S161" s="4"/>
    </row>
    <row r="162" spans="1:19" x14ac:dyDescent="0.3">
      <c r="A162" s="3"/>
      <c r="B162" s="59"/>
      <c r="C162" s="59" t="s">
        <v>207</v>
      </c>
      <c r="D162" s="3" t="s">
        <v>1174</v>
      </c>
      <c r="E162" s="71"/>
      <c r="F162" s="59"/>
      <c r="G162" s="59"/>
      <c r="H162" s="59"/>
      <c r="I162" s="59"/>
      <c r="J162" s="59"/>
      <c r="K162" s="59"/>
      <c r="L162" s="59"/>
      <c r="M162" s="59"/>
      <c r="N162" s="59"/>
      <c r="O162" s="59"/>
      <c r="P162" s="59"/>
      <c r="Q162" s="3" t="s">
        <v>1197</v>
      </c>
      <c r="R162" s="3"/>
      <c r="S162" s="3"/>
    </row>
    <row r="163" spans="1:19" x14ac:dyDescent="0.3">
      <c r="A163" s="4"/>
      <c r="B163" s="60"/>
      <c r="C163" s="60" t="s">
        <v>207</v>
      </c>
      <c r="D163" s="4" t="s">
        <v>951</v>
      </c>
      <c r="E163" s="61" t="s">
        <v>1102</v>
      </c>
      <c r="F163" s="24"/>
      <c r="G163" s="24"/>
      <c r="H163" s="24"/>
      <c r="I163" s="24"/>
      <c r="J163" s="24"/>
      <c r="K163" s="24"/>
      <c r="L163" s="24"/>
      <c r="M163" s="24"/>
      <c r="N163" s="24"/>
      <c r="O163" s="24"/>
      <c r="P163" s="24"/>
      <c r="Q163" s="4" t="s">
        <v>952</v>
      </c>
      <c r="R163" s="4"/>
      <c r="S163" s="4"/>
    </row>
    <row r="164" spans="1:19" x14ac:dyDescent="0.3">
      <c r="A164" s="3"/>
      <c r="B164" s="59"/>
      <c r="C164" s="59" t="s">
        <v>207</v>
      </c>
      <c r="D164" s="3" t="s">
        <v>1175</v>
      </c>
      <c r="E164" s="71"/>
      <c r="F164" s="21"/>
      <c r="G164" s="21"/>
      <c r="H164" s="21"/>
      <c r="I164" s="21"/>
      <c r="J164" s="21"/>
      <c r="K164" s="21"/>
      <c r="L164" s="21"/>
      <c r="M164" s="21"/>
      <c r="N164" s="21"/>
      <c r="O164" s="21"/>
      <c r="P164" s="21"/>
      <c r="Q164" s="3" t="s">
        <v>1195</v>
      </c>
      <c r="R164" s="3"/>
      <c r="S164" s="3"/>
    </row>
    <row r="165" spans="1:19" x14ac:dyDescent="0.3">
      <c r="A165" s="4"/>
      <c r="B165" s="60"/>
      <c r="C165" s="60" t="s">
        <v>207</v>
      </c>
      <c r="D165" s="4" t="s">
        <v>1176</v>
      </c>
      <c r="E165" s="61"/>
      <c r="F165" s="24"/>
      <c r="G165" s="24"/>
      <c r="H165" s="24"/>
      <c r="I165" s="24"/>
      <c r="J165" s="24"/>
      <c r="K165" s="24"/>
      <c r="L165" s="24"/>
      <c r="M165" s="24"/>
      <c r="N165" s="24"/>
      <c r="O165" s="24"/>
      <c r="P165" s="24"/>
      <c r="Q165" s="4" t="s">
        <v>1196</v>
      </c>
      <c r="R165" s="4"/>
      <c r="S165" s="4"/>
    </row>
    <row r="166" spans="1:19" x14ac:dyDescent="0.3">
      <c r="A166" s="3"/>
      <c r="B166" s="59"/>
      <c r="C166" s="59" t="s">
        <v>207</v>
      </c>
      <c r="D166" s="3" t="s">
        <v>953</v>
      </c>
      <c r="E166" s="71" t="s">
        <v>1100</v>
      </c>
      <c r="F166" s="59"/>
      <c r="G166" s="59"/>
      <c r="H166" s="59"/>
      <c r="I166" s="59"/>
      <c r="J166" s="59"/>
      <c r="K166" s="59"/>
      <c r="L166" s="59"/>
      <c r="M166" s="59"/>
      <c r="N166" s="59"/>
      <c r="O166" s="59"/>
      <c r="P166" s="59"/>
      <c r="Q166" s="3" t="s">
        <v>954</v>
      </c>
      <c r="R166" s="3"/>
      <c r="S166" s="3"/>
    </row>
    <row r="167" spans="1:19" x14ac:dyDescent="0.3">
      <c r="A167" s="4"/>
      <c r="B167" s="60"/>
      <c r="C167" s="60" t="s">
        <v>207</v>
      </c>
      <c r="D167" s="4" t="s">
        <v>1103</v>
      </c>
      <c r="E167" s="61" t="s">
        <v>1104</v>
      </c>
      <c r="F167" s="24"/>
      <c r="G167" s="24"/>
      <c r="H167" s="24"/>
      <c r="I167" s="24"/>
      <c r="J167" s="24"/>
      <c r="K167" s="24"/>
      <c r="L167" s="24"/>
      <c r="M167" s="24"/>
      <c r="N167" s="24"/>
      <c r="O167" s="24"/>
      <c r="P167" s="24"/>
      <c r="Q167" s="4" t="s">
        <v>1194</v>
      </c>
      <c r="R167" s="4"/>
      <c r="S167" s="4"/>
    </row>
    <row r="168" spans="1:19" x14ac:dyDescent="0.3">
      <c r="A168" s="3"/>
      <c r="B168" s="59"/>
      <c r="C168" s="59" t="s">
        <v>207</v>
      </c>
      <c r="D168" s="3" t="s">
        <v>955</v>
      </c>
      <c r="E168" s="71" t="s">
        <v>1101</v>
      </c>
      <c r="F168" s="59"/>
      <c r="G168" s="59"/>
      <c r="H168" s="59"/>
      <c r="I168" s="59"/>
      <c r="J168" s="59"/>
      <c r="K168" s="59"/>
      <c r="L168" s="59"/>
      <c r="M168" s="59"/>
      <c r="N168" s="59"/>
      <c r="O168" s="59"/>
      <c r="P168" s="59"/>
      <c r="Q168" s="3" t="s">
        <v>956</v>
      </c>
      <c r="R168" s="3"/>
      <c r="S168" s="3"/>
    </row>
    <row r="169" spans="1:19" x14ac:dyDescent="0.3">
      <c r="A169" s="4"/>
      <c r="B169" s="60"/>
      <c r="C169" s="60" t="s">
        <v>207</v>
      </c>
      <c r="D169" s="4" t="s">
        <v>1231</v>
      </c>
      <c r="E169" s="61">
        <v>0.3</v>
      </c>
      <c r="F169" s="4">
        <f>MAX(IF(F$13 &gt; 0.16,F$13,F$13*2),0.3)</f>
        <v>0.3</v>
      </c>
      <c r="G169" s="4">
        <f t="shared" ref="G169:P169" si="17">MAX(IF(G$13 &gt; 0.16,G$13,G$13*2),0.3)</f>
        <v>0.3</v>
      </c>
      <c r="H169" s="4">
        <f t="shared" si="17"/>
        <v>0.3</v>
      </c>
      <c r="I169" s="4">
        <f t="shared" si="17"/>
        <v>0.3</v>
      </c>
      <c r="J169" s="4">
        <f t="shared" si="17"/>
        <v>0.32</v>
      </c>
      <c r="K169" s="4">
        <f t="shared" si="17"/>
        <v>0.4</v>
      </c>
      <c r="L169" s="4">
        <f t="shared" si="17"/>
        <v>0.48</v>
      </c>
      <c r="M169" s="4">
        <f t="shared" si="17"/>
        <v>0.56000000000000005</v>
      </c>
      <c r="N169" s="4">
        <f t="shared" si="17"/>
        <v>0.64</v>
      </c>
      <c r="O169" s="4">
        <f t="shared" si="17"/>
        <v>0.72</v>
      </c>
      <c r="P169" s="4">
        <f t="shared" si="17"/>
        <v>0.8</v>
      </c>
      <c r="Q169" s="4" t="s">
        <v>1233</v>
      </c>
      <c r="R169" s="4"/>
      <c r="S169" s="4"/>
    </row>
    <row r="170" spans="1:19" x14ac:dyDescent="0.3">
      <c r="A170" s="3"/>
      <c r="B170" s="59"/>
      <c r="C170" s="59" t="s">
        <v>207</v>
      </c>
      <c r="D170" s="3" t="s">
        <v>1232</v>
      </c>
      <c r="E170" s="71"/>
      <c r="F170" s="59"/>
      <c r="G170" s="59"/>
      <c r="H170" s="59"/>
      <c r="I170" s="59"/>
      <c r="J170" s="59"/>
      <c r="K170" s="59"/>
      <c r="L170" s="59"/>
      <c r="M170" s="59"/>
      <c r="N170" s="59"/>
      <c r="O170" s="59"/>
      <c r="P170" s="59"/>
      <c r="Q170" s="3"/>
      <c r="R170" s="3"/>
      <c r="S170" s="3"/>
    </row>
    <row r="171" spans="1:19" x14ac:dyDescent="0.3">
      <c r="A171" s="4"/>
      <c r="B171" s="60"/>
      <c r="C171" s="60" t="s">
        <v>207</v>
      </c>
      <c r="D171" s="4" t="s">
        <v>957</v>
      </c>
      <c r="E171" s="24"/>
      <c r="F171" s="60"/>
      <c r="G171" s="60"/>
      <c r="H171" s="60"/>
      <c r="I171" s="60"/>
      <c r="J171" s="60"/>
      <c r="K171" s="60"/>
      <c r="L171" s="60"/>
      <c r="M171" s="60"/>
      <c r="N171" s="60"/>
      <c r="O171" s="60"/>
      <c r="P171" s="60"/>
      <c r="Q171" s="4" t="s">
        <v>958</v>
      </c>
      <c r="R171" s="4"/>
      <c r="S171" s="4"/>
    </row>
    <row r="172" spans="1:19" x14ac:dyDescent="0.3">
      <c r="A172" s="3"/>
      <c r="B172" s="59"/>
      <c r="C172" s="59" t="s">
        <v>207</v>
      </c>
      <c r="D172" s="3" t="s">
        <v>959</v>
      </c>
      <c r="E172" s="21"/>
      <c r="F172" s="59"/>
      <c r="G172" s="59"/>
      <c r="H172" s="59"/>
      <c r="I172" s="59"/>
      <c r="J172" s="59"/>
      <c r="K172" s="59"/>
      <c r="L172" s="59"/>
      <c r="M172" s="59"/>
      <c r="N172" s="59"/>
      <c r="O172" s="59"/>
      <c r="P172" s="59"/>
      <c r="Q172" s="3" t="s">
        <v>960</v>
      </c>
      <c r="R172" s="3"/>
      <c r="S172" s="3"/>
    </row>
    <row r="173" spans="1:19" x14ac:dyDescent="0.3">
      <c r="A173" s="4"/>
      <c r="B173" s="60"/>
      <c r="C173" s="60" t="s">
        <v>207</v>
      </c>
      <c r="D173" s="4" t="s">
        <v>961</v>
      </c>
      <c r="E173" s="24"/>
      <c r="F173" s="60"/>
      <c r="G173" s="60"/>
      <c r="H173" s="60"/>
      <c r="I173" s="60"/>
      <c r="J173" s="60"/>
      <c r="K173" s="60"/>
      <c r="L173" s="60"/>
      <c r="M173" s="60"/>
      <c r="N173" s="60"/>
      <c r="O173" s="60"/>
      <c r="P173" s="60"/>
      <c r="Q173" s="4" t="s">
        <v>962</v>
      </c>
      <c r="R173" s="4"/>
      <c r="S173" s="4"/>
    </row>
    <row r="174" spans="1:19" x14ac:dyDescent="0.3">
      <c r="A174" s="3"/>
      <c r="B174" s="59"/>
      <c r="C174" s="59" t="s">
        <v>207</v>
      </c>
      <c r="D174" s="3" t="s">
        <v>963</v>
      </c>
      <c r="E174" s="21">
        <v>2</v>
      </c>
      <c r="F174" s="59"/>
      <c r="G174" s="59"/>
      <c r="H174" s="59"/>
      <c r="I174" s="59"/>
      <c r="J174" s="59"/>
      <c r="K174" s="59"/>
      <c r="L174" s="59"/>
      <c r="M174" s="59"/>
      <c r="N174" s="59"/>
      <c r="O174" s="59"/>
      <c r="P174" s="59"/>
      <c r="Q174" s="3" t="s">
        <v>964</v>
      </c>
      <c r="R174" s="3"/>
      <c r="S174" s="3"/>
    </row>
    <row r="175" spans="1:19" x14ac:dyDescent="0.3">
      <c r="A175" s="4"/>
      <c r="B175" s="60"/>
      <c r="C175" s="60" t="s">
        <v>207</v>
      </c>
      <c r="D175" s="4" t="s">
        <v>965</v>
      </c>
      <c r="E175" s="24" t="str">
        <f>"True"</f>
        <v>True</v>
      </c>
      <c r="F175" s="60"/>
      <c r="G175" s="60"/>
      <c r="H175" s="60"/>
      <c r="I175" s="60"/>
      <c r="J175" s="60"/>
      <c r="K175" s="60"/>
      <c r="L175" s="60"/>
      <c r="M175" s="60"/>
      <c r="N175" s="60"/>
      <c r="O175" s="60"/>
      <c r="P175" s="60"/>
      <c r="Q175" s="4" t="s">
        <v>966</v>
      </c>
      <c r="R175" s="4"/>
      <c r="S175" s="4"/>
    </row>
    <row r="176" spans="1:19" x14ac:dyDescent="0.3">
      <c r="A176" s="3"/>
      <c r="B176" s="59"/>
      <c r="C176" s="59" t="s">
        <v>207</v>
      </c>
      <c r="D176" s="3" t="s">
        <v>1110</v>
      </c>
      <c r="E176" s="21" t="str">
        <f>"True"</f>
        <v>True</v>
      </c>
      <c r="F176" s="59"/>
      <c r="G176" s="59"/>
      <c r="H176" s="59"/>
      <c r="I176" s="59"/>
      <c r="J176" s="59"/>
      <c r="K176" s="59"/>
      <c r="L176" s="59"/>
      <c r="M176" s="59"/>
      <c r="N176" s="59"/>
      <c r="O176" s="59"/>
      <c r="P176" s="59"/>
      <c r="Q176" s="3" t="s">
        <v>1136</v>
      </c>
      <c r="R176" s="3"/>
      <c r="S176" s="3"/>
    </row>
    <row r="177" spans="1:19" x14ac:dyDescent="0.3">
      <c r="A177" s="4"/>
      <c r="B177" s="60"/>
      <c r="C177" s="60" t="s">
        <v>207</v>
      </c>
      <c r="D177" s="4" t="s">
        <v>1111</v>
      </c>
      <c r="E177" s="24" t="str">
        <f>"False"</f>
        <v>False</v>
      </c>
      <c r="F177" s="60"/>
      <c r="G177" s="60"/>
      <c r="H177" s="60"/>
      <c r="I177" s="60"/>
      <c r="J177" s="60"/>
      <c r="K177" s="60"/>
      <c r="L177" s="60"/>
      <c r="M177" s="60"/>
      <c r="N177" s="60"/>
      <c r="O177" s="60"/>
      <c r="P177" s="60"/>
      <c r="Q177" s="4" t="s">
        <v>1137</v>
      </c>
      <c r="R177" s="4"/>
      <c r="S177" s="4"/>
    </row>
    <row r="178" spans="1:19" x14ac:dyDescent="0.3">
      <c r="A178" s="3"/>
      <c r="B178" s="59"/>
      <c r="C178" s="59" t="s">
        <v>207</v>
      </c>
      <c r="D178" s="3" t="s">
        <v>967</v>
      </c>
      <c r="E178" s="71" t="s">
        <v>1106</v>
      </c>
      <c r="F178" s="59"/>
      <c r="G178" s="59"/>
      <c r="H178" s="59"/>
      <c r="I178" s="59"/>
      <c r="J178" s="59"/>
      <c r="K178" s="59"/>
      <c r="L178" s="59"/>
      <c r="M178" s="59"/>
      <c r="N178" s="59"/>
      <c r="O178" s="59"/>
      <c r="P178" s="59"/>
      <c r="Q178" s="3" t="s">
        <v>968</v>
      </c>
      <c r="R178" s="3"/>
      <c r="S178" s="3"/>
    </row>
    <row r="179" spans="1:19" x14ac:dyDescent="0.3">
      <c r="A179" s="4"/>
      <c r="B179" s="60"/>
      <c r="C179" s="60" t="s">
        <v>207</v>
      </c>
      <c r="D179" s="4" t="s">
        <v>969</v>
      </c>
      <c r="E179" s="24">
        <v>33.333300000000001</v>
      </c>
      <c r="F179" s="60"/>
      <c r="G179" s="60"/>
      <c r="H179" s="60"/>
      <c r="I179" s="60"/>
      <c r="J179" s="60"/>
      <c r="K179" s="60"/>
      <c r="L179" s="60"/>
      <c r="M179" s="60"/>
      <c r="N179" s="60"/>
      <c r="O179" s="60"/>
      <c r="P179" s="60"/>
      <c r="Q179" s="4" t="s">
        <v>970</v>
      </c>
      <c r="R179" s="4"/>
      <c r="S179" s="4"/>
    </row>
    <row r="180" spans="1:19" x14ac:dyDescent="0.3">
      <c r="A180" s="3"/>
      <c r="B180" s="59"/>
      <c r="C180" s="59" t="s">
        <v>207</v>
      </c>
      <c r="D180" s="3" t="s">
        <v>971</v>
      </c>
      <c r="E180" s="21">
        <f>Nozzle_Diameter</f>
        <v>0.4</v>
      </c>
      <c r="F180" s="59"/>
      <c r="G180" s="59"/>
      <c r="H180" s="59"/>
      <c r="I180" s="59"/>
      <c r="J180" s="59"/>
      <c r="K180" s="59"/>
      <c r="L180" s="59"/>
      <c r="M180" s="59"/>
      <c r="N180" s="59"/>
      <c r="O180" s="59"/>
      <c r="P180" s="59"/>
      <c r="Q180" s="3" t="s">
        <v>972</v>
      </c>
      <c r="R180" s="3"/>
      <c r="S180" s="3"/>
    </row>
    <row r="181" spans="1:19" x14ac:dyDescent="0.3">
      <c r="A181" s="4"/>
      <c r="B181" s="60"/>
      <c r="C181" s="60" t="s">
        <v>207</v>
      </c>
      <c r="D181" s="4" t="s">
        <v>973</v>
      </c>
      <c r="E181" s="24">
        <f>Nozzle_Diameter</f>
        <v>0.4</v>
      </c>
      <c r="F181" s="60"/>
      <c r="G181" s="60"/>
      <c r="H181" s="60"/>
      <c r="I181" s="60"/>
      <c r="J181" s="60"/>
      <c r="K181" s="60"/>
      <c r="L181" s="60"/>
      <c r="M181" s="60"/>
      <c r="N181" s="60"/>
      <c r="O181" s="60"/>
      <c r="P181" s="60"/>
      <c r="Q181" s="4" t="s">
        <v>974</v>
      </c>
      <c r="R181" s="4"/>
      <c r="S181" s="4"/>
    </row>
    <row r="182" spans="1:19" x14ac:dyDescent="0.3">
      <c r="A182" s="3"/>
      <c r="B182" s="59"/>
      <c r="C182" s="59" t="s">
        <v>207</v>
      </c>
      <c r="D182" s="3" t="s">
        <v>975</v>
      </c>
      <c r="E182" s="21" t="s">
        <v>341</v>
      </c>
      <c r="F182" s="59"/>
      <c r="G182" s="59"/>
      <c r="H182" s="59"/>
      <c r="I182" s="59"/>
      <c r="J182" s="59"/>
      <c r="K182" s="59"/>
      <c r="L182" s="59"/>
      <c r="M182" s="59"/>
      <c r="N182" s="59"/>
      <c r="O182" s="59"/>
      <c r="P182" s="59"/>
      <c r="Q182" s="3" t="s">
        <v>976</v>
      </c>
      <c r="R182" s="3"/>
      <c r="S182" s="3"/>
    </row>
    <row r="183" spans="1:19" x14ac:dyDescent="0.3">
      <c r="A183" s="4"/>
      <c r="B183" s="60"/>
      <c r="C183" s="60" t="s">
        <v>207</v>
      </c>
      <c r="D183" s="4" t="s">
        <v>1234</v>
      </c>
      <c r="E183" s="24" t="s">
        <v>784</v>
      </c>
      <c r="F183" s="60"/>
      <c r="G183" s="60"/>
      <c r="H183" s="60"/>
      <c r="I183" s="60"/>
      <c r="J183" s="60"/>
      <c r="K183" s="60"/>
      <c r="L183" s="60"/>
      <c r="M183" s="60"/>
      <c r="N183" s="60"/>
      <c r="O183" s="60"/>
      <c r="P183" s="60"/>
      <c r="Q183" s="4" t="s">
        <v>1235</v>
      </c>
      <c r="R183" s="4"/>
      <c r="S183" s="4"/>
    </row>
    <row r="184" spans="1:19" x14ac:dyDescent="0.3">
      <c r="A184" s="3"/>
      <c r="B184" s="59"/>
      <c r="C184" s="59" t="s">
        <v>207</v>
      </c>
      <c r="D184" s="3" t="s">
        <v>1107</v>
      </c>
      <c r="E184" s="21">
        <v>0.2</v>
      </c>
      <c r="F184" s="59"/>
      <c r="G184" s="59"/>
      <c r="H184" s="59"/>
      <c r="I184" s="59"/>
      <c r="J184" s="59"/>
      <c r="K184" s="59"/>
      <c r="L184" s="59"/>
      <c r="M184" s="59"/>
      <c r="N184" s="59"/>
      <c r="O184" s="59"/>
      <c r="P184" s="59"/>
      <c r="Q184" s="3" t="s">
        <v>1138</v>
      </c>
      <c r="R184" s="3"/>
      <c r="S184" s="3"/>
    </row>
    <row r="185" spans="1:19" x14ac:dyDescent="0.3">
      <c r="A185" s="4"/>
      <c r="B185" s="60"/>
      <c r="C185" s="60" t="s">
        <v>207</v>
      </c>
      <c r="D185" s="4" t="s">
        <v>977</v>
      </c>
      <c r="E185" s="24">
        <v>10</v>
      </c>
      <c r="F185" s="60"/>
      <c r="G185" s="60"/>
      <c r="H185" s="60"/>
      <c r="I185" s="60"/>
      <c r="J185" s="60"/>
      <c r="K185" s="60"/>
      <c r="L185" s="60"/>
      <c r="M185" s="60"/>
      <c r="N185" s="60"/>
      <c r="O185" s="60"/>
      <c r="P185" s="60"/>
      <c r="Q185" s="4" t="s">
        <v>978</v>
      </c>
      <c r="R185" s="4"/>
      <c r="S185" s="4"/>
    </row>
    <row r="186" spans="1:19" x14ac:dyDescent="0.3">
      <c r="A186" s="3"/>
      <c r="B186" s="59"/>
      <c r="C186" s="59" t="s">
        <v>207</v>
      </c>
      <c r="D186" s="3" t="s">
        <v>979</v>
      </c>
      <c r="E186" s="21"/>
      <c r="F186" s="59"/>
      <c r="G186" s="59"/>
      <c r="H186" s="59"/>
      <c r="I186" s="59"/>
      <c r="J186" s="59"/>
      <c r="K186" s="59"/>
      <c r="L186" s="59"/>
      <c r="M186" s="59"/>
      <c r="N186" s="59"/>
      <c r="O186" s="59"/>
      <c r="P186" s="59"/>
      <c r="Q186" s="3" t="s">
        <v>980</v>
      </c>
      <c r="R186" s="3"/>
      <c r="S186" s="3"/>
    </row>
    <row r="187" spans="1:19" x14ac:dyDescent="0.3">
      <c r="A187" s="4"/>
      <c r="B187" s="60"/>
      <c r="C187" s="60" t="s">
        <v>207</v>
      </c>
      <c r="D187" s="4" t="s">
        <v>981</v>
      </c>
      <c r="E187" s="24" t="str">
        <f>"True"</f>
        <v>True</v>
      </c>
      <c r="F187" s="60"/>
      <c r="G187" s="60"/>
      <c r="H187" s="60"/>
      <c r="I187" s="60"/>
      <c r="J187" s="60"/>
      <c r="K187" s="60"/>
      <c r="L187" s="60"/>
      <c r="M187" s="60"/>
      <c r="N187" s="60"/>
      <c r="O187" s="60"/>
      <c r="P187" s="60"/>
      <c r="Q187" s="4" t="s">
        <v>982</v>
      </c>
      <c r="R187" s="4"/>
      <c r="S187" s="4"/>
    </row>
    <row r="188" spans="1:19" x14ac:dyDescent="0.3">
      <c r="A188" s="3"/>
      <c r="B188" s="59"/>
      <c r="C188" s="59" t="s">
        <v>207</v>
      </c>
      <c r="D188" s="3" t="s">
        <v>983</v>
      </c>
      <c r="E188" s="21">
        <v>100</v>
      </c>
      <c r="F188" s="59"/>
      <c r="G188" s="59"/>
      <c r="H188" s="59"/>
      <c r="I188" s="59"/>
      <c r="J188" s="59"/>
      <c r="K188" s="59"/>
      <c r="L188" s="59"/>
      <c r="M188" s="59"/>
      <c r="N188" s="59"/>
      <c r="O188" s="59"/>
      <c r="P188" s="59"/>
      <c r="Q188" s="3" t="s">
        <v>984</v>
      </c>
      <c r="R188" s="3"/>
      <c r="S188" s="3"/>
    </row>
    <row r="189" spans="1:19" x14ac:dyDescent="0.3">
      <c r="A189" s="4"/>
      <c r="B189" s="60"/>
      <c r="C189" s="60" t="s">
        <v>207</v>
      </c>
      <c r="D189" s="4" t="s">
        <v>985</v>
      </c>
      <c r="E189" s="24" t="str">
        <f>"True"</f>
        <v>True</v>
      </c>
      <c r="F189" s="60"/>
      <c r="G189" s="60"/>
      <c r="H189" s="60"/>
      <c r="I189" s="60"/>
      <c r="J189" s="60"/>
      <c r="K189" s="60"/>
      <c r="L189" s="60"/>
      <c r="M189" s="60"/>
      <c r="N189" s="60"/>
      <c r="O189" s="60"/>
      <c r="P189" s="60"/>
      <c r="Q189" s="4" t="s">
        <v>986</v>
      </c>
      <c r="R189" s="4"/>
      <c r="S189" s="4"/>
    </row>
    <row r="190" spans="1:19" x14ac:dyDescent="0.3">
      <c r="A190" s="3"/>
      <c r="B190" s="59"/>
      <c r="C190" s="59" t="s">
        <v>207</v>
      </c>
      <c r="D190" s="3" t="s">
        <v>1236</v>
      </c>
      <c r="E190" s="21"/>
      <c r="F190" s="59"/>
      <c r="G190" s="59"/>
      <c r="H190" s="59"/>
      <c r="I190" s="59"/>
      <c r="J190" s="59"/>
      <c r="K190" s="59"/>
      <c r="L190" s="59"/>
      <c r="M190" s="59"/>
      <c r="N190" s="59"/>
      <c r="O190" s="59"/>
      <c r="P190" s="59"/>
      <c r="Q190" s="3" t="s">
        <v>1237</v>
      </c>
      <c r="R190" s="3"/>
      <c r="S190" s="3"/>
    </row>
    <row r="191" spans="1:19" x14ac:dyDescent="0.3">
      <c r="A191" s="4"/>
      <c r="B191" s="60"/>
      <c r="C191" s="60" t="s">
        <v>207</v>
      </c>
      <c r="D191" s="4" t="s">
        <v>1239</v>
      </c>
      <c r="E191" s="24"/>
      <c r="F191" s="60"/>
      <c r="G191" s="60"/>
      <c r="H191" s="60"/>
      <c r="I191" s="60"/>
      <c r="J191" s="60"/>
      <c r="K191" s="60"/>
      <c r="L191" s="60"/>
      <c r="M191" s="60"/>
      <c r="N191" s="60"/>
      <c r="O191" s="60"/>
      <c r="P191" s="60"/>
      <c r="Q191" s="4" t="s">
        <v>1238</v>
      </c>
      <c r="R191" s="4"/>
      <c r="S191" s="4"/>
    </row>
    <row r="192" spans="1:19" x14ac:dyDescent="0.3">
      <c r="A192" s="3"/>
      <c r="B192" s="59"/>
      <c r="C192" s="59" t="s">
        <v>207</v>
      </c>
      <c r="D192" s="3" t="s">
        <v>1240</v>
      </c>
      <c r="E192" s="21"/>
      <c r="F192" s="59"/>
      <c r="G192" s="59"/>
      <c r="H192" s="59"/>
      <c r="I192" s="59"/>
      <c r="J192" s="59"/>
      <c r="K192" s="59"/>
      <c r="L192" s="59"/>
      <c r="M192" s="59"/>
      <c r="N192" s="59"/>
      <c r="O192" s="59"/>
      <c r="P192" s="59"/>
      <c r="Q192" s="3" t="s">
        <v>1241</v>
      </c>
      <c r="R192" s="3"/>
      <c r="S192" s="3"/>
    </row>
    <row r="193" spans="1:19" x14ac:dyDescent="0.3">
      <c r="A193" s="4"/>
      <c r="B193" s="60" t="s">
        <v>1177</v>
      </c>
      <c r="C193" s="60" t="s">
        <v>1208</v>
      </c>
      <c r="D193" s="4" t="s">
        <v>987</v>
      </c>
      <c r="E193" s="24" t="s">
        <v>988</v>
      </c>
      <c r="F193" s="60"/>
      <c r="G193" s="60"/>
      <c r="H193" s="60"/>
      <c r="I193" s="60"/>
      <c r="J193" s="60"/>
      <c r="K193" s="60"/>
      <c r="L193" s="60"/>
      <c r="M193" s="60"/>
      <c r="N193" s="60"/>
      <c r="O193" s="60"/>
      <c r="P193" s="60"/>
      <c r="Q193" s="4" t="s">
        <v>989</v>
      </c>
      <c r="R193" s="4"/>
      <c r="S193" s="4"/>
    </row>
    <row r="194" spans="1:19" x14ac:dyDescent="0.3">
      <c r="A194" s="3"/>
      <c r="B194" s="59"/>
      <c r="C194" s="59" t="s">
        <v>207</v>
      </c>
      <c r="D194" s="3" t="s">
        <v>990</v>
      </c>
      <c r="E194" s="21">
        <v>3</v>
      </c>
      <c r="F194" s="59"/>
      <c r="G194" s="59"/>
      <c r="H194" s="59"/>
      <c r="I194" s="59"/>
      <c r="J194" s="59"/>
      <c r="K194" s="59"/>
      <c r="L194" s="59"/>
      <c r="M194" s="59"/>
      <c r="N194" s="59"/>
      <c r="O194" s="59"/>
      <c r="P194" s="59"/>
      <c r="Q194" s="3" t="s">
        <v>991</v>
      </c>
      <c r="R194" s="3"/>
      <c r="S194" s="3"/>
    </row>
    <row r="195" spans="1:19" x14ac:dyDescent="0.3">
      <c r="A195" s="4"/>
      <c r="B195" s="60"/>
      <c r="C195" s="60" t="s">
        <v>207</v>
      </c>
      <c r="D195" s="4" t="s">
        <v>992</v>
      </c>
      <c r="E195" s="24">
        <v>5</v>
      </c>
      <c r="F195" s="60"/>
      <c r="G195" s="60"/>
      <c r="H195" s="60"/>
      <c r="I195" s="60"/>
      <c r="J195" s="60"/>
      <c r="K195" s="60"/>
      <c r="L195" s="60"/>
      <c r="M195" s="60"/>
      <c r="N195" s="60"/>
      <c r="O195" s="60"/>
      <c r="P195" s="60"/>
      <c r="Q195" s="4" t="s">
        <v>993</v>
      </c>
      <c r="R195" s="4"/>
      <c r="S195" s="4"/>
    </row>
    <row r="196" spans="1:19" x14ac:dyDescent="0.3">
      <c r="A196" s="3"/>
      <c r="B196" s="59"/>
      <c r="C196" s="59" t="s">
        <v>207</v>
      </c>
      <c r="D196" s="3" t="s">
        <v>994</v>
      </c>
      <c r="E196" s="21"/>
      <c r="F196" s="59"/>
      <c r="G196" s="59"/>
      <c r="H196" s="59"/>
      <c r="I196" s="59"/>
      <c r="J196" s="59"/>
      <c r="K196" s="59"/>
      <c r="L196" s="59"/>
      <c r="M196" s="59"/>
      <c r="N196" s="59"/>
      <c r="O196" s="59"/>
      <c r="P196" s="59"/>
      <c r="Q196" s="3" t="s">
        <v>995</v>
      </c>
      <c r="R196" s="3"/>
      <c r="S196" s="3"/>
    </row>
    <row r="197" spans="1:19" x14ac:dyDescent="0.3">
      <c r="A197" s="4"/>
      <c r="B197" s="60"/>
      <c r="C197" s="60" t="s">
        <v>207</v>
      </c>
      <c r="D197" s="4" t="s">
        <v>28</v>
      </c>
      <c r="E197" s="24"/>
      <c r="F197" s="60"/>
      <c r="G197" s="60"/>
      <c r="H197" s="60"/>
      <c r="I197" s="60"/>
      <c r="J197" s="60"/>
      <c r="K197" s="60"/>
      <c r="L197" s="60"/>
      <c r="M197" s="60"/>
      <c r="N197" s="60"/>
      <c r="O197" s="60"/>
      <c r="P197" s="60"/>
      <c r="Q197" s="4" t="s">
        <v>996</v>
      </c>
      <c r="R197" s="4"/>
      <c r="S197" s="4"/>
    </row>
    <row r="198" spans="1:19" x14ac:dyDescent="0.3">
      <c r="A198" s="3"/>
      <c r="B198" s="59"/>
      <c r="C198" s="59" t="s">
        <v>207</v>
      </c>
      <c r="D198" s="3" t="s">
        <v>997</v>
      </c>
      <c r="E198" s="21">
        <v>3</v>
      </c>
      <c r="F198" s="59"/>
      <c r="G198" s="59"/>
      <c r="H198" s="59"/>
      <c r="I198" s="59"/>
      <c r="J198" s="59"/>
      <c r="K198" s="59"/>
      <c r="L198" s="59"/>
      <c r="M198" s="59"/>
      <c r="N198" s="59"/>
      <c r="O198" s="59"/>
      <c r="P198" s="59"/>
      <c r="Q198" s="3" t="s">
        <v>998</v>
      </c>
      <c r="R198" s="3"/>
      <c r="S198" s="3"/>
    </row>
    <row r="199" spans="1:19" x14ac:dyDescent="0.3">
      <c r="A199" s="4"/>
      <c r="B199" s="60"/>
      <c r="C199" s="60" t="s">
        <v>207</v>
      </c>
      <c r="D199" s="4" t="s">
        <v>999</v>
      </c>
      <c r="E199" s="61"/>
      <c r="F199" s="60"/>
      <c r="G199" s="60"/>
      <c r="H199" s="60"/>
      <c r="I199" s="60"/>
      <c r="J199" s="60"/>
      <c r="K199" s="60"/>
      <c r="L199" s="60"/>
      <c r="M199" s="60"/>
      <c r="N199" s="60"/>
      <c r="O199" s="60"/>
      <c r="P199" s="60"/>
      <c r="Q199" s="4" t="s">
        <v>1000</v>
      </c>
      <c r="R199" s="4"/>
      <c r="S199" s="4"/>
    </row>
    <row r="200" spans="1:19" x14ac:dyDescent="0.3">
      <c r="A200" s="3"/>
      <c r="B200" s="59"/>
      <c r="C200" s="59" t="s">
        <v>207</v>
      </c>
      <c r="D200" s="3" t="s">
        <v>1001</v>
      </c>
      <c r="E200" s="71"/>
      <c r="F200" s="59"/>
      <c r="G200" s="59"/>
      <c r="H200" s="59"/>
      <c r="I200" s="59"/>
      <c r="J200" s="59"/>
      <c r="K200" s="59"/>
      <c r="L200" s="59"/>
      <c r="M200" s="59"/>
      <c r="N200" s="59"/>
      <c r="O200" s="59"/>
      <c r="P200" s="59"/>
      <c r="Q200" s="3" t="s">
        <v>1003</v>
      </c>
      <c r="R200" s="3"/>
      <c r="S200" s="3"/>
    </row>
    <row r="201" spans="1:19" x14ac:dyDescent="0.3">
      <c r="A201" s="4"/>
      <c r="B201" s="60"/>
      <c r="C201" s="60" t="s">
        <v>207</v>
      </c>
      <c r="D201" s="4" t="s">
        <v>1471</v>
      </c>
      <c r="E201" s="61">
        <v>5</v>
      </c>
      <c r="F201" s="60"/>
      <c r="G201" s="60"/>
      <c r="H201" s="60"/>
      <c r="I201" s="60"/>
      <c r="J201" s="60"/>
      <c r="K201" s="60"/>
      <c r="L201" s="60"/>
      <c r="M201" s="60"/>
      <c r="N201" s="60"/>
      <c r="O201" s="60"/>
      <c r="P201" s="60"/>
      <c r="Q201" s="4" t="s">
        <v>1473</v>
      </c>
      <c r="R201" s="4"/>
      <c r="S201" s="4"/>
    </row>
    <row r="202" spans="1:19" x14ac:dyDescent="0.3">
      <c r="A202" s="3"/>
      <c r="B202" s="59"/>
      <c r="C202" s="59" t="s">
        <v>207</v>
      </c>
      <c r="D202" s="3" t="s">
        <v>1472</v>
      </c>
      <c r="E202" s="71"/>
      <c r="F202" s="59"/>
      <c r="G202" s="59"/>
      <c r="H202" s="59"/>
      <c r="I202" s="59"/>
      <c r="J202" s="59"/>
      <c r="K202" s="59"/>
      <c r="L202" s="59"/>
      <c r="M202" s="59"/>
      <c r="N202" s="59"/>
      <c r="O202" s="59"/>
      <c r="P202" s="59"/>
      <c r="Q202" s="3" t="s">
        <v>1474</v>
      </c>
      <c r="R202" s="3"/>
      <c r="S202" s="3"/>
    </row>
    <row r="203" spans="1:19" x14ac:dyDescent="0.3">
      <c r="A203" s="4"/>
      <c r="B203" s="60" t="s">
        <v>1187</v>
      </c>
      <c r="C203" s="60" t="s">
        <v>1208</v>
      </c>
      <c r="D203" s="4" t="s">
        <v>1292</v>
      </c>
      <c r="E203" s="61"/>
      <c r="F203" s="60"/>
      <c r="G203" s="60"/>
      <c r="H203" s="60"/>
      <c r="I203" s="60"/>
      <c r="J203" s="60"/>
      <c r="K203" s="60"/>
      <c r="L203" s="60"/>
      <c r="M203" s="60"/>
      <c r="N203" s="60"/>
      <c r="O203" s="60"/>
      <c r="P203" s="60"/>
      <c r="Q203" s="4"/>
      <c r="R203" s="4"/>
      <c r="S203" s="4"/>
    </row>
    <row r="204" spans="1:19" x14ac:dyDescent="0.3">
      <c r="A204" s="3"/>
      <c r="B204" s="59"/>
      <c r="C204" s="59" t="s">
        <v>1208</v>
      </c>
      <c r="D204" s="3" t="s">
        <v>1293</v>
      </c>
      <c r="E204" s="71"/>
      <c r="F204" s="59"/>
      <c r="G204" s="59"/>
      <c r="H204" s="59"/>
      <c r="I204" s="59"/>
      <c r="J204" s="59"/>
      <c r="K204" s="59"/>
      <c r="L204" s="59"/>
      <c r="M204" s="59"/>
      <c r="N204" s="59"/>
      <c r="O204" s="59"/>
      <c r="P204" s="59"/>
      <c r="Q204" s="3"/>
      <c r="R204" s="3"/>
      <c r="S204" s="3"/>
    </row>
    <row r="205" spans="1:19" x14ac:dyDescent="0.3">
      <c r="A205" s="4"/>
      <c r="B205" s="60"/>
      <c r="C205" s="60" t="s">
        <v>207</v>
      </c>
      <c r="D205" s="4" t="s">
        <v>1064</v>
      </c>
      <c r="E205" s="24"/>
      <c r="F205" s="60"/>
      <c r="G205" s="60"/>
      <c r="H205" s="60"/>
      <c r="I205" s="60"/>
      <c r="J205" s="60"/>
      <c r="K205" s="60"/>
      <c r="L205" s="60"/>
      <c r="M205" s="60"/>
      <c r="N205" s="60"/>
      <c r="O205" s="60"/>
      <c r="P205" s="60"/>
      <c r="Q205" s="4" t="s">
        <v>1065</v>
      </c>
      <c r="R205" s="4"/>
      <c r="S205" s="4"/>
    </row>
    <row r="206" spans="1:19" x14ac:dyDescent="0.3">
      <c r="A206" s="3"/>
      <c r="B206" s="59"/>
      <c r="C206" s="59" t="s">
        <v>207</v>
      </c>
      <c r="D206" s="3" t="s">
        <v>1066</v>
      </c>
      <c r="E206" s="21">
        <v>0.05</v>
      </c>
      <c r="F206" s="59"/>
      <c r="G206" s="59"/>
      <c r="H206" s="59"/>
      <c r="I206" s="59"/>
      <c r="J206" s="59"/>
      <c r="K206" s="59"/>
      <c r="L206" s="59"/>
      <c r="M206" s="59"/>
      <c r="N206" s="59"/>
      <c r="O206" s="59"/>
      <c r="P206" s="59"/>
      <c r="Q206" s="3" t="s">
        <v>1067</v>
      </c>
      <c r="R206" s="3"/>
      <c r="S206" s="3"/>
    </row>
    <row r="207" spans="1:19" x14ac:dyDescent="0.3">
      <c r="A207" s="4"/>
      <c r="B207" s="60"/>
      <c r="C207" s="60" t="s">
        <v>207</v>
      </c>
      <c r="D207" s="4" t="s">
        <v>1068</v>
      </c>
      <c r="E207" s="61" t="str">
        <f>"=meshfix_maximum_resolution"</f>
        <v>=meshfix_maximum_resolution</v>
      </c>
      <c r="F207" s="60"/>
      <c r="G207" s="60"/>
      <c r="H207" s="60"/>
      <c r="I207" s="60"/>
      <c r="J207" s="60"/>
      <c r="K207" s="60"/>
      <c r="L207" s="60"/>
      <c r="M207" s="60"/>
      <c r="N207" s="60"/>
      <c r="O207" s="60"/>
      <c r="P207" s="60"/>
      <c r="Q207" s="4" t="s">
        <v>1069</v>
      </c>
      <c r="R207" s="4"/>
      <c r="S207" s="4"/>
    </row>
    <row r="208" spans="1:19" x14ac:dyDescent="0.3">
      <c r="A208" s="3"/>
      <c r="B208" s="59" t="s">
        <v>1178</v>
      </c>
      <c r="C208" s="59" t="s">
        <v>207</v>
      </c>
      <c r="D208" s="3" t="s">
        <v>1188</v>
      </c>
      <c r="E208" s="71"/>
      <c r="F208" s="59"/>
      <c r="G208" s="59"/>
      <c r="H208" s="59"/>
      <c r="I208" s="59"/>
      <c r="J208" s="59"/>
      <c r="K208" s="59"/>
      <c r="L208" s="59"/>
      <c r="M208" s="59"/>
      <c r="N208" s="59"/>
      <c r="O208" s="59"/>
      <c r="P208" s="59"/>
      <c r="Q208" s="3" t="s">
        <v>1193</v>
      </c>
      <c r="R208" s="3"/>
      <c r="S208" s="3"/>
    </row>
    <row r="209" spans="1:19" x14ac:dyDescent="0.3">
      <c r="A209" s="4"/>
      <c r="B209" s="60"/>
      <c r="C209" s="60" t="s">
        <v>1208</v>
      </c>
      <c r="D209" s="4" t="s">
        <v>1242</v>
      </c>
      <c r="E209" s="61"/>
      <c r="F209" s="60"/>
      <c r="G209" s="60"/>
      <c r="H209" s="60"/>
      <c r="I209" s="60"/>
      <c r="J209" s="60"/>
      <c r="K209" s="60"/>
      <c r="L209" s="60"/>
      <c r="M209" s="60"/>
      <c r="N209" s="60"/>
      <c r="O209" s="60"/>
      <c r="P209" s="60"/>
      <c r="Q209" s="4" t="s">
        <v>1243</v>
      </c>
      <c r="R209" s="4"/>
      <c r="S209" s="4"/>
    </row>
    <row r="210" spans="1:19" x14ac:dyDescent="0.3">
      <c r="A210" s="3"/>
      <c r="B210" s="59"/>
      <c r="C210" s="59" t="s">
        <v>207</v>
      </c>
      <c r="D210" s="3" t="s">
        <v>1004</v>
      </c>
      <c r="E210" s="71" t="s">
        <v>1002</v>
      </c>
      <c r="F210" s="59"/>
      <c r="G210" s="59"/>
      <c r="H210" s="59"/>
      <c r="I210" s="59"/>
      <c r="J210" s="59"/>
      <c r="K210" s="59"/>
      <c r="L210" s="59"/>
      <c r="M210" s="59"/>
      <c r="N210" s="59"/>
      <c r="O210" s="59"/>
      <c r="P210" s="59"/>
      <c r="Q210" s="3" t="s">
        <v>1005</v>
      </c>
      <c r="R210" s="3"/>
      <c r="S210" s="3"/>
    </row>
    <row r="211" spans="1:19" x14ac:dyDescent="0.3">
      <c r="A211" s="4"/>
      <c r="B211" s="60"/>
      <c r="C211" s="60" t="s">
        <v>1208</v>
      </c>
      <c r="D211" s="4" t="s">
        <v>1189</v>
      </c>
      <c r="E211" s="61"/>
      <c r="F211" s="60"/>
      <c r="G211" s="60"/>
      <c r="H211" s="60"/>
      <c r="I211" s="60"/>
      <c r="J211" s="60"/>
      <c r="K211" s="60"/>
      <c r="L211" s="60"/>
      <c r="M211" s="60"/>
      <c r="N211" s="60"/>
      <c r="O211" s="60"/>
      <c r="P211" s="60"/>
      <c r="Q211" s="4" t="s">
        <v>1192</v>
      </c>
      <c r="R211" s="4"/>
      <c r="S211" s="4"/>
    </row>
    <row r="212" spans="1:19" x14ac:dyDescent="0.3">
      <c r="A212" s="3"/>
      <c r="B212" s="59"/>
      <c r="C212" s="59" t="s">
        <v>207</v>
      </c>
      <c r="D212" s="3" t="s">
        <v>1244</v>
      </c>
      <c r="E212" s="71"/>
      <c r="F212" s="59"/>
      <c r="G212" s="59"/>
      <c r="H212" s="59"/>
      <c r="I212" s="59"/>
      <c r="J212" s="59"/>
      <c r="K212" s="59"/>
      <c r="L212" s="59"/>
      <c r="M212" s="59"/>
      <c r="N212" s="59"/>
      <c r="O212" s="59"/>
      <c r="P212" s="59"/>
      <c r="Q212" s="3" t="s">
        <v>1245</v>
      </c>
      <c r="R212" s="3"/>
      <c r="S212" s="3"/>
    </row>
    <row r="213" spans="1:19" x14ac:dyDescent="0.3">
      <c r="A213" s="5"/>
      <c r="B213" s="72" t="s">
        <v>1179</v>
      </c>
      <c r="C213" s="72"/>
      <c r="D213" s="5" t="s">
        <v>1139</v>
      </c>
      <c r="E213" s="73"/>
      <c r="F213" s="72"/>
      <c r="G213" s="72"/>
      <c r="H213" s="72"/>
      <c r="I213" s="72"/>
      <c r="J213" s="72"/>
      <c r="K213" s="72"/>
      <c r="L213" s="72"/>
      <c r="M213" s="72"/>
      <c r="N213" s="72"/>
      <c r="O213" s="72"/>
      <c r="P213" s="72"/>
      <c r="Q213" s="5"/>
      <c r="R213" s="5"/>
      <c r="S213" s="5"/>
    </row>
    <row r="214" spans="1:19" x14ac:dyDescent="0.3">
      <c r="A214" s="3"/>
      <c r="B214" s="59"/>
      <c r="C214" s="59" t="s">
        <v>207</v>
      </c>
      <c r="D214" s="3" t="s">
        <v>1017</v>
      </c>
      <c r="E214" s="71" t="s">
        <v>1002</v>
      </c>
      <c r="F214" s="59"/>
      <c r="G214" s="59"/>
      <c r="H214" s="59"/>
      <c r="I214" s="59"/>
      <c r="J214" s="59"/>
      <c r="K214" s="59"/>
      <c r="L214" s="59"/>
      <c r="M214" s="59"/>
      <c r="N214" s="59"/>
      <c r="O214" s="59"/>
      <c r="P214" s="59"/>
      <c r="Q214" s="3" t="s">
        <v>1018</v>
      </c>
      <c r="R214" s="3"/>
      <c r="S214" s="3"/>
    </row>
    <row r="215" spans="1:19" x14ac:dyDescent="0.3">
      <c r="A215" s="4"/>
      <c r="B215" s="60"/>
      <c r="C215" s="60" t="s">
        <v>207</v>
      </c>
      <c r="D215" s="4" t="s">
        <v>1319</v>
      </c>
      <c r="E215" s="61"/>
      <c r="F215" s="60"/>
      <c r="G215" s="60"/>
      <c r="H215" s="60"/>
      <c r="I215" s="60"/>
      <c r="J215" s="60"/>
      <c r="K215" s="60"/>
      <c r="L215" s="60"/>
      <c r="M215" s="60"/>
      <c r="N215" s="60"/>
      <c r="O215" s="60"/>
      <c r="P215" s="60"/>
      <c r="Q215" s="4" t="s">
        <v>1321</v>
      </c>
      <c r="R215" s="4"/>
      <c r="S215" s="4"/>
    </row>
    <row r="216" spans="1:19" x14ac:dyDescent="0.3">
      <c r="A216" s="3"/>
      <c r="B216" s="59"/>
      <c r="C216" s="59" t="s">
        <v>207</v>
      </c>
      <c r="D216" s="3" t="s">
        <v>1320</v>
      </c>
      <c r="E216" s="71" t="str">
        <f>"=5 if support_line_distance == 0 else round(support_skip_zag_per_mm / support_line_distance)"</f>
        <v>=5 if support_line_distance == 0 else round(support_skip_zag_per_mm / support_line_distance)</v>
      </c>
      <c r="F216" s="59"/>
      <c r="G216" s="59"/>
      <c r="H216" s="59"/>
      <c r="I216" s="59"/>
      <c r="J216" s="59"/>
      <c r="K216" s="59"/>
      <c r="L216" s="59"/>
      <c r="M216" s="59"/>
      <c r="N216" s="59"/>
      <c r="O216" s="59"/>
      <c r="P216" s="59"/>
      <c r="Q216" s="3" t="s">
        <v>1322</v>
      </c>
      <c r="R216" s="3"/>
      <c r="S216" s="3"/>
    </row>
    <row r="217" spans="1:19" x14ac:dyDescent="0.3">
      <c r="A217" s="4"/>
      <c r="B217" s="60"/>
      <c r="C217" s="60" t="s">
        <v>1208</v>
      </c>
      <c r="D217" s="4" t="s">
        <v>1021</v>
      </c>
      <c r="E217" s="24" t="str">
        <f>"False"</f>
        <v>False</v>
      </c>
      <c r="F217" s="60"/>
      <c r="G217" s="60"/>
      <c r="H217" s="60"/>
      <c r="I217" s="60"/>
      <c r="J217" s="60"/>
      <c r="K217" s="60"/>
      <c r="L217" s="60"/>
      <c r="M217" s="60"/>
      <c r="N217" s="60"/>
      <c r="O217" s="60"/>
      <c r="P217" s="60"/>
      <c r="Q217" s="4" t="s">
        <v>1022</v>
      </c>
      <c r="R217" s="4"/>
      <c r="S217" s="4"/>
    </row>
    <row r="218" spans="1:19" x14ac:dyDescent="0.3">
      <c r="A218" s="3"/>
      <c r="B218" s="59"/>
      <c r="C218" s="59" t="s">
        <v>1208</v>
      </c>
      <c r="D218" s="3" t="s">
        <v>1030</v>
      </c>
      <c r="E218" s="21" t="str">
        <f>"False"</f>
        <v>False</v>
      </c>
      <c r="F218" s="59"/>
      <c r="G218" s="59"/>
      <c r="H218" s="59"/>
      <c r="I218" s="59"/>
      <c r="J218" s="59"/>
      <c r="K218" s="59"/>
      <c r="L218" s="59"/>
      <c r="M218" s="59"/>
      <c r="N218" s="59"/>
      <c r="O218" s="59"/>
      <c r="P218" s="59"/>
      <c r="Q218" s="3" t="s">
        <v>1140</v>
      </c>
      <c r="R218" s="3"/>
      <c r="S218" s="3"/>
    </row>
    <row r="219" spans="1:19" x14ac:dyDescent="0.3">
      <c r="A219" s="4"/>
      <c r="B219" s="60"/>
      <c r="C219" s="60" t="s">
        <v>207</v>
      </c>
      <c r="D219" s="4" t="s">
        <v>1246</v>
      </c>
      <c r="E219" s="24"/>
      <c r="F219" s="60"/>
      <c r="G219" s="60"/>
      <c r="H219" s="60"/>
      <c r="I219" s="60"/>
      <c r="J219" s="60"/>
      <c r="K219" s="60"/>
      <c r="L219" s="60"/>
      <c r="M219" s="60"/>
      <c r="N219" s="60"/>
      <c r="O219" s="60"/>
      <c r="P219" s="60"/>
      <c r="Q219" s="4" t="s">
        <v>1248</v>
      </c>
      <c r="R219" s="4"/>
      <c r="S219" s="4"/>
    </row>
    <row r="220" spans="1:19" x14ac:dyDescent="0.3">
      <c r="A220" s="3"/>
      <c r="B220" s="59"/>
      <c r="C220" s="59" t="s">
        <v>207</v>
      </c>
      <c r="D220" s="3" t="s">
        <v>1247</v>
      </c>
      <c r="E220" s="21"/>
      <c r="F220" s="59"/>
      <c r="G220" s="59"/>
      <c r="H220" s="59"/>
      <c r="I220" s="59"/>
      <c r="J220" s="59"/>
      <c r="K220" s="59"/>
      <c r="L220" s="59"/>
      <c r="M220" s="59"/>
      <c r="N220" s="59"/>
      <c r="O220" s="59"/>
      <c r="P220" s="59"/>
      <c r="Q220" s="3" t="s">
        <v>1249</v>
      </c>
      <c r="R220" s="3"/>
      <c r="S220" s="3"/>
    </row>
    <row r="221" spans="1:19" ht="16.5" customHeight="1" x14ac:dyDescent="0.3">
      <c r="A221" s="4"/>
      <c r="B221" s="60" t="s">
        <v>1180</v>
      </c>
      <c r="C221" s="60" t="s">
        <v>1208</v>
      </c>
      <c r="D221" s="4" t="s">
        <v>1039</v>
      </c>
      <c r="E221" s="24"/>
      <c r="F221" s="60"/>
      <c r="G221" s="60"/>
      <c r="H221" s="60"/>
      <c r="I221" s="60"/>
      <c r="J221" s="60"/>
      <c r="K221" s="60"/>
      <c r="L221" s="60"/>
      <c r="M221" s="60"/>
      <c r="N221" s="60"/>
      <c r="O221" s="60"/>
      <c r="P221" s="60"/>
      <c r="Q221" s="4" t="s">
        <v>1040</v>
      </c>
      <c r="R221" s="4"/>
      <c r="S221" s="4"/>
    </row>
    <row r="222" spans="1:19" x14ac:dyDescent="0.3">
      <c r="A222" s="3"/>
      <c r="B222" s="59"/>
      <c r="C222" s="59" t="s">
        <v>1208</v>
      </c>
      <c r="D222" s="3" t="s">
        <v>1041</v>
      </c>
      <c r="E222" s="21"/>
      <c r="F222" s="59"/>
      <c r="G222" s="59"/>
      <c r="H222" s="59"/>
      <c r="I222" s="59"/>
      <c r="J222" s="59"/>
      <c r="K222" s="59"/>
      <c r="L222" s="59"/>
      <c r="M222" s="59"/>
      <c r="N222" s="59"/>
      <c r="O222" s="59"/>
      <c r="P222" s="59"/>
      <c r="Q222" s="3" t="s">
        <v>1042</v>
      </c>
      <c r="R222" s="3"/>
      <c r="S222" s="3"/>
    </row>
    <row r="223" spans="1:19" x14ac:dyDescent="0.3">
      <c r="A223" s="4"/>
      <c r="B223" s="60" t="s">
        <v>1181</v>
      </c>
      <c r="C223" s="60" t="s">
        <v>207</v>
      </c>
      <c r="D223" s="4" t="s">
        <v>1009</v>
      </c>
      <c r="E223" s="24"/>
      <c r="F223" s="60"/>
      <c r="G223" s="60"/>
      <c r="H223" s="60"/>
      <c r="I223" s="60"/>
      <c r="J223" s="60"/>
      <c r="K223" s="60"/>
      <c r="L223" s="60"/>
      <c r="M223" s="60"/>
      <c r="N223" s="60"/>
      <c r="O223" s="60"/>
      <c r="P223" s="60"/>
      <c r="Q223" s="4" t="s">
        <v>1010</v>
      </c>
      <c r="R223" s="4"/>
      <c r="S223" s="4"/>
    </row>
    <row r="224" spans="1:19" x14ac:dyDescent="0.3">
      <c r="A224" s="3"/>
      <c r="B224" s="59"/>
      <c r="C224" s="59" t="s">
        <v>1208</v>
      </c>
      <c r="D224" s="3" t="s">
        <v>1011</v>
      </c>
      <c r="E224" s="21"/>
      <c r="F224" s="59"/>
      <c r="G224" s="59"/>
      <c r="H224" s="59"/>
      <c r="I224" s="59"/>
      <c r="J224" s="59"/>
      <c r="K224" s="59"/>
      <c r="L224" s="59"/>
      <c r="M224" s="59"/>
      <c r="N224" s="59"/>
      <c r="O224" s="59"/>
      <c r="P224" s="59"/>
      <c r="Q224" s="3" t="s">
        <v>1012</v>
      </c>
      <c r="R224" s="3"/>
      <c r="S224" s="3"/>
    </row>
    <row r="225" spans="1:19" x14ac:dyDescent="0.3">
      <c r="A225" s="4"/>
      <c r="B225" s="60"/>
      <c r="C225" s="60" t="s">
        <v>207</v>
      </c>
      <c r="D225" s="4" t="s">
        <v>1013</v>
      </c>
      <c r="E225" s="24"/>
      <c r="F225" s="60"/>
      <c r="G225" s="60"/>
      <c r="H225" s="60"/>
      <c r="I225" s="60"/>
      <c r="J225" s="60"/>
      <c r="K225" s="60"/>
      <c r="L225" s="60"/>
      <c r="M225" s="60"/>
      <c r="N225" s="60"/>
      <c r="O225" s="60"/>
      <c r="P225" s="60"/>
      <c r="Q225" s="4" t="s">
        <v>1014</v>
      </c>
      <c r="R225" s="4"/>
      <c r="S225" s="4"/>
    </row>
    <row r="226" spans="1:19" x14ac:dyDescent="0.3">
      <c r="A226" s="3"/>
      <c r="B226" s="59" t="s">
        <v>1182</v>
      </c>
      <c r="C226" s="59" t="s">
        <v>207</v>
      </c>
      <c r="D226" s="3" t="s">
        <v>1015</v>
      </c>
      <c r="E226" s="71" t="s">
        <v>1002</v>
      </c>
      <c r="F226" s="59"/>
      <c r="G226" s="59"/>
      <c r="H226" s="59"/>
      <c r="I226" s="59"/>
      <c r="J226" s="59"/>
      <c r="K226" s="59"/>
      <c r="L226" s="59"/>
      <c r="M226" s="59"/>
      <c r="N226" s="59"/>
      <c r="O226" s="59"/>
      <c r="P226" s="59"/>
      <c r="Q226" s="3" t="s">
        <v>1016</v>
      </c>
      <c r="R226" s="3"/>
      <c r="S226" s="3"/>
    </row>
    <row r="227" spans="1:19" x14ac:dyDescent="0.3">
      <c r="A227" s="4"/>
      <c r="B227" s="60"/>
      <c r="C227" s="60" t="s">
        <v>207</v>
      </c>
      <c r="D227" s="4" t="s">
        <v>1190</v>
      </c>
      <c r="E227" s="61"/>
      <c r="F227" s="60"/>
      <c r="G227" s="60"/>
      <c r="H227" s="60"/>
      <c r="I227" s="60"/>
      <c r="J227" s="60"/>
      <c r="K227" s="60"/>
      <c r="L227" s="60"/>
      <c r="M227" s="60"/>
      <c r="N227" s="60"/>
      <c r="O227" s="60"/>
      <c r="P227" s="60"/>
      <c r="Q227" s="4" t="s">
        <v>1191</v>
      </c>
      <c r="R227" s="4"/>
      <c r="S227" s="4"/>
    </row>
    <row r="228" spans="1:19" x14ac:dyDescent="0.3">
      <c r="A228" s="3"/>
      <c r="B228" s="59"/>
      <c r="C228" s="59" t="s">
        <v>207</v>
      </c>
      <c r="D228" s="3" t="s">
        <v>1019</v>
      </c>
      <c r="E228" s="21" t="str">
        <f>"False"</f>
        <v>False</v>
      </c>
      <c r="F228" s="59"/>
      <c r="G228" s="59"/>
      <c r="H228" s="59"/>
      <c r="I228" s="59"/>
      <c r="J228" s="59"/>
      <c r="K228" s="59"/>
      <c r="L228" s="59"/>
      <c r="M228" s="59"/>
      <c r="N228" s="59"/>
      <c r="O228" s="59"/>
      <c r="P228" s="59"/>
      <c r="Q228" s="3" t="s">
        <v>1020</v>
      </c>
      <c r="R228" s="3"/>
      <c r="S228" s="3"/>
    </row>
    <row r="229" spans="1:19" x14ac:dyDescent="0.3">
      <c r="A229" s="4"/>
      <c r="B229" s="60"/>
      <c r="C229" s="60" t="s">
        <v>207</v>
      </c>
      <c r="D229" s="4" t="s">
        <v>1029</v>
      </c>
      <c r="E229" s="24" t="str">
        <f>"False"</f>
        <v>False</v>
      </c>
      <c r="F229" s="60"/>
      <c r="G229" s="60"/>
      <c r="H229" s="60"/>
      <c r="I229" s="60"/>
      <c r="J229" s="60"/>
      <c r="K229" s="60"/>
      <c r="L229" s="60"/>
      <c r="M229" s="60"/>
      <c r="N229" s="60"/>
      <c r="O229" s="60"/>
      <c r="P229" s="60"/>
      <c r="Q229" s="4" t="s">
        <v>1141</v>
      </c>
      <c r="R229" s="4"/>
      <c r="S229" s="4"/>
    </row>
    <row r="230" spans="1:19" x14ac:dyDescent="0.3">
      <c r="A230" s="3"/>
      <c r="B230" s="59"/>
      <c r="C230" s="59" t="s">
        <v>1208</v>
      </c>
      <c r="D230" s="3" t="s">
        <v>1031</v>
      </c>
      <c r="E230" s="21" t="str">
        <f>"False"</f>
        <v>False</v>
      </c>
      <c r="F230" s="59"/>
      <c r="G230" s="59"/>
      <c r="H230" s="59"/>
      <c r="I230" s="59"/>
      <c r="J230" s="59"/>
      <c r="K230" s="59"/>
      <c r="L230" s="59"/>
      <c r="M230" s="59"/>
      <c r="N230" s="59"/>
      <c r="O230" s="59"/>
      <c r="P230" s="59"/>
      <c r="Q230" s="3" t="s">
        <v>1142</v>
      </c>
      <c r="R230" s="3"/>
      <c r="S230" s="3"/>
    </row>
    <row r="231" spans="1:19" x14ac:dyDescent="0.3">
      <c r="A231" s="4"/>
      <c r="B231" s="60"/>
      <c r="C231" s="60" t="s">
        <v>207</v>
      </c>
      <c r="D231" s="4" t="s">
        <v>1032</v>
      </c>
      <c r="E231" s="24" t="str">
        <f>"False"</f>
        <v>False</v>
      </c>
      <c r="F231" s="60"/>
      <c r="G231" s="60"/>
      <c r="H231" s="60"/>
      <c r="I231" s="60"/>
      <c r="J231" s="60"/>
      <c r="K231" s="60"/>
      <c r="L231" s="60"/>
      <c r="M231" s="60"/>
      <c r="N231" s="60"/>
      <c r="O231" s="60"/>
      <c r="P231" s="60"/>
      <c r="Q231" s="4" t="s">
        <v>1143</v>
      </c>
      <c r="R231" s="4"/>
      <c r="S231" s="4"/>
    </row>
    <row r="232" spans="1:19" x14ac:dyDescent="0.3">
      <c r="A232" s="3"/>
      <c r="B232" s="59" t="s">
        <v>1183</v>
      </c>
      <c r="C232" s="59" t="s">
        <v>1208</v>
      </c>
      <c r="D232" s="3" t="s">
        <v>1033</v>
      </c>
      <c r="E232" s="71" t="s">
        <v>1006</v>
      </c>
      <c r="F232" s="59"/>
      <c r="G232" s="59"/>
      <c r="H232" s="59"/>
      <c r="I232" s="59"/>
      <c r="J232" s="59"/>
      <c r="K232" s="59"/>
      <c r="L232" s="59"/>
      <c r="M232" s="59"/>
      <c r="N232" s="59"/>
      <c r="O232" s="59"/>
      <c r="P232" s="59"/>
      <c r="Q232" s="3" t="s">
        <v>1034</v>
      </c>
      <c r="R232" s="3"/>
      <c r="S232" s="3"/>
    </row>
    <row r="233" spans="1:19" x14ac:dyDescent="0.3">
      <c r="A233" s="4"/>
      <c r="B233" s="60"/>
      <c r="C233" s="60" t="s">
        <v>207</v>
      </c>
      <c r="D233" s="4" t="s">
        <v>1035</v>
      </c>
      <c r="E233" s="24">
        <v>0.04</v>
      </c>
      <c r="F233" s="60"/>
      <c r="G233" s="60"/>
      <c r="H233" s="60"/>
      <c r="I233" s="60"/>
      <c r="J233" s="60"/>
      <c r="K233" s="60"/>
      <c r="L233" s="60"/>
      <c r="M233" s="60"/>
      <c r="N233" s="60"/>
      <c r="O233" s="60"/>
      <c r="P233" s="60"/>
      <c r="Q233" s="4" t="s">
        <v>1036</v>
      </c>
      <c r="R233" s="4"/>
      <c r="S233" s="4"/>
    </row>
    <row r="234" spans="1:19" x14ac:dyDescent="0.3">
      <c r="A234" s="3"/>
      <c r="B234" s="59"/>
      <c r="C234" s="59" t="s">
        <v>207</v>
      </c>
      <c r="D234" s="3" t="s">
        <v>1037</v>
      </c>
      <c r="E234" s="21">
        <v>0.04</v>
      </c>
      <c r="F234" s="59"/>
      <c r="G234" s="59"/>
      <c r="H234" s="59"/>
      <c r="I234" s="59"/>
      <c r="J234" s="59"/>
      <c r="K234" s="59"/>
      <c r="L234" s="59"/>
      <c r="M234" s="59"/>
      <c r="N234" s="59"/>
      <c r="O234" s="59"/>
      <c r="P234" s="59"/>
      <c r="Q234" s="3" t="s">
        <v>1038</v>
      </c>
      <c r="R234" s="3"/>
      <c r="S234" s="3"/>
    </row>
    <row r="235" spans="1:19" x14ac:dyDescent="0.3">
      <c r="A235" s="4"/>
      <c r="B235" s="60" t="s">
        <v>1184</v>
      </c>
      <c r="C235" s="60" t="s">
        <v>1209</v>
      </c>
      <c r="D235" s="4" t="s">
        <v>1023</v>
      </c>
      <c r="E235" s="61" t="str">
        <f>IF(IFERROR(VALUE(GetFilamentSpec($E$2,"#filament_coasting_enable")),0) &gt; 0,"True","False")</f>
        <v>False</v>
      </c>
      <c r="F235" s="60"/>
      <c r="G235" s="60"/>
      <c r="H235" s="60"/>
      <c r="I235" s="60"/>
      <c r="J235" s="60"/>
      <c r="K235" s="60"/>
      <c r="L235" s="60"/>
      <c r="M235" s="60"/>
      <c r="N235" s="60"/>
      <c r="O235" s="60"/>
      <c r="P235" s="60"/>
      <c r="Q235" s="4" t="s">
        <v>1024</v>
      </c>
      <c r="R235" s="4"/>
      <c r="S235" s="4"/>
    </row>
    <row r="236" spans="1:19" x14ac:dyDescent="0.3">
      <c r="A236" s="3"/>
      <c r="B236" s="59"/>
      <c r="C236" s="59" t="s">
        <v>1209</v>
      </c>
      <c r="D236" s="3" t="s">
        <v>1025</v>
      </c>
      <c r="E236" s="21" t="str">
        <f>IF(IFERROR(VALUE(GetFilamentSpec($E$2,"#filament_coasting_distance")),0) &gt; 0, "=line_width * layer_height * " &amp; GetFilamentSpec($E$2,"#filament_coasting_distance"),"")</f>
        <v>=line_width * layer_height * 0.2</v>
      </c>
      <c r="F236" s="59"/>
      <c r="G236" s="59"/>
      <c r="H236" s="59"/>
      <c r="I236" s="59"/>
      <c r="J236" s="59"/>
      <c r="K236" s="59"/>
      <c r="L236" s="59"/>
      <c r="M236" s="59"/>
      <c r="N236" s="59"/>
      <c r="O236" s="59"/>
      <c r="P236" s="59"/>
      <c r="Q236" s="3" t="s">
        <v>1026</v>
      </c>
      <c r="R236" s="3"/>
      <c r="S236" s="3"/>
    </row>
    <row r="237" spans="1:19" x14ac:dyDescent="0.3">
      <c r="A237" s="4"/>
      <c r="B237" s="60"/>
      <c r="C237" s="60" t="s">
        <v>207</v>
      </c>
      <c r="D237" s="4" t="s">
        <v>1027</v>
      </c>
      <c r="E237" s="24" t="str">
        <f>IF(IFERROR(VALUE(GetFilamentSpec($E$2,"#filament_coasting_distance")),0) &gt; 0, "=line_width * layer_height * 5","")</f>
        <v>=line_width * layer_height * 5</v>
      </c>
      <c r="F237" s="60"/>
      <c r="G237" s="60"/>
      <c r="H237" s="60"/>
      <c r="I237" s="60"/>
      <c r="J237" s="60"/>
      <c r="K237" s="60"/>
      <c r="L237" s="60"/>
      <c r="M237" s="60"/>
      <c r="N237" s="60"/>
      <c r="O237" s="60"/>
      <c r="P237" s="60"/>
      <c r="Q237" s="4" t="s">
        <v>1028</v>
      </c>
      <c r="R237" s="4"/>
      <c r="S237" s="4"/>
    </row>
    <row r="238" spans="1:19" x14ac:dyDescent="0.3">
      <c r="A238" s="3"/>
      <c r="B238" s="59"/>
      <c r="C238" s="59" t="s">
        <v>1208</v>
      </c>
      <c r="D238" s="3" t="s">
        <v>1221</v>
      </c>
      <c r="E238" s="71"/>
      <c r="F238" s="59"/>
      <c r="G238" s="59"/>
      <c r="H238" s="59"/>
      <c r="I238" s="59"/>
      <c r="J238" s="59"/>
      <c r="K238" s="59"/>
      <c r="L238" s="59"/>
      <c r="M238" s="59"/>
      <c r="N238" s="59"/>
      <c r="O238" s="59"/>
      <c r="P238" s="59"/>
      <c r="Q238" s="3" t="s">
        <v>1222</v>
      </c>
      <c r="R238" s="3"/>
      <c r="S238" s="3"/>
    </row>
    <row r="239" spans="1:19" x14ac:dyDescent="0.3">
      <c r="A239" s="4"/>
      <c r="B239" s="60" t="s">
        <v>1185</v>
      </c>
      <c r="C239" s="60" t="s">
        <v>1208</v>
      </c>
      <c r="D239" s="4" t="s">
        <v>1043</v>
      </c>
      <c r="E239" s="61" t="str">
        <f>"True"</f>
        <v>True</v>
      </c>
      <c r="F239" s="60"/>
      <c r="G239" s="60"/>
      <c r="H239" s="60"/>
      <c r="I239" s="60"/>
      <c r="J239" s="60"/>
      <c r="K239" s="60"/>
      <c r="L239" s="60"/>
      <c r="M239" s="60"/>
      <c r="N239" s="60"/>
      <c r="O239" s="60"/>
      <c r="P239" s="60"/>
      <c r="Q239" s="4" t="s">
        <v>1044</v>
      </c>
      <c r="R239" s="4"/>
      <c r="S239" s="4"/>
    </row>
    <row r="240" spans="1:19" x14ac:dyDescent="0.3">
      <c r="A240" s="3"/>
      <c r="B240" s="59"/>
      <c r="C240" s="59" t="s">
        <v>207</v>
      </c>
      <c r="D240" s="3" t="s">
        <v>1045</v>
      </c>
      <c r="E240" s="21"/>
      <c r="F240" s="59"/>
      <c r="G240" s="59"/>
      <c r="H240" s="59"/>
      <c r="I240" s="59"/>
      <c r="J240" s="59"/>
      <c r="K240" s="59"/>
      <c r="L240" s="59"/>
      <c r="M240" s="59"/>
      <c r="N240" s="59"/>
      <c r="O240" s="59"/>
      <c r="P240" s="59"/>
      <c r="Q240" s="3" t="s">
        <v>1046</v>
      </c>
      <c r="R240" s="3"/>
      <c r="S240" s="3"/>
    </row>
    <row r="241" spans="1:19" x14ac:dyDescent="0.3">
      <c r="A241" s="4"/>
      <c r="B241" s="60"/>
      <c r="C241" s="60" t="s">
        <v>207</v>
      </c>
      <c r="D241" s="4" t="s">
        <v>1047</v>
      </c>
      <c r="E241" s="24"/>
      <c r="F241" s="60"/>
      <c r="G241" s="60"/>
      <c r="H241" s="60"/>
      <c r="I241" s="60"/>
      <c r="J241" s="60"/>
      <c r="K241" s="60"/>
      <c r="L241" s="60"/>
      <c r="M241" s="60"/>
      <c r="N241" s="60"/>
      <c r="O241" s="60"/>
      <c r="P241" s="60"/>
      <c r="Q241" s="4" t="s">
        <v>1048</v>
      </c>
      <c r="R241" s="4"/>
      <c r="S241" s="4"/>
    </row>
    <row r="242" spans="1:19" x14ac:dyDescent="0.3">
      <c r="A242" s="3"/>
      <c r="B242" s="59"/>
      <c r="C242" s="59" t="s">
        <v>207</v>
      </c>
      <c r="D242" s="3" t="s">
        <v>1049</v>
      </c>
      <c r="E242" s="21"/>
      <c r="F242" s="59"/>
      <c r="G242" s="59"/>
      <c r="H242" s="59"/>
      <c r="I242" s="59"/>
      <c r="J242" s="59"/>
      <c r="K242" s="59"/>
      <c r="L242" s="59"/>
      <c r="M242" s="59"/>
      <c r="N242" s="59"/>
      <c r="O242" s="59"/>
      <c r="P242" s="59"/>
      <c r="Q242" s="3" t="s">
        <v>1050</v>
      </c>
      <c r="R242" s="3"/>
      <c r="S242" s="3"/>
    </row>
    <row r="243" spans="1:19" x14ac:dyDescent="0.3">
      <c r="A243" s="4"/>
      <c r="B243" s="60"/>
      <c r="C243" s="60" t="s">
        <v>207</v>
      </c>
      <c r="D243" s="4" t="s">
        <v>1051</v>
      </c>
      <c r="E243" s="24" t="str">
        <f>GetPrintSpec( $E$2,E$1,"bridge_speed")</f>
        <v>60</v>
      </c>
      <c r="F243" s="60"/>
      <c r="G243" s="60"/>
      <c r="H243" s="60"/>
      <c r="I243" s="60"/>
      <c r="J243" s="60"/>
      <c r="K243" s="60"/>
      <c r="L243" s="60"/>
      <c r="M243" s="60"/>
      <c r="N243" s="60"/>
      <c r="O243" s="60"/>
      <c r="P243" s="60"/>
      <c r="Q243" s="4" t="s">
        <v>1052</v>
      </c>
      <c r="R243" s="4"/>
      <c r="S243" s="4"/>
    </row>
    <row r="244" spans="1:19" x14ac:dyDescent="0.3">
      <c r="A244" s="3"/>
      <c r="B244" s="59"/>
      <c r="C244" s="59" t="s">
        <v>207</v>
      </c>
      <c r="D244" s="3" t="s">
        <v>1053</v>
      </c>
      <c r="E244" s="21">
        <f>GetFilamentSpec($E$2,"#filament_bridge_flow")*100</f>
        <v>100</v>
      </c>
      <c r="F244" s="59"/>
      <c r="G244" s="59"/>
      <c r="H244" s="59"/>
      <c r="I244" s="59"/>
      <c r="J244" s="59"/>
      <c r="K244" s="59"/>
      <c r="L244" s="59"/>
      <c r="M244" s="59"/>
      <c r="N244" s="59"/>
      <c r="O244" s="59"/>
      <c r="P244" s="59"/>
      <c r="Q244" s="3" t="s">
        <v>1054</v>
      </c>
      <c r="R244" s="3"/>
      <c r="S244" s="3"/>
    </row>
    <row r="245" spans="1:19" x14ac:dyDescent="0.3">
      <c r="A245" s="4"/>
      <c r="B245" s="60"/>
      <c r="C245" s="60" t="s">
        <v>207</v>
      </c>
      <c r="D245" s="4" t="s">
        <v>1055</v>
      </c>
      <c r="E245" s="24" t="str">
        <f>GetPrintSpec( $E$2,E$1,"bridge_speed")</f>
        <v>60</v>
      </c>
      <c r="F245" s="60"/>
      <c r="G245" s="60"/>
      <c r="H245" s="60"/>
      <c r="I245" s="60"/>
      <c r="J245" s="60"/>
      <c r="K245" s="60"/>
      <c r="L245" s="60"/>
      <c r="M245" s="60"/>
      <c r="N245" s="60"/>
      <c r="O245" s="60"/>
      <c r="P245" s="60"/>
      <c r="Q245" s="4" t="s">
        <v>1056</v>
      </c>
      <c r="R245" s="4"/>
      <c r="S245" s="4"/>
    </row>
    <row r="246" spans="1:19" x14ac:dyDescent="0.3">
      <c r="A246" s="3"/>
      <c r="B246" s="59"/>
      <c r="C246" s="59" t="s">
        <v>207</v>
      </c>
      <c r="D246" s="3" t="s">
        <v>1057</v>
      </c>
      <c r="E246" s="21">
        <f>GetFilamentSpec($E$2,"#filament_bridge_flow")*100</f>
        <v>100</v>
      </c>
      <c r="F246" s="59"/>
      <c r="G246" s="59"/>
      <c r="H246" s="59"/>
      <c r="I246" s="59"/>
      <c r="J246" s="59"/>
      <c r="K246" s="59"/>
      <c r="L246" s="59"/>
      <c r="M246" s="59"/>
      <c r="N246" s="59"/>
      <c r="O246" s="59"/>
      <c r="P246" s="59"/>
      <c r="Q246" s="3" t="s">
        <v>1058</v>
      </c>
      <c r="R246" s="3"/>
      <c r="S246" s="3"/>
    </row>
    <row r="247" spans="1:19" x14ac:dyDescent="0.3">
      <c r="A247" s="4"/>
      <c r="B247" s="60"/>
      <c r="C247" s="60" t="s">
        <v>207</v>
      </c>
      <c r="D247" s="4" t="s">
        <v>1059</v>
      </c>
      <c r="E247" s="24"/>
      <c r="F247" s="60"/>
      <c r="G247" s="60"/>
      <c r="H247" s="60"/>
      <c r="I247" s="60"/>
      <c r="J247" s="60"/>
      <c r="K247" s="60"/>
      <c r="L247" s="60"/>
      <c r="M247" s="60"/>
      <c r="N247" s="60"/>
      <c r="O247" s="60"/>
      <c r="P247" s="60"/>
      <c r="Q247" s="4" t="s">
        <v>1060</v>
      </c>
      <c r="R247" s="4"/>
      <c r="S247" s="4"/>
    </row>
    <row r="248" spans="1:19" x14ac:dyDescent="0.3">
      <c r="A248" s="3"/>
      <c r="B248" s="59"/>
      <c r="C248" s="59" t="s">
        <v>1209</v>
      </c>
      <c r="D248" s="3" t="s">
        <v>115</v>
      </c>
      <c r="E248" s="21">
        <f>GetFilamentSpec($E$2,"bridge_fan_speed")*100</f>
        <v>80</v>
      </c>
      <c r="F248" s="59"/>
      <c r="G248" s="59"/>
      <c r="H248" s="59"/>
      <c r="I248" s="59"/>
      <c r="J248" s="59"/>
      <c r="K248" s="59"/>
      <c r="L248" s="59"/>
      <c r="M248" s="59"/>
      <c r="N248" s="59"/>
      <c r="O248" s="59"/>
      <c r="P248" s="59"/>
      <c r="Q248" s="3" t="s">
        <v>1061</v>
      </c>
      <c r="R248" s="3"/>
      <c r="S248" s="3"/>
    </row>
    <row r="249" spans="1:19" x14ac:dyDescent="0.3">
      <c r="A249" s="4"/>
      <c r="B249" s="60"/>
      <c r="C249" s="60" t="s">
        <v>207</v>
      </c>
      <c r="D249" s="4" t="s">
        <v>1062</v>
      </c>
      <c r="E249" s="24" t="str">
        <f>"False"</f>
        <v>False</v>
      </c>
      <c r="F249" s="60"/>
      <c r="G249" s="60"/>
      <c r="H249" s="60"/>
      <c r="I249" s="60"/>
      <c r="J249" s="60"/>
      <c r="K249" s="60"/>
      <c r="L249" s="60"/>
      <c r="M249" s="60"/>
      <c r="N249" s="60"/>
      <c r="O249" s="60"/>
      <c r="P249" s="60"/>
      <c r="Q249" s="4" t="s">
        <v>1063</v>
      </c>
      <c r="R249" s="4"/>
      <c r="S249" s="4"/>
    </row>
    <row r="250" spans="1:19" x14ac:dyDescent="0.3">
      <c r="A250" s="3"/>
      <c r="B250" s="59" t="s">
        <v>1186</v>
      </c>
      <c r="C250" s="59" t="s">
        <v>207</v>
      </c>
      <c r="D250" s="3" t="s">
        <v>1144</v>
      </c>
      <c r="E250" s="21" t="str">
        <f>"=linewidth * 4"</f>
        <v>=linewidth * 4</v>
      </c>
      <c r="F250" s="59"/>
      <c r="G250" s="59"/>
      <c r="H250" s="59"/>
      <c r="I250" s="59"/>
      <c r="J250" s="59"/>
      <c r="K250" s="59"/>
      <c r="L250" s="59"/>
      <c r="M250" s="59"/>
      <c r="N250" s="59"/>
      <c r="O250" s="59"/>
      <c r="P250" s="59"/>
      <c r="Q250" s="3" t="s">
        <v>1145</v>
      </c>
      <c r="R250" s="3"/>
      <c r="S250" s="3"/>
    </row>
    <row r="251" spans="1:19" x14ac:dyDescent="0.3">
      <c r="A251" s="4"/>
      <c r="B251" s="60"/>
      <c r="C251" s="60" t="s">
        <v>207</v>
      </c>
      <c r="D251" s="4" t="s">
        <v>1146</v>
      </c>
      <c r="E251" s="24"/>
      <c r="F251" s="60"/>
      <c r="G251" s="60"/>
      <c r="H251" s="60"/>
      <c r="I251" s="60"/>
      <c r="J251" s="60"/>
      <c r="K251" s="60"/>
      <c r="L251" s="60"/>
      <c r="M251" s="60"/>
      <c r="N251" s="60"/>
      <c r="O251" s="60"/>
      <c r="P251" s="60"/>
      <c r="Q251" s="4" t="s">
        <v>1147</v>
      </c>
      <c r="R251" s="4"/>
      <c r="S251" s="4"/>
    </row>
    <row r="252" spans="1:19" x14ac:dyDescent="0.3">
      <c r="A252" s="3"/>
      <c r="B252" s="59"/>
      <c r="C252" s="59" t="s">
        <v>207</v>
      </c>
      <c r="D252" s="3" t="s">
        <v>1149</v>
      </c>
      <c r="E252" s="21"/>
      <c r="F252" s="59"/>
      <c r="G252" s="59"/>
      <c r="H252" s="59"/>
      <c r="I252" s="59"/>
      <c r="J252" s="59"/>
      <c r="K252" s="59"/>
      <c r="L252" s="59"/>
      <c r="M252" s="59"/>
      <c r="N252" s="59"/>
      <c r="O252" s="59"/>
      <c r="P252" s="59"/>
      <c r="Q252" s="3" t="s">
        <v>1148</v>
      </c>
      <c r="R252" s="3"/>
      <c r="S252" s="3"/>
    </row>
    <row r="253" spans="1:19" x14ac:dyDescent="0.3">
      <c r="A253" s="4"/>
      <c r="B253" s="60"/>
      <c r="C253" s="60"/>
      <c r="D253" s="4"/>
      <c r="E253" s="24"/>
      <c r="F253" s="60"/>
      <c r="G253" s="60"/>
      <c r="H253" s="60"/>
      <c r="I253" s="60"/>
      <c r="J253" s="60"/>
      <c r="K253" s="60"/>
      <c r="L253" s="60"/>
      <c r="M253" s="60"/>
      <c r="N253" s="60"/>
      <c r="O253" s="60"/>
      <c r="P253" s="60"/>
      <c r="Q253" s="4"/>
      <c r="R253" s="4"/>
      <c r="S253" s="4"/>
    </row>
    <row r="254" spans="1:19" x14ac:dyDescent="0.3">
      <c r="A254" s="3"/>
      <c r="B254" s="59"/>
      <c r="C254" s="59"/>
      <c r="D254" s="3"/>
      <c r="E254" s="21"/>
      <c r="F254" s="59"/>
      <c r="G254" s="59"/>
      <c r="H254" s="59"/>
      <c r="I254" s="59"/>
      <c r="J254" s="59"/>
      <c r="K254" s="59"/>
      <c r="L254" s="59"/>
      <c r="M254" s="59"/>
      <c r="N254" s="59"/>
      <c r="O254" s="59"/>
      <c r="P254" s="59"/>
      <c r="Q254" s="3"/>
      <c r="R254" s="3"/>
      <c r="S254" s="3"/>
    </row>
    <row r="255" spans="1:19" x14ac:dyDescent="0.3">
      <c r="A255" s="4"/>
      <c r="B255" s="60"/>
      <c r="C255" s="60"/>
      <c r="D255" s="4"/>
      <c r="E255" s="24"/>
      <c r="F255" s="60"/>
      <c r="G255" s="60"/>
      <c r="H255" s="60"/>
      <c r="I255" s="60"/>
      <c r="J255" s="60"/>
      <c r="K255" s="60"/>
      <c r="L255" s="60"/>
      <c r="M255" s="60"/>
      <c r="N255" s="60"/>
      <c r="O255" s="60"/>
      <c r="P255" s="60"/>
      <c r="Q255" s="4"/>
      <c r="R255" s="4"/>
      <c r="S255" s="4"/>
    </row>
    <row r="256" spans="1:19" x14ac:dyDescent="0.3">
      <c r="A256" s="3"/>
      <c r="B256" s="59"/>
      <c r="C256" s="59"/>
      <c r="D256" s="3"/>
      <c r="E256" s="21"/>
      <c r="F256" s="59"/>
      <c r="G256" s="59"/>
      <c r="H256" s="59"/>
      <c r="I256" s="59"/>
      <c r="J256" s="59"/>
      <c r="K256" s="59"/>
      <c r="L256" s="59"/>
      <c r="M256" s="59"/>
      <c r="N256" s="59"/>
      <c r="O256" s="59"/>
      <c r="P256" s="59"/>
      <c r="Q256" s="3"/>
      <c r="R256" s="3"/>
      <c r="S256" s="3"/>
    </row>
    <row r="257" spans="1:19" x14ac:dyDescent="0.3">
      <c r="A257" s="4"/>
      <c r="B257" s="60"/>
      <c r="C257" s="60"/>
      <c r="D257" s="4"/>
      <c r="E257" s="24"/>
      <c r="F257" s="60"/>
      <c r="G257" s="60"/>
      <c r="H257" s="60"/>
      <c r="I257" s="60"/>
      <c r="J257" s="60"/>
      <c r="K257" s="60"/>
      <c r="L257" s="60"/>
      <c r="M257" s="60"/>
      <c r="N257" s="60"/>
      <c r="O257" s="60"/>
      <c r="P257" s="60"/>
      <c r="Q257" s="4"/>
      <c r="R257" s="4"/>
      <c r="S257" s="4"/>
    </row>
    <row r="258" spans="1:19" x14ac:dyDescent="0.3">
      <c r="A258" s="3"/>
      <c r="B258" s="59"/>
      <c r="C258" s="59"/>
      <c r="D258" s="3"/>
      <c r="E258" s="21"/>
      <c r="F258" s="59"/>
      <c r="G258" s="59"/>
      <c r="H258" s="59"/>
      <c r="I258" s="59"/>
      <c r="J258" s="59"/>
      <c r="K258" s="59"/>
      <c r="L258" s="59"/>
      <c r="M258" s="59"/>
      <c r="N258" s="59"/>
      <c r="O258" s="59"/>
      <c r="P258" s="59"/>
      <c r="Q258" s="3"/>
      <c r="R258" s="3"/>
      <c r="S258" s="3"/>
    </row>
    <row r="259" spans="1:19" x14ac:dyDescent="0.3">
      <c r="A259" s="4"/>
      <c r="B259" s="60"/>
      <c r="C259" s="60"/>
      <c r="D259" s="4"/>
      <c r="E259" s="24"/>
      <c r="F259" s="60"/>
      <c r="G259" s="60"/>
      <c r="H259" s="60"/>
      <c r="I259" s="60"/>
      <c r="J259" s="60"/>
      <c r="K259" s="60"/>
      <c r="L259" s="60"/>
      <c r="M259" s="60"/>
      <c r="N259" s="60"/>
      <c r="O259" s="60"/>
      <c r="P259" s="60"/>
      <c r="Q259" s="4"/>
      <c r="R259" s="4"/>
      <c r="S259" s="4"/>
    </row>
    <row r="260" spans="1:19" x14ac:dyDescent="0.3">
      <c r="A260" s="3"/>
      <c r="B260" s="59"/>
      <c r="C260" s="59"/>
      <c r="D260" s="3"/>
      <c r="E260" s="21"/>
      <c r="F260" s="59"/>
      <c r="G260" s="59"/>
      <c r="H260" s="59"/>
      <c r="I260" s="59"/>
      <c r="J260" s="59"/>
      <c r="K260" s="59"/>
      <c r="L260" s="59"/>
      <c r="M260" s="59"/>
      <c r="N260" s="59"/>
      <c r="O260" s="59"/>
      <c r="P260" s="59"/>
      <c r="Q260" s="3"/>
      <c r="R260" s="3"/>
      <c r="S260" s="3"/>
    </row>
    <row r="261" spans="1:19" x14ac:dyDescent="0.3">
      <c r="A261" s="4"/>
      <c r="B261" s="60"/>
      <c r="C261" s="60"/>
      <c r="D261" s="4"/>
      <c r="E261" s="24"/>
      <c r="F261" s="60"/>
      <c r="G261" s="60"/>
      <c r="H261" s="60"/>
      <c r="I261" s="60"/>
      <c r="J261" s="60"/>
      <c r="K261" s="60"/>
      <c r="L261" s="60"/>
      <c r="M261" s="60"/>
      <c r="N261" s="60"/>
      <c r="O261" s="60"/>
      <c r="P261" s="60"/>
      <c r="Q261" s="4"/>
      <c r="R261" s="4"/>
      <c r="S261" s="4"/>
    </row>
    <row r="262" spans="1:19" x14ac:dyDescent="0.3">
      <c r="A262" s="3"/>
      <c r="B262" s="59"/>
      <c r="C262" s="59"/>
      <c r="D262" s="3"/>
      <c r="E262" s="21"/>
      <c r="F262" s="59"/>
      <c r="G262" s="59"/>
      <c r="H262" s="59"/>
      <c r="I262" s="59"/>
      <c r="J262" s="59"/>
      <c r="K262" s="59"/>
      <c r="L262" s="59"/>
      <c r="M262" s="59"/>
      <c r="N262" s="59"/>
      <c r="O262" s="59"/>
      <c r="P262" s="59"/>
      <c r="Q262" s="3"/>
      <c r="R262" s="3"/>
      <c r="S262" s="3"/>
    </row>
    <row r="263" spans="1:19" x14ac:dyDescent="0.3">
      <c r="A263" s="4"/>
      <c r="B263" s="60"/>
      <c r="C263" s="60"/>
      <c r="D263" s="4"/>
      <c r="E263" s="24"/>
      <c r="F263" s="60"/>
      <c r="G263" s="60"/>
      <c r="H263" s="60"/>
      <c r="I263" s="60"/>
      <c r="J263" s="60"/>
      <c r="K263" s="60"/>
      <c r="L263" s="60"/>
      <c r="M263" s="60"/>
      <c r="N263" s="60"/>
      <c r="O263" s="60"/>
      <c r="P263" s="60"/>
      <c r="Q263" s="4"/>
      <c r="R263" s="4"/>
      <c r="S263" s="4"/>
    </row>
    <row r="264" spans="1:19" x14ac:dyDescent="0.3">
      <c r="A264" s="3"/>
      <c r="B264" s="59"/>
      <c r="C264" s="59"/>
      <c r="D264" s="3"/>
      <c r="E264" s="21"/>
      <c r="F264" s="59"/>
      <c r="G264" s="59"/>
      <c r="H264" s="59"/>
      <c r="I264" s="59"/>
      <c r="J264" s="59"/>
      <c r="K264" s="59"/>
      <c r="L264" s="59"/>
      <c r="M264" s="59"/>
      <c r="N264" s="59"/>
      <c r="O264" s="59"/>
      <c r="P264" s="59"/>
      <c r="Q264" s="3"/>
      <c r="R264" s="3"/>
      <c r="S264" s="3"/>
    </row>
    <row r="265" spans="1:19" x14ac:dyDescent="0.3">
      <c r="A265" s="4"/>
      <c r="B265" s="60"/>
      <c r="C265" s="60"/>
      <c r="D265" s="4"/>
      <c r="E265" s="24"/>
      <c r="F265" s="60"/>
      <c r="G265" s="60"/>
      <c r="H265" s="60"/>
      <c r="I265" s="60"/>
      <c r="J265" s="60"/>
      <c r="K265" s="60"/>
      <c r="L265" s="60"/>
      <c r="M265" s="60"/>
      <c r="N265" s="60"/>
      <c r="O265" s="60"/>
      <c r="P265" s="60"/>
      <c r="Q265" s="4"/>
      <c r="R265" s="4"/>
      <c r="S265" s="4"/>
    </row>
    <row r="266" spans="1:19" x14ac:dyDescent="0.3">
      <c r="A266" s="3"/>
      <c r="B266" s="59"/>
      <c r="C266" s="59"/>
      <c r="D266" s="3"/>
      <c r="E266" s="21"/>
      <c r="F266" s="59"/>
      <c r="G266" s="59"/>
      <c r="H266" s="59"/>
      <c r="I266" s="59"/>
      <c r="J266" s="59"/>
      <c r="K266" s="59"/>
      <c r="L266" s="59"/>
      <c r="M266" s="59"/>
      <c r="N266" s="59"/>
      <c r="O266" s="59"/>
      <c r="P266" s="59"/>
      <c r="Q266" s="3"/>
      <c r="R266" s="3"/>
      <c r="S266" s="3"/>
    </row>
    <row r="267" spans="1:19" x14ac:dyDescent="0.3">
      <c r="A267" s="4"/>
      <c r="B267" s="60"/>
      <c r="C267" s="60"/>
      <c r="D267" s="4"/>
      <c r="E267" s="24"/>
      <c r="F267" s="60"/>
      <c r="G267" s="60"/>
      <c r="H267" s="60"/>
      <c r="I267" s="60"/>
      <c r="J267" s="60"/>
      <c r="K267" s="60"/>
      <c r="L267" s="60"/>
      <c r="M267" s="60"/>
      <c r="N267" s="60"/>
      <c r="O267" s="60"/>
      <c r="P267" s="60"/>
      <c r="Q267" s="4"/>
      <c r="R267" s="4"/>
      <c r="S267" s="4"/>
    </row>
    <row r="268" spans="1:19" x14ac:dyDescent="0.3">
      <c r="A268" s="3"/>
      <c r="B268" s="59"/>
      <c r="C268" s="59"/>
      <c r="D268" s="3"/>
      <c r="E268" s="21"/>
      <c r="F268" s="59"/>
      <c r="G268" s="59"/>
      <c r="H268" s="59"/>
      <c r="I268" s="59"/>
      <c r="J268" s="59"/>
      <c r="K268" s="59"/>
      <c r="L268" s="59"/>
      <c r="M268" s="59"/>
      <c r="N268" s="59"/>
      <c r="O268" s="59"/>
      <c r="P268" s="59"/>
      <c r="Q268" s="3"/>
      <c r="R268" s="3"/>
      <c r="S268" s="3"/>
    </row>
    <row r="269" spans="1:19" x14ac:dyDescent="0.3">
      <c r="A269" s="4"/>
      <c r="B269" s="60"/>
      <c r="C269" s="60"/>
      <c r="D269" s="4"/>
      <c r="E269" s="24"/>
      <c r="F269" s="60"/>
      <c r="G269" s="60"/>
      <c r="H269" s="60"/>
      <c r="I269" s="60"/>
      <c r="J269" s="60"/>
      <c r="K269" s="60"/>
      <c r="L269" s="60"/>
      <c r="M269" s="60"/>
      <c r="N269" s="60"/>
      <c r="O269" s="60"/>
      <c r="P269" s="60"/>
      <c r="Q269" s="4"/>
      <c r="R269" s="4"/>
      <c r="S269" s="4"/>
    </row>
    <row r="270" spans="1:19" x14ac:dyDescent="0.3">
      <c r="A270" s="3"/>
      <c r="B270" s="59"/>
      <c r="C270" s="59"/>
      <c r="D270" s="3"/>
      <c r="E270" s="21"/>
      <c r="F270" s="59"/>
      <c r="G270" s="59"/>
      <c r="H270" s="59"/>
      <c r="I270" s="59"/>
      <c r="J270" s="59"/>
      <c r="K270" s="59"/>
      <c r="L270" s="59"/>
      <c r="M270" s="59"/>
      <c r="N270" s="59"/>
      <c r="O270" s="59"/>
      <c r="P270" s="59"/>
      <c r="Q270" s="3"/>
      <c r="R270" s="3"/>
      <c r="S270" s="3"/>
    </row>
    <row r="271" spans="1:19" x14ac:dyDescent="0.3">
      <c r="A271" s="4"/>
      <c r="B271" s="60"/>
      <c r="C271" s="60"/>
      <c r="D271" s="4"/>
      <c r="E271" s="24"/>
      <c r="F271" s="60"/>
      <c r="G271" s="60"/>
      <c r="H271" s="60"/>
      <c r="I271" s="60"/>
      <c r="J271" s="60"/>
      <c r="K271" s="60"/>
      <c r="L271" s="60"/>
      <c r="M271" s="60"/>
      <c r="N271" s="60"/>
      <c r="O271" s="60"/>
      <c r="P271" s="60"/>
      <c r="Q271" s="4"/>
      <c r="R271" s="4"/>
      <c r="S271" s="4"/>
    </row>
    <row r="272" spans="1:19" x14ac:dyDescent="0.3">
      <c r="A272" s="3"/>
      <c r="B272" s="59"/>
      <c r="C272" s="59"/>
      <c r="D272" s="3"/>
      <c r="E272" s="21"/>
      <c r="F272" s="59"/>
      <c r="G272" s="59"/>
      <c r="H272" s="59"/>
      <c r="I272" s="59"/>
      <c r="J272" s="59"/>
      <c r="K272" s="59"/>
      <c r="L272" s="59"/>
      <c r="M272" s="59"/>
      <c r="N272" s="59"/>
      <c r="O272" s="59"/>
      <c r="P272" s="59"/>
      <c r="Q272" s="3"/>
      <c r="R272" s="3"/>
      <c r="S272" s="3"/>
    </row>
    <row r="273" spans="1:19" x14ac:dyDescent="0.3">
      <c r="A273" s="4"/>
      <c r="B273" s="60"/>
      <c r="C273" s="60"/>
      <c r="D273" s="4"/>
      <c r="E273" s="24"/>
      <c r="F273" s="60"/>
      <c r="G273" s="60"/>
      <c r="H273" s="60"/>
      <c r="I273" s="60"/>
      <c r="J273" s="60"/>
      <c r="K273" s="60"/>
      <c r="L273" s="60"/>
      <c r="M273" s="60"/>
      <c r="N273" s="60"/>
      <c r="O273" s="60"/>
      <c r="P273" s="60"/>
      <c r="Q273" s="4"/>
      <c r="R273" s="4"/>
      <c r="S273" s="4"/>
    </row>
    <row r="274" spans="1:19" x14ac:dyDescent="0.3">
      <c r="A274" s="3"/>
      <c r="B274" s="59"/>
      <c r="C274" s="59"/>
      <c r="D274" s="3"/>
      <c r="E274" s="21"/>
      <c r="F274" s="59"/>
      <c r="G274" s="59"/>
      <c r="H274" s="59"/>
      <c r="I274" s="59"/>
      <c r="J274" s="59"/>
      <c r="K274" s="59"/>
      <c r="L274" s="59"/>
      <c r="M274" s="59"/>
      <c r="N274" s="59"/>
      <c r="O274" s="59"/>
      <c r="P274" s="59"/>
      <c r="Q274" s="3"/>
      <c r="R274" s="3"/>
      <c r="S274" s="3"/>
    </row>
    <row r="275" spans="1:19" x14ac:dyDescent="0.3">
      <c r="A275" s="4"/>
      <c r="B275" s="60"/>
      <c r="C275" s="60"/>
      <c r="D275" s="4"/>
      <c r="E275" s="24"/>
      <c r="F275" s="60"/>
      <c r="G275" s="60"/>
      <c r="H275" s="60"/>
      <c r="I275" s="60"/>
      <c r="J275" s="60"/>
      <c r="K275" s="60"/>
      <c r="L275" s="60"/>
      <c r="M275" s="60"/>
      <c r="N275" s="60"/>
      <c r="O275" s="60"/>
      <c r="P275" s="60"/>
      <c r="Q275" s="4"/>
      <c r="R275" s="4"/>
      <c r="S275" s="4"/>
    </row>
    <row r="276" spans="1:19" x14ac:dyDescent="0.3">
      <c r="A276" s="3"/>
      <c r="B276" s="59"/>
      <c r="C276" s="59"/>
      <c r="D276" s="3"/>
      <c r="E276" s="21"/>
      <c r="F276" s="59"/>
      <c r="G276" s="59"/>
      <c r="H276" s="59"/>
      <c r="I276" s="59"/>
      <c r="J276" s="59"/>
      <c r="K276" s="59"/>
      <c r="L276" s="59"/>
      <c r="M276" s="59"/>
      <c r="N276" s="59"/>
      <c r="O276" s="59"/>
      <c r="P276" s="59"/>
      <c r="Q276" s="3"/>
      <c r="R276" s="3"/>
      <c r="S276" s="3"/>
    </row>
    <row r="277" spans="1:19" x14ac:dyDescent="0.3">
      <c r="A277" s="4"/>
      <c r="B277" s="60"/>
      <c r="C277" s="60"/>
      <c r="D277" s="4"/>
      <c r="E277" s="24"/>
      <c r="F277" s="60"/>
      <c r="G277" s="60"/>
      <c r="H277" s="60"/>
      <c r="I277" s="60"/>
      <c r="J277" s="60"/>
      <c r="K277" s="60"/>
      <c r="L277" s="60"/>
      <c r="M277" s="60"/>
      <c r="N277" s="60"/>
      <c r="O277" s="60"/>
      <c r="P277" s="60"/>
      <c r="Q277" s="4"/>
      <c r="R277" s="4"/>
      <c r="S277" s="4"/>
    </row>
    <row r="278" spans="1:19" x14ac:dyDescent="0.3">
      <c r="A278" s="3"/>
      <c r="B278" s="59"/>
      <c r="C278" s="59"/>
      <c r="D278" s="3"/>
      <c r="E278" s="21"/>
      <c r="F278" s="59"/>
      <c r="G278" s="59"/>
      <c r="H278" s="59"/>
      <c r="I278" s="59"/>
      <c r="J278" s="59"/>
      <c r="K278" s="59"/>
      <c r="L278" s="59"/>
      <c r="M278" s="59"/>
      <c r="N278" s="59"/>
      <c r="O278" s="59"/>
      <c r="P278" s="59"/>
      <c r="Q278" s="3"/>
      <c r="R278" s="3"/>
      <c r="S278" s="3"/>
    </row>
    <row r="279" spans="1:19" x14ac:dyDescent="0.3">
      <c r="A279" s="4"/>
      <c r="B279" s="60"/>
      <c r="C279" s="60"/>
      <c r="D279" s="4"/>
      <c r="E279" s="24"/>
      <c r="F279" s="60"/>
      <c r="G279" s="60"/>
      <c r="H279" s="60"/>
      <c r="I279" s="60"/>
      <c r="J279" s="60"/>
      <c r="K279" s="60"/>
      <c r="L279" s="60"/>
      <c r="M279" s="60"/>
      <c r="N279" s="60"/>
      <c r="O279" s="60"/>
      <c r="P279" s="60"/>
      <c r="Q279" s="4"/>
      <c r="R279" s="4"/>
      <c r="S279" s="4"/>
    </row>
    <row r="280" spans="1:19" x14ac:dyDescent="0.3">
      <c r="A280" s="3"/>
      <c r="B280" s="59"/>
      <c r="C280" s="59"/>
      <c r="D280" s="3"/>
      <c r="E280" s="21"/>
      <c r="F280" s="59"/>
      <c r="G280" s="59"/>
      <c r="H280" s="59"/>
      <c r="I280" s="59"/>
      <c r="J280" s="59"/>
      <c r="K280" s="59"/>
      <c r="L280" s="59"/>
      <c r="M280" s="59"/>
      <c r="N280" s="59"/>
      <c r="O280" s="59"/>
      <c r="P280" s="59"/>
      <c r="Q280" s="3"/>
      <c r="R280" s="3"/>
      <c r="S280" s="3"/>
    </row>
    <row r="281" spans="1:19" x14ac:dyDescent="0.3">
      <c r="A281" s="4"/>
      <c r="B281" s="60"/>
      <c r="C281" s="60"/>
      <c r="D281" s="4"/>
      <c r="E281" s="24"/>
      <c r="F281" s="60"/>
      <c r="G281" s="60"/>
      <c r="H281" s="60"/>
      <c r="I281" s="60"/>
      <c r="J281" s="60"/>
      <c r="K281" s="60"/>
      <c r="L281" s="60"/>
      <c r="M281" s="60"/>
      <c r="N281" s="60"/>
      <c r="O281" s="60"/>
      <c r="P281" s="60"/>
      <c r="Q281" s="4"/>
      <c r="R281" s="4"/>
      <c r="S281" s="4"/>
    </row>
    <row r="282" spans="1:19" x14ac:dyDescent="0.3">
      <c r="A282" s="3"/>
      <c r="B282" s="59"/>
      <c r="C282" s="59"/>
      <c r="D282" s="3"/>
      <c r="E282" s="21"/>
      <c r="F282" s="59"/>
      <c r="G282" s="59"/>
      <c r="H282" s="59"/>
      <c r="I282" s="59"/>
      <c r="J282" s="59"/>
      <c r="K282" s="59"/>
      <c r="L282" s="59"/>
      <c r="M282" s="59"/>
      <c r="N282" s="59"/>
      <c r="O282" s="59"/>
      <c r="P282" s="59"/>
      <c r="Q282" s="3"/>
      <c r="R282" s="3"/>
      <c r="S282" s="3"/>
    </row>
    <row r="283" spans="1:19" x14ac:dyDescent="0.3">
      <c r="A283" s="4"/>
      <c r="B283" s="60"/>
      <c r="C283" s="60"/>
      <c r="D283" s="4"/>
      <c r="E283" s="24"/>
      <c r="F283" s="60"/>
      <c r="G283" s="60"/>
      <c r="H283" s="60"/>
      <c r="I283" s="60"/>
      <c r="J283" s="60"/>
      <c r="K283" s="60"/>
      <c r="L283" s="60"/>
      <c r="M283" s="60"/>
      <c r="N283" s="60"/>
      <c r="O283" s="60"/>
      <c r="P283" s="60"/>
      <c r="Q283" s="4"/>
      <c r="R283" s="4"/>
      <c r="S283" s="4"/>
    </row>
    <row r="284" spans="1:19" x14ac:dyDescent="0.3">
      <c r="A284" s="3"/>
      <c r="B284" s="59"/>
      <c r="C284" s="59"/>
      <c r="D284" s="3"/>
      <c r="E284" s="21"/>
      <c r="F284" s="59"/>
      <c r="G284" s="59"/>
      <c r="H284" s="59"/>
      <c r="I284" s="59"/>
      <c r="J284" s="59"/>
      <c r="K284" s="59"/>
      <c r="L284" s="59"/>
      <c r="M284" s="59"/>
      <c r="N284" s="59"/>
      <c r="O284" s="59"/>
      <c r="P284" s="59"/>
      <c r="Q284" s="3"/>
      <c r="R284" s="3"/>
      <c r="S284" s="3"/>
    </row>
    <row r="285" spans="1:19" x14ac:dyDescent="0.3">
      <c r="A285" s="4"/>
      <c r="B285" s="60"/>
      <c r="C285" s="60"/>
      <c r="D285" s="4"/>
      <c r="E285" s="24"/>
      <c r="F285" s="60"/>
      <c r="G285" s="60"/>
      <c r="H285" s="60"/>
      <c r="I285" s="60"/>
      <c r="J285" s="60"/>
      <c r="K285" s="60"/>
      <c r="L285" s="60"/>
      <c r="M285" s="60"/>
      <c r="N285" s="60"/>
      <c r="O285" s="60"/>
      <c r="P285" s="60"/>
      <c r="Q285" s="4"/>
      <c r="R285" s="4"/>
      <c r="S285" s="4"/>
    </row>
    <row r="286" spans="1:19" x14ac:dyDescent="0.3">
      <c r="A286" s="3"/>
      <c r="B286" s="59"/>
      <c r="C286" s="59"/>
      <c r="D286" s="3"/>
      <c r="E286" s="21"/>
      <c r="F286" s="59"/>
      <c r="G286" s="59"/>
      <c r="H286" s="59"/>
      <c r="I286" s="59"/>
      <c r="J286" s="59"/>
      <c r="K286" s="59"/>
      <c r="L286" s="59"/>
      <c r="M286" s="59"/>
      <c r="N286" s="59"/>
      <c r="O286" s="59"/>
      <c r="P286" s="59"/>
      <c r="Q286" s="3"/>
      <c r="R286" s="3"/>
      <c r="S286" s="3"/>
    </row>
    <row r="287" spans="1:19" x14ac:dyDescent="0.3">
      <c r="A287" s="4"/>
      <c r="B287" s="60"/>
      <c r="C287" s="60"/>
      <c r="D287" s="4"/>
      <c r="E287" s="24"/>
      <c r="F287" s="60"/>
      <c r="G287" s="60"/>
      <c r="H287" s="60"/>
      <c r="I287" s="60"/>
      <c r="J287" s="60"/>
      <c r="K287" s="60"/>
      <c r="L287" s="60"/>
      <c r="M287" s="60"/>
      <c r="N287" s="60"/>
      <c r="O287" s="60"/>
      <c r="P287" s="60"/>
      <c r="Q287" s="4"/>
      <c r="R287" s="4"/>
      <c r="S287" s="4"/>
    </row>
    <row r="288" spans="1:19" x14ac:dyDescent="0.3">
      <c r="A288" s="3"/>
      <c r="B288" s="59"/>
      <c r="C288" s="59"/>
      <c r="D288" s="3"/>
      <c r="E288" s="21"/>
      <c r="F288" s="59"/>
      <c r="G288" s="59"/>
      <c r="H288" s="59"/>
      <c r="I288" s="59"/>
      <c r="J288" s="59"/>
      <c r="K288" s="59"/>
      <c r="L288" s="59"/>
      <c r="M288" s="59"/>
      <c r="N288" s="59"/>
      <c r="O288" s="59"/>
      <c r="P288" s="59"/>
      <c r="Q288" s="3"/>
      <c r="R288" s="3"/>
      <c r="S288" s="3"/>
    </row>
    <row r="289" spans="1:19" x14ac:dyDescent="0.3">
      <c r="A289" s="4"/>
      <c r="B289" s="60"/>
      <c r="C289" s="60"/>
      <c r="D289" s="4"/>
      <c r="E289" s="24"/>
      <c r="F289" s="60"/>
      <c r="G289" s="60"/>
      <c r="H289" s="60"/>
      <c r="I289" s="60"/>
      <c r="J289" s="60"/>
      <c r="K289" s="60"/>
      <c r="L289" s="60"/>
      <c r="M289" s="60"/>
      <c r="N289" s="60"/>
      <c r="O289" s="60"/>
      <c r="P289" s="60"/>
      <c r="Q289" s="4"/>
      <c r="R289" s="4"/>
      <c r="S289" s="4"/>
    </row>
    <row r="290" spans="1:19" x14ac:dyDescent="0.3">
      <c r="A290" s="3"/>
      <c r="B290" s="59"/>
      <c r="C290" s="59"/>
      <c r="D290" s="3"/>
      <c r="E290" s="21"/>
      <c r="F290" s="59"/>
      <c r="G290" s="59"/>
      <c r="H290" s="59"/>
      <c r="I290" s="59"/>
      <c r="J290" s="59"/>
      <c r="K290" s="59"/>
      <c r="L290" s="59"/>
      <c r="M290" s="59"/>
      <c r="N290" s="59"/>
      <c r="O290" s="59"/>
      <c r="P290" s="59"/>
      <c r="Q290" s="3"/>
      <c r="R290" s="3"/>
      <c r="S290" s="3"/>
    </row>
    <row r="291" spans="1:19" x14ac:dyDescent="0.3">
      <c r="A291" s="4"/>
      <c r="B291" s="60"/>
      <c r="C291" s="60"/>
      <c r="D291" s="4"/>
      <c r="E291" s="24"/>
      <c r="F291" s="60"/>
      <c r="G291" s="60"/>
      <c r="H291" s="60"/>
      <c r="I291" s="60"/>
      <c r="J291" s="60"/>
      <c r="K291" s="60"/>
      <c r="L291" s="60"/>
      <c r="M291" s="60"/>
      <c r="N291" s="60"/>
      <c r="O291" s="60"/>
      <c r="P291" s="60"/>
      <c r="Q291" s="4"/>
      <c r="R291" s="4"/>
      <c r="S291" s="4"/>
    </row>
    <row r="292" spans="1:19" x14ac:dyDescent="0.3">
      <c r="A292" s="3"/>
      <c r="B292" s="59"/>
      <c r="C292" s="59"/>
      <c r="D292" s="3"/>
      <c r="E292" s="21"/>
      <c r="F292" s="59"/>
      <c r="G292" s="59"/>
      <c r="H292" s="59"/>
      <c r="I292" s="59"/>
      <c r="J292" s="59"/>
      <c r="K292" s="59"/>
      <c r="L292" s="59"/>
      <c r="M292" s="59"/>
      <c r="N292" s="59"/>
      <c r="O292" s="59"/>
      <c r="P292" s="59"/>
      <c r="Q292" s="3"/>
      <c r="R292" s="3"/>
      <c r="S292" s="3"/>
    </row>
    <row r="293" spans="1:19" x14ac:dyDescent="0.3">
      <c r="A293" s="4"/>
      <c r="B293" s="60"/>
      <c r="C293" s="60"/>
      <c r="D293" s="4"/>
      <c r="E293" s="24"/>
      <c r="F293" s="60"/>
      <c r="G293" s="60"/>
      <c r="H293" s="60"/>
      <c r="I293" s="60"/>
      <c r="J293" s="60"/>
      <c r="K293" s="60"/>
      <c r="L293" s="60"/>
      <c r="M293" s="60"/>
      <c r="N293" s="60"/>
      <c r="O293" s="60"/>
      <c r="P293" s="60"/>
      <c r="Q293" s="4"/>
      <c r="R293" s="4"/>
      <c r="S293" s="4"/>
    </row>
    <row r="294" spans="1:19" x14ac:dyDescent="0.3">
      <c r="A294" s="3"/>
      <c r="B294" s="59"/>
      <c r="C294" s="59"/>
      <c r="D294" s="3"/>
      <c r="E294" s="21"/>
      <c r="F294" s="59"/>
      <c r="G294" s="59"/>
      <c r="H294" s="59"/>
      <c r="I294" s="59"/>
      <c r="J294" s="59"/>
      <c r="K294" s="59"/>
      <c r="L294" s="59"/>
      <c r="M294" s="59"/>
      <c r="N294" s="59"/>
      <c r="O294" s="59"/>
      <c r="P294" s="59"/>
      <c r="Q294" s="3"/>
      <c r="R294" s="3"/>
      <c r="S294" s="3"/>
    </row>
    <row r="295" spans="1:19" x14ac:dyDescent="0.3">
      <c r="A295" s="4"/>
      <c r="B295" s="60"/>
      <c r="C295" s="60"/>
      <c r="D295" s="4"/>
      <c r="E295" s="24"/>
      <c r="F295" s="60"/>
      <c r="G295" s="60"/>
      <c r="H295" s="60"/>
      <c r="I295" s="60"/>
      <c r="J295" s="60"/>
      <c r="K295" s="60"/>
      <c r="L295" s="60"/>
      <c r="M295" s="60"/>
      <c r="N295" s="60"/>
      <c r="O295" s="60"/>
      <c r="P295" s="60"/>
      <c r="Q295" s="4"/>
      <c r="R295" s="4"/>
      <c r="S295" s="4"/>
    </row>
    <row r="296" spans="1:19" x14ac:dyDescent="0.3">
      <c r="A296" s="3"/>
      <c r="B296" s="59"/>
      <c r="C296" s="59"/>
      <c r="D296" s="3"/>
      <c r="E296" s="21"/>
      <c r="F296" s="59"/>
      <c r="G296" s="59"/>
      <c r="H296" s="59"/>
      <c r="I296" s="59"/>
      <c r="J296" s="59"/>
      <c r="K296" s="59"/>
      <c r="L296" s="59"/>
      <c r="M296" s="59"/>
      <c r="N296" s="59"/>
      <c r="O296" s="59"/>
      <c r="P296" s="59"/>
      <c r="Q296" s="3"/>
      <c r="R296" s="3"/>
      <c r="S296" s="3"/>
    </row>
    <row r="297" spans="1:19" x14ac:dyDescent="0.3">
      <c r="A297" s="4"/>
      <c r="B297" s="60"/>
      <c r="C297" s="60"/>
      <c r="D297" s="4"/>
      <c r="E297" s="24"/>
      <c r="F297" s="60"/>
      <c r="G297" s="60"/>
      <c r="H297" s="60"/>
      <c r="I297" s="60"/>
      <c r="J297" s="60"/>
      <c r="K297" s="60"/>
      <c r="L297" s="60"/>
      <c r="M297" s="60"/>
      <c r="N297" s="60"/>
      <c r="O297" s="60"/>
      <c r="P297" s="60"/>
      <c r="Q297" s="4"/>
      <c r="R297" s="4"/>
      <c r="S297" s="4"/>
    </row>
    <row r="298" spans="1:19" x14ac:dyDescent="0.3">
      <c r="A298" s="3"/>
      <c r="B298" s="59"/>
      <c r="C298" s="59"/>
      <c r="D298" s="3"/>
      <c r="E298" s="21"/>
      <c r="F298" s="59"/>
      <c r="G298" s="59"/>
      <c r="H298" s="59"/>
      <c r="I298" s="59"/>
      <c r="J298" s="59"/>
      <c r="K298" s="59"/>
      <c r="L298" s="59"/>
      <c r="M298" s="59"/>
      <c r="N298" s="59"/>
      <c r="O298" s="59"/>
      <c r="P298" s="59"/>
      <c r="Q298" s="3"/>
      <c r="R298" s="3"/>
      <c r="S298" s="3"/>
    </row>
    <row r="299" spans="1:19" x14ac:dyDescent="0.3">
      <c r="A299" s="4"/>
      <c r="B299" s="60"/>
      <c r="C299" s="60"/>
      <c r="D299" s="4"/>
      <c r="E299" s="24"/>
      <c r="F299" s="60"/>
      <c r="G299" s="60"/>
      <c r="H299" s="60"/>
      <c r="I299" s="60"/>
      <c r="J299" s="60"/>
      <c r="K299" s="60"/>
      <c r="L299" s="60"/>
      <c r="M299" s="60"/>
      <c r="N299" s="60"/>
      <c r="O299" s="60"/>
      <c r="P299" s="60"/>
      <c r="Q299" s="4"/>
      <c r="R299" s="4"/>
      <c r="S299" s="4"/>
    </row>
    <row r="300" spans="1:19" x14ac:dyDescent="0.3">
      <c r="A300" s="3"/>
      <c r="B300" s="59"/>
      <c r="C300" s="59"/>
      <c r="D300" s="3"/>
      <c r="E300" s="21"/>
      <c r="F300" s="59"/>
      <c r="G300" s="59"/>
      <c r="H300" s="59"/>
      <c r="I300" s="59"/>
      <c r="J300" s="59"/>
      <c r="K300" s="59"/>
      <c r="L300" s="59"/>
      <c r="M300" s="59"/>
      <c r="N300" s="59"/>
      <c r="O300" s="59"/>
      <c r="P300" s="59"/>
      <c r="Q300" s="3"/>
      <c r="R300" s="3"/>
      <c r="S300" s="3"/>
    </row>
    <row r="301" spans="1:19" x14ac:dyDescent="0.3">
      <c r="A301" s="4"/>
      <c r="B301" s="60"/>
      <c r="C301" s="60"/>
      <c r="D301" s="4"/>
      <c r="E301" s="24"/>
      <c r="F301" s="60"/>
      <c r="G301" s="60"/>
      <c r="H301" s="60"/>
      <c r="I301" s="60"/>
      <c r="J301" s="60"/>
      <c r="K301" s="60"/>
      <c r="L301" s="60"/>
      <c r="M301" s="60"/>
      <c r="N301" s="60"/>
      <c r="O301" s="60"/>
      <c r="P301" s="60"/>
      <c r="Q301" s="4"/>
      <c r="R301" s="4"/>
      <c r="S301" s="4"/>
    </row>
    <row r="302" spans="1:19" x14ac:dyDescent="0.3">
      <c r="A302" s="3"/>
      <c r="B302" s="59"/>
      <c r="C302" s="59"/>
      <c r="D302" s="3"/>
      <c r="E302" s="21"/>
      <c r="F302" s="59"/>
      <c r="G302" s="59"/>
      <c r="H302" s="59"/>
      <c r="I302" s="59"/>
      <c r="J302" s="59"/>
      <c r="K302" s="59"/>
      <c r="L302" s="59"/>
      <c r="M302" s="59"/>
      <c r="N302" s="59"/>
      <c r="O302" s="59"/>
      <c r="P302" s="59"/>
      <c r="Q302" s="3"/>
      <c r="R302" s="3"/>
      <c r="S302" s="3"/>
    </row>
    <row r="303" spans="1:19" x14ac:dyDescent="0.3">
      <c r="A303" s="4"/>
      <c r="B303" s="60"/>
      <c r="C303" s="60"/>
      <c r="D303" s="4"/>
      <c r="E303" s="24"/>
      <c r="F303" s="60"/>
      <c r="G303" s="60"/>
      <c r="H303" s="60"/>
      <c r="I303" s="60"/>
      <c r="J303" s="60"/>
      <c r="K303" s="60"/>
      <c r="L303" s="60"/>
      <c r="M303" s="60"/>
      <c r="N303" s="60"/>
      <c r="O303" s="60"/>
      <c r="P303" s="60"/>
      <c r="Q303" s="4"/>
      <c r="R303" s="4"/>
      <c r="S303" s="4"/>
    </row>
    <row r="304" spans="1:19" x14ac:dyDescent="0.3">
      <c r="A304" s="3"/>
      <c r="B304" s="59"/>
      <c r="C304" s="59"/>
      <c r="D304" s="3"/>
      <c r="E304" s="21"/>
      <c r="F304" s="59"/>
      <c r="G304" s="59"/>
      <c r="H304" s="59"/>
      <c r="I304" s="59"/>
      <c r="J304" s="59"/>
      <c r="K304" s="59"/>
      <c r="L304" s="59"/>
      <c r="M304" s="59"/>
      <c r="N304" s="59"/>
      <c r="O304" s="59"/>
      <c r="P304" s="59"/>
      <c r="Q304" s="3"/>
      <c r="R304" s="3"/>
      <c r="S304" s="3"/>
    </row>
    <row r="305" spans="1:19" x14ac:dyDescent="0.3">
      <c r="A305" s="4"/>
      <c r="B305" s="60"/>
      <c r="C305" s="60"/>
      <c r="D305" s="4"/>
      <c r="E305" s="24"/>
      <c r="F305" s="60"/>
      <c r="G305" s="60"/>
      <c r="H305" s="60"/>
      <c r="I305" s="60"/>
      <c r="J305" s="60"/>
      <c r="K305" s="60"/>
      <c r="L305" s="60"/>
      <c r="M305" s="60"/>
      <c r="N305" s="60"/>
      <c r="O305" s="60"/>
      <c r="P305" s="60"/>
      <c r="Q305" s="4"/>
      <c r="R305" s="4"/>
      <c r="S305" s="4"/>
    </row>
    <row r="306" spans="1:19" x14ac:dyDescent="0.3">
      <c r="A306" s="3"/>
      <c r="B306" s="59"/>
      <c r="C306" s="59"/>
      <c r="D306" s="3"/>
      <c r="E306" s="21"/>
      <c r="F306" s="59"/>
      <c r="G306" s="59"/>
      <c r="H306" s="59"/>
      <c r="I306" s="59"/>
      <c r="J306" s="59"/>
      <c r="K306" s="59"/>
      <c r="L306" s="59"/>
      <c r="M306" s="59"/>
      <c r="N306" s="59"/>
      <c r="O306" s="59"/>
      <c r="P306" s="59"/>
      <c r="Q306" s="3"/>
      <c r="R306" s="3"/>
      <c r="S306" s="3"/>
    </row>
    <row r="307" spans="1:19" x14ac:dyDescent="0.3">
      <c r="A307" s="4"/>
      <c r="B307" s="60"/>
      <c r="C307" s="60"/>
      <c r="D307" s="4"/>
      <c r="E307" s="24"/>
      <c r="F307" s="60"/>
      <c r="G307" s="60"/>
      <c r="H307" s="60"/>
      <c r="I307" s="60"/>
      <c r="J307" s="60"/>
      <c r="K307" s="60"/>
      <c r="L307" s="60"/>
      <c r="M307" s="60"/>
      <c r="N307" s="60"/>
      <c r="O307" s="60"/>
      <c r="P307" s="60"/>
      <c r="Q307" s="4"/>
      <c r="R307" s="4"/>
      <c r="S307" s="4"/>
    </row>
    <row r="308" spans="1:19" x14ac:dyDescent="0.3">
      <c r="A308" s="3"/>
      <c r="B308" s="59"/>
      <c r="C308" s="59"/>
      <c r="D308" s="3"/>
      <c r="E308" s="21"/>
      <c r="F308" s="59"/>
      <c r="G308" s="59"/>
      <c r="H308" s="59"/>
      <c r="I308" s="59"/>
      <c r="J308" s="59"/>
      <c r="K308" s="59"/>
      <c r="L308" s="59"/>
      <c r="M308" s="59"/>
      <c r="N308" s="59"/>
      <c r="O308" s="59"/>
      <c r="P308" s="59"/>
      <c r="Q308" s="3"/>
      <c r="R308" s="3"/>
      <c r="S308" s="3"/>
    </row>
    <row r="309" spans="1:19" x14ac:dyDescent="0.3">
      <c r="A309" s="4"/>
      <c r="B309" s="60"/>
      <c r="C309" s="60"/>
      <c r="D309" s="4"/>
      <c r="E309" s="24"/>
      <c r="F309" s="60"/>
      <c r="G309" s="60"/>
      <c r="H309" s="60"/>
      <c r="I309" s="60"/>
      <c r="J309" s="60"/>
      <c r="K309" s="60"/>
      <c r="L309" s="60"/>
      <c r="M309" s="60"/>
      <c r="N309" s="60"/>
      <c r="O309" s="60"/>
      <c r="P309" s="60"/>
      <c r="Q309" s="4"/>
      <c r="R309" s="4"/>
      <c r="S309" s="4"/>
    </row>
    <row r="310" spans="1:19" x14ac:dyDescent="0.3">
      <c r="A310" s="3"/>
      <c r="B310" s="59"/>
      <c r="C310" s="59"/>
      <c r="D310" s="3"/>
      <c r="E310" s="21"/>
      <c r="F310" s="59"/>
      <c r="G310" s="59"/>
      <c r="H310" s="59"/>
      <c r="I310" s="59"/>
      <c r="J310" s="59"/>
      <c r="K310" s="59"/>
      <c r="L310" s="59"/>
      <c r="M310" s="59"/>
      <c r="N310" s="59"/>
      <c r="O310" s="59"/>
      <c r="P310" s="59"/>
      <c r="Q310" s="3"/>
      <c r="R310" s="3"/>
      <c r="S310" s="3"/>
    </row>
    <row r="311" spans="1:19" x14ac:dyDescent="0.3">
      <c r="A311" s="4"/>
      <c r="B311" s="60"/>
      <c r="C311" s="60"/>
      <c r="D311" s="4"/>
      <c r="E311" s="24"/>
      <c r="F311" s="60"/>
      <c r="G311" s="60"/>
      <c r="H311" s="60"/>
      <c r="I311" s="60"/>
      <c r="J311" s="60"/>
      <c r="K311" s="60"/>
      <c r="L311" s="60"/>
      <c r="M311" s="60"/>
      <c r="N311" s="60"/>
      <c r="O311" s="60"/>
      <c r="P311" s="60"/>
      <c r="Q311" s="4"/>
      <c r="R311" s="4"/>
      <c r="S311" s="4"/>
    </row>
    <row r="312" spans="1:19" x14ac:dyDescent="0.3">
      <c r="A312" s="3"/>
      <c r="B312" s="59"/>
      <c r="C312" s="59"/>
      <c r="D312" s="3"/>
      <c r="E312" s="21"/>
      <c r="F312" s="59"/>
      <c r="G312" s="59"/>
      <c r="H312" s="59"/>
      <c r="I312" s="59"/>
      <c r="J312" s="59"/>
      <c r="K312" s="59"/>
      <c r="L312" s="59"/>
      <c r="M312" s="59"/>
      <c r="N312" s="59"/>
      <c r="O312" s="59"/>
      <c r="P312" s="59"/>
      <c r="Q312" s="3"/>
      <c r="R312" s="3"/>
      <c r="S312" s="3"/>
    </row>
    <row r="313" spans="1:19" x14ac:dyDescent="0.3">
      <c r="A313" s="4"/>
      <c r="B313" s="60"/>
      <c r="C313" s="60"/>
      <c r="D313" s="4"/>
      <c r="E313" s="24"/>
      <c r="F313" s="60"/>
      <c r="G313" s="60"/>
      <c r="H313" s="60"/>
      <c r="I313" s="60"/>
      <c r="J313" s="60"/>
      <c r="K313" s="60"/>
      <c r="L313" s="60"/>
      <c r="M313" s="60"/>
      <c r="N313" s="60"/>
      <c r="O313" s="60"/>
      <c r="P313" s="60"/>
      <c r="Q313" s="4"/>
      <c r="R313" s="4"/>
      <c r="S313" s="4"/>
    </row>
    <row r="314" spans="1:19" x14ac:dyDescent="0.3">
      <c r="A314" s="3"/>
      <c r="B314" s="59"/>
      <c r="C314" s="59"/>
      <c r="D314" s="3"/>
      <c r="E314" s="21"/>
      <c r="F314" s="59"/>
      <c r="G314" s="59"/>
      <c r="H314" s="59"/>
      <c r="I314" s="59"/>
      <c r="J314" s="59"/>
      <c r="K314" s="59"/>
      <c r="L314" s="59"/>
      <c r="M314" s="59"/>
      <c r="N314" s="59"/>
      <c r="O314" s="59"/>
      <c r="P314" s="59"/>
      <c r="Q314" s="3"/>
      <c r="R314" s="3"/>
      <c r="S314" s="3"/>
    </row>
    <row r="315" spans="1:19" x14ac:dyDescent="0.3">
      <c r="A315" s="4"/>
      <c r="B315" s="60"/>
      <c r="C315" s="60"/>
      <c r="D315" s="4"/>
      <c r="E315" s="24"/>
      <c r="F315" s="60"/>
      <c r="G315" s="60"/>
      <c r="H315" s="60"/>
      <c r="I315" s="60"/>
      <c r="J315" s="60"/>
      <c r="K315" s="60"/>
      <c r="L315" s="60"/>
      <c r="M315" s="60"/>
      <c r="N315" s="60"/>
      <c r="O315" s="60"/>
      <c r="P315" s="60"/>
      <c r="Q315" s="4"/>
      <c r="R315" s="4"/>
      <c r="S315" s="4"/>
    </row>
    <row r="316" spans="1:19" x14ac:dyDescent="0.3">
      <c r="A316" s="3"/>
      <c r="B316" s="59"/>
      <c r="C316" s="59"/>
      <c r="D316" s="3"/>
      <c r="E316" s="21"/>
      <c r="F316" s="59"/>
      <c r="G316" s="59"/>
      <c r="H316" s="59"/>
      <c r="I316" s="59"/>
      <c r="J316" s="59"/>
      <c r="K316" s="59"/>
      <c r="L316" s="59"/>
      <c r="M316" s="59"/>
      <c r="N316" s="59"/>
      <c r="O316" s="59"/>
      <c r="P316" s="59"/>
      <c r="Q316" s="3"/>
      <c r="R316" s="3"/>
      <c r="S316" s="3"/>
    </row>
    <row r="317" spans="1:19" x14ac:dyDescent="0.3">
      <c r="A317" s="4"/>
      <c r="B317" s="60"/>
      <c r="C317" s="60"/>
      <c r="D317" s="4"/>
      <c r="E317" s="24"/>
      <c r="F317" s="60"/>
      <c r="G317" s="60"/>
      <c r="H317" s="60"/>
      <c r="I317" s="60"/>
      <c r="J317" s="60"/>
      <c r="K317" s="60"/>
      <c r="L317" s="60"/>
      <c r="M317" s="60"/>
      <c r="N317" s="60"/>
      <c r="O317" s="60"/>
      <c r="P317" s="60"/>
      <c r="Q317" s="4"/>
      <c r="R317" s="4"/>
      <c r="S317" s="4"/>
    </row>
    <row r="318" spans="1:19" x14ac:dyDescent="0.3">
      <c r="A318" s="3"/>
      <c r="B318" s="59"/>
      <c r="C318" s="59"/>
      <c r="D318" s="3"/>
      <c r="E318" s="21"/>
      <c r="F318" s="59"/>
      <c r="G318" s="59"/>
      <c r="H318" s="59"/>
      <c r="I318" s="59"/>
      <c r="J318" s="59"/>
      <c r="K318" s="59"/>
      <c r="L318" s="59"/>
      <c r="M318" s="59"/>
      <c r="N318" s="59"/>
      <c r="O318" s="59"/>
      <c r="P318" s="59"/>
      <c r="Q318" s="3"/>
      <c r="R318" s="3"/>
      <c r="S318" s="3"/>
    </row>
    <row r="319" spans="1:19" x14ac:dyDescent="0.3">
      <c r="A319" s="4"/>
      <c r="B319" s="60"/>
      <c r="C319" s="60"/>
      <c r="D319" s="4"/>
      <c r="E319" s="24"/>
      <c r="F319" s="60"/>
      <c r="G319" s="60"/>
      <c r="H319" s="60"/>
      <c r="I319" s="60"/>
      <c r="J319" s="60"/>
      <c r="K319" s="60"/>
      <c r="L319" s="60"/>
      <c r="M319" s="60"/>
      <c r="N319" s="60"/>
      <c r="O319" s="60"/>
      <c r="P319" s="60"/>
      <c r="Q319" s="4"/>
      <c r="R319" s="4"/>
      <c r="S319" s="4"/>
    </row>
    <row r="320" spans="1:19" x14ac:dyDescent="0.3">
      <c r="A320" s="3"/>
      <c r="B320" s="59"/>
      <c r="C320" s="59"/>
      <c r="D320" s="3"/>
      <c r="E320" s="21"/>
      <c r="F320" s="59"/>
      <c r="G320" s="59"/>
      <c r="H320" s="59"/>
      <c r="I320" s="59"/>
      <c r="J320" s="59"/>
      <c r="K320" s="59"/>
      <c r="L320" s="59"/>
      <c r="M320" s="59"/>
      <c r="N320" s="59"/>
      <c r="O320" s="59"/>
      <c r="P320" s="59"/>
      <c r="Q320" s="3"/>
      <c r="R320" s="3"/>
      <c r="S320" s="3"/>
    </row>
    <row r="321" spans="1:19" x14ac:dyDescent="0.3">
      <c r="A321" s="4"/>
      <c r="B321" s="60"/>
      <c r="C321" s="60"/>
      <c r="D321" s="4"/>
      <c r="E321" s="24"/>
      <c r="F321" s="60"/>
      <c r="G321" s="60"/>
      <c r="H321" s="60"/>
      <c r="I321" s="60"/>
      <c r="J321" s="60"/>
      <c r="K321" s="60"/>
      <c r="L321" s="60"/>
      <c r="M321" s="60"/>
      <c r="N321" s="60"/>
      <c r="O321" s="60"/>
      <c r="P321" s="60"/>
      <c r="Q321" s="4"/>
      <c r="R321" s="4"/>
      <c r="S321" s="4"/>
    </row>
    <row r="322" spans="1:19" x14ac:dyDescent="0.3">
      <c r="A322" s="3"/>
      <c r="B322" s="59"/>
      <c r="C322" s="59"/>
      <c r="D322" s="3"/>
      <c r="E322" s="21"/>
      <c r="F322" s="59"/>
      <c r="G322" s="59"/>
      <c r="H322" s="59"/>
      <c r="I322" s="59"/>
      <c r="J322" s="59"/>
      <c r="K322" s="59"/>
      <c r="L322" s="59"/>
      <c r="M322" s="59"/>
      <c r="N322" s="59"/>
      <c r="O322" s="59"/>
      <c r="P322" s="59"/>
      <c r="Q322" s="3"/>
      <c r="R322" s="3"/>
      <c r="S322" s="3"/>
    </row>
    <row r="323" spans="1:19" x14ac:dyDescent="0.3">
      <c r="A323" s="4"/>
      <c r="B323" s="60"/>
      <c r="C323" s="60"/>
      <c r="D323" s="4"/>
      <c r="E323" s="24"/>
      <c r="F323" s="60"/>
      <c r="G323" s="60"/>
      <c r="H323" s="60"/>
      <c r="I323" s="60"/>
      <c r="J323" s="60"/>
      <c r="K323" s="60"/>
      <c r="L323" s="60"/>
      <c r="M323" s="60"/>
      <c r="N323" s="60"/>
      <c r="O323" s="60"/>
      <c r="P323" s="60"/>
      <c r="Q323" s="4"/>
      <c r="R323" s="4"/>
      <c r="S323" s="4"/>
    </row>
    <row r="324" spans="1:19" x14ac:dyDescent="0.3">
      <c r="A324" s="3"/>
      <c r="B324" s="59"/>
      <c r="C324" s="59"/>
      <c r="D324" s="3"/>
      <c r="E324" s="21"/>
      <c r="F324" s="59"/>
      <c r="G324" s="59"/>
      <c r="H324" s="59"/>
      <c r="I324" s="59"/>
      <c r="J324" s="59"/>
      <c r="K324" s="59"/>
      <c r="L324" s="59"/>
      <c r="M324" s="59"/>
      <c r="N324" s="59"/>
      <c r="O324" s="59"/>
      <c r="P324" s="59"/>
      <c r="Q324" s="3"/>
      <c r="R324" s="3"/>
      <c r="S324" s="3"/>
    </row>
    <row r="325" spans="1:19" x14ac:dyDescent="0.3">
      <c r="A325" s="4"/>
      <c r="B325" s="60"/>
      <c r="C325" s="60"/>
      <c r="D325" s="4"/>
      <c r="E325" s="24"/>
      <c r="F325" s="60"/>
      <c r="G325" s="60"/>
      <c r="H325" s="60"/>
      <c r="I325" s="60"/>
      <c r="J325" s="60"/>
      <c r="K325" s="60"/>
      <c r="L325" s="60"/>
      <c r="M325" s="60"/>
      <c r="N325" s="60"/>
      <c r="O325" s="60"/>
      <c r="P325" s="60"/>
      <c r="Q325" s="4"/>
      <c r="R325" s="4"/>
      <c r="S325" s="4"/>
    </row>
    <row r="326" spans="1:19" x14ac:dyDescent="0.3">
      <c r="A326" s="3"/>
      <c r="B326" s="59"/>
      <c r="C326" s="59"/>
      <c r="D326" s="3"/>
      <c r="E326" s="21"/>
      <c r="F326" s="59"/>
      <c r="G326" s="59"/>
      <c r="H326" s="59"/>
      <c r="I326" s="59"/>
      <c r="J326" s="59"/>
      <c r="K326" s="59"/>
      <c r="L326" s="59"/>
      <c r="M326" s="59"/>
      <c r="N326" s="59"/>
      <c r="O326" s="59"/>
      <c r="P326" s="59"/>
      <c r="Q326" s="3"/>
      <c r="R326" s="3"/>
      <c r="S326" s="3"/>
    </row>
    <row r="327" spans="1:19" x14ac:dyDescent="0.3">
      <c r="A327" s="4"/>
      <c r="B327" s="60"/>
      <c r="C327" s="60"/>
      <c r="D327" s="4"/>
      <c r="E327" s="24"/>
      <c r="F327" s="60"/>
      <c r="G327" s="60"/>
      <c r="H327" s="60"/>
      <c r="I327" s="60"/>
      <c r="J327" s="60"/>
      <c r="K327" s="60"/>
      <c r="L327" s="60"/>
      <c r="M327" s="60"/>
      <c r="N327" s="60"/>
      <c r="O327" s="60"/>
      <c r="P327" s="60"/>
      <c r="Q327" s="4"/>
      <c r="R327" s="4"/>
      <c r="S327" s="4"/>
    </row>
    <row r="328" spans="1:19" x14ac:dyDescent="0.3">
      <c r="A328" s="3"/>
      <c r="B328" s="59"/>
      <c r="C328" s="59"/>
      <c r="D328" s="3"/>
      <c r="E328" s="21"/>
      <c r="F328" s="59"/>
      <c r="G328" s="59"/>
      <c r="H328" s="59"/>
      <c r="I328" s="59"/>
      <c r="J328" s="59"/>
      <c r="K328" s="59"/>
      <c r="L328" s="59"/>
      <c r="M328" s="59"/>
      <c r="N328" s="59"/>
      <c r="O328" s="59"/>
      <c r="P328" s="59"/>
      <c r="Q328" s="3"/>
      <c r="R328" s="3"/>
      <c r="S328" s="3"/>
    </row>
    <row r="329" spans="1:19" x14ac:dyDescent="0.3">
      <c r="A329" s="4"/>
      <c r="B329" s="60"/>
      <c r="C329" s="60"/>
      <c r="D329" s="4"/>
      <c r="E329" s="24"/>
      <c r="F329" s="60"/>
      <c r="G329" s="60"/>
      <c r="H329" s="60"/>
      <c r="I329" s="60"/>
      <c r="J329" s="60"/>
      <c r="K329" s="60"/>
      <c r="L329" s="60"/>
      <c r="M329" s="60"/>
      <c r="N329" s="60"/>
      <c r="O329" s="60"/>
      <c r="P329" s="60"/>
      <c r="Q329" s="4"/>
      <c r="R329" s="4"/>
      <c r="S329" s="4"/>
    </row>
    <row r="330" spans="1:19" x14ac:dyDescent="0.3">
      <c r="A330" s="3"/>
      <c r="B330" s="59"/>
      <c r="C330" s="59"/>
      <c r="D330" s="3"/>
      <c r="E330" s="21"/>
      <c r="F330" s="59"/>
      <c r="G330" s="59"/>
      <c r="H330" s="59"/>
      <c r="I330" s="59"/>
      <c r="J330" s="59"/>
      <c r="K330" s="59"/>
      <c r="L330" s="59"/>
      <c r="M330" s="59"/>
      <c r="N330" s="59"/>
      <c r="O330" s="59"/>
      <c r="P330" s="59"/>
      <c r="Q330" s="3"/>
      <c r="R330" s="3"/>
      <c r="S330" s="3"/>
    </row>
    <row r="331" spans="1:19" x14ac:dyDescent="0.3">
      <c r="A331" s="4"/>
      <c r="B331" s="60"/>
      <c r="C331" s="60"/>
      <c r="D331" s="4"/>
      <c r="E331" s="24"/>
      <c r="F331" s="60"/>
      <c r="G331" s="60"/>
      <c r="H331" s="60"/>
      <c r="I331" s="60"/>
      <c r="J331" s="60"/>
      <c r="K331" s="60"/>
      <c r="L331" s="60"/>
      <c r="M331" s="60"/>
      <c r="N331" s="60"/>
      <c r="O331" s="60"/>
      <c r="P331" s="60"/>
      <c r="Q331" s="4"/>
      <c r="R331" s="4"/>
      <c r="S331" s="4"/>
    </row>
    <row r="332" spans="1:19" x14ac:dyDescent="0.3">
      <c r="A332" s="3"/>
      <c r="B332" s="59"/>
      <c r="C332" s="59"/>
      <c r="D332" s="3"/>
      <c r="E332" s="21"/>
      <c r="F332" s="59"/>
      <c r="G332" s="59"/>
      <c r="H332" s="59"/>
      <c r="I332" s="59"/>
      <c r="J332" s="59"/>
      <c r="K332" s="59"/>
      <c r="L332" s="59"/>
      <c r="M332" s="59"/>
      <c r="N332" s="59"/>
      <c r="O332" s="59"/>
      <c r="P332" s="59"/>
      <c r="Q332" s="3"/>
      <c r="R332" s="3"/>
      <c r="S332" s="3"/>
    </row>
    <row r="333" spans="1:19" x14ac:dyDescent="0.3">
      <c r="A333" s="4"/>
      <c r="B333" s="60"/>
      <c r="C333" s="60"/>
      <c r="D333" s="4"/>
      <c r="E333" s="24"/>
      <c r="F333" s="60"/>
      <c r="G333" s="60"/>
      <c r="H333" s="60"/>
      <c r="I333" s="60"/>
      <c r="J333" s="60"/>
      <c r="K333" s="60"/>
      <c r="L333" s="60"/>
      <c r="M333" s="60"/>
      <c r="N333" s="60"/>
      <c r="O333" s="60"/>
      <c r="P333" s="60"/>
      <c r="Q333" s="4"/>
      <c r="R333" s="4"/>
      <c r="S333" s="4"/>
    </row>
    <row r="334" spans="1:19" x14ac:dyDescent="0.3">
      <c r="A334" s="3"/>
      <c r="B334" s="59"/>
      <c r="C334" s="59"/>
      <c r="D334" s="3"/>
      <c r="E334" s="21"/>
      <c r="F334" s="59"/>
      <c r="G334" s="59"/>
      <c r="H334" s="59"/>
      <c r="I334" s="59"/>
      <c r="J334" s="59"/>
      <c r="K334" s="59"/>
      <c r="L334" s="59"/>
      <c r="M334" s="59"/>
      <c r="N334" s="59"/>
      <c r="O334" s="59"/>
      <c r="P334" s="59"/>
      <c r="Q334" s="3"/>
      <c r="R334" s="3"/>
      <c r="S334" s="3"/>
    </row>
    <row r="335" spans="1:19" x14ac:dyDescent="0.3">
      <c r="A335" s="4"/>
      <c r="B335" s="60"/>
      <c r="C335" s="60"/>
      <c r="D335" s="4"/>
      <c r="E335" s="24"/>
      <c r="F335" s="60"/>
      <c r="G335" s="60"/>
      <c r="H335" s="60"/>
      <c r="I335" s="60"/>
      <c r="J335" s="60"/>
      <c r="K335" s="60"/>
      <c r="L335" s="60"/>
      <c r="M335" s="60"/>
      <c r="N335" s="60"/>
      <c r="O335" s="60"/>
      <c r="P335" s="60"/>
      <c r="Q335" s="4"/>
      <c r="R335" s="4"/>
      <c r="S335" s="4"/>
    </row>
    <row r="336" spans="1:19" x14ac:dyDescent="0.3">
      <c r="A336" s="3"/>
      <c r="B336" s="59"/>
      <c r="C336" s="59"/>
      <c r="D336" s="3"/>
      <c r="E336" s="21"/>
      <c r="F336" s="59"/>
      <c r="G336" s="59"/>
      <c r="H336" s="59"/>
      <c r="I336" s="59"/>
      <c r="J336" s="59"/>
      <c r="K336" s="59"/>
      <c r="L336" s="59"/>
      <c r="M336" s="59"/>
      <c r="N336" s="59"/>
      <c r="O336" s="59"/>
      <c r="P336" s="59"/>
      <c r="Q336" s="3"/>
      <c r="R336" s="3"/>
      <c r="S336" s="3"/>
    </row>
    <row r="337" spans="1:19" x14ac:dyDescent="0.3">
      <c r="A337" s="4"/>
      <c r="B337" s="60"/>
      <c r="C337" s="60"/>
      <c r="D337" s="4"/>
      <c r="E337" s="24"/>
      <c r="F337" s="60"/>
      <c r="G337" s="60"/>
      <c r="H337" s="60"/>
      <c r="I337" s="60"/>
      <c r="J337" s="60"/>
      <c r="K337" s="60"/>
      <c r="L337" s="60"/>
      <c r="M337" s="60"/>
      <c r="N337" s="60"/>
      <c r="O337" s="60"/>
      <c r="P337" s="60"/>
      <c r="Q337" s="4"/>
      <c r="R337" s="4"/>
      <c r="S337" s="4"/>
    </row>
    <row r="338" spans="1:19" x14ac:dyDescent="0.3">
      <c r="A338" s="3"/>
      <c r="B338" s="59"/>
      <c r="C338" s="59"/>
      <c r="D338" s="3"/>
      <c r="E338" s="21"/>
      <c r="F338" s="59"/>
      <c r="G338" s="59"/>
      <c r="H338" s="59"/>
      <c r="I338" s="59"/>
      <c r="J338" s="59"/>
      <c r="K338" s="59"/>
      <c r="L338" s="59"/>
      <c r="M338" s="59"/>
      <c r="N338" s="59"/>
      <c r="O338" s="59"/>
      <c r="P338" s="59"/>
      <c r="Q338" s="3"/>
      <c r="R338" s="3"/>
      <c r="S338" s="3"/>
    </row>
    <row r="339" spans="1:19" x14ac:dyDescent="0.3">
      <c r="A339" s="4"/>
      <c r="B339" s="60"/>
      <c r="C339" s="60"/>
      <c r="D339" s="4"/>
      <c r="E339" s="24"/>
      <c r="F339" s="60"/>
      <c r="G339" s="60"/>
      <c r="H339" s="60"/>
      <c r="I339" s="60"/>
      <c r="J339" s="60"/>
      <c r="K339" s="60"/>
      <c r="L339" s="60"/>
      <c r="M339" s="60"/>
      <c r="N339" s="60"/>
      <c r="O339" s="60"/>
      <c r="P339" s="60"/>
      <c r="Q339" s="4"/>
      <c r="R339" s="4"/>
      <c r="S339" s="4"/>
    </row>
    <row r="340" spans="1:19" x14ac:dyDescent="0.3">
      <c r="A340" s="3"/>
      <c r="B340" s="59"/>
      <c r="C340" s="59"/>
      <c r="D340" s="3"/>
      <c r="E340" s="21"/>
      <c r="F340" s="59"/>
      <c r="G340" s="59"/>
      <c r="H340" s="59"/>
      <c r="I340" s="59"/>
      <c r="J340" s="59"/>
      <c r="K340" s="59"/>
      <c r="L340" s="59"/>
      <c r="M340" s="59"/>
      <c r="N340" s="59"/>
      <c r="O340" s="59"/>
      <c r="P340" s="59"/>
      <c r="Q340" s="3"/>
      <c r="R340" s="3"/>
      <c r="S340" s="3"/>
    </row>
    <row r="341" spans="1:19" x14ac:dyDescent="0.3">
      <c r="A341" s="4"/>
      <c r="B341" s="60"/>
      <c r="C341" s="60"/>
      <c r="D341" s="4"/>
      <c r="E341" s="24"/>
      <c r="F341" s="60"/>
      <c r="G341" s="60"/>
      <c r="H341" s="60"/>
      <c r="I341" s="60"/>
      <c r="J341" s="60"/>
      <c r="K341" s="60"/>
      <c r="L341" s="60"/>
      <c r="M341" s="60"/>
      <c r="N341" s="60"/>
      <c r="O341" s="60"/>
      <c r="P341" s="60"/>
      <c r="Q341" s="4"/>
      <c r="R341" s="4"/>
      <c r="S341" s="4"/>
    </row>
    <row r="342" spans="1:19" x14ac:dyDescent="0.3">
      <c r="A342" s="3"/>
      <c r="B342" s="59"/>
      <c r="C342" s="59"/>
      <c r="D342" s="3"/>
      <c r="E342" s="21"/>
      <c r="F342" s="59"/>
      <c r="G342" s="59"/>
      <c r="H342" s="59"/>
      <c r="I342" s="59"/>
      <c r="J342" s="59"/>
      <c r="K342" s="59"/>
      <c r="L342" s="59"/>
      <c r="M342" s="59"/>
      <c r="N342" s="59"/>
      <c r="O342" s="59"/>
      <c r="P342" s="59"/>
      <c r="Q342" s="3"/>
      <c r="R342" s="3"/>
      <c r="S342" s="3"/>
    </row>
    <row r="343" spans="1:19" x14ac:dyDescent="0.3">
      <c r="A343" s="4"/>
      <c r="B343" s="60"/>
      <c r="C343" s="60"/>
      <c r="D343" s="4"/>
      <c r="E343" s="24"/>
      <c r="F343" s="60"/>
      <c r="G343" s="60"/>
      <c r="H343" s="60"/>
      <c r="I343" s="60"/>
      <c r="J343" s="60"/>
      <c r="K343" s="60"/>
      <c r="L343" s="60"/>
      <c r="M343" s="60"/>
      <c r="N343" s="60"/>
      <c r="O343" s="60"/>
      <c r="P343" s="60"/>
      <c r="Q343" s="4"/>
      <c r="R343" s="4"/>
      <c r="S343" s="4"/>
    </row>
    <row r="344" spans="1:19" x14ac:dyDescent="0.3">
      <c r="A344" s="3"/>
      <c r="B344" s="59"/>
      <c r="C344" s="59"/>
      <c r="D344" s="3"/>
      <c r="E344" s="21"/>
      <c r="F344" s="59"/>
      <c r="G344" s="59"/>
      <c r="H344" s="59"/>
      <c r="I344" s="59"/>
      <c r="J344" s="59"/>
      <c r="K344" s="59"/>
      <c r="L344" s="59"/>
      <c r="M344" s="59"/>
      <c r="N344" s="59"/>
      <c r="O344" s="59"/>
      <c r="P344" s="59"/>
      <c r="Q344" s="3"/>
      <c r="R344" s="3"/>
      <c r="S344" s="3"/>
    </row>
    <row r="345" spans="1:19" x14ac:dyDescent="0.3">
      <c r="A345" s="4"/>
      <c r="B345" s="60"/>
      <c r="C345" s="60"/>
      <c r="D345" s="4"/>
      <c r="E345" s="24"/>
      <c r="F345" s="60"/>
      <c r="G345" s="60"/>
      <c r="H345" s="60"/>
      <c r="I345" s="60"/>
      <c r="J345" s="60"/>
      <c r="K345" s="60"/>
      <c r="L345" s="60"/>
      <c r="M345" s="60"/>
      <c r="N345" s="60"/>
      <c r="O345" s="60"/>
      <c r="P345" s="60"/>
      <c r="Q345" s="4"/>
      <c r="R345" s="4"/>
      <c r="S345" s="4"/>
    </row>
    <row r="346" spans="1:19" x14ac:dyDescent="0.3">
      <c r="A346" s="3"/>
      <c r="B346" s="59"/>
      <c r="C346" s="59"/>
      <c r="D346" s="3"/>
      <c r="E346" s="21"/>
      <c r="F346" s="59"/>
      <c r="G346" s="59"/>
      <c r="H346" s="59"/>
      <c r="I346" s="59"/>
      <c r="J346" s="59"/>
      <c r="K346" s="59"/>
      <c r="L346" s="59"/>
      <c r="M346" s="59"/>
      <c r="N346" s="59"/>
      <c r="O346" s="59"/>
      <c r="P346" s="59"/>
      <c r="Q346" s="3"/>
      <c r="R346" s="3"/>
      <c r="S346" s="3"/>
    </row>
    <row r="347" spans="1:19" x14ac:dyDescent="0.3">
      <c r="A347" s="4"/>
      <c r="B347" s="60"/>
      <c r="C347" s="60"/>
      <c r="D347" s="4"/>
      <c r="E347" s="24"/>
      <c r="F347" s="60"/>
      <c r="G347" s="60"/>
      <c r="H347" s="60"/>
      <c r="I347" s="60"/>
      <c r="J347" s="60"/>
      <c r="K347" s="60"/>
      <c r="L347" s="60"/>
      <c r="M347" s="60"/>
      <c r="N347" s="60"/>
      <c r="O347" s="60"/>
      <c r="P347" s="60"/>
      <c r="Q347" s="4"/>
      <c r="R347" s="4"/>
      <c r="S347" s="4"/>
    </row>
    <row r="348" spans="1:19" x14ac:dyDescent="0.3">
      <c r="A348" s="3"/>
      <c r="B348" s="59"/>
      <c r="C348" s="59"/>
      <c r="D348" s="3"/>
      <c r="E348" s="21"/>
      <c r="F348" s="59"/>
      <c r="G348" s="59"/>
      <c r="H348" s="59"/>
      <c r="I348" s="59"/>
      <c r="J348" s="59"/>
      <c r="K348" s="59"/>
      <c r="L348" s="59"/>
      <c r="M348" s="59"/>
      <c r="N348" s="59"/>
      <c r="O348" s="59"/>
      <c r="P348" s="59"/>
      <c r="Q348" s="3"/>
      <c r="R348" s="3"/>
      <c r="S348" s="3"/>
    </row>
    <row r="349" spans="1:19" x14ac:dyDescent="0.3">
      <c r="A349" s="4"/>
      <c r="B349" s="60"/>
      <c r="C349" s="60"/>
      <c r="D349" s="4"/>
      <c r="E349" s="24"/>
      <c r="F349" s="60"/>
      <c r="G349" s="60"/>
      <c r="H349" s="60"/>
      <c r="I349" s="60"/>
      <c r="J349" s="60"/>
      <c r="K349" s="60"/>
      <c r="L349" s="60"/>
      <c r="M349" s="60"/>
      <c r="N349" s="60"/>
      <c r="O349" s="60"/>
      <c r="P349" s="60"/>
      <c r="Q349" s="4"/>
      <c r="R349" s="4"/>
      <c r="S349" s="4"/>
    </row>
    <row r="350" spans="1:19" x14ac:dyDescent="0.3">
      <c r="A350" s="3"/>
      <c r="B350" s="59"/>
      <c r="C350" s="59"/>
      <c r="D350" s="3"/>
      <c r="E350" s="21"/>
      <c r="F350" s="59"/>
      <c r="G350" s="59"/>
      <c r="H350" s="59"/>
      <c r="I350" s="59"/>
      <c r="J350" s="59"/>
      <c r="K350" s="59"/>
      <c r="L350" s="59"/>
      <c r="M350" s="59"/>
      <c r="N350" s="59"/>
      <c r="O350" s="59"/>
      <c r="P350" s="59"/>
      <c r="Q350" s="3"/>
      <c r="R350" s="3"/>
      <c r="S350" s="3"/>
    </row>
    <row r="351" spans="1:19" x14ac:dyDescent="0.3">
      <c r="A351" s="4"/>
      <c r="B351" s="60"/>
      <c r="C351" s="60"/>
      <c r="D351" s="4"/>
      <c r="E351" s="24"/>
      <c r="F351" s="60"/>
      <c r="G351" s="60"/>
      <c r="H351" s="60"/>
      <c r="I351" s="60"/>
      <c r="J351" s="60"/>
      <c r="K351" s="60"/>
      <c r="L351" s="60"/>
      <c r="M351" s="60"/>
      <c r="N351" s="60"/>
      <c r="O351" s="60"/>
      <c r="P351" s="60"/>
      <c r="Q351" s="4"/>
      <c r="R351" s="4"/>
      <c r="S351" s="4"/>
    </row>
    <row r="352" spans="1:19" x14ac:dyDescent="0.3">
      <c r="A352" s="3"/>
      <c r="B352" s="59"/>
      <c r="C352" s="59"/>
      <c r="D352" s="3"/>
      <c r="E352" s="21"/>
      <c r="F352" s="59"/>
      <c r="G352" s="59"/>
      <c r="H352" s="59"/>
      <c r="I352" s="59"/>
      <c r="J352" s="59"/>
      <c r="K352" s="59"/>
      <c r="L352" s="59"/>
      <c r="M352" s="59"/>
      <c r="N352" s="59"/>
      <c r="O352" s="59"/>
      <c r="P352" s="59"/>
      <c r="Q352" s="3"/>
      <c r="R352" s="3"/>
      <c r="S352" s="3"/>
    </row>
    <row r="353" spans="1:19" x14ac:dyDescent="0.3">
      <c r="A353" s="4"/>
      <c r="B353" s="60"/>
      <c r="C353" s="60"/>
      <c r="D353" s="4"/>
      <c r="E353" s="24"/>
      <c r="F353" s="60"/>
      <c r="G353" s="60"/>
      <c r="H353" s="60"/>
      <c r="I353" s="60"/>
      <c r="J353" s="60"/>
      <c r="K353" s="60"/>
      <c r="L353" s="60"/>
      <c r="M353" s="60"/>
      <c r="N353" s="60"/>
      <c r="O353" s="60"/>
      <c r="P353" s="60"/>
      <c r="Q353" s="4"/>
      <c r="R353" s="4"/>
      <c r="S353" s="4"/>
    </row>
    <row r="354" spans="1:19" x14ac:dyDescent="0.3">
      <c r="A354" s="3"/>
      <c r="B354" s="59"/>
      <c r="C354" s="59"/>
      <c r="D354" s="3"/>
      <c r="E354" s="21"/>
      <c r="F354" s="59"/>
      <c r="G354" s="59"/>
      <c r="H354" s="59"/>
      <c r="I354" s="59"/>
      <c r="J354" s="59"/>
      <c r="K354" s="59"/>
      <c r="L354" s="59"/>
      <c r="M354" s="59"/>
      <c r="N354" s="59"/>
      <c r="O354" s="59"/>
      <c r="P354" s="59"/>
      <c r="Q354" s="3"/>
      <c r="R354" s="3"/>
      <c r="S354" s="3"/>
    </row>
    <row r="355" spans="1:19" x14ac:dyDescent="0.3">
      <c r="A355" s="4"/>
      <c r="B355" s="60"/>
      <c r="C355" s="60"/>
      <c r="D355" s="4"/>
      <c r="E355" s="24"/>
      <c r="F355" s="60"/>
      <c r="G355" s="60"/>
      <c r="H355" s="60"/>
      <c r="I355" s="60"/>
      <c r="J355" s="60"/>
      <c r="K355" s="60"/>
      <c r="L355" s="60"/>
      <c r="M355" s="60"/>
      <c r="N355" s="60"/>
      <c r="O355" s="60"/>
      <c r="P355" s="60"/>
      <c r="Q355" s="4"/>
      <c r="R355" s="4"/>
      <c r="S355" s="4"/>
    </row>
    <row r="356" spans="1:19" x14ac:dyDescent="0.3">
      <c r="A356" s="3"/>
      <c r="B356" s="59"/>
      <c r="C356" s="59"/>
      <c r="D356" s="3"/>
      <c r="E356" s="21"/>
      <c r="F356" s="59"/>
      <c r="G356" s="59"/>
      <c r="H356" s="59"/>
      <c r="I356" s="59"/>
      <c r="J356" s="59"/>
      <c r="K356" s="59"/>
      <c r="L356" s="59"/>
      <c r="M356" s="59"/>
      <c r="N356" s="59"/>
      <c r="O356" s="59"/>
      <c r="P356" s="59"/>
      <c r="Q356" s="3"/>
      <c r="R356" s="3"/>
      <c r="S356" s="3"/>
    </row>
    <row r="357" spans="1:19" x14ac:dyDescent="0.3">
      <c r="A357" s="4"/>
      <c r="B357" s="60"/>
      <c r="C357" s="60"/>
      <c r="D357" s="4"/>
      <c r="E357" s="24"/>
      <c r="F357" s="60"/>
      <c r="G357" s="60"/>
      <c r="H357" s="60"/>
      <c r="I357" s="60"/>
      <c r="J357" s="60"/>
      <c r="K357" s="60"/>
      <c r="L357" s="60"/>
      <c r="M357" s="60"/>
      <c r="N357" s="60"/>
      <c r="O357" s="60"/>
      <c r="P357" s="60"/>
      <c r="Q357" s="4"/>
      <c r="R357" s="4"/>
      <c r="S357" s="4"/>
    </row>
    <row r="358" spans="1:19" x14ac:dyDescent="0.3">
      <c r="A358" s="3"/>
      <c r="B358" s="59"/>
      <c r="C358" s="59"/>
      <c r="D358" s="3"/>
      <c r="E358" s="21"/>
      <c r="F358" s="59"/>
      <c r="G358" s="59"/>
      <c r="H358" s="59"/>
      <c r="I358" s="59"/>
      <c r="J358" s="59"/>
      <c r="K358" s="59"/>
      <c r="L358" s="59"/>
      <c r="M358" s="59"/>
      <c r="N358" s="59"/>
      <c r="O358" s="59"/>
      <c r="P358" s="59"/>
      <c r="Q358" s="3"/>
      <c r="R358" s="3"/>
      <c r="S358" s="3"/>
    </row>
    <row r="359" spans="1:19" x14ac:dyDescent="0.3">
      <c r="A359" s="4"/>
      <c r="B359" s="60"/>
      <c r="C359" s="60"/>
      <c r="D359" s="4"/>
      <c r="E359" s="24"/>
      <c r="F359" s="60"/>
      <c r="G359" s="60"/>
      <c r="H359" s="60"/>
      <c r="I359" s="60"/>
      <c r="J359" s="60"/>
      <c r="K359" s="60"/>
      <c r="L359" s="60"/>
      <c r="M359" s="60"/>
      <c r="N359" s="60"/>
      <c r="O359" s="60"/>
      <c r="P359" s="60"/>
      <c r="Q359" s="4"/>
      <c r="R359" s="4"/>
      <c r="S359" s="4"/>
    </row>
    <row r="360" spans="1:19" x14ac:dyDescent="0.3">
      <c r="A360" s="3"/>
      <c r="B360" s="59"/>
      <c r="C360" s="59"/>
      <c r="D360" s="3"/>
      <c r="E360" s="21"/>
      <c r="F360" s="59"/>
      <c r="G360" s="59"/>
      <c r="H360" s="59"/>
      <c r="I360" s="59"/>
      <c r="J360" s="59"/>
      <c r="K360" s="59"/>
      <c r="L360" s="59"/>
      <c r="M360" s="59"/>
      <c r="N360" s="59"/>
      <c r="O360" s="59"/>
      <c r="P360" s="59"/>
      <c r="Q360" s="3"/>
      <c r="R360" s="3"/>
      <c r="S360" s="3"/>
    </row>
    <row r="361" spans="1:19" x14ac:dyDescent="0.3">
      <c r="A361" s="4"/>
      <c r="B361" s="60"/>
      <c r="C361" s="60"/>
      <c r="D361" s="4"/>
      <c r="E361" s="24"/>
      <c r="F361" s="60"/>
      <c r="G361" s="60"/>
      <c r="H361" s="60"/>
      <c r="I361" s="60"/>
      <c r="J361" s="60"/>
      <c r="K361" s="60"/>
      <c r="L361" s="60"/>
      <c r="M361" s="60"/>
      <c r="N361" s="60"/>
      <c r="O361" s="60"/>
      <c r="P361" s="60"/>
      <c r="Q361" s="4"/>
      <c r="R361" s="4"/>
      <c r="S361" s="4"/>
    </row>
    <row r="362" spans="1:19" x14ac:dyDescent="0.3">
      <c r="A362" s="3"/>
      <c r="B362" s="59"/>
      <c r="C362" s="59"/>
      <c r="D362" s="3"/>
      <c r="E362" s="21"/>
      <c r="F362" s="59"/>
      <c r="G362" s="59"/>
      <c r="H362" s="59"/>
      <c r="I362" s="59"/>
      <c r="J362" s="59"/>
      <c r="K362" s="59"/>
      <c r="L362" s="59"/>
      <c r="M362" s="59"/>
      <c r="N362" s="59"/>
      <c r="O362" s="59"/>
      <c r="P362" s="59"/>
      <c r="Q362" s="3"/>
      <c r="R362" s="3"/>
      <c r="S362" s="3"/>
    </row>
    <row r="363" spans="1:19" x14ac:dyDescent="0.3">
      <c r="A363" s="4"/>
      <c r="B363" s="60"/>
      <c r="C363" s="60"/>
      <c r="D363" s="4"/>
      <c r="E363" s="24"/>
      <c r="F363" s="60"/>
      <c r="G363" s="60"/>
      <c r="H363" s="60"/>
      <c r="I363" s="60"/>
      <c r="J363" s="60"/>
      <c r="K363" s="60"/>
      <c r="L363" s="60"/>
      <c r="M363" s="60"/>
      <c r="N363" s="60"/>
      <c r="O363" s="60"/>
      <c r="P363" s="60"/>
      <c r="Q363" s="4"/>
      <c r="R363" s="4"/>
      <c r="S363" s="4"/>
    </row>
    <row r="364" spans="1:19" x14ac:dyDescent="0.3">
      <c r="A364" s="3"/>
      <c r="B364" s="59"/>
      <c r="C364" s="59"/>
      <c r="D364" s="3"/>
      <c r="E364" s="21"/>
      <c r="F364" s="59"/>
      <c r="G364" s="59"/>
      <c r="H364" s="59"/>
      <c r="I364" s="59"/>
      <c r="J364" s="59"/>
      <c r="K364" s="59"/>
      <c r="L364" s="59"/>
      <c r="M364" s="59"/>
      <c r="N364" s="59"/>
      <c r="O364" s="59"/>
      <c r="P364" s="59"/>
      <c r="Q364" s="3"/>
      <c r="R364" s="3"/>
      <c r="S364" s="3"/>
    </row>
    <row r="365" spans="1:19" x14ac:dyDescent="0.3">
      <c r="A365" s="4"/>
      <c r="B365" s="60"/>
      <c r="C365" s="60"/>
      <c r="D365" s="4"/>
      <c r="E365" s="24"/>
      <c r="F365" s="60"/>
      <c r="G365" s="60"/>
      <c r="H365" s="60"/>
      <c r="I365" s="60"/>
      <c r="J365" s="60"/>
      <c r="K365" s="60"/>
      <c r="L365" s="60"/>
      <c r="M365" s="60"/>
      <c r="N365" s="60"/>
      <c r="O365" s="60"/>
      <c r="P365" s="60"/>
      <c r="Q365" s="4"/>
      <c r="R365" s="4"/>
      <c r="S365" s="4"/>
    </row>
  </sheetData>
  <dataValidations count="6">
    <dataValidation type="list" allowBlank="1" showInputMessage="1" showErrorMessage="1" sqref="E129" xr:uid="{2D7C598A-A10F-4C72-8501-547A8EE36E7C}">
      <formula1>"off,all,noskin,infill"</formula1>
    </dataValidation>
    <dataValidation type="list" allowBlank="1" showInputMessage="1" showErrorMessage="1" sqref="E182:E183" xr:uid="{84DE95A8-DCD1-4F55-B9F2-9D9B49A4DF82}">
      <formula1>"lines,grid,triangles,concentric,zigzag"</formula1>
    </dataValidation>
    <dataValidation type="list" allowBlank="1" showInputMessage="1" showErrorMessage="1" sqref="E36:E37" xr:uid="{ECF33465-1A89-401D-B900-0254819580C1}">
      <formula1>"lines,concentric,zigzag"</formula1>
    </dataValidation>
    <dataValidation type="list" allowBlank="1" showInputMessage="1" showErrorMessage="1" sqref="E63" xr:uid="{3FBBA951-651F-4960-A657-E902E37672B0}">
      <formula1>"grid,lines,triangles,trihexagon,cubic,cubicsubdiv,tetrahedral,quarter_cubic,concentric,zigzag,cross,cross_3d,gyroid"</formula1>
    </dataValidation>
    <dataValidation type="list" allowBlank="1" showInputMessage="1" showErrorMessage="1" sqref="E193" xr:uid="{FAF70C1B-4FDE-4B09-9FF0-608269EEC88A}">
      <formula1>"skirt,brim,raft,none"</formula1>
    </dataValidation>
    <dataValidation type="list" allowBlank="1" showInputMessage="1" showErrorMessage="1" sqref="E51" xr:uid="{02E9AC11-E60D-44DB-9C46-CAFC1587F5A3}">
      <formula1>"back,shortest,random,sharpest_corner"</formula1>
    </dataValidation>
  </dataValidations>
  <pageMargins left="0.7" right="0.7" top="0.75" bottom="0.75" header="0.3" footer="0.3"/>
  <pageSetup orientation="portrait" horizontalDpi="300" verticalDpi="300" r:id="rId1"/>
  <ignoredErrors>
    <ignoredError sqref="E79"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962AA-EF93-4C8E-BF72-6D24766ADDB3}">
  <sheetPr codeName="Sheet6"/>
  <dimension ref="A1:O74"/>
  <sheetViews>
    <sheetView workbookViewId="0">
      <selection activeCell="H14" sqref="H14"/>
    </sheetView>
  </sheetViews>
  <sheetFormatPr defaultRowHeight="14.4" x14ac:dyDescent="0.3"/>
  <cols>
    <col min="1" max="1" width="12.6640625" bestFit="1" customWidth="1"/>
    <col min="2" max="2" width="30.6640625" customWidth="1"/>
    <col min="3" max="3" width="32.44140625" bestFit="1" customWidth="1"/>
    <col min="4" max="4" width="9" bestFit="1" customWidth="1"/>
  </cols>
  <sheetData>
    <row r="1" spans="1:15" x14ac:dyDescent="0.3">
      <c r="A1" s="95" t="s">
        <v>1562</v>
      </c>
      <c r="B1" s="95" t="s">
        <v>258</v>
      </c>
      <c r="C1" s="42" t="s">
        <v>1561</v>
      </c>
      <c r="D1" s="42" t="s">
        <v>100</v>
      </c>
      <c r="E1" s="9">
        <v>0.12</v>
      </c>
      <c r="F1" s="9">
        <v>0.2</v>
      </c>
      <c r="G1" s="9">
        <v>0.24</v>
      </c>
      <c r="H1" s="9">
        <v>0.28000000000000003</v>
      </c>
      <c r="I1" s="9">
        <v>0.32</v>
      </c>
      <c r="J1" s="9">
        <v>0.4</v>
      </c>
      <c r="K1" s="9">
        <v>0.48</v>
      </c>
      <c r="L1" s="9">
        <v>0.56000000000000005</v>
      </c>
      <c r="M1" s="9">
        <v>0.64</v>
      </c>
      <c r="N1" s="9">
        <v>0.72</v>
      </c>
      <c r="O1" s="9">
        <v>0.8</v>
      </c>
    </row>
    <row r="2" spans="1:15" x14ac:dyDescent="0.3">
      <c r="A2" s="96" t="s">
        <v>270</v>
      </c>
      <c r="B2" s="96" t="s">
        <v>1572</v>
      </c>
      <c r="C2" s="102" t="str">
        <f>print!$D$2</f>
        <v>ABS</v>
      </c>
      <c r="D2" s="10">
        <f>IF(SpeedType &lt;&gt; "ForceVolumetric",D$17, IFERROR(D$17/((Nozzle_Diameter*1.2)*D$1),0))</f>
        <v>0</v>
      </c>
      <c r="E2" s="10"/>
      <c r="F2" s="10"/>
      <c r="G2" s="10"/>
      <c r="H2" s="10"/>
      <c r="I2" s="10"/>
      <c r="J2" s="10"/>
      <c r="K2" s="10"/>
      <c r="L2" s="10"/>
      <c r="M2" s="10"/>
      <c r="N2" s="10"/>
      <c r="O2" s="10"/>
    </row>
    <row r="3" spans="1:15" x14ac:dyDescent="0.3">
      <c r="A3" s="97"/>
      <c r="B3" s="97"/>
      <c r="C3" s="114" t="s">
        <v>45</v>
      </c>
      <c r="D3" s="103">
        <v>100</v>
      </c>
      <c r="E3" s="97"/>
      <c r="F3" s="97"/>
      <c r="G3" s="97"/>
      <c r="H3" s="97"/>
      <c r="I3" s="97"/>
      <c r="J3" s="97"/>
      <c r="K3" s="97"/>
      <c r="L3" s="97"/>
      <c r="M3" s="97"/>
      <c r="N3" s="97"/>
      <c r="O3" s="97"/>
    </row>
    <row r="4" spans="1:15" x14ac:dyDescent="0.3">
      <c r="A4" s="96"/>
      <c r="B4" s="96"/>
      <c r="C4" s="113" t="s">
        <v>46</v>
      </c>
      <c r="D4" s="102">
        <v>40</v>
      </c>
      <c r="E4" s="96"/>
      <c r="F4" s="96"/>
      <c r="G4" s="96"/>
      <c r="H4" s="96"/>
      <c r="I4" s="96"/>
      <c r="J4" s="96"/>
      <c r="K4" s="96"/>
      <c r="L4" s="96"/>
      <c r="M4" s="96"/>
      <c r="N4" s="96"/>
      <c r="O4" s="96"/>
    </row>
    <row r="5" spans="1:15" x14ac:dyDescent="0.3">
      <c r="A5" s="97"/>
      <c r="B5" s="97"/>
      <c r="C5" s="114" t="s">
        <v>47</v>
      </c>
      <c r="D5" s="103">
        <v>50</v>
      </c>
      <c r="E5" s="97"/>
      <c r="F5" s="97"/>
      <c r="G5" s="97"/>
      <c r="H5" s="97"/>
      <c r="I5" s="97"/>
      <c r="J5" s="97"/>
      <c r="K5" s="97"/>
      <c r="L5" s="97"/>
      <c r="M5" s="97"/>
      <c r="N5" s="97"/>
      <c r="O5" s="97"/>
    </row>
    <row r="6" spans="1:15" x14ac:dyDescent="0.3">
      <c r="A6" s="96"/>
      <c r="B6" s="96"/>
      <c r="C6" s="113" t="s">
        <v>48</v>
      </c>
      <c r="D6" s="102">
        <v>125</v>
      </c>
      <c r="E6" s="96"/>
      <c r="F6" s="96"/>
      <c r="G6" s="96"/>
      <c r="H6" s="96"/>
      <c r="I6" s="96"/>
      <c r="J6" s="96"/>
      <c r="K6" s="96"/>
      <c r="L6" s="96"/>
      <c r="M6" s="96"/>
      <c r="N6" s="96"/>
      <c r="O6" s="96"/>
    </row>
    <row r="7" spans="1:15" x14ac:dyDescent="0.3">
      <c r="A7" s="97"/>
      <c r="B7" s="97"/>
      <c r="C7" s="114" t="s">
        <v>49</v>
      </c>
      <c r="D7" s="103">
        <v>120</v>
      </c>
      <c r="E7" s="97"/>
      <c r="F7" s="97"/>
      <c r="G7" s="97"/>
      <c r="H7" s="97"/>
      <c r="I7" s="97"/>
      <c r="J7" s="97"/>
      <c r="K7" s="97"/>
      <c r="L7" s="97"/>
      <c r="M7" s="97"/>
      <c r="N7" s="97"/>
      <c r="O7" s="97"/>
    </row>
    <row r="8" spans="1:15" x14ac:dyDescent="0.3">
      <c r="A8" s="96"/>
      <c r="B8" s="96"/>
      <c r="C8" s="113" t="s">
        <v>50</v>
      </c>
      <c r="D8" s="102">
        <v>50</v>
      </c>
      <c r="E8" s="96"/>
      <c r="F8" s="96"/>
      <c r="G8" s="96"/>
      <c r="H8" s="96"/>
      <c r="I8" s="96"/>
      <c r="J8" s="96"/>
      <c r="K8" s="96"/>
      <c r="L8" s="96"/>
      <c r="M8" s="96"/>
      <c r="N8" s="96"/>
      <c r="O8" s="96"/>
    </row>
    <row r="9" spans="1:15" x14ac:dyDescent="0.3">
      <c r="A9" s="97"/>
      <c r="B9" s="97"/>
      <c r="C9" s="114" t="s">
        <v>51</v>
      </c>
      <c r="D9" s="103">
        <v>90</v>
      </c>
      <c r="E9" s="97"/>
      <c r="F9" s="97"/>
      <c r="G9" s="97"/>
      <c r="H9" s="97"/>
      <c r="I9" s="97"/>
      <c r="J9" s="97"/>
      <c r="K9" s="97"/>
      <c r="L9" s="97"/>
      <c r="M9" s="97"/>
      <c r="N9" s="97"/>
      <c r="O9" s="97"/>
    </row>
    <row r="10" spans="1:15" x14ac:dyDescent="0.3">
      <c r="A10" s="96"/>
      <c r="B10" s="96"/>
      <c r="C10" s="113" t="s">
        <v>52</v>
      </c>
      <c r="D10" s="111">
        <v>70</v>
      </c>
      <c r="E10" s="96"/>
      <c r="F10" s="96"/>
      <c r="G10" s="96"/>
      <c r="H10" s="96"/>
      <c r="I10" s="96"/>
      <c r="J10" s="96"/>
      <c r="K10" s="96"/>
      <c r="L10" s="96"/>
      <c r="M10" s="96"/>
      <c r="N10" s="96"/>
      <c r="O10" s="96"/>
    </row>
    <row r="11" spans="1:15" x14ac:dyDescent="0.3">
      <c r="A11" s="97"/>
      <c r="B11" s="97"/>
      <c r="C11" s="114" t="s">
        <v>53</v>
      </c>
      <c r="D11" s="103">
        <v>60</v>
      </c>
      <c r="E11" s="97"/>
      <c r="F11" s="97"/>
      <c r="G11" s="97"/>
      <c r="H11" s="97"/>
      <c r="I11" s="97"/>
      <c r="J11" s="97"/>
      <c r="K11" s="97"/>
      <c r="L11" s="97"/>
      <c r="M11" s="97"/>
      <c r="N11" s="97"/>
      <c r="O11" s="97"/>
    </row>
    <row r="12" spans="1:15" x14ac:dyDescent="0.3">
      <c r="A12" s="96"/>
      <c r="B12" s="96"/>
      <c r="C12" s="113" t="s">
        <v>1490</v>
      </c>
      <c r="D12" s="107"/>
      <c r="E12" s="96"/>
      <c r="F12" s="96"/>
      <c r="G12" s="96"/>
      <c r="H12" s="96"/>
      <c r="I12" s="96"/>
      <c r="J12" s="96"/>
      <c r="K12" s="96"/>
      <c r="L12" s="96"/>
      <c r="M12" s="96"/>
      <c r="N12" s="96"/>
      <c r="O12" s="96"/>
    </row>
    <row r="13" spans="1:15" x14ac:dyDescent="0.3">
      <c r="A13" s="97"/>
      <c r="B13" s="97"/>
      <c r="C13" s="114" t="s">
        <v>1505</v>
      </c>
      <c r="D13" s="119"/>
      <c r="E13" s="97"/>
      <c r="F13" s="97"/>
      <c r="G13" s="97"/>
      <c r="H13" s="97"/>
      <c r="I13" s="97"/>
      <c r="J13" s="97"/>
      <c r="K13" s="97"/>
      <c r="L13" s="97"/>
      <c r="M13" s="97"/>
      <c r="N13" s="97"/>
      <c r="O13" s="97"/>
    </row>
    <row r="14" spans="1:15" x14ac:dyDescent="0.3">
      <c r="A14" s="96"/>
      <c r="B14" s="96"/>
      <c r="C14" s="113" t="s">
        <v>1398</v>
      </c>
      <c r="D14" s="111">
        <v>30</v>
      </c>
      <c r="E14" s="96"/>
      <c r="F14" s="96"/>
      <c r="G14" s="96"/>
      <c r="H14" s="96"/>
      <c r="I14" s="96"/>
      <c r="J14" s="96"/>
      <c r="K14" s="96"/>
      <c r="L14" s="96"/>
      <c r="M14" s="96"/>
      <c r="N14" s="96"/>
      <c r="O14" s="96"/>
    </row>
    <row r="15" spans="1:15" x14ac:dyDescent="0.3">
      <c r="A15" s="97"/>
      <c r="B15" s="97"/>
      <c r="C15" s="114" t="s">
        <v>54</v>
      </c>
      <c r="D15" s="103">
        <v>40</v>
      </c>
      <c r="E15" s="97"/>
      <c r="F15" s="97"/>
      <c r="G15" s="97"/>
      <c r="H15" s="97"/>
      <c r="I15" s="97"/>
      <c r="J15" s="97"/>
      <c r="K15" s="97"/>
      <c r="L15" s="97"/>
      <c r="M15" s="97"/>
      <c r="N15" s="97"/>
      <c r="O15" s="97"/>
    </row>
    <row r="16" spans="1:15" x14ac:dyDescent="0.3">
      <c r="A16" s="96"/>
      <c r="B16" s="96"/>
      <c r="C16" s="113" t="s">
        <v>1299</v>
      </c>
      <c r="D16" s="102">
        <v>15</v>
      </c>
      <c r="E16" s="96"/>
      <c r="F16" s="96"/>
      <c r="G16" s="96"/>
      <c r="H16" s="96"/>
      <c r="I16" s="96"/>
      <c r="J16" s="96"/>
      <c r="K16" s="96"/>
      <c r="L16" s="96"/>
      <c r="M16" s="96"/>
      <c r="N16" s="96"/>
      <c r="O16" s="96"/>
    </row>
    <row r="17" spans="1:15" x14ac:dyDescent="0.3">
      <c r="A17" s="97"/>
      <c r="B17" s="97"/>
      <c r="C17" s="114" t="s">
        <v>62</v>
      </c>
      <c r="D17" s="103">
        <v>150</v>
      </c>
      <c r="E17" s="103">
        <v>150</v>
      </c>
      <c r="F17" s="103">
        <v>150</v>
      </c>
      <c r="G17" s="103">
        <v>150</v>
      </c>
      <c r="H17" s="103">
        <v>150</v>
      </c>
      <c r="I17" s="103">
        <v>150</v>
      </c>
      <c r="J17" s="103">
        <v>150</v>
      </c>
      <c r="K17" s="103">
        <v>150</v>
      </c>
      <c r="L17" s="103">
        <v>150</v>
      </c>
      <c r="M17" s="103">
        <v>150</v>
      </c>
      <c r="N17" s="103">
        <v>150</v>
      </c>
      <c r="O17" s="103">
        <v>150</v>
      </c>
    </row>
    <row r="18" spans="1:15" x14ac:dyDescent="0.3">
      <c r="A18" s="96"/>
      <c r="B18" s="96"/>
      <c r="C18" s="113" t="s">
        <v>63</v>
      </c>
      <c r="D18" s="102"/>
      <c r="E18" s="96" t="str">
        <f>IFERROR(Matchfill(INDEX(filament!$A$1:$N$111,MATCH("filament_" &amp; $C$18,filament!$C$1:$C$111,0),MATCH($C$2,filament!$A$1:$N$1,0)),filament!#REF!),"")</f>
        <v/>
      </c>
      <c r="F18" s="96" t="str">
        <f>IFERROR(Matchfill(INDEX(filament!$A$1:$N$111,MATCH("filament_" &amp; $C$18,filament!$C$1:$C$111,0),MATCH($C$2,filament!$A$1:$N$1,0)),filament!#REF!),"")</f>
        <v/>
      </c>
      <c r="G18" s="96" t="str">
        <f>IFERROR(Matchfill(INDEX(filament!$A$1:$N$111,MATCH("filament_" &amp; $C$18,filament!$C$1:$C$111,0),MATCH($C$2,filament!$A$1:$N$1,0)),filament!#REF!),"")</f>
        <v/>
      </c>
      <c r="H18" s="96" t="str">
        <f>IFERROR(Matchfill(INDEX(filament!$A$1:$N$111,MATCH("filament_" &amp; $C$18,filament!$C$1:$C$111,0),MATCH($C$2,filament!$A$1:$N$1,0)),filament!#REF!),"")</f>
        <v/>
      </c>
      <c r="I18" s="96" t="str">
        <f>IFERROR(Matchfill(INDEX(filament!$A$1:$N$111,MATCH("filament_" &amp; $C$18,filament!$C$1:$C$111,0),MATCH($C$2,filament!$A$1:$N$1,0)),filament!#REF!),"")</f>
        <v/>
      </c>
      <c r="J18" s="96" t="str">
        <f>IFERROR(Matchfill(INDEX(filament!$A$1:$N$111,MATCH("filament_" &amp; $C$18,filament!$C$1:$C$111,0),MATCH($C$2,filament!$A$1:$N$1,0)),filament!#REF!),"")</f>
        <v/>
      </c>
      <c r="K18" s="96" t="str">
        <f>IFERROR(Matchfill(INDEX(filament!$A$1:$N$111,MATCH("filament_" &amp; $C$18,filament!$C$1:$C$111,0),MATCH($C$2,filament!$A$1:$N$1,0)),filament!#REF!),"")</f>
        <v/>
      </c>
      <c r="L18" s="96" t="str">
        <f>IFERROR(Matchfill(INDEX(filament!$A$1:$N$111,MATCH("filament_" &amp; $C$18,filament!$C$1:$C$111,0),MATCH($C$2,filament!$A$1:$N$1,0)),filament!#REF!),"")</f>
        <v/>
      </c>
      <c r="M18" s="96" t="str">
        <f>IFERROR(Matchfill(INDEX(filament!$A$1:$N$111,MATCH("filament_" &amp; $C$18,filament!$C$1:$C$111,0),MATCH($C$2,filament!$A$1:$N$1,0)),filament!#REF!),"")</f>
        <v/>
      </c>
      <c r="N18" s="96" t="str">
        <f>IFERROR(Matchfill(INDEX(filament!$A$1:$N$111,MATCH("filament_" &amp; $C$18,filament!$C$1:$C$111,0),MATCH($C$2,filament!$A$1:$N$1,0)),filament!#REF!),"")</f>
        <v/>
      </c>
      <c r="O18" s="96" t="str">
        <f>IFERROR(Matchfill(INDEX(filament!$A$1:$N$111,MATCH("filament_" &amp; $C$18,filament!$C$1:$C$111,0),MATCH($C$2,filament!$A$1:$N$1,0)),filament!#REF!),"")</f>
        <v/>
      </c>
    </row>
    <row r="19" spans="1:15" x14ac:dyDescent="0.3">
      <c r="A19" s="97"/>
      <c r="B19" s="97"/>
      <c r="C19" s="97"/>
      <c r="D19" s="97"/>
      <c r="E19" s="97"/>
      <c r="F19" s="97"/>
      <c r="G19" s="97"/>
      <c r="H19" s="97"/>
      <c r="I19" s="97"/>
      <c r="J19" s="97"/>
      <c r="K19" s="97"/>
      <c r="L19" s="97"/>
      <c r="M19" s="97"/>
      <c r="N19" s="97"/>
      <c r="O19" s="97"/>
    </row>
    <row r="20" spans="1:15" x14ac:dyDescent="0.3">
      <c r="A20" s="96" t="s">
        <v>1568</v>
      </c>
      <c r="B20" s="96" t="s">
        <v>1572</v>
      </c>
      <c r="C20" s="102" t="str">
        <f>print!$D$2</f>
        <v>ABS</v>
      </c>
      <c r="D20" s="10">
        <f>IF(SpeedType &lt;&gt; "ForceVolumetric",D$17, IFERROR(D$17/((Nozzle_Diameter*1.2)*D$1),0))</f>
        <v>0</v>
      </c>
      <c r="E20" s="10"/>
      <c r="F20" s="10"/>
      <c r="G20" s="10"/>
      <c r="H20" s="10"/>
      <c r="I20" s="10"/>
      <c r="J20" s="10"/>
      <c r="K20" s="10"/>
      <c r="L20" s="10"/>
      <c r="M20" s="10"/>
      <c r="N20" s="10"/>
      <c r="O20" s="10"/>
    </row>
    <row r="21" spans="1:15" x14ac:dyDescent="0.3">
      <c r="A21" s="97"/>
      <c r="B21" s="97"/>
      <c r="C21" s="114" t="s">
        <v>45</v>
      </c>
      <c r="D21" s="103">
        <v>60</v>
      </c>
      <c r="E21" s="97"/>
      <c r="F21" s="97"/>
      <c r="G21" s="97"/>
      <c r="H21" s="97"/>
      <c r="I21" s="97"/>
      <c r="J21" s="97"/>
      <c r="K21" s="97"/>
      <c r="L21" s="97"/>
      <c r="M21" s="97"/>
      <c r="N21" s="97"/>
      <c r="O21" s="97"/>
    </row>
    <row r="22" spans="1:15" x14ac:dyDescent="0.3">
      <c r="A22" s="96"/>
      <c r="B22" s="96"/>
      <c r="C22" s="113" t="s">
        <v>46</v>
      </c>
      <c r="D22" s="102">
        <v>40</v>
      </c>
      <c r="E22" s="96"/>
      <c r="F22" s="96"/>
      <c r="G22" s="96"/>
      <c r="H22" s="96"/>
      <c r="I22" s="96"/>
      <c r="J22" s="96"/>
      <c r="K22" s="96"/>
      <c r="L22" s="96"/>
      <c r="M22" s="96"/>
      <c r="N22" s="96"/>
      <c r="O22" s="96"/>
    </row>
    <row r="23" spans="1:15" x14ac:dyDescent="0.3">
      <c r="A23" s="97"/>
      <c r="B23" s="97"/>
      <c r="C23" s="114" t="s">
        <v>47</v>
      </c>
      <c r="D23" s="103">
        <v>40</v>
      </c>
      <c r="E23" s="97"/>
      <c r="F23" s="97"/>
      <c r="G23" s="97"/>
      <c r="H23" s="97"/>
      <c r="I23" s="97"/>
      <c r="J23" s="97"/>
      <c r="K23" s="97"/>
      <c r="L23" s="97"/>
      <c r="M23" s="97"/>
      <c r="N23" s="97"/>
      <c r="O23" s="97"/>
    </row>
    <row r="24" spans="1:15" x14ac:dyDescent="0.3">
      <c r="A24" s="96"/>
      <c r="B24" s="96"/>
      <c r="C24" s="113" t="s">
        <v>48</v>
      </c>
      <c r="D24" s="102">
        <v>60</v>
      </c>
      <c r="E24" s="96"/>
      <c r="F24" s="96"/>
      <c r="G24" s="96"/>
      <c r="H24" s="96"/>
      <c r="I24" s="96"/>
      <c r="J24" s="96"/>
      <c r="K24" s="96"/>
      <c r="L24" s="96"/>
      <c r="M24" s="96"/>
      <c r="N24" s="96"/>
      <c r="O24" s="96"/>
    </row>
    <row r="25" spans="1:15" x14ac:dyDescent="0.3">
      <c r="A25" s="97"/>
      <c r="B25" s="97"/>
      <c r="C25" s="114" t="s">
        <v>49</v>
      </c>
      <c r="D25" s="103">
        <v>60</v>
      </c>
      <c r="E25" s="97"/>
      <c r="F25" s="97"/>
      <c r="G25" s="97"/>
      <c r="H25" s="97"/>
      <c r="I25" s="97"/>
      <c r="J25" s="97"/>
      <c r="K25" s="97"/>
      <c r="L25" s="97"/>
      <c r="M25" s="97"/>
      <c r="N25" s="97"/>
      <c r="O25" s="97"/>
    </row>
    <row r="26" spans="1:15" x14ac:dyDescent="0.3">
      <c r="A26" s="96"/>
      <c r="B26" s="96"/>
      <c r="C26" s="113" t="s">
        <v>50</v>
      </c>
      <c r="D26" s="102">
        <v>40</v>
      </c>
      <c r="E26" s="96"/>
      <c r="F26" s="96"/>
      <c r="G26" s="96"/>
      <c r="H26" s="96"/>
      <c r="I26" s="96"/>
      <c r="J26" s="96"/>
      <c r="K26" s="96"/>
      <c r="L26" s="96"/>
      <c r="M26" s="96"/>
      <c r="N26" s="96"/>
      <c r="O26" s="96"/>
    </row>
    <row r="27" spans="1:15" x14ac:dyDescent="0.3">
      <c r="A27" s="97"/>
      <c r="B27" s="97"/>
      <c r="C27" s="114" t="s">
        <v>51</v>
      </c>
      <c r="D27" s="103">
        <v>40</v>
      </c>
      <c r="E27" s="97"/>
      <c r="F27" s="97"/>
      <c r="G27" s="97"/>
      <c r="H27" s="97"/>
      <c r="I27" s="97"/>
      <c r="J27" s="97"/>
      <c r="K27" s="97"/>
      <c r="L27" s="97"/>
      <c r="M27" s="97"/>
      <c r="N27" s="97"/>
      <c r="O27" s="97"/>
    </row>
    <row r="28" spans="1:15" x14ac:dyDescent="0.3">
      <c r="A28" s="96"/>
      <c r="B28" s="96"/>
      <c r="C28" s="113" t="s">
        <v>52</v>
      </c>
      <c r="D28" s="107">
        <v>1</v>
      </c>
      <c r="E28" s="96"/>
      <c r="F28" s="96"/>
      <c r="G28" s="96"/>
      <c r="H28" s="96"/>
      <c r="I28" s="96"/>
      <c r="J28" s="96"/>
      <c r="K28" s="96"/>
      <c r="L28" s="96"/>
      <c r="M28" s="96"/>
      <c r="N28" s="96"/>
      <c r="O28" s="96"/>
    </row>
    <row r="29" spans="1:15" x14ac:dyDescent="0.3">
      <c r="A29" s="97"/>
      <c r="B29" s="97"/>
      <c r="C29" s="114" t="s">
        <v>53</v>
      </c>
      <c r="D29" s="103">
        <v>60</v>
      </c>
      <c r="E29" s="97"/>
      <c r="F29" s="97"/>
      <c r="G29" s="97"/>
      <c r="H29" s="97"/>
      <c r="I29" s="97"/>
      <c r="J29" s="97"/>
      <c r="K29" s="97"/>
      <c r="L29" s="97"/>
      <c r="M29" s="97"/>
      <c r="N29" s="97"/>
      <c r="O29" s="97"/>
    </row>
    <row r="30" spans="1:15" x14ac:dyDescent="0.3">
      <c r="A30" s="96"/>
      <c r="B30" s="96"/>
      <c r="C30" s="113" t="s">
        <v>1490</v>
      </c>
      <c r="D30" s="107">
        <v>1</v>
      </c>
      <c r="E30" s="96"/>
      <c r="F30" s="96"/>
      <c r="G30" s="96"/>
      <c r="H30" s="96"/>
      <c r="I30" s="96"/>
      <c r="J30" s="96"/>
      <c r="K30" s="96"/>
      <c r="L30" s="96"/>
      <c r="M30" s="96"/>
      <c r="N30" s="96"/>
      <c r="O30" s="96"/>
    </row>
    <row r="31" spans="1:15" x14ac:dyDescent="0.3">
      <c r="A31" s="97"/>
      <c r="B31" s="97"/>
      <c r="C31" s="114" t="s">
        <v>1505</v>
      </c>
      <c r="D31" s="119">
        <v>1</v>
      </c>
      <c r="E31" s="97"/>
      <c r="F31" s="97"/>
      <c r="G31" s="97"/>
      <c r="H31" s="97"/>
      <c r="I31" s="97"/>
      <c r="J31" s="97"/>
      <c r="K31" s="97"/>
      <c r="L31" s="97"/>
      <c r="M31" s="97"/>
      <c r="N31" s="97"/>
      <c r="O31" s="97"/>
    </row>
    <row r="32" spans="1:15" x14ac:dyDescent="0.3">
      <c r="A32" s="96"/>
      <c r="B32" s="96"/>
      <c r="C32" s="113" t="s">
        <v>1398</v>
      </c>
      <c r="D32" s="111">
        <v>30</v>
      </c>
      <c r="E32" s="96"/>
      <c r="F32" s="96"/>
      <c r="G32" s="96"/>
      <c r="H32" s="96"/>
      <c r="I32" s="96"/>
      <c r="J32" s="96"/>
      <c r="K32" s="96"/>
      <c r="L32" s="96"/>
      <c r="M32" s="96"/>
      <c r="N32" s="96"/>
      <c r="O32" s="96"/>
    </row>
    <row r="33" spans="1:15" x14ac:dyDescent="0.3">
      <c r="A33" s="97"/>
      <c r="B33" s="97"/>
      <c r="C33" s="114" t="s">
        <v>54</v>
      </c>
      <c r="D33" s="103">
        <v>40</v>
      </c>
      <c r="E33" s="97"/>
      <c r="F33" s="97"/>
      <c r="G33" s="97"/>
      <c r="H33" s="97"/>
      <c r="I33" s="97"/>
      <c r="J33" s="97"/>
      <c r="K33" s="97"/>
      <c r="L33" s="97"/>
      <c r="M33" s="97"/>
      <c r="N33" s="97"/>
      <c r="O33" s="97"/>
    </row>
    <row r="34" spans="1:15" x14ac:dyDescent="0.3">
      <c r="A34" s="96"/>
      <c r="B34" s="96"/>
      <c r="C34" s="113" t="s">
        <v>1299</v>
      </c>
      <c r="D34" s="102">
        <v>15</v>
      </c>
      <c r="E34" s="96"/>
      <c r="F34" s="96"/>
      <c r="G34" s="96"/>
      <c r="H34" s="96"/>
      <c r="I34" s="96"/>
      <c r="J34" s="96"/>
      <c r="K34" s="96"/>
      <c r="L34" s="96"/>
      <c r="M34" s="96"/>
      <c r="N34" s="96"/>
      <c r="O34" s="96"/>
    </row>
    <row r="35" spans="1:15" x14ac:dyDescent="0.3">
      <c r="A35" s="97"/>
      <c r="B35" s="97"/>
      <c r="C35" s="114" t="s">
        <v>62</v>
      </c>
      <c r="D35" s="103">
        <v>150</v>
      </c>
      <c r="E35" s="103">
        <v>150</v>
      </c>
      <c r="F35" s="103">
        <v>150</v>
      </c>
      <c r="G35" s="103">
        <v>150</v>
      </c>
      <c r="H35" s="103">
        <v>150</v>
      </c>
      <c r="I35" s="103">
        <v>150</v>
      </c>
      <c r="J35" s="103">
        <v>150</v>
      </c>
      <c r="K35" s="103">
        <v>150</v>
      </c>
      <c r="L35" s="103">
        <v>150</v>
      </c>
      <c r="M35" s="103">
        <v>150</v>
      </c>
      <c r="N35" s="103">
        <v>150</v>
      </c>
      <c r="O35" s="103">
        <v>150</v>
      </c>
    </row>
    <row r="36" spans="1:15" x14ac:dyDescent="0.3">
      <c r="A36" s="96"/>
      <c r="B36" s="96"/>
      <c r="C36" s="113" t="s">
        <v>63</v>
      </c>
      <c r="D36" s="102"/>
      <c r="E36" s="96" t="str">
        <f>IFERROR(Matchfill(INDEX(filament!$A$1:$N$111,MATCH("filament_" &amp; $C$18,filament!$C$1:$C$111,0),MATCH($C$2,filament!$A$1:$N$1,0)),filament!#REF!),"")</f>
        <v/>
      </c>
      <c r="F36" s="96" t="str">
        <f>IFERROR(Matchfill(INDEX(filament!$A$1:$N$111,MATCH("filament_" &amp; $C$18,filament!$C$1:$C$111,0),MATCH($C$2,filament!$A$1:$N$1,0)),filament!#REF!),"")</f>
        <v/>
      </c>
      <c r="G36" s="96" t="str">
        <f>IFERROR(Matchfill(INDEX(filament!$A$1:$N$111,MATCH("filament_" &amp; $C$18,filament!$C$1:$C$111,0),MATCH($C$2,filament!$A$1:$N$1,0)),filament!#REF!),"")</f>
        <v/>
      </c>
      <c r="H36" s="96" t="str">
        <f>IFERROR(Matchfill(INDEX(filament!$A$1:$N$111,MATCH("filament_" &amp; $C$18,filament!$C$1:$C$111,0),MATCH($C$2,filament!$A$1:$N$1,0)),filament!#REF!),"")</f>
        <v/>
      </c>
      <c r="I36" s="96" t="str">
        <f>IFERROR(Matchfill(INDEX(filament!$A$1:$N$111,MATCH("filament_" &amp; $C$18,filament!$C$1:$C$111,0),MATCH($C$2,filament!$A$1:$N$1,0)),filament!#REF!),"")</f>
        <v/>
      </c>
      <c r="J36" s="96" t="str">
        <f>IFERROR(Matchfill(INDEX(filament!$A$1:$N$111,MATCH("filament_" &amp; $C$18,filament!$C$1:$C$111,0),MATCH($C$2,filament!$A$1:$N$1,0)),filament!#REF!),"")</f>
        <v/>
      </c>
      <c r="K36" s="96" t="str">
        <f>IFERROR(Matchfill(INDEX(filament!$A$1:$N$111,MATCH("filament_" &amp; $C$18,filament!$C$1:$C$111,0),MATCH($C$2,filament!$A$1:$N$1,0)),filament!#REF!),"")</f>
        <v/>
      </c>
      <c r="L36" s="96" t="str">
        <f>IFERROR(Matchfill(INDEX(filament!$A$1:$N$111,MATCH("filament_" &amp; $C$18,filament!$C$1:$C$111,0),MATCH($C$2,filament!$A$1:$N$1,0)),filament!#REF!),"")</f>
        <v/>
      </c>
      <c r="M36" s="96" t="str">
        <f>IFERROR(Matchfill(INDEX(filament!$A$1:$N$111,MATCH("filament_" &amp; $C$18,filament!$C$1:$C$111,0),MATCH($C$2,filament!$A$1:$N$1,0)),filament!#REF!),"")</f>
        <v/>
      </c>
      <c r="N36" s="96" t="str">
        <f>IFERROR(Matchfill(INDEX(filament!$A$1:$N$111,MATCH("filament_" &amp; $C$18,filament!$C$1:$C$111,0),MATCH($C$2,filament!$A$1:$N$1,0)),filament!#REF!),"")</f>
        <v/>
      </c>
      <c r="O36" s="96" t="str">
        <f>IFERROR(Matchfill(INDEX(filament!$A$1:$N$111,MATCH("filament_" &amp; $C$18,filament!$C$1:$C$111,0),MATCH($C$2,filament!$A$1:$N$1,0)),filament!#REF!),"")</f>
        <v/>
      </c>
    </row>
    <row r="37" spans="1:15" x14ac:dyDescent="0.3">
      <c r="A37" s="97"/>
      <c r="B37" s="97"/>
      <c r="C37" s="97"/>
      <c r="D37" s="97"/>
      <c r="E37" s="97"/>
      <c r="F37" s="97"/>
      <c r="G37" s="97"/>
      <c r="H37" s="97"/>
      <c r="I37" s="97"/>
      <c r="J37" s="97"/>
      <c r="K37" s="97"/>
      <c r="L37" s="97"/>
      <c r="M37" s="97"/>
      <c r="N37" s="97"/>
      <c r="O37" s="97"/>
    </row>
    <row r="38" spans="1:15" x14ac:dyDescent="0.3">
      <c r="A38" s="96" t="s">
        <v>1569</v>
      </c>
      <c r="B38" s="96" t="s">
        <v>1572</v>
      </c>
      <c r="C38" s="102" t="str">
        <f>print!$D$2</f>
        <v>ABS</v>
      </c>
      <c r="D38" s="10">
        <f>IF(SpeedType &lt;&gt; "ForceVolumetric",D$190, IFERROR(D$191/((Nozzle_Diameter*1.2)*D$1),0))</f>
        <v>0</v>
      </c>
      <c r="E38" s="10"/>
      <c r="F38" s="10"/>
      <c r="G38" s="10"/>
      <c r="H38" s="10"/>
      <c r="I38" s="10"/>
      <c r="J38" s="10"/>
      <c r="K38" s="10"/>
      <c r="L38" s="10"/>
      <c r="M38" s="10"/>
      <c r="N38" s="10"/>
      <c r="O38" s="10"/>
    </row>
    <row r="39" spans="1:15" x14ac:dyDescent="0.3">
      <c r="A39" s="97"/>
      <c r="B39" s="97"/>
      <c r="C39" s="114" t="s">
        <v>45</v>
      </c>
      <c r="D39" s="103">
        <v>50</v>
      </c>
      <c r="E39" s="97"/>
      <c r="F39" s="97"/>
      <c r="G39" s="97"/>
      <c r="H39" s="97"/>
      <c r="I39" s="97"/>
      <c r="J39" s="97"/>
      <c r="K39" s="97"/>
      <c r="L39" s="97"/>
      <c r="M39" s="97"/>
      <c r="N39" s="97"/>
      <c r="O39" s="97"/>
    </row>
    <row r="40" spans="1:15" x14ac:dyDescent="0.3">
      <c r="A40" s="96"/>
      <c r="B40" s="96"/>
      <c r="C40" s="113" t="s">
        <v>46</v>
      </c>
      <c r="D40" s="102">
        <v>30</v>
      </c>
      <c r="E40" s="96"/>
      <c r="F40" s="96"/>
      <c r="G40" s="96"/>
      <c r="H40" s="96"/>
      <c r="I40" s="96"/>
      <c r="J40" s="96"/>
      <c r="K40" s="96"/>
      <c r="L40" s="96"/>
      <c r="M40" s="96"/>
      <c r="N40" s="96"/>
      <c r="O40" s="96"/>
    </row>
    <row r="41" spans="1:15" x14ac:dyDescent="0.3">
      <c r="A41" s="97"/>
      <c r="B41" s="97"/>
      <c r="C41" s="114" t="s">
        <v>47</v>
      </c>
      <c r="D41" s="103">
        <v>35</v>
      </c>
      <c r="E41" s="97"/>
      <c r="F41" s="97"/>
      <c r="G41" s="97"/>
      <c r="H41" s="97"/>
      <c r="I41" s="97"/>
      <c r="J41" s="97"/>
      <c r="K41" s="97"/>
      <c r="L41" s="97"/>
      <c r="M41" s="97"/>
      <c r="N41" s="97"/>
      <c r="O41" s="97"/>
    </row>
    <row r="42" spans="1:15" x14ac:dyDescent="0.3">
      <c r="A42" s="96"/>
      <c r="B42" s="96"/>
      <c r="C42" s="113" t="s">
        <v>48</v>
      </c>
      <c r="D42" s="102">
        <v>85</v>
      </c>
      <c r="E42" s="96"/>
      <c r="F42" s="96"/>
      <c r="G42" s="96"/>
      <c r="H42" s="96"/>
      <c r="I42" s="96"/>
      <c r="J42" s="96"/>
      <c r="K42" s="96"/>
      <c r="L42" s="96"/>
      <c r="M42" s="96"/>
      <c r="N42" s="96"/>
      <c r="O42" s="96"/>
    </row>
    <row r="43" spans="1:15" x14ac:dyDescent="0.3">
      <c r="A43" s="97"/>
      <c r="B43" s="97"/>
      <c r="C43" s="114" t="s">
        <v>49</v>
      </c>
      <c r="D43" s="103">
        <v>80</v>
      </c>
      <c r="E43" s="97"/>
      <c r="F43" s="97"/>
      <c r="G43" s="97"/>
      <c r="H43" s="97"/>
      <c r="I43" s="97"/>
      <c r="J43" s="97"/>
      <c r="K43" s="97"/>
      <c r="L43" s="97"/>
      <c r="M43" s="97"/>
      <c r="N43" s="97"/>
      <c r="O43" s="97"/>
    </row>
    <row r="44" spans="1:15" x14ac:dyDescent="0.3">
      <c r="A44" s="96"/>
      <c r="B44" s="96"/>
      <c r="C44" s="113" t="s">
        <v>50</v>
      </c>
      <c r="D44" s="102">
        <v>40</v>
      </c>
      <c r="E44" s="96"/>
      <c r="F44" s="96"/>
      <c r="G44" s="96"/>
      <c r="H44" s="96"/>
      <c r="I44" s="96"/>
      <c r="J44" s="96"/>
      <c r="K44" s="96"/>
      <c r="L44" s="96"/>
      <c r="M44" s="96"/>
      <c r="N44" s="96"/>
      <c r="O44" s="96"/>
    </row>
    <row r="45" spans="1:15" x14ac:dyDescent="0.3">
      <c r="A45" s="97"/>
      <c r="B45" s="97"/>
      <c r="C45" s="114" t="s">
        <v>51</v>
      </c>
      <c r="D45" s="103">
        <v>45</v>
      </c>
      <c r="E45" s="97"/>
      <c r="F45" s="97"/>
      <c r="G45" s="97"/>
      <c r="H45" s="97"/>
      <c r="I45" s="97"/>
      <c r="J45" s="97"/>
      <c r="K45" s="97"/>
      <c r="L45" s="97"/>
      <c r="M45" s="97"/>
      <c r="N45" s="97"/>
      <c r="O45" s="97"/>
    </row>
    <row r="46" spans="1:15" x14ac:dyDescent="0.3">
      <c r="A46" s="96"/>
      <c r="B46" s="96"/>
      <c r="C46" s="113" t="s">
        <v>52</v>
      </c>
      <c r="D46" s="107">
        <v>1</v>
      </c>
      <c r="E46" s="96"/>
      <c r="F46" s="96"/>
      <c r="G46" s="96"/>
      <c r="H46" s="96"/>
      <c r="I46" s="96"/>
      <c r="J46" s="96"/>
      <c r="K46" s="96"/>
      <c r="L46" s="96"/>
      <c r="M46" s="96"/>
      <c r="N46" s="96"/>
      <c r="O46" s="96"/>
    </row>
    <row r="47" spans="1:15" x14ac:dyDescent="0.3">
      <c r="A47" s="97"/>
      <c r="B47" s="97"/>
      <c r="C47" s="114" t="s">
        <v>53</v>
      </c>
      <c r="D47" s="103">
        <v>30</v>
      </c>
      <c r="E47" s="97"/>
      <c r="F47" s="97"/>
      <c r="G47" s="97"/>
      <c r="H47" s="97"/>
      <c r="I47" s="97"/>
      <c r="J47" s="97"/>
      <c r="K47" s="97"/>
      <c r="L47" s="97"/>
      <c r="M47" s="97"/>
      <c r="N47" s="97"/>
      <c r="O47" s="97"/>
    </row>
    <row r="48" spans="1:15" x14ac:dyDescent="0.3">
      <c r="A48" s="96"/>
      <c r="B48" s="96"/>
      <c r="C48" s="113" t="s">
        <v>1490</v>
      </c>
      <c r="D48" s="107">
        <v>1</v>
      </c>
      <c r="E48" s="96"/>
      <c r="F48" s="96"/>
      <c r="G48" s="96"/>
      <c r="H48" s="96"/>
      <c r="I48" s="96"/>
      <c r="J48" s="96"/>
      <c r="K48" s="96"/>
      <c r="L48" s="96"/>
      <c r="M48" s="96"/>
      <c r="N48" s="96"/>
      <c r="O48" s="96"/>
    </row>
    <row r="49" spans="1:15" x14ac:dyDescent="0.3">
      <c r="A49" s="97"/>
      <c r="B49" s="97"/>
      <c r="C49" s="114" t="s">
        <v>1505</v>
      </c>
      <c r="D49" s="119">
        <v>1</v>
      </c>
      <c r="E49" s="97"/>
      <c r="F49" s="97"/>
      <c r="G49" s="97"/>
      <c r="H49" s="97"/>
      <c r="I49" s="97"/>
      <c r="J49" s="97"/>
      <c r="K49" s="97"/>
      <c r="L49" s="97"/>
      <c r="M49" s="97"/>
      <c r="N49" s="97"/>
      <c r="O49" s="97"/>
    </row>
    <row r="50" spans="1:15" x14ac:dyDescent="0.3">
      <c r="A50" s="96"/>
      <c r="B50" s="96"/>
      <c r="C50" s="113" t="s">
        <v>1398</v>
      </c>
      <c r="D50" s="111">
        <v>30</v>
      </c>
      <c r="E50" s="96"/>
      <c r="F50" s="96"/>
      <c r="G50" s="96"/>
      <c r="H50" s="96"/>
      <c r="I50" s="96"/>
      <c r="J50" s="96"/>
      <c r="K50" s="96"/>
      <c r="L50" s="96"/>
      <c r="M50" s="96"/>
      <c r="N50" s="96"/>
      <c r="O50" s="96"/>
    </row>
    <row r="51" spans="1:15" x14ac:dyDescent="0.3">
      <c r="A51" s="97"/>
      <c r="B51" s="97"/>
      <c r="C51" s="114" t="s">
        <v>54</v>
      </c>
      <c r="D51" s="103">
        <v>40</v>
      </c>
      <c r="E51" s="97"/>
      <c r="F51" s="97"/>
      <c r="G51" s="97"/>
      <c r="H51" s="97"/>
      <c r="I51" s="97"/>
      <c r="J51" s="97"/>
      <c r="K51" s="97"/>
      <c r="L51" s="97"/>
      <c r="M51" s="97"/>
      <c r="N51" s="97"/>
      <c r="O51" s="97"/>
    </row>
    <row r="52" spans="1:15" x14ac:dyDescent="0.3">
      <c r="A52" s="96"/>
      <c r="B52" s="96"/>
      <c r="C52" s="113" t="s">
        <v>1299</v>
      </c>
      <c r="D52" s="102">
        <v>20</v>
      </c>
      <c r="E52" s="96"/>
      <c r="F52" s="96"/>
      <c r="G52" s="96"/>
      <c r="H52" s="96"/>
      <c r="I52" s="96"/>
      <c r="J52" s="96"/>
      <c r="K52" s="96"/>
      <c r="L52" s="96"/>
      <c r="M52" s="96"/>
      <c r="N52" s="96"/>
      <c r="O52" s="96"/>
    </row>
    <row r="53" spans="1:15" x14ac:dyDescent="0.3">
      <c r="A53" s="97"/>
      <c r="B53" s="97"/>
      <c r="C53" s="114" t="s">
        <v>62</v>
      </c>
      <c r="D53" s="103">
        <v>150</v>
      </c>
      <c r="E53" s="103">
        <v>150</v>
      </c>
      <c r="F53" s="103">
        <v>150</v>
      </c>
      <c r="G53" s="103">
        <v>150</v>
      </c>
      <c r="H53" s="103">
        <v>150</v>
      </c>
      <c r="I53" s="103">
        <v>150</v>
      </c>
      <c r="J53" s="103">
        <v>150</v>
      </c>
      <c r="K53" s="103">
        <v>150</v>
      </c>
      <c r="L53" s="103">
        <v>150</v>
      </c>
      <c r="M53" s="103">
        <v>150</v>
      </c>
      <c r="N53" s="103">
        <v>150</v>
      </c>
      <c r="O53" s="103">
        <v>150</v>
      </c>
    </row>
    <row r="54" spans="1:15" x14ac:dyDescent="0.3">
      <c r="A54" s="96"/>
      <c r="B54" s="96"/>
      <c r="C54" s="113" t="s">
        <v>63</v>
      </c>
      <c r="D54" s="102"/>
      <c r="E54" s="96" t="str">
        <f>IFERROR(Matchfill(INDEX(filament!$A$1:$N$111,MATCH("filament_" &amp; $C$18,filament!$C$1:$C$111,0),MATCH($C$2,filament!$A$1:$N$1,0)),filament!#REF!),"")</f>
        <v/>
      </c>
      <c r="F54" s="96" t="str">
        <f>IFERROR(Matchfill(INDEX(filament!$A$1:$N$111,MATCH("filament_" &amp; $C$18,filament!$C$1:$C$111,0),MATCH($C$2,filament!$A$1:$N$1,0)),filament!#REF!),"")</f>
        <v/>
      </c>
      <c r="G54" s="96" t="str">
        <f>IFERROR(Matchfill(INDEX(filament!$A$1:$N$111,MATCH("filament_" &amp; $C$18,filament!$C$1:$C$111,0),MATCH($C$2,filament!$A$1:$N$1,0)),filament!#REF!),"")</f>
        <v/>
      </c>
      <c r="H54" s="96" t="str">
        <f>IFERROR(Matchfill(INDEX(filament!$A$1:$N$111,MATCH("filament_" &amp; $C$18,filament!$C$1:$C$111,0),MATCH($C$2,filament!$A$1:$N$1,0)),filament!#REF!),"")</f>
        <v/>
      </c>
      <c r="I54" s="96" t="str">
        <f>IFERROR(Matchfill(INDEX(filament!$A$1:$N$111,MATCH("filament_" &amp; $C$18,filament!$C$1:$C$111,0),MATCH($C$2,filament!$A$1:$N$1,0)),filament!#REF!),"")</f>
        <v/>
      </c>
      <c r="J54" s="96" t="str">
        <f>IFERROR(Matchfill(INDEX(filament!$A$1:$N$111,MATCH("filament_" &amp; $C$18,filament!$C$1:$C$111,0),MATCH($C$2,filament!$A$1:$N$1,0)),filament!#REF!),"")</f>
        <v/>
      </c>
      <c r="K54" s="96" t="str">
        <f>IFERROR(Matchfill(INDEX(filament!$A$1:$N$111,MATCH("filament_" &amp; $C$18,filament!$C$1:$C$111,0),MATCH($C$2,filament!$A$1:$N$1,0)),filament!#REF!),"")</f>
        <v/>
      </c>
      <c r="L54" s="96" t="str">
        <f>IFERROR(Matchfill(INDEX(filament!$A$1:$N$111,MATCH("filament_" &amp; $C$18,filament!$C$1:$C$111,0),MATCH($C$2,filament!$A$1:$N$1,0)),filament!#REF!),"")</f>
        <v/>
      </c>
      <c r="M54" s="96" t="str">
        <f>IFERROR(Matchfill(INDEX(filament!$A$1:$N$111,MATCH("filament_" &amp; $C$18,filament!$C$1:$C$111,0),MATCH($C$2,filament!$A$1:$N$1,0)),filament!#REF!),"")</f>
        <v/>
      </c>
      <c r="N54" s="96" t="str">
        <f>IFERROR(Matchfill(INDEX(filament!$A$1:$N$111,MATCH("filament_" &amp; $C$18,filament!$C$1:$C$111,0),MATCH($C$2,filament!$A$1:$N$1,0)),filament!#REF!),"")</f>
        <v/>
      </c>
      <c r="O54" s="96" t="str">
        <f>IFERROR(Matchfill(INDEX(filament!$A$1:$N$111,MATCH("filament_" &amp; $C$18,filament!$C$1:$C$111,0),MATCH($C$2,filament!$A$1:$N$1,0)),filament!#REF!),"")</f>
        <v/>
      </c>
    </row>
    <row r="55" spans="1:15" x14ac:dyDescent="0.3">
      <c r="A55" s="97"/>
      <c r="B55" s="97"/>
      <c r="C55" s="97"/>
      <c r="D55" s="97"/>
      <c r="E55" s="97"/>
      <c r="F55" s="97"/>
      <c r="G55" s="97"/>
      <c r="H55" s="97"/>
      <c r="I55" s="97"/>
      <c r="J55" s="97"/>
      <c r="K55" s="97"/>
      <c r="L55" s="97"/>
      <c r="M55" s="97"/>
      <c r="N55" s="97"/>
      <c r="O55" s="97"/>
    </row>
    <row r="56" spans="1:15" x14ac:dyDescent="0.3">
      <c r="A56" s="96" t="s">
        <v>746</v>
      </c>
      <c r="B56" s="96" t="s">
        <v>1572</v>
      </c>
      <c r="C56" s="102" t="str">
        <f>print!$D$2</f>
        <v>ABS</v>
      </c>
      <c r="D56" s="10">
        <f>IF(SpeedType &lt;&gt; "ForceVolumetric",D$190, IFERROR(D$191/((Nozzle_Diameter*1.2)*D$1),0))</f>
        <v>0</v>
      </c>
      <c r="E56" s="10">
        <f t="shared" ref="E56:O56" si="0">IF(SpeedType &lt;&gt; "ForceVolumetric",E$71, IFERROR(E$72/((Nozzle_Diameter*1.2)*E$1),0))</f>
        <v>0</v>
      </c>
      <c r="F56" s="10">
        <f t="shared" si="0"/>
        <v>0</v>
      </c>
      <c r="G56" s="10">
        <f t="shared" si="0"/>
        <v>0</v>
      </c>
      <c r="H56" s="10">
        <f t="shared" si="0"/>
        <v>0</v>
      </c>
      <c r="I56" s="10">
        <f t="shared" si="0"/>
        <v>0</v>
      </c>
      <c r="J56" s="10">
        <f t="shared" si="0"/>
        <v>0</v>
      </c>
      <c r="K56" s="10">
        <f t="shared" si="0"/>
        <v>0</v>
      </c>
      <c r="L56" s="10">
        <f t="shared" si="0"/>
        <v>0</v>
      </c>
      <c r="M56" s="10">
        <f t="shared" si="0"/>
        <v>0</v>
      </c>
      <c r="N56" s="10">
        <f t="shared" si="0"/>
        <v>0</v>
      </c>
      <c r="O56" s="10">
        <f t="shared" si="0"/>
        <v>0</v>
      </c>
    </row>
    <row r="57" spans="1:15" x14ac:dyDescent="0.3">
      <c r="A57" s="97"/>
      <c r="B57" s="97"/>
      <c r="C57" s="114" t="s">
        <v>45</v>
      </c>
      <c r="D57" s="103">
        <v>45</v>
      </c>
      <c r="E57" s="97">
        <f>GetSpeed($D57,E$71,E$56)</f>
        <v>45</v>
      </c>
      <c r="F57" s="97">
        <f t="shared" ref="F57:O57" si="1">GetSpeed($D57,F$71,F$56)</f>
        <v>45</v>
      </c>
      <c r="G57" s="97">
        <f t="shared" si="1"/>
        <v>45</v>
      </c>
      <c r="H57" s="97">
        <f t="shared" si="1"/>
        <v>45</v>
      </c>
      <c r="I57" s="97">
        <f t="shared" si="1"/>
        <v>45</v>
      </c>
      <c r="J57" s="97">
        <f t="shared" si="1"/>
        <v>45</v>
      </c>
      <c r="K57" s="97">
        <f t="shared" si="1"/>
        <v>45</v>
      </c>
      <c r="L57" s="97">
        <f t="shared" si="1"/>
        <v>45</v>
      </c>
      <c r="M57" s="97">
        <f t="shared" si="1"/>
        <v>45</v>
      </c>
      <c r="N57" s="97">
        <f t="shared" si="1"/>
        <v>45</v>
      </c>
      <c r="O57" s="97">
        <f t="shared" si="1"/>
        <v>45</v>
      </c>
    </row>
    <row r="58" spans="1:15" x14ac:dyDescent="0.3">
      <c r="A58" s="96"/>
      <c r="B58" s="96"/>
      <c r="C58" s="113" t="s">
        <v>46</v>
      </c>
      <c r="D58" s="102">
        <v>40</v>
      </c>
      <c r="E58" s="96">
        <f t="shared" ref="E58:O65" si="2">GetSpeed($D58,E$71,E$56)</f>
        <v>40</v>
      </c>
      <c r="F58" s="96">
        <f t="shared" si="2"/>
        <v>40</v>
      </c>
      <c r="G58" s="96">
        <f t="shared" si="2"/>
        <v>40</v>
      </c>
      <c r="H58" s="96">
        <f t="shared" si="2"/>
        <v>40</v>
      </c>
      <c r="I58" s="96">
        <f t="shared" si="2"/>
        <v>40</v>
      </c>
      <c r="J58" s="96">
        <f t="shared" si="2"/>
        <v>40</v>
      </c>
      <c r="K58" s="96">
        <f t="shared" si="2"/>
        <v>40</v>
      </c>
      <c r="L58" s="96">
        <f t="shared" si="2"/>
        <v>40</v>
      </c>
      <c r="M58" s="96">
        <f t="shared" si="2"/>
        <v>40</v>
      </c>
      <c r="N58" s="96">
        <f t="shared" si="2"/>
        <v>40</v>
      </c>
      <c r="O58" s="96">
        <f t="shared" si="2"/>
        <v>40</v>
      </c>
    </row>
    <row r="59" spans="1:15" x14ac:dyDescent="0.3">
      <c r="A59" s="97"/>
      <c r="B59" s="97"/>
      <c r="C59" s="114" t="s">
        <v>47</v>
      </c>
      <c r="D59" s="103">
        <v>40</v>
      </c>
      <c r="E59" s="97">
        <f t="shared" si="2"/>
        <v>40</v>
      </c>
      <c r="F59" s="97">
        <f t="shared" si="2"/>
        <v>40</v>
      </c>
      <c r="G59" s="97">
        <f t="shared" si="2"/>
        <v>40</v>
      </c>
      <c r="H59" s="97">
        <f t="shared" si="2"/>
        <v>40</v>
      </c>
      <c r="I59" s="97">
        <f t="shared" si="2"/>
        <v>40</v>
      </c>
      <c r="J59" s="97">
        <f t="shared" si="2"/>
        <v>40</v>
      </c>
      <c r="K59" s="97">
        <f t="shared" si="2"/>
        <v>40</v>
      </c>
      <c r="L59" s="97">
        <f t="shared" si="2"/>
        <v>40</v>
      </c>
      <c r="M59" s="97">
        <f t="shared" si="2"/>
        <v>40</v>
      </c>
      <c r="N59" s="97">
        <f t="shared" si="2"/>
        <v>40</v>
      </c>
      <c r="O59" s="97">
        <f t="shared" si="2"/>
        <v>40</v>
      </c>
    </row>
    <row r="60" spans="1:15" x14ac:dyDescent="0.3">
      <c r="A60" s="96"/>
      <c r="B60" s="96"/>
      <c r="C60" s="113" t="s">
        <v>48</v>
      </c>
      <c r="D60" s="102">
        <v>45</v>
      </c>
      <c r="E60" s="96">
        <f t="shared" si="2"/>
        <v>45</v>
      </c>
      <c r="F60" s="96">
        <f t="shared" si="2"/>
        <v>45</v>
      </c>
      <c r="G60" s="96">
        <f t="shared" si="2"/>
        <v>45</v>
      </c>
      <c r="H60" s="96">
        <f t="shared" si="2"/>
        <v>45</v>
      </c>
      <c r="I60" s="96">
        <f t="shared" si="2"/>
        <v>45</v>
      </c>
      <c r="J60" s="96">
        <f t="shared" si="2"/>
        <v>45</v>
      </c>
      <c r="K60" s="96">
        <f t="shared" si="2"/>
        <v>45</v>
      </c>
      <c r="L60" s="96">
        <f t="shared" si="2"/>
        <v>45</v>
      </c>
      <c r="M60" s="96">
        <f t="shared" si="2"/>
        <v>45</v>
      </c>
      <c r="N60" s="96">
        <f t="shared" si="2"/>
        <v>45</v>
      </c>
      <c r="O60" s="96">
        <f t="shared" si="2"/>
        <v>45</v>
      </c>
    </row>
    <row r="61" spans="1:15" x14ac:dyDescent="0.3">
      <c r="A61" s="97"/>
      <c r="B61" s="97"/>
      <c r="C61" s="114" t="s">
        <v>49</v>
      </c>
      <c r="D61" s="103">
        <v>45</v>
      </c>
      <c r="E61" s="97">
        <f t="shared" si="2"/>
        <v>45</v>
      </c>
      <c r="F61" s="97">
        <f t="shared" si="2"/>
        <v>45</v>
      </c>
      <c r="G61" s="97">
        <f t="shared" si="2"/>
        <v>45</v>
      </c>
      <c r="H61" s="97">
        <f t="shared" si="2"/>
        <v>45</v>
      </c>
      <c r="I61" s="97">
        <f t="shared" si="2"/>
        <v>45</v>
      </c>
      <c r="J61" s="97">
        <f t="shared" si="2"/>
        <v>45</v>
      </c>
      <c r="K61" s="97">
        <f t="shared" si="2"/>
        <v>45</v>
      </c>
      <c r="L61" s="97">
        <f t="shared" si="2"/>
        <v>45</v>
      </c>
      <c r="M61" s="97">
        <f t="shared" si="2"/>
        <v>45</v>
      </c>
      <c r="N61" s="97">
        <f t="shared" si="2"/>
        <v>45</v>
      </c>
      <c r="O61" s="97">
        <f t="shared" si="2"/>
        <v>45</v>
      </c>
    </row>
    <row r="62" spans="1:15" x14ac:dyDescent="0.3">
      <c r="A62" s="96"/>
      <c r="B62" s="96"/>
      <c r="C62" s="113" t="s">
        <v>50</v>
      </c>
      <c r="D62" s="102">
        <v>45</v>
      </c>
      <c r="E62" s="96">
        <f t="shared" si="2"/>
        <v>45</v>
      </c>
      <c r="F62" s="96">
        <f t="shared" si="2"/>
        <v>45</v>
      </c>
      <c r="G62" s="96">
        <f t="shared" si="2"/>
        <v>45</v>
      </c>
      <c r="H62" s="96">
        <f t="shared" si="2"/>
        <v>45</v>
      </c>
      <c r="I62" s="96">
        <f t="shared" si="2"/>
        <v>45</v>
      </c>
      <c r="J62" s="96">
        <f t="shared" si="2"/>
        <v>45</v>
      </c>
      <c r="K62" s="96">
        <f t="shared" si="2"/>
        <v>45</v>
      </c>
      <c r="L62" s="96">
        <f t="shared" si="2"/>
        <v>45</v>
      </c>
      <c r="M62" s="96">
        <f t="shared" si="2"/>
        <v>45</v>
      </c>
      <c r="N62" s="96">
        <f t="shared" si="2"/>
        <v>45</v>
      </c>
      <c r="O62" s="96">
        <f t="shared" si="2"/>
        <v>45</v>
      </c>
    </row>
    <row r="63" spans="1:15" x14ac:dyDescent="0.3">
      <c r="A63" s="97"/>
      <c r="B63" s="97"/>
      <c r="C63" s="114" t="s">
        <v>51</v>
      </c>
      <c r="D63" s="103">
        <v>45</v>
      </c>
      <c r="E63" s="97">
        <f t="shared" si="2"/>
        <v>45</v>
      </c>
      <c r="F63" s="97">
        <f t="shared" si="2"/>
        <v>45</v>
      </c>
      <c r="G63" s="97">
        <f t="shared" si="2"/>
        <v>45</v>
      </c>
      <c r="H63" s="97">
        <f t="shared" si="2"/>
        <v>45</v>
      </c>
      <c r="I63" s="97">
        <f t="shared" si="2"/>
        <v>45</v>
      </c>
      <c r="J63" s="97">
        <f t="shared" si="2"/>
        <v>45</v>
      </c>
      <c r="K63" s="97">
        <f t="shared" si="2"/>
        <v>45</v>
      </c>
      <c r="L63" s="97">
        <f t="shared" si="2"/>
        <v>45</v>
      </c>
      <c r="M63" s="97">
        <f t="shared" si="2"/>
        <v>45</v>
      </c>
      <c r="N63" s="97">
        <f t="shared" si="2"/>
        <v>45</v>
      </c>
      <c r="O63" s="97">
        <f t="shared" si="2"/>
        <v>45</v>
      </c>
    </row>
    <row r="64" spans="1:15" x14ac:dyDescent="0.3">
      <c r="A64" s="96"/>
      <c r="B64" s="96"/>
      <c r="C64" s="113" t="s">
        <v>52</v>
      </c>
      <c r="D64" s="107">
        <v>1</v>
      </c>
      <c r="E64" s="96"/>
      <c r="F64" s="96"/>
      <c r="G64" s="96"/>
      <c r="H64" s="96"/>
      <c r="I64" s="96"/>
      <c r="J64" s="96"/>
      <c r="K64" s="96"/>
      <c r="L64" s="96"/>
      <c r="M64" s="96"/>
      <c r="N64" s="96"/>
      <c r="O64" s="96"/>
    </row>
    <row r="65" spans="1:15" x14ac:dyDescent="0.3">
      <c r="A65" s="97"/>
      <c r="B65" s="97"/>
      <c r="C65" s="114" t="s">
        <v>53</v>
      </c>
      <c r="D65" s="103">
        <v>40</v>
      </c>
      <c r="E65" s="97">
        <f t="shared" si="2"/>
        <v>40</v>
      </c>
      <c r="F65" s="97">
        <f t="shared" si="2"/>
        <v>40</v>
      </c>
      <c r="G65" s="97">
        <f t="shared" si="2"/>
        <v>40</v>
      </c>
      <c r="H65" s="97">
        <f t="shared" si="2"/>
        <v>40</v>
      </c>
      <c r="I65" s="97">
        <f t="shared" si="2"/>
        <v>40</v>
      </c>
      <c r="J65" s="97">
        <f t="shared" si="2"/>
        <v>40</v>
      </c>
      <c r="K65" s="97">
        <f t="shared" si="2"/>
        <v>40</v>
      </c>
      <c r="L65" s="97">
        <f t="shared" si="2"/>
        <v>40</v>
      </c>
      <c r="M65" s="97">
        <f t="shared" si="2"/>
        <v>40</v>
      </c>
      <c r="N65" s="97">
        <f t="shared" si="2"/>
        <v>40</v>
      </c>
      <c r="O65" s="97">
        <f t="shared" si="2"/>
        <v>40</v>
      </c>
    </row>
    <row r="66" spans="1:15" x14ac:dyDescent="0.3">
      <c r="A66" s="96"/>
      <c r="B66" s="96"/>
      <c r="C66" s="113" t="s">
        <v>1490</v>
      </c>
      <c r="D66" s="107">
        <v>1</v>
      </c>
      <c r="E66" s="96"/>
      <c r="F66" s="96"/>
      <c r="G66" s="96"/>
      <c r="H66" s="96"/>
      <c r="I66" s="96"/>
      <c r="J66" s="96"/>
      <c r="K66" s="96"/>
      <c r="L66" s="96"/>
      <c r="M66" s="96"/>
      <c r="N66" s="96"/>
      <c r="O66" s="96"/>
    </row>
    <row r="67" spans="1:15" x14ac:dyDescent="0.3">
      <c r="A67" s="97"/>
      <c r="B67" s="97"/>
      <c r="C67" s="114" t="s">
        <v>1505</v>
      </c>
      <c r="D67" s="119">
        <v>1</v>
      </c>
      <c r="E67" s="97"/>
      <c r="F67" s="97"/>
      <c r="G67" s="97"/>
      <c r="H67" s="97"/>
      <c r="I67" s="97"/>
      <c r="J67" s="97"/>
      <c r="K67" s="97"/>
      <c r="L67" s="97"/>
      <c r="M67" s="97"/>
      <c r="N67" s="97"/>
      <c r="O67" s="97"/>
    </row>
    <row r="68" spans="1:15" x14ac:dyDescent="0.3">
      <c r="A68" s="96"/>
      <c r="B68" s="96"/>
      <c r="C68" s="113" t="s">
        <v>1398</v>
      </c>
      <c r="D68" s="111">
        <v>30</v>
      </c>
      <c r="E68" s="96"/>
      <c r="F68" s="96"/>
      <c r="G68" s="96"/>
      <c r="H68" s="96"/>
      <c r="I68" s="96"/>
      <c r="J68" s="96"/>
      <c r="K68" s="96"/>
      <c r="L68" s="96"/>
      <c r="M68" s="96"/>
      <c r="N68" s="96"/>
      <c r="O68" s="96"/>
    </row>
    <row r="69" spans="1:15" x14ac:dyDescent="0.3">
      <c r="A69" s="97"/>
      <c r="B69" s="97"/>
      <c r="C69" s="114" t="s">
        <v>54</v>
      </c>
      <c r="D69" s="103">
        <v>40</v>
      </c>
      <c r="E69" s="97">
        <f t="shared" ref="E69:O69" si="3">GetSpeed($D69,E$71,E$56)</f>
        <v>40</v>
      </c>
      <c r="F69" s="97">
        <f t="shared" si="3"/>
        <v>40</v>
      </c>
      <c r="G69" s="97">
        <f t="shared" si="3"/>
        <v>40</v>
      </c>
      <c r="H69" s="97">
        <f t="shared" si="3"/>
        <v>40</v>
      </c>
      <c r="I69" s="97">
        <f t="shared" si="3"/>
        <v>40</v>
      </c>
      <c r="J69" s="97">
        <f t="shared" si="3"/>
        <v>40</v>
      </c>
      <c r="K69" s="97">
        <f t="shared" si="3"/>
        <v>40</v>
      </c>
      <c r="L69" s="97">
        <f t="shared" si="3"/>
        <v>40</v>
      </c>
      <c r="M69" s="97">
        <f t="shared" si="3"/>
        <v>40</v>
      </c>
      <c r="N69" s="97">
        <f t="shared" si="3"/>
        <v>40</v>
      </c>
      <c r="O69" s="97">
        <f t="shared" si="3"/>
        <v>40</v>
      </c>
    </row>
    <row r="70" spans="1:15" x14ac:dyDescent="0.3">
      <c r="A70" s="96"/>
      <c r="B70" s="96"/>
      <c r="C70" s="113" t="s">
        <v>1299</v>
      </c>
      <c r="D70" s="102">
        <v>20</v>
      </c>
      <c r="E70" s="96"/>
      <c r="F70" s="96"/>
      <c r="G70" s="96"/>
      <c r="H70" s="96"/>
      <c r="I70" s="96"/>
      <c r="J70" s="96"/>
      <c r="K70" s="96"/>
      <c r="L70" s="96"/>
      <c r="M70" s="96"/>
      <c r="N70" s="96"/>
      <c r="O70" s="96"/>
    </row>
    <row r="71" spans="1:15" x14ac:dyDescent="0.3">
      <c r="A71" s="97"/>
      <c r="B71" s="97"/>
      <c r="C71" s="114" t="s">
        <v>62</v>
      </c>
      <c r="D71" s="103">
        <v>150</v>
      </c>
      <c r="E71" s="103">
        <v>150</v>
      </c>
      <c r="F71" s="103">
        <v>150</v>
      </c>
      <c r="G71" s="103">
        <v>150</v>
      </c>
      <c r="H71" s="103">
        <v>150</v>
      </c>
      <c r="I71" s="103">
        <v>150</v>
      </c>
      <c r="J71" s="103">
        <v>150</v>
      </c>
      <c r="K71" s="103">
        <v>150</v>
      </c>
      <c r="L71" s="103">
        <v>150</v>
      </c>
      <c r="M71" s="103">
        <v>150</v>
      </c>
      <c r="N71" s="103">
        <v>150</v>
      </c>
      <c r="O71" s="103">
        <v>150</v>
      </c>
    </row>
    <row r="72" spans="1:15" x14ac:dyDescent="0.3">
      <c r="A72" s="96"/>
      <c r="B72" s="96"/>
      <c r="C72" s="113" t="s">
        <v>63</v>
      </c>
      <c r="D72" s="102"/>
      <c r="E72" s="96" t="str">
        <f>IFERROR(Matchfill(INDEX(filament!$A$1:$N$111,MATCH("filament_" &amp; $C$18,filament!$C$1:$C$111,0),MATCH($C$2,filament!$A$1:$N$1,0)),filament!#REF!),"")</f>
        <v/>
      </c>
      <c r="F72" s="96" t="str">
        <f>IFERROR(Matchfill(INDEX(filament!$A$1:$N$111,MATCH("filament_" &amp; $C$18,filament!$C$1:$C$111,0),MATCH($C$2,filament!$A$1:$N$1,0)),filament!#REF!),"")</f>
        <v/>
      </c>
      <c r="G72" s="96" t="str">
        <f>IFERROR(Matchfill(INDEX(filament!$A$1:$N$111,MATCH("filament_" &amp; $C$18,filament!$C$1:$C$111,0),MATCH($C$2,filament!$A$1:$N$1,0)),filament!#REF!),"")</f>
        <v/>
      </c>
      <c r="H72" s="96" t="str">
        <f>IFERROR(Matchfill(INDEX(filament!$A$1:$N$111,MATCH("filament_" &amp; $C$18,filament!$C$1:$C$111,0),MATCH($C$2,filament!$A$1:$N$1,0)),filament!#REF!),"")</f>
        <v/>
      </c>
      <c r="I72" s="96" t="str">
        <f>IFERROR(Matchfill(INDEX(filament!$A$1:$N$111,MATCH("filament_" &amp; $C$18,filament!$C$1:$C$111,0),MATCH($C$2,filament!$A$1:$N$1,0)),filament!#REF!),"")</f>
        <v/>
      </c>
      <c r="J72" s="96" t="str">
        <f>IFERROR(Matchfill(INDEX(filament!$A$1:$N$111,MATCH("filament_" &amp; $C$18,filament!$C$1:$C$111,0),MATCH($C$2,filament!$A$1:$N$1,0)),filament!#REF!),"")</f>
        <v/>
      </c>
      <c r="K72" s="96" t="str">
        <f>IFERROR(Matchfill(INDEX(filament!$A$1:$N$111,MATCH("filament_" &amp; $C$18,filament!$C$1:$C$111,0),MATCH($C$2,filament!$A$1:$N$1,0)),filament!#REF!),"")</f>
        <v/>
      </c>
      <c r="L72" s="96" t="str">
        <f>IFERROR(Matchfill(INDEX(filament!$A$1:$N$111,MATCH("filament_" &amp; $C$18,filament!$C$1:$C$111,0),MATCH($C$2,filament!$A$1:$N$1,0)),filament!#REF!),"")</f>
        <v/>
      </c>
      <c r="M72" s="96" t="str">
        <f>IFERROR(Matchfill(INDEX(filament!$A$1:$N$111,MATCH("filament_" &amp; $C$18,filament!$C$1:$C$111,0),MATCH($C$2,filament!$A$1:$N$1,0)),filament!#REF!),"")</f>
        <v/>
      </c>
      <c r="N72" s="96" t="str">
        <f>IFERROR(Matchfill(INDEX(filament!$A$1:$N$111,MATCH("filament_" &amp; $C$18,filament!$C$1:$C$111,0),MATCH($C$2,filament!$A$1:$N$1,0)),filament!#REF!),"")</f>
        <v/>
      </c>
      <c r="O72" s="96" t="str">
        <f>IFERROR(Matchfill(INDEX(filament!$A$1:$N$111,MATCH("filament_" &amp; $C$18,filament!$C$1:$C$111,0),MATCH($C$2,filament!$A$1:$N$1,0)),filament!#REF!),"")</f>
        <v/>
      </c>
    </row>
    <row r="73" spans="1:15" x14ac:dyDescent="0.3">
      <c r="A73" s="97"/>
      <c r="B73" s="97"/>
      <c r="C73" s="97"/>
      <c r="D73" s="97"/>
      <c r="E73" s="97"/>
      <c r="F73" s="97"/>
      <c r="G73" s="97"/>
      <c r="H73" s="97"/>
      <c r="I73" s="97"/>
      <c r="J73" s="97"/>
      <c r="K73" s="97"/>
      <c r="L73" s="97"/>
      <c r="M73" s="97"/>
      <c r="N73" s="97"/>
      <c r="O73" s="97"/>
    </row>
    <row r="74" spans="1:15" x14ac:dyDescent="0.3">
      <c r="A74" s="96" t="s">
        <v>1573</v>
      </c>
      <c r="B74" s="96" t="s">
        <v>1573</v>
      </c>
      <c r="C74" s="96"/>
      <c r="D74" s="96"/>
      <c r="E74" s="96"/>
      <c r="F74" s="96"/>
      <c r="G74" s="96"/>
      <c r="H74" s="96"/>
      <c r="I74" s="96"/>
      <c r="J74" s="96"/>
      <c r="K74" s="96"/>
      <c r="L74" s="96"/>
      <c r="M74" s="96"/>
      <c r="N74" s="96"/>
      <c r="O74" s="96"/>
    </row>
  </sheetData>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1CBF4-247D-4BBD-BB47-9F748F53022B}">
  <sheetPr codeName="Sheet9"/>
  <dimension ref="A1:F42"/>
  <sheetViews>
    <sheetView workbookViewId="0">
      <selection activeCell="E12" sqref="E12"/>
    </sheetView>
  </sheetViews>
  <sheetFormatPr defaultRowHeight="14.4" x14ac:dyDescent="0.3"/>
  <cols>
    <col min="1" max="1" width="12.6640625" bestFit="1" customWidth="1"/>
    <col min="2" max="2" width="25.109375" bestFit="1" customWidth="1"/>
    <col min="3" max="3" width="34.88671875" bestFit="1" customWidth="1"/>
  </cols>
  <sheetData>
    <row r="1" spans="1:6" x14ac:dyDescent="0.3">
      <c r="A1" s="95" t="s">
        <v>1562</v>
      </c>
      <c r="B1" s="95" t="s">
        <v>1571</v>
      </c>
      <c r="C1" s="42" t="s">
        <v>1570</v>
      </c>
      <c r="D1" s="9">
        <v>0.4</v>
      </c>
      <c r="E1" s="9">
        <v>0.6</v>
      </c>
      <c r="F1" s="95" t="s">
        <v>1629</v>
      </c>
    </row>
    <row r="2" spans="1:6" x14ac:dyDescent="0.3">
      <c r="A2" s="96" t="s">
        <v>270</v>
      </c>
      <c r="B2" s="96" t="s">
        <v>1572</v>
      </c>
      <c r="C2" s="113" t="s">
        <v>79</v>
      </c>
      <c r="D2" s="12">
        <f>D$1*F2</f>
        <v>0.44000000000000006</v>
      </c>
      <c r="E2" s="12">
        <f>E$1*F2</f>
        <v>0.66</v>
      </c>
      <c r="F2" s="110">
        <v>1.1000000000000001</v>
      </c>
    </row>
    <row r="3" spans="1:6" x14ac:dyDescent="0.3">
      <c r="A3" s="97"/>
      <c r="B3" s="97"/>
      <c r="C3" s="114" t="s">
        <v>80</v>
      </c>
      <c r="D3" s="13">
        <f t="shared" ref="D3:D9" si="0">D$1*F3</f>
        <v>0.55999999999999994</v>
      </c>
      <c r="E3" s="13">
        <f t="shared" ref="E3:E10" si="1">E$1*F3</f>
        <v>0.84</v>
      </c>
      <c r="F3" s="118">
        <v>1.4</v>
      </c>
    </row>
    <row r="4" spans="1:6" x14ac:dyDescent="0.3">
      <c r="A4" s="96"/>
      <c r="B4" s="96"/>
      <c r="C4" s="113" t="s">
        <v>81</v>
      </c>
      <c r="D4" s="12">
        <f t="shared" si="0"/>
        <v>0.46399999999999997</v>
      </c>
      <c r="E4" s="12">
        <f t="shared" si="1"/>
        <v>0.69599999999999995</v>
      </c>
      <c r="F4" s="110">
        <v>1.1599999999999999</v>
      </c>
    </row>
    <row r="5" spans="1:6" x14ac:dyDescent="0.3">
      <c r="A5" s="97"/>
      <c r="B5" s="97"/>
      <c r="C5" s="114" t="s">
        <v>82</v>
      </c>
      <c r="D5" s="13">
        <f t="shared" si="0"/>
        <v>0.42000000000000004</v>
      </c>
      <c r="E5" s="13">
        <f t="shared" si="1"/>
        <v>0.63</v>
      </c>
      <c r="F5" s="118">
        <v>1.05</v>
      </c>
    </row>
    <row r="6" spans="1:6" x14ac:dyDescent="0.3">
      <c r="A6" s="96"/>
      <c r="B6" s="96"/>
      <c r="C6" s="113" t="s">
        <v>83</v>
      </c>
      <c r="D6" s="12">
        <f t="shared" si="0"/>
        <v>0.44000000000000006</v>
      </c>
      <c r="E6" s="12">
        <f t="shared" si="1"/>
        <v>0.66</v>
      </c>
      <c r="F6" s="110">
        <v>1.1000000000000001</v>
      </c>
    </row>
    <row r="7" spans="1:6" x14ac:dyDescent="0.3">
      <c r="A7" s="97"/>
      <c r="B7" s="97"/>
      <c r="C7" s="114" t="s">
        <v>84</v>
      </c>
      <c r="D7" s="13">
        <f t="shared" si="0"/>
        <v>0.46399999999999997</v>
      </c>
      <c r="E7" s="13">
        <f t="shared" si="1"/>
        <v>0.69599999999999995</v>
      </c>
      <c r="F7" s="118">
        <v>1.1599999999999999</v>
      </c>
    </row>
    <row r="8" spans="1:6" x14ac:dyDescent="0.3">
      <c r="A8" s="96"/>
      <c r="B8" s="96"/>
      <c r="C8" s="113" t="s">
        <v>85</v>
      </c>
      <c r="D8" s="12">
        <f t="shared" si="0"/>
        <v>0.44400000000000006</v>
      </c>
      <c r="E8" s="12">
        <f t="shared" si="1"/>
        <v>0.66600000000000004</v>
      </c>
      <c r="F8" s="110">
        <v>1.1100000000000001</v>
      </c>
    </row>
    <row r="9" spans="1:6" x14ac:dyDescent="0.3">
      <c r="A9" s="97"/>
      <c r="B9" s="97"/>
      <c r="C9" s="114" t="s">
        <v>86</v>
      </c>
      <c r="D9" s="13">
        <f t="shared" si="0"/>
        <v>0.44000000000000006</v>
      </c>
      <c r="E9" s="13">
        <f t="shared" si="1"/>
        <v>0.66</v>
      </c>
      <c r="F9" s="118">
        <v>1.1000000000000001</v>
      </c>
    </row>
    <row r="10" spans="1:6" x14ac:dyDescent="0.3">
      <c r="A10" s="96"/>
      <c r="B10" s="96"/>
      <c r="C10" s="113" t="s">
        <v>1387</v>
      </c>
      <c r="D10" s="12">
        <f>D$1*F10</f>
        <v>0.52</v>
      </c>
      <c r="E10" s="12">
        <f t="shared" si="1"/>
        <v>0.78</v>
      </c>
      <c r="F10" s="110">
        <v>1.3</v>
      </c>
    </row>
    <row r="11" spans="1:6" x14ac:dyDescent="0.3">
      <c r="A11" s="97"/>
      <c r="B11" s="97"/>
      <c r="C11" s="97"/>
      <c r="D11" s="97"/>
      <c r="E11" s="97"/>
      <c r="F11" s="97"/>
    </row>
    <row r="12" spans="1:6" x14ac:dyDescent="0.3">
      <c r="A12" s="96" t="s">
        <v>1568</v>
      </c>
      <c r="B12" s="96" t="s">
        <v>1572</v>
      </c>
      <c r="C12" s="113" t="s">
        <v>79</v>
      </c>
      <c r="D12" s="12">
        <v>0.4</v>
      </c>
      <c r="E12" s="12">
        <v>0.6</v>
      </c>
      <c r="F12" s="96"/>
    </row>
    <row r="13" spans="1:6" x14ac:dyDescent="0.3">
      <c r="A13" s="97"/>
      <c r="B13" s="97"/>
      <c r="C13" s="114" t="s">
        <v>80</v>
      </c>
      <c r="D13" s="13">
        <v>0.4</v>
      </c>
      <c r="E13" s="13">
        <v>0.6</v>
      </c>
      <c r="F13" s="97"/>
    </row>
    <row r="14" spans="1:6" x14ac:dyDescent="0.3">
      <c r="A14" s="96"/>
      <c r="B14" s="96"/>
      <c r="C14" s="113" t="s">
        <v>81</v>
      </c>
      <c r="D14" s="12">
        <v>0.38</v>
      </c>
      <c r="E14" s="12">
        <v>0.57999999999999996</v>
      </c>
      <c r="F14" s="96"/>
    </row>
    <row r="15" spans="1:6" x14ac:dyDescent="0.3">
      <c r="A15" s="97"/>
      <c r="B15" s="97"/>
      <c r="C15" s="114" t="s">
        <v>82</v>
      </c>
      <c r="D15" s="13">
        <v>0.38</v>
      </c>
      <c r="E15" s="13">
        <v>0.57999999999999996</v>
      </c>
      <c r="F15" s="97"/>
    </row>
    <row r="16" spans="1:6" x14ac:dyDescent="0.3">
      <c r="A16" s="96"/>
      <c r="B16" s="96"/>
      <c r="C16" s="113" t="s">
        <v>83</v>
      </c>
      <c r="D16" s="96">
        <v>0.45</v>
      </c>
      <c r="E16" s="96">
        <v>0.65</v>
      </c>
      <c r="F16" s="96"/>
    </row>
    <row r="17" spans="1:6" x14ac:dyDescent="0.3">
      <c r="A17" s="97"/>
      <c r="B17" s="97"/>
      <c r="C17" s="114" t="s">
        <v>84</v>
      </c>
      <c r="D17" s="97">
        <v>0.45</v>
      </c>
      <c r="E17" s="97">
        <v>0.65</v>
      </c>
      <c r="F17" s="97"/>
    </row>
    <row r="18" spans="1:6" x14ac:dyDescent="0.3">
      <c r="A18" s="96"/>
      <c r="B18" s="96"/>
      <c r="C18" s="113" t="s">
        <v>85</v>
      </c>
      <c r="D18" s="96">
        <v>0.44</v>
      </c>
      <c r="E18" s="96">
        <v>0.64</v>
      </c>
      <c r="F18" s="96"/>
    </row>
    <row r="19" spans="1:6" x14ac:dyDescent="0.3">
      <c r="A19" s="97"/>
      <c r="B19" s="97"/>
      <c r="C19" s="114" t="s">
        <v>86</v>
      </c>
      <c r="D19" s="97">
        <v>0.35</v>
      </c>
      <c r="E19" s="97">
        <v>0.55000000000000004</v>
      </c>
      <c r="F19" s="97"/>
    </row>
    <row r="20" spans="1:6" x14ac:dyDescent="0.3">
      <c r="A20" s="96"/>
      <c r="B20" s="96"/>
      <c r="C20" s="113" t="s">
        <v>1387</v>
      </c>
      <c r="D20" s="96">
        <v>0.45</v>
      </c>
      <c r="E20" s="96">
        <v>0.65</v>
      </c>
      <c r="F20" s="96"/>
    </row>
    <row r="21" spans="1:6" x14ac:dyDescent="0.3">
      <c r="A21" s="97"/>
      <c r="B21" s="97"/>
      <c r="C21" s="97"/>
      <c r="D21" s="97"/>
      <c r="E21" s="97"/>
      <c r="F21" s="97"/>
    </row>
    <row r="22" spans="1:6" x14ac:dyDescent="0.3">
      <c r="A22" s="96" t="s">
        <v>1569</v>
      </c>
      <c r="B22" s="96" t="s">
        <v>1572</v>
      </c>
      <c r="C22" s="113" t="s">
        <v>79</v>
      </c>
      <c r="D22" s="12">
        <v>0.45</v>
      </c>
      <c r="E22" s="12">
        <v>0.65</v>
      </c>
      <c r="F22" s="96"/>
    </row>
    <row r="23" spans="1:6" x14ac:dyDescent="0.3">
      <c r="A23" s="97"/>
      <c r="B23" s="97"/>
      <c r="C23" s="114" t="s">
        <v>80</v>
      </c>
      <c r="D23" s="13">
        <v>0.42</v>
      </c>
      <c r="E23" s="13">
        <v>0.65</v>
      </c>
      <c r="F23" s="97"/>
    </row>
    <row r="24" spans="1:6" x14ac:dyDescent="0.3">
      <c r="A24" s="96"/>
      <c r="B24" s="96"/>
      <c r="C24" s="113" t="s">
        <v>81</v>
      </c>
      <c r="D24" s="12">
        <v>0.45</v>
      </c>
      <c r="E24" s="12">
        <v>0.65</v>
      </c>
      <c r="F24" s="96"/>
    </row>
    <row r="25" spans="1:6" x14ac:dyDescent="0.3">
      <c r="A25" s="97"/>
      <c r="B25" s="97"/>
      <c r="C25" s="114" t="s">
        <v>82</v>
      </c>
      <c r="D25" s="13">
        <v>0.45</v>
      </c>
      <c r="E25" s="13">
        <v>0.65</v>
      </c>
      <c r="F25" s="97"/>
    </row>
    <row r="26" spans="1:6" x14ac:dyDescent="0.3">
      <c r="A26" s="96"/>
      <c r="B26" s="96"/>
      <c r="C26" s="113" t="s">
        <v>83</v>
      </c>
      <c r="D26" s="96">
        <v>0.45</v>
      </c>
      <c r="E26" s="12">
        <v>0.65</v>
      </c>
      <c r="F26" s="96"/>
    </row>
    <row r="27" spans="1:6" x14ac:dyDescent="0.3">
      <c r="A27" s="97"/>
      <c r="B27" s="97"/>
      <c r="C27" s="114" t="s">
        <v>84</v>
      </c>
      <c r="D27" s="97">
        <v>0.45</v>
      </c>
      <c r="E27" s="13">
        <v>0.65</v>
      </c>
      <c r="F27" s="97"/>
    </row>
    <row r="28" spans="1:6" x14ac:dyDescent="0.3">
      <c r="A28" s="96"/>
      <c r="B28" s="96"/>
      <c r="C28" s="113" t="s">
        <v>85</v>
      </c>
      <c r="D28" s="96">
        <v>0.4</v>
      </c>
      <c r="E28" s="96">
        <v>0.6</v>
      </c>
      <c r="F28" s="96"/>
    </row>
    <row r="29" spans="1:6" x14ac:dyDescent="0.3">
      <c r="A29" s="97"/>
      <c r="B29" s="97"/>
      <c r="C29" s="114" t="s">
        <v>86</v>
      </c>
      <c r="D29" s="97">
        <v>0.35</v>
      </c>
      <c r="E29" s="97">
        <v>0.55000000000000004</v>
      </c>
      <c r="F29" s="97"/>
    </row>
    <row r="30" spans="1:6" x14ac:dyDescent="0.3">
      <c r="A30" s="96"/>
      <c r="B30" s="96"/>
      <c r="C30" s="113" t="s">
        <v>1387</v>
      </c>
      <c r="D30" s="96">
        <v>0.45</v>
      </c>
      <c r="E30" s="96">
        <v>0.65</v>
      </c>
      <c r="F30" s="96"/>
    </row>
    <row r="31" spans="1:6" x14ac:dyDescent="0.3">
      <c r="A31" s="97"/>
      <c r="B31" s="97"/>
      <c r="C31" s="97"/>
      <c r="D31" s="97"/>
      <c r="E31" s="97"/>
      <c r="F31" s="97"/>
    </row>
    <row r="32" spans="1:6" x14ac:dyDescent="0.3">
      <c r="A32" s="96" t="s">
        <v>746</v>
      </c>
      <c r="B32" s="96" t="s">
        <v>1572</v>
      </c>
      <c r="C32" s="113" t="s">
        <v>79</v>
      </c>
      <c r="D32" s="12">
        <f>1.5 *D$1</f>
        <v>0.60000000000000009</v>
      </c>
      <c r="E32" s="12">
        <f>1.1*E$1</f>
        <v>0.66</v>
      </c>
      <c r="F32" s="96"/>
    </row>
    <row r="33" spans="1:6" x14ac:dyDescent="0.3">
      <c r="A33" s="97"/>
      <c r="B33" s="97"/>
      <c r="C33" s="114" t="s">
        <v>80</v>
      </c>
      <c r="D33" s="13">
        <f t="shared" ref="D33:D40" si="2">1.5 *D$1</f>
        <v>0.60000000000000009</v>
      </c>
      <c r="E33" s="13">
        <f t="shared" ref="E33:E40" si="3">1.1*E$1</f>
        <v>0.66</v>
      </c>
      <c r="F33" s="97"/>
    </row>
    <row r="34" spans="1:6" x14ac:dyDescent="0.3">
      <c r="A34" s="96"/>
      <c r="B34" s="96"/>
      <c r="C34" s="113" t="s">
        <v>81</v>
      </c>
      <c r="D34" s="12">
        <f t="shared" si="2"/>
        <v>0.60000000000000009</v>
      </c>
      <c r="E34" s="12">
        <f t="shared" si="3"/>
        <v>0.66</v>
      </c>
      <c r="F34" s="96"/>
    </row>
    <row r="35" spans="1:6" x14ac:dyDescent="0.3">
      <c r="A35" s="97"/>
      <c r="B35" s="97"/>
      <c r="C35" s="114" t="s">
        <v>82</v>
      </c>
      <c r="D35" s="13">
        <f t="shared" si="2"/>
        <v>0.60000000000000009</v>
      </c>
      <c r="E35" s="13">
        <f t="shared" si="3"/>
        <v>0.66</v>
      </c>
      <c r="F35" s="97"/>
    </row>
    <row r="36" spans="1:6" x14ac:dyDescent="0.3">
      <c r="A36" s="96"/>
      <c r="B36" s="96"/>
      <c r="C36" s="113" t="s">
        <v>83</v>
      </c>
      <c r="D36" s="12">
        <f t="shared" si="2"/>
        <v>0.60000000000000009</v>
      </c>
      <c r="E36" s="12">
        <f t="shared" si="3"/>
        <v>0.66</v>
      </c>
      <c r="F36" s="96"/>
    </row>
    <row r="37" spans="1:6" x14ac:dyDescent="0.3">
      <c r="A37" s="97"/>
      <c r="B37" s="97"/>
      <c r="C37" s="114" t="s">
        <v>84</v>
      </c>
      <c r="D37" s="13">
        <f t="shared" si="2"/>
        <v>0.60000000000000009</v>
      </c>
      <c r="E37" s="13">
        <f t="shared" si="3"/>
        <v>0.66</v>
      </c>
      <c r="F37" s="97"/>
    </row>
    <row r="38" spans="1:6" x14ac:dyDescent="0.3">
      <c r="A38" s="96"/>
      <c r="B38" s="96"/>
      <c r="C38" s="113" t="s">
        <v>85</v>
      </c>
      <c r="D38" s="12">
        <f t="shared" si="2"/>
        <v>0.60000000000000009</v>
      </c>
      <c r="E38" s="12">
        <f t="shared" si="3"/>
        <v>0.66</v>
      </c>
      <c r="F38" s="96"/>
    </row>
    <row r="39" spans="1:6" x14ac:dyDescent="0.3">
      <c r="A39" s="97"/>
      <c r="B39" s="97"/>
      <c r="C39" s="114" t="s">
        <v>86</v>
      </c>
      <c r="D39" s="13">
        <v>0.35</v>
      </c>
      <c r="E39" s="13">
        <v>0.35</v>
      </c>
      <c r="F39" s="97"/>
    </row>
    <row r="40" spans="1:6" x14ac:dyDescent="0.3">
      <c r="A40" s="96"/>
      <c r="B40" s="96"/>
      <c r="C40" s="113" t="s">
        <v>1387</v>
      </c>
      <c r="D40" s="12">
        <f t="shared" si="2"/>
        <v>0.60000000000000009</v>
      </c>
      <c r="E40" s="12">
        <f t="shared" si="3"/>
        <v>0.66</v>
      </c>
      <c r="F40" s="96"/>
    </row>
    <row r="41" spans="1:6" x14ac:dyDescent="0.3">
      <c r="A41" s="97"/>
      <c r="B41" s="97"/>
      <c r="C41" s="97"/>
      <c r="D41" s="97"/>
      <c r="E41" s="97"/>
      <c r="F41" s="97"/>
    </row>
    <row r="42" spans="1:6" x14ac:dyDescent="0.3">
      <c r="A42" s="96" t="s">
        <v>1573</v>
      </c>
      <c r="B42" s="96" t="s">
        <v>1573</v>
      </c>
      <c r="C42" s="96"/>
      <c r="D42" s="96"/>
      <c r="E42" s="96"/>
      <c r="F42" s="96"/>
    </row>
  </sheetData>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3AE3-6868-4111-93E1-98FE241C3C5C}">
  <sheetPr codeName="Sheet10"/>
  <dimension ref="A1:AA50"/>
  <sheetViews>
    <sheetView workbookViewId="0">
      <selection activeCell="L34" sqref="L34"/>
    </sheetView>
  </sheetViews>
  <sheetFormatPr defaultRowHeight="14.4" x14ac:dyDescent="0.3"/>
  <cols>
    <col min="1" max="1" width="12.6640625" bestFit="1" customWidth="1"/>
    <col min="2" max="2" width="19.44140625" bestFit="1" customWidth="1"/>
    <col min="3" max="3" width="9" bestFit="1" customWidth="1"/>
    <col min="16" max="16" width="24.33203125" customWidth="1"/>
  </cols>
  <sheetData>
    <row r="1" spans="1:27" x14ac:dyDescent="0.3">
      <c r="A1" s="2"/>
      <c r="B1" s="137" t="s">
        <v>299</v>
      </c>
      <c r="C1" s="137"/>
      <c r="D1" s="137"/>
      <c r="E1" s="137"/>
      <c r="F1" s="137"/>
      <c r="G1" s="137"/>
      <c r="H1" s="137"/>
      <c r="I1" s="137"/>
      <c r="J1" s="137"/>
      <c r="K1" s="137"/>
      <c r="L1" s="137"/>
      <c r="M1" s="137"/>
      <c r="N1" s="137"/>
      <c r="O1" s="2"/>
      <c r="P1" s="137" t="s">
        <v>297</v>
      </c>
      <c r="Q1" s="137"/>
      <c r="R1" s="137"/>
      <c r="S1" s="137"/>
      <c r="T1" s="137"/>
      <c r="U1" s="137"/>
      <c r="V1" s="137"/>
      <c r="W1" s="137"/>
      <c r="X1" s="137"/>
      <c r="Y1" s="137"/>
      <c r="Z1" s="137"/>
      <c r="AA1" s="137"/>
    </row>
    <row r="2" spans="1:27" x14ac:dyDescent="0.3">
      <c r="A2" s="3" t="s">
        <v>1562</v>
      </c>
      <c r="B2" s="81" t="s">
        <v>300</v>
      </c>
      <c r="C2" s="81" t="s">
        <v>100</v>
      </c>
      <c r="D2" s="82">
        <v>0.12</v>
      </c>
      <c r="E2" s="82">
        <v>0.2</v>
      </c>
      <c r="F2" s="82">
        <v>0.24</v>
      </c>
      <c r="G2" s="82">
        <v>0.28000000000000003</v>
      </c>
      <c r="H2" s="82">
        <v>0.32</v>
      </c>
      <c r="I2" s="82">
        <v>0.4</v>
      </c>
      <c r="J2" s="82">
        <v>0.48</v>
      </c>
      <c r="K2" s="82">
        <v>0.56000000000000005</v>
      </c>
      <c r="L2" s="82">
        <v>0.64</v>
      </c>
      <c r="M2" s="82">
        <v>0.72</v>
      </c>
      <c r="N2" s="82">
        <v>0.8</v>
      </c>
      <c r="O2" s="3"/>
      <c r="P2" s="81" t="s">
        <v>300</v>
      </c>
      <c r="Q2" s="82">
        <v>0.12</v>
      </c>
      <c r="R2" s="82">
        <v>0.2</v>
      </c>
      <c r="S2" s="82">
        <v>0.24</v>
      </c>
      <c r="T2" s="82">
        <v>0.28000000000000003</v>
      </c>
      <c r="U2" s="82">
        <v>0.32</v>
      </c>
      <c r="V2" s="82">
        <v>0.4</v>
      </c>
      <c r="W2" s="82">
        <v>0.48</v>
      </c>
      <c r="X2" s="82">
        <v>0.56000000000000005</v>
      </c>
      <c r="Y2" s="82">
        <v>0.64</v>
      </c>
      <c r="Z2" s="82">
        <v>0.72</v>
      </c>
      <c r="AA2" s="82">
        <v>0.8</v>
      </c>
    </row>
    <row r="3" spans="1:27" x14ac:dyDescent="0.3">
      <c r="A3" s="4" t="s">
        <v>270</v>
      </c>
      <c r="B3" s="38" t="s">
        <v>3</v>
      </c>
      <c r="C3" s="66" t="s">
        <v>1574</v>
      </c>
      <c r="D3" s="90">
        <v>3</v>
      </c>
      <c r="E3" s="90">
        <v>3</v>
      </c>
      <c r="F3" s="90">
        <v>3</v>
      </c>
      <c r="G3" s="90">
        <v>3</v>
      </c>
      <c r="H3" s="90">
        <v>3</v>
      </c>
      <c r="I3" s="90">
        <v>3</v>
      </c>
      <c r="J3" s="90">
        <v>3</v>
      </c>
      <c r="K3" s="90">
        <v>3</v>
      </c>
      <c r="L3" s="90">
        <v>3</v>
      </c>
      <c r="M3" s="90">
        <v>3</v>
      </c>
      <c r="N3" s="90">
        <v>3</v>
      </c>
      <c r="O3" s="24"/>
      <c r="P3" s="38" t="s">
        <v>3</v>
      </c>
      <c r="Q3" s="13">
        <f t="shared" ref="Q3:AA3" si="0">Nozzle_Diameter*D3</f>
        <v>1.2000000000000002</v>
      </c>
      <c r="R3" s="13">
        <f t="shared" si="0"/>
        <v>1.2000000000000002</v>
      </c>
      <c r="S3" s="13">
        <f t="shared" si="0"/>
        <v>1.2000000000000002</v>
      </c>
      <c r="T3" s="13">
        <f t="shared" si="0"/>
        <v>1.2000000000000002</v>
      </c>
      <c r="U3" s="13">
        <f t="shared" si="0"/>
        <v>1.2000000000000002</v>
      </c>
      <c r="V3" s="13">
        <f t="shared" si="0"/>
        <v>1.2000000000000002</v>
      </c>
      <c r="W3" s="13">
        <f t="shared" si="0"/>
        <v>1.2000000000000002</v>
      </c>
      <c r="X3" s="13">
        <f t="shared" si="0"/>
        <v>1.2000000000000002</v>
      </c>
      <c r="Y3" s="13">
        <f t="shared" si="0"/>
        <v>1.2000000000000002</v>
      </c>
      <c r="Z3" s="13">
        <f t="shared" si="0"/>
        <v>1.2000000000000002</v>
      </c>
      <c r="AA3" s="13">
        <f t="shared" si="0"/>
        <v>1.2000000000000002</v>
      </c>
    </row>
    <row r="4" spans="1:27" x14ac:dyDescent="0.3">
      <c r="A4" s="3"/>
      <c r="B4" s="37" t="s">
        <v>5</v>
      </c>
      <c r="C4" s="35" t="s">
        <v>1574</v>
      </c>
      <c r="D4" s="91">
        <v>9</v>
      </c>
      <c r="E4" s="91">
        <v>6</v>
      </c>
      <c r="F4" s="91">
        <v>5</v>
      </c>
      <c r="G4" s="91">
        <v>4</v>
      </c>
      <c r="H4" s="91">
        <v>4</v>
      </c>
      <c r="I4" s="91">
        <v>4</v>
      </c>
      <c r="J4" s="91">
        <v>4</v>
      </c>
      <c r="K4" s="91">
        <v>4</v>
      </c>
      <c r="L4" s="91">
        <v>4</v>
      </c>
      <c r="M4" s="91">
        <v>4</v>
      </c>
      <c r="N4" s="91">
        <v>4</v>
      </c>
      <c r="O4" s="21"/>
      <c r="P4" s="37" t="s">
        <v>5</v>
      </c>
      <c r="Q4" s="12">
        <f>D4*Q2</f>
        <v>1.08</v>
      </c>
      <c r="R4" s="12">
        <f t="shared" ref="R4:AA4" si="1">E4*R2</f>
        <v>1.2000000000000002</v>
      </c>
      <c r="S4" s="12">
        <f t="shared" si="1"/>
        <v>1.2</v>
      </c>
      <c r="T4" s="12">
        <f t="shared" si="1"/>
        <v>1.1200000000000001</v>
      </c>
      <c r="U4" s="12">
        <f t="shared" si="1"/>
        <v>1.28</v>
      </c>
      <c r="V4" s="12">
        <f t="shared" si="1"/>
        <v>1.6</v>
      </c>
      <c r="W4" s="12">
        <f t="shared" si="1"/>
        <v>1.92</v>
      </c>
      <c r="X4" s="12">
        <f t="shared" si="1"/>
        <v>2.2400000000000002</v>
      </c>
      <c r="Y4" s="12">
        <f t="shared" si="1"/>
        <v>2.56</v>
      </c>
      <c r="Z4" s="12">
        <f t="shared" si="1"/>
        <v>2.88</v>
      </c>
      <c r="AA4" s="12">
        <f t="shared" si="1"/>
        <v>3.2</v>
      </c>
    </row>
    <row r="5" spans="1:27" x14ac:dyDescent="0.3">
      <c r="A5" s="4"/>
      <c r="B5" s="38" t="s">
        <v>6</v>
      </c>
      <c r="C5" s="66" t="s">
        <v>1574</v>
      </c>
      <c r="D5" s="90">
        <v>8</v>
      </c>
      <c r="E5" s="90">
        <v>5</v>
      </c>
      <c r="F5" s="90">
        <v>5</v>
      </c>
      <c r="G5" s="90">
        <v>4</v>
      </c>
      <c r="H5" s="90">
        <v>4</v>
      </c>
      <c r="I5" s="90">
        <v>3</v>
      </c>
      <c r="J5" s="90">
        <v>3</v>
      </c>
      <c r="K5" s="90">
        <v>3</v>
      </c>
      <c r="L5" s="90">
        <v>3</v>
      </c>
      <c r="M5" s="90">
        <v>3</v>
      </c>
      <c r="N5" s="90">
        <v>3</v>
      </c>
      <c r="O5" s="24"/>
      <c r="P5" s="38" t="s">
        <v>6</v>
      </c>
      <c r="Q5" s="13">
        <f>D5*Q2</f>
        <v>0.96</v>
      </c>
      <c r="R5" s="13">
        <f t="shared" ref="R5:AA5" si="2">E5*R2</f>
        <v>1</v>
      </c>
      <c r="S5" s="13">
        <f t="shared" si="2"/>
        <v>1.2</v>
      </c>
      <c r="T5" s="13">
        <f t="shared" si="2"/>
        <v>1.1200000000000001</v>
      </c>
      <c r="U5" s="13">
        <f t="shared" si="2"/>
        <v>1.28</v>
      </c>
      <c r="V5" s="13">
        <f t="shared" si="2"/>
        <v>1.2000000000000002</v>
      </c>
      <c r="W5" s="13">
        <f t="shared" si="2"/>
        <v>1.44</v>
      </c>
      <c r="X5" s="13">
        <f t="shared" si="2"/>
        <v>1.6800000000000002</v>
      </c>
      <c r="Y5" s="13">
        <f t="shared" si="2"/>
        <v>1.92</v>
      </c>
      <c r="Z5" s="13">
        <f t="shared" si="2"/>
        <v>2.16</v>
      </c>
      <c r="AA5" s="13">
        <f t="shared" si="2"/>
        <v>2.4000000000000004</v>
      </c>
    </row>
    <row r="6" spans="1:27" x14ac:dyDescent="0.3">
      <c r="A6" s="3"/>
      <c r="B6" s="37"/>
      <c r="C6" s="35"/>
      <c r="D6" s="92"/>
      <c r="E6" s="92"/>
      <c r="F6" s="92"/>
      <c r="G6" s="92"/>
      <c r="H6" s="92"/>
      <c r="I6" s="92"/>
      <c r="J6" s="92"/>
      <c r="K6" s="92"/>
      <c r="L6" s="92"/>
      <c r="M6" s="92"/>
      <c r="N6" s="92"/>
      <c r="O6" s="21"/>
      <c r="P6" s="37" t="s">
        <v>779</v>
      </c>
      <c r="Q6" s="12">
        <f t="shared" ref="Q6:AA6" si="3">Nozzle_Diameter*D3</f>
        <v>1.2000000000000002</v>
      </c>
      <c r="R6" s="12">
        <f t="shared" si="3"/>
        <v>1.2000000000000002</v>
      </c>
      <c r="S6" s="12">
        <f t="shared" si="3"/>
        <v>1.2000000000000002</v>
      </c>
      <c r="T6" s="12">
        <f t="shared" si="3"/>
        <v>1.2000000000000002</v>
      </c>
      <c r="U6" s="12">
        <f t="shared" si="3"/>
        <v>1.2000000000000002</v>
      </c>
      <c r="V6" s="12">
        <f t="shared" si="3"/>
        <v>1.2000000000000002</v>
      </c>
      <c r="W6" s="12">
        <f t="shared" si="3"/>
        <v>1.2000000000000002</v>
      </c>
      <c r="X6" s="12">
        <f t="shared" si="3"/>
        <v>1.2000000000000002</v>
      </c>
      <c r="Y6" s="12">
        <f t="shared" si="3"/>
        <v>1.2000000000000002</v>
      </c>
      <c r="Z6" s="12">
        <f t="shared" si="3"/>
        <v>1.2000000000000002</v>
      </c>
      <c r="AA6" s="12">
        <f t="shared" si="3"/>
        <v>1.2000000000000002</v>
      </c>
    </row>
    <row r="7" spans="1:27" x14ac:dyDescent="0.3">
      <c r="A7" s="4"/>
      <c r="B7" s="38"/>
      <c r="C7" s="66"/>
      <c r="D7" s="24"/>
      <c r="E7" s="24"/>
      <c r="F7" s="24"/>
      <c r="G7" s="24"/>
      <c r="H7" s="24"/>
      <c r="I7" s="24"/>
      <c r="J7" s="24"/>
      <c r="K7" s="24"/>
      <c r="L7" s="24"/>
      <c r="M7" s="24"/>
      <c r="N7" s="24"/>
      <c r="O7" s="24"/>
      <c r="P7" s="38" t="s">
        <v>781</v>
      </c>
      <c r="Q7" s="13">
        <f>D4*Q2</f>
        <v>1.08</v>
      </c>
      <c r="R7" s="13">
        <f t="shared" ref="R7:AA7" si="4">E4*R2</f>
        <v>1.2000000000000002</v>
      </c>
      <c r="S7" s="13">
        <f t="shared" si="4"/>
        <v>1.2</v>
      </c>
      <c r="T7" s="13">
        <f t="shared" si="4"/>
        <v>1.1200000000000001</v>
      </c>
      <c r="U7" s="13">
        <f t="shared" si="4"/>
        <v>1.28</v>
      </c>
      <c r="V7" s="13">
        <f t="shared" si="4"/>
        <v>1.6</v>
      </c>
      <c r="W7" s="13">
        <f t="shared" si="4"/>
        <v>1.92</v>
      </c>
      <c r="X7" s="13">
        <f t="shared" si="4"/>
        <v>2.2400000000000002</v>
      </c>
      <c r="Y7" s="13">
        <f t="shared" si="4"/>
        <v>2.56</v>
      </c>
      <c r="Z7" s="13">
        <f t="shared" si="4"/>
        <v>2.88</v>
      </c>
      <c r="AA7" s="13">
        <f t="shared" si="4"/>
        <v>3.2</v>
      </c>
    </row>
    <row r="8" spans="1:27" x14ac:dyDescent="0.3">
      <c r="A8" s="3"/>
      <c r="B8" s="37"/>
      <c r="C8" s="35"/>
      <c r="D8" s="21"/>
      <c r="E8" s="21"/>
      <c r="F8" s="21"/>
      <c r="G8" s="21"/>
      <c r="H8" s="21"/>
      <c r="I8" s="21"/>
      <c r="J8" s="21"/>
      <c r="K8" s="21"/>
      <c r="L8" s="21"/>
      <c r="M8" s="21"/>
      <c r="N8" s="21"/>
      <c r="O8" s="21"/>
      <c r="P8" s="37" t="s">
        <v>6</v>
      </c>
      <c r="Q8" s="12">
        <f>D5*Q2</f>
        <v>0.96</v>
      </c>
      <c r="R8" s="12">
        <f t="shared" ref="R8:AA8" si="5">E5*R2</f>
        <v>1</v>
      </c>
      <c r="S8" s="12">
        <f t="shared" si="5"/>
        <v>1.2</v>
      </c>
      <c r="T8" s="12">
        <f t="shared" si="5"/>
        <v>1.1200000000000001</v>
      </c>
      <c r="U8" s="12">
        <f t="shared" si="5"/>
        <v>1.28</v>
      </c>
      <c r="V8" s="12">
        <f t="shared" si="5"/>
        <v>1.2000000000000002</v>
      </c>
      <c r="W8" s="12">
        <f t="shared" si="5"/>
        <v>1.44</v>
      </c>
      <c r="X8" s="12">
        <f t="shared" si="5"/>
        <v>1.6800000000000002</v>
      </c>
      <c r="Y8" s="12">
        <f t="shared" si="5"/>
        <v>1.92</v>
      </c>
      <c r="Z8" s="12">
        <f t="shared" si="5"/>
        <v>2.16</v>
      </c>
      <c r="AA8" s="12">
        <f t="shared" si="5"/>
        <v>2.4000000000000004</v>
      </c>
    </row>
    <row r="9" spans="1:27" x14ac:dyDescent="0.3">
      <c r="A9" s="4"/>
      <c r="B9" s="38"/>
      <c r="C9" s="66"/>
      <c r="D9" s="24"/>
      <c r="E9" s="24"/>
      <c r="F9" s="24"/>
      <c r="G9" s="24"/>
      <c r="H9" s="24"/>
      <c r="I9" s="24"/>
      <c r="J9" s="24"/>
      <c r="K9" s="24"/>
      <c r="L9" s="24"/>
      <c r="M9" s="24"/>
      <c r="N9" s="24"/>
      <c r="O9" s="24"/>
      <c r="P9" s="4"/>
      <c r="Q9" s="4"/>
      <c r="R9" s="4"/>
      <c r="S9" s="4"/>
      <c r="T9" s="4"/>
      <c r="U9" s="4"/>
      <c r="V9" s="4"/>
      <c r="W9" s="4"/>
      <c r="X9" s="4"/>
      <c r="Y9" s="4"/>
      <c r="Z9" s="4"/>
      <c r="AA9" s="4"/>
    </row>
    <row r="10" spans="1:27" x14ac:dyDescent="0.3">
      <c r="A10" s="3"/>
      <c r="B10" s="37"/>
      <c r="C10" s="35"/>
      <c r="D10" s="21"/>
      <c r="E10" s="21"/>
      <c r="F10" s="21"/>
      <c r="G10" s="21"/>
      <c r="H10" s="21"/>
      <c r="I10" s="21"/>
      <c r="J10" s="21"/>
      <c r="K10" s="21"/>
      <c r="L10" s="21"/>
      <c r="M10" s="21"/>
      <c r="N10" s="21"/>
      <c r="O10" s="21"/>
      <c r="P10" s="3"/>
      <c r="Q10" s="3"/>
      <c r="R10" s="3"/>
      <c r="S10" s="3"/>
      <c r="T10" s="3"/>
      <c r="U10" s="3"/>
      <c r="V10" s="3"/>
      <c r="W10" s="3"/>
      <c r="X10" s="3"/>
      <c r="Y10" s="3"/>
      <c r="Z10" s="3"/>
      <c r="AA10" s="3"/>
    </row>
    <row r="11" spans="1:27" x14ac:dyDescent="0.3">
      <c r="A11" s="4"/>
      <c r="B11" s="38"/>
      <c r="C11" s="66"/>
      <c r="D11" s="24"/>
      <c r="E11" s="24"/>
      <c r="F11" s="24"/>
      <c r="G11" s="24"/>
      <c r="H11" s="24"/>
      <c r="I11" s="24"/>
      <c r="J11" s="24"/>
      <c r="K11" s="24"/>
      <c r="L11" s="24"/>
      <c r="M11" s="24"/>
      <c r="N11" s="24"/>
      <c r="O11" s="24"/>
      <c r="P11" s="38"/>
      <c r="Q11" s="4"/>
      <c r="R11" s="4"/>
      <c r="S11" s="4"/>
      <c r="T11" s="4"/>
      <c r="U11" s="4"/>
      <c r="V11" s="4"/>
      <c r="W11" s="4"/>
      <c r="X11" s="4"/>
      <c r="Y11" s="4"/>
      <c r="Z11" s="4"/>
      <c r="AA11" s="4"/>
    </row>
    <row r="12" spans="1:27" x14ac:dyDescent="0.3">
      <c r="A12" s="3"/>
      <c r="B12" s="3"/>
      <c r="C12" s="35"/>
      <c r="D12" s="21"/>
      <c r="E12" s="21"/>
      <c r="F12" s="21"/>
      <c r="G12" s="21"/>
      <c r="H12" s="21"/>
      <c r="I12" s="21"/>
      <c r="J12" s="21"/>
      <c r="K12" s="21"/>
      <c r="L12" s="21"/>
      <c r="M12" s="21"/>
      <c r="N12" s="21"/>
      <c r="O12" s="21"/>
      <c r="P12" s="37"/>
      <c r="Q12" s="3"/>
      <c r="R12" s="3"/>
      <c r="S12" s="3"/>
      <c r="T12" s="3"/>
      <c r="U12" s="3"/>
      <c r="V12" s="3"/>
      <c r="W12" s="3"/>
      <c r="X12" s="3"/>
      <c r="Y12" s="3"/>
      <c r="Z12" s="3"/>
      <c r="AA12" s="3"/>
    </row>
    <row r="13" spans="1:27" x14ac:dyDescent="0.3">
      <c r="A13" s="4"/>
      <c r="B13" s="4"/>
      <c r="C13" s="66"/>
      <c r="D13" s="24"/>
      <c r="E13" s="24"/>
      <c r="F13" s="24"/>
      <c r="G13" s="24"/>
      <c r="H13" s="24"/>
      <c r="I13" s="24"/>
      <c r="J13" s="24"/>
      <c r="K13" s="24"/>
      <c r="L13" s="24"/>
      <c r="M13" s="24"/>
      <c r="N13" s="24"/>
      <c r="O13" s="24"/>
      <c r="P13" s="4"/>
      <c r="Q13" s="4"/>
      <c r="R13" s="4"/>
      <c r="S13" s="4"/>
      <c r="T13" s="4"/>
      <c r="U13" s="4"/>
      <c r="V13" s="4"/>
      <c r="W13" s="4"/>
      <c r="X13" s="4"/>
      <c r="Y13" s="4"/>
      <c r="Z13" s="4"/>
      <c r="AA13" s="4"/>
    </row>
    <row r="14" spans="1:27" x14ac:dyDescent="0.3">
      <c r="A14" s="3"/>
      <c r="B14" s="3"/>
      <c r="C14" s="35"/>
      <c r="D14" s="21"/>
      <c r="E14" s="21"/>
      <c r="F14" s="21"/>
      <c r="G14" s="21"/>
      <c r="H14" s="21"/>
      <c r="I14" s="21"/>
      <c r="J14" s="21"/>
      <c r="K14" s="21"/>
      <c r="L14" s="21"/>
      <c r="M14" s="21"/>
      <c r="N14" s="21"/>
      <c r="O14" s="21"/>
      <c r="P14" s="3"/>
      <c r="Q14" s="3"/>
      <c r="R14" s="3"/>
      <c r="S14" s="3"/>
      <c r="T14" s="3"/>
      <c r="U14" s="3"/>
      <c r="V14" s="3"/>
      <c r="W14" s="3"/>
      <c r="X14" s="3"/>
      <c r="Y14" s="3"/>
      <c r="Z14" s="3"/>
      <c r="AA14" s="3"/>
    </row>
    <row r="15" spans="1:27" x14ac:dyDescent="0.3">
      <c r="A15" s="4" t="s">
        <v>1568</v>
      </c>
      <c r="B15" s="38" t="s">
        <v>3</v>
      </c>
      <c r="C15" s="66" t="s">
        <v>1575</v>
      </c>
      <c r="D15" s="90">
        <v>4</v>
      </c>
      <c r="E15" s="90">
        <v>4</v>
      </c>
      <c r="F15" s="90">
        <v>4</v>
      </c>
      <c r="G15" s="90">
        <v>4</v>
      </c>
      <c r="H15" s="90">
        <v>4</v>
      </c>
      <c r="I15" s="90">
        <v>4</v>
      </c>
      <c r="J15" s="90">
        <v>4</v>
      </c>
      <c r="K15" s="90">
        <v>4</v>
      </c>
      <c r="L15" s="90">
        <v>4</v>
      </c>
      <c r="M15" s="90">
        <v>4</v>
      </c>
      <c r="N15" s="90">
        <v>4</v>
      </c>
      <c r="O15" s="24"/>
      <c r="P15" s="38" t="s">
        <v>3</v>
      </c>
      <c r="Q15" s="13">
        <f t="shared" ref="Q15:AA15" si="6">Nozzle_Diameter*D15</f>
        <v>1.6</v>
      </c>
      <c r="R15" s="13">
        <f t="shared" si="6"/>
        <v>1.6</v>
      </c>
      <c r="S15" s="13">
        <f t="shared" si="6"/>
        <v>1.6</v>
      </c>
      <c r="T15" s="13">
        <f t="shared" si="6"/>
        <v>1.6</v>
      </c>
      <c r="U15" s="13">
        <f t="shared" si="6"/>
        <v>1.6</v>
      </c>
      <c r="V15" s="13">
        <f t="shared" si="6"/>
        <v>1.6</v>
      </c>
      <c r="W15" s="13">
        <f t="shared" si="6"/>
        <v>1.6</v>
      </c>
      <c r="X15" s="13">
        <f t="shared" si="6"/>
        <v>1.6</v>
      </c>
      <c r="Y15" s="13">
        <f t="shared" si="6"/>
        <v>1.6</v>
      </c>
      <c r="Z15" s="13">
        <f t="shared" si="6"/>
        <v>1.6</v>
      </c>
      <c r="AA15" s="13">
        <f t="shared" si="6"/>
        <v>1.6</v>
      </c>
    </row>
    <row r="16" spans="1:27" x14ac:dyDescent="0.3">
      <c r="A16" s="3"/>
      <c r="B16" s="37" t="s">
        <v>5</v>
      </c>
      <c r="C16" s="35" t="s">
        <v>1575</v>
      </c>
      <c r="D16" s="91">
        <v>9</v>
      </c>
      <c r="E16" s="91">
        <v>6</v>
      </c>
      <c r="F16" s="91">
        <v>5</v>
      </c>
      <c r="G16" s="91">
        <v>5</v>
      </c>
      <c r="H16" s="91">
        <v>5</v>
      </c>
      <c r="I16" s="91">
        <v>4</v>
      </c>
      <c r="J16" s="91">
        <v>4</v>
      </c>
      <c r="K16" s="91">
        <v>4</v>
      </c>
      <c r="L16" s="91">
        <v>4</v>
      </c>
      <c r="M16" s="91">
        <v>4</v>
      </c>
      <c r="N16" s="91">
        <v>4</v>
      </c>
      <c r="O16" s="21"/>
      <c r="P16" s="37" t="s">
        <v>5</v>
      </c>
      <c r="Q16" s="12">
        <f>D16*Q2</f>
        <v>1.08</v>
      </c>
      <c r="R16" s="12">
        <f t="shared" ref="R16:AA16" si="7">E16*R2</f>
        <v>1.2000000000000002</v>
      </c>
      <c r="S16" s="12">
        <f t="shared" si="7"/>
        <v>1.2</v>
      </c>
      <c r="T16" s="12">
        <f t="shared" si="7"/>
        <v>1.4000000000000001</v>
      </c>
      <c r="U16" s="12">
        <f t="shared" si="7"/>
        <v>1.6</v>
      </c>
      <c r="V16" s="12">
        <f t="shared" si="7"/>
        <v>1.6</v>
      </c>
      <c r="W16" s="12">
        <f t="shared" si="7"/>
        <v>1.92</v>
      </c>
      <c r="X16" s="12">
        <f t="shared" si="7"/>
        <v>2.2400000000000002</v>
      </c>
      <c r="Y16" s="12">
        <f t="shared" si="7"/>
        <v>2.56</v>
      </c>
      <c r="Z16" s="12">
        <f t="shared" si="7"/>
        <v>2.88</v>
      </c>
      <c r="AA16" s="12">
        <f t="shared" si="7"/>
        <v>3.2</v>
      </c>
    </row>
    <row r="17" spans="1:27" x14ac:dyDescent="0.3">
      <c r="A17" s="4"/>
      <c r="B17" s="38" t="s">
        <v>6</v>
      </c>
      <c r="C17" s="66">
        <v>3</v>
      </c>
      <c r="D17" s="90">
        <v>8</v>
      </c>
      <c r="E17" s="90">
        <v>5</v>
      </c>
      <c r="F17" s="90">
        <v>4</v>
      </c>
      <c r="G17" s="90">
        <v>4</v>
      </c>
      <c r="H17" s="90">
        <v>4</v>
      </c>
      <c r="I17" s="90">
        <v>3</v>
      </c>
      <c r="J17" s="90">
        <v>3</v>
      </c>
      <c r="K17" s="90">
        <v>3</v>
      </c>
      <c r="L17" s="90">
        <v>3</v>
      </c>
      <c r="M17" s="90">
        <v>3</v>
      </c>
      <c r="N17" s="90">
        <v>3</v>
      </c>
      <c r="O17" s="24"/>
      <c r="P17" s="38" t="s">
        <v>6</v>
      </c>
      <c r="Q17" s="13">
        <f>D17*Q2</f>
        <v>0.96</v>
      </c>
      <c r="R17" s="13">
        <f t="shared" ref="R17:AA17" si="8">E17*R2</f>
        <v>1</v>
      </c>
      <c r="S17" s="13">
        <f t="shared" si="8"/>
        <v>0.96</v>
      </c>
      <c r="T17" s="13">
        <f t="shared" si="8"/>
        <v>1.1200000000000001</v>
      </c>
      <c r="U17" s="13">
        <f t="shared" si="8"/>
        <v>1.28</v>
      </c>
      <c r="V17" s="13">
        <f t="shared" si="8"/>
        <v>1.2000000000000002</v>
      </c>
      <c r="W17" s="13">
        <f t="shared" si="8"/>
        <v>1.44</v>
      </c>
      <c r="X17" s="13">
        <f t="shared" si="8"/>
        <v>1.6800000000000002</v>
      </c>
      <c r="Y17" s="13">
        <f t="shared" si="8"/>
        <v>1.92</v>
      </c>
      <c r="Z17" s="13">
        <f t="shared" si="8"/>
        <v>2.16</v>
      </c>
      <c r="AA17" s="13">
        <f t="shared" si="8"/>
        <v>2.4000000000000004</v>
      </c>
    </row>
    <row r="18" spans="1:27" x14ac:dyDescent="0.3">
      <c r="A18" s="3"/>
      <c r="B18" s="37"/>
      <c r="C18" s="35"/>
      <c r="D18" s="92"/>
      <c r="E18" s="92"/>
      <c r="F18" s="92"/>
      <c r="G18" s="92"/>
      <c r="H18" s="92"/>
      <c r="I18" s="92"/>
      <c r="J18" s="92"/>
      <c r="K18" s="92"/>
      <c r="L18" s="92"/>
      <c r="M18" s="92"/>
      <c r="N18" s="92"/>
      <c r="O18" s="21"/>
      <c r="P18" s="37" t="s">
        <v>779</v>
      </c>
      <c r="Q18" s="12">
        <f t="shared" ref="Q18:AA18" si="9">Nozzle_Diameter*D15</f>
        <v>1.6</v>
      </c>
      <c r="R18" s="12">
        <f t="shared" si="9"/>
        <v>1.6</v>
      </c>
      <c r="S18" s="12">
        <f t="shared" si="9"/>
        <v>1.6</v>
      </c>
      <c r="T18" s="12">
        <f t="shared" si="9"/>
        <v>1.6</v>
      </c>
      <c r="U18" s="12">
        <f t="shared" si="9"/>
        <v>1.6</v>
      </c>
      <c r="V18" s="12">
        <f t="shared" si="9"/>
        <v>1.6</v>
      </c>
      <c r="W18" s="12">
        <f t="shared" si="9"/>
        <v>1.6</v>
      </c>
      <c r="X18" s="12">
        <f t="shared" si="9"/>
        <v>1.6</v>
      </c>
      <c r="Y18" s="12">
        <f t="shared" si="9"/>
        <v>1.6</v>
      </c>
      <c r="Z18" s="12">
        <f t="shared" si="9"/>
        <v>1.6</v>
      </c>
      <c r="AA18" s="12">
        <f t="shared" si="9"/>
        <v>1.6</v>
      </c>
    </row>
    <row r="19" spans="1:27" x14ac:dyDescent="0.3">
      <c r="A19" s="4"/>
      <c r="B19" s="38"/>
      <c r="C19" s="66"/>
      <c r="D19" s="24"/>
      <c r="E19" s="24"/>
      <c r="F19" s="24"/>
      <c r="G19" s="24"/>
      <c r="H19" s="24"/>
      <c r="I19" s="24"/>
      <c r="J19" s="24"/>
      <c r="K19" s="24"/>
      <c r="L19" s="24"/>
      <c r="M19" s="24"/>
      <c r="N19" s="24"/>
      <c r="O19" s="24"/>
      <c r="P19" s="38" t="s">
        <v>781</v>
      </c>
      <c r="Q19" s="13">
        <f>D16*Q2</f>
        <v>1.08</v>
      </c>
      <c r="R19" s="13">
        <f t="shared" ref="R19:AA19" si="10">E16*R2</f>
        <v>1.2000000000000002</v>
      </c>
      <c r="S19" s="13">
        <f t="shared" si="10"/>
        <v>1.2</v>
      </c>
      <c r="T19" s="13">
        <f t="shared" si="10"/>
        <v>1.4000000000000001</v>
      </c>
      <c r="U19" s="13">
        <f t="shared" si="10"/>
        <v>1.6</v>
      </c>
      <c r="V19" s="13">
        <f t="shared" si="10"/>
        <v>1.6</v>
      </c>
      <c r="W19" s="13">
        <f t="shared" si="10"/>
        <v>1.92</v>
      </c>
      <c r="X19" s="13">
        <f t="shared" si="10"/>
        <v>2.2400000000000002</v>
      </c>
      <c r="Y19" s="13">
        <f t="shared" si="10"/>
        <v>2.56</v>
      </c>
      <c r="Z19" s="13">
        <f t="shared" si="10"/>
        <v>2.88</v>
      </c>
      <c r="AA19" s="13">
        <f t="shared" si="10"/>
        <v>3.2</v>
      </c>
    </row>
    <row r="20" spans="1:27" x14ac:dyDescent="0.3">
      <c r="A20" s="3"/>
      <c r="B20" s="37"/>
      <c r="C20" s="35"/>
      <c r="D20" s="21"/>
      <c r="E20" s="21"/>
      <c r="F20" s="21"/>
      <c r="G20" s="21"/>
      <c r="H20" s="21"/>
      <c r="I20" s="21"/>
      <c r="J20" s="21"/>
      <c r="K20" s="21"/>
      <c r="L20" s="21"/>
      <c r="M20" s="21"/>
      <c r="N20" s="21"/>
      <c r="O20" s="21"/>
      <c r="P20" s="37" t="s">
        <v>6</v>
      </c>
      <c r="Q20" s="12">
        <f>D17*Q2</f>
        <v>0.96</v>
      </c>
      <c r="R20" s="12">
        <f t="shared" ref="R20:AA20" si="11">E17*R2</f>
        <v>1</v>
      </c>
      <c r="S20" s="12">
        <f t="shared" si="11"/>
        <v>0.96</v>
      </c>
      <c r="T20" s="12">
        <f t="shared" si="11"/>
        <v>1.1200000000000001</v>
      </c>
      <c r="U20" s="12">
        <f t="shared" si="11"/>
        <v>1.28</v>
      </c>
      <c r="V20" s="12">
        <f t="shared" si="11"/>
        <v>1.2000000000000002</v>
      </c>
      <c r="W20" s="12">
        <f t="shared" si="11"/>
        <v>1.44</v>
      </c>
      <c r="X20" s="12">
        <f t="shared" si="11"/>
        <v>1.6800000000000002</v>
      </c>
      <c r="Y20" s="12">
        <f t="shared" si="11"/>
        <v>1.92</v>
      </c>
      <c r="Z20" s="12">
        <f t="shared" si="11"/>
        <v>2.16</v>
      </c>
      <c r="AA20" s="12">
        <f t="shared" si="11"/>
        <v>2.4000000000000004</v>
      </c>
    </row>
    <row r="21" spans="1:27" x14ac:dyDescent="0.3">
      <c r="A21" s="4"/>
      <c r="B21" s="4"/>
      <c r="C21" s="66"/>
      <c r="D21" s="24"/>
      <c r="E21" s="24"/>
      <c r="F21" s="24"/>
      <c r="G21" s="24"/>
      <c r="H21" s="24"/>
      <c r="I21" s="24"/>
      <c r="J21" s="24"/>
      <c r="K21" s="24"/>
      <c r="L21" s="24"/>
      <c r="M21" s="24"/>
      <c r="N21" s="24"/>
      <c r="O21" s="24"/>
      <c r="P21" s="4"/>
      <c r="Q21" s="4"/>
      <c r="R21" s="4"/>
      <c r="S21" s="4"/>
      <c r="T21" s="4"/>
      <c r="U21" s="4"/>
      <c r="V21" s="4"/>
      <c r="W21" s="4"/>
      <c r="X21" s="4"/>
      <c r="Y21" s="4"/>
      <c r="Z21" s="4"/>
      <c r="AA21" s="4"/>
    </row>
    <row r="22" spans="1:27" x14ac:dyDescent="0.3">
      <c r="A22" s="3"/>
      <c r="B22" s="3"/>
      <c r="C22" s="35"/>
      <c r="D22" s="21"/>
      <c r="E22" s="21"/>
      <c r="F22" s="21"/>
      <c r="G22" s="21"/>
      <c r="H22" s="21"/>
      <c r="I22" s="21"/>
      <c r="J22" s="21"/>
      <c r="K22" s="21"/>
      <c r="L22" s="21"/>
      <c r="M22" s="21"/>
      <c r="N22" s="21"/>
      <c r="O22" s="21"/>
      <c r="P22" s="3"/>
      <c r="Q22" s="3"/>
      <c r="R22" s="3"/>
      <c r="S22" s="3"/>
      <c r="T22" s="3"/>
      <c r="U22" s="3"/>
      <c r="V22" s="3"/>
      <c r="W22" s="3"/>
      <c r="X22" s="3"/>
      <c r="Y22" s="3"/>
      <c r="Z22" s="3"/>
      <c r="AA22" s="3"/>
    </row>
    <row r="23" spans="1:27" x14ac:dyDescent="0.3">
      <c r="A23" s="4"/>
      <c r="B23" s="4"/>
      <c r="C23" s="66"/>
      <c r="D23" s="24"/>
      <c r="E23" s="24"/>
      <c r="F23" s="24"/>
      <c r="G23" s="24"/>
      <c r="H23" s="24"/>
      <c r="I23" s="24"/>
      <c r="J23" s="24"/>
      <c r="K23" s="24"/>
      <c r="L23" s="24"/>
      <c r="M23" s="24"/>
      <c r="N23" s="24"/>
      <c r="O23" s="24"/>
      <c r="P23" s="4"/>
      <c r="Q23" s="4"/>
      <c r="R23" s="4"/>
      <c r="S23" s="4"/>
      <c r="T23" s="4"/>
      <c r="U23" s="4"/>
      <c r="V23" s="4"/>
      <c r="W23" s="4"/>
      <c r="X23" s="4"/>
      <c r="Y23" s="4"/>
      <c r="Z23" s="4"/>
      <c r="AA23" s="4"/>
    </row>
    <row r="24" spans="1:27" x14ac:dyDescent="0.3">
      <c r="A24" s="3"/>
      <c r="B24" s="3"/>
      <c r="C24" s="35"/>
      <c r="D24" s="21"/>
      <c r="E24" s="21"/>
      <c r="F24" s="21"/>
      <c r="G24" s="21"/>
      <c r="H24" s="21"/>
      <c r="I24" s="21"/>
      <c r="J24" s="21"/>
      <c r="K24" s="21"/>
      <c r="L24" s="21"/>
      <c r="M24" s="21"/>
      <c r="N24" s="21"/>
      <c r="O24" s="21"/>
      <c r="P24" s="3"/>
      <c r="Q24" s="3"/>
      <c r="R24" s="3"/>
      <c r="S24" s="3"/>
      <c r="T24" s="3"/>
      <c r="U24" s="3"/>
      <c r="V24" s="3"/>
      <c r="W24" s="3"/>
      <c r="X24" s="3"/>
      <c r="Y24" s="3"/>
      <c r="Z24" s="3"/>
      <c r="AA24" s="3"/>
    </row>
    <row r="25" spans="1:27" x14ac:dyDescent="0.3">
      <c r="A25" s="4"/>
      <c r="B25" s="4"/>
      <c r="C25" s="66"/>
      <c r="D25" s="24"/>
      <c r="E25" s="24"/>
      <c r="F25" s="24"/>
      <c r="G25" s="24"/>
      <c r="H25" s="24"/>
      <c r="I25" s="24"/>
      <c r="J25" s="24"/>
      <c r="K25" s="24"/>
      <c r="L25" s="24"/>
      <c r="M25" s="24"/>
      <c r="N25" s="24"/>
      <c r="O25" s="24"/>
      <c r="P25" s="4"/>
      <c r="Q25" s="4"/>
      <c r="R25" s="4"/>
      <c r="S25" s="4"/>
      <c r="T25" s="4"/>
      <c r="U25" s="4"/>
      <c r="V25" s="4"/>
      <c r="W25" s="4"/>
      <c r="X25" s="4"/>
      <c r="Y25" s="4"/>
      <c r="Z25" s="4"/>
      <c r="AA25" s="4"/>
    </row>
    <row r="26" spans="1:27" x14ac:dyDescent="0.3">
      <c r="A26" s="3" t="s">
        <v>1569</v>
      </c>
      <c r="B26" s="37" t="s">
        <v>3</v>
      </c>
      <c r="C26" s="35" t="s">
        <v>1574</v>
      </c>
      <c r="D26" s="91">
        <v>3</v>
      </c>
      <c r="E26" s="91">
        <v>3</v>
      </c>
      <c r="F26" s="91">
        <v>3</v>
      </c>
      <c r="G26" s="91">
        <v>3</v>
      </c>
      <c r="H26" s="91">
        <v>3</v>
      </c>
      <c r="I26" s="91">
        <v>3</v>
      </c>
      <c r="J26" s="91">
        <v>3</v>
      </c>
      <c r="K26" s="91">
        <v>3</v>
      </c>
      <c r="L26" s="91">
        <v>3</v>
      </c>
      <c r="M26" s="91">
        <v>3</v>
      </c>
      <c r="N26" s="91">
        <v>3</v>
      </c>
      <c r="O26" s="21"/>
      <c r="P26" s="37" t="s">
        <v>3</v>
      </c>
      <c r="Q26" s="12">
        <f t="shared" ref="Q26:AA26" si="12">Nozzle_Diameter*D26</f>
        <v>1.2000000000000002</v>
      </c>
      <c r="R26" s="12">
        <f t="shared" si="12"/>
        <v>1.2000000000000002</v>
      </c>
      <c r="S26" s="12">
        <f t="shared" si="12"/>
        <v>1.2000000000000002</v>
      </c>
      <c r="T26" s="12">
        <f t="shared" si="12"/>
        <v>1.2000000000000002</v>
      </c>
      <c r="U26" s="12">
        <f t="shared" si="12"/>
        <v>1.2000000000000002</v>
      </c>
      <c r="V26" s="12">
        <f t="shared" si="12"/>
        <v>1.2000000000000002</v>
      </c>
      <c r="W26" s="12">
        <f t="shared" si="12"/>
        <v>1.2000000000000002</v>
      </c>
      <c r="X26" s="12">
        <f t="shared" si="12"/>
        <v>1.2000000000000002</v>
      </c>
      <c r="Y26" s="12">
        <f t="shared" si="12"/>
        <v>1.2000000000000002</v>
      </c>
      <c r="Z26" s="12">
        <f t="shared" si="12"/>
        <v>1.2000000000000002</v>
      </c>
      <c r="AA26" s="12">
        <f t="shared" si="12"/>
        <v>1.2000000000000002</v>
      </c>
    </row>
    <row r="27" spans="1:27" x14ac:dyDescent="0.3">
      <c r="A27" s="4"/>
      <c r="B27" s="38" t="s">
        <v>5</v>
      </c>
      <c r="C27" s="66">
        <v>4</v>
      </c>
      <c r="D27" s="90">
        <v>9</v>
      </c>
      <c r="E27" s="90">
        <v>4</v>
      </c>
      <c r="F27" s="90">
        <v>4</v>
      </c>
      <c r="G27" s="90">
        <v>4</v>
      </c>
      <c r="H27" s="90">
        <v>3</v>
      </c>
      <c r="I27" s="90">
        <v>4</v>
      </c>
      <c r="J27" s="90">
        <v>4</v>
      </c>
      <c r="K27" s="90">
        <v>4</v>
      </c>
      <c r="L27" s="90">
        <v>4</v>
      </c>
      <c r="M27" s="90">
        <v>4</v>
      </c>
      <c r="N27" s="90">
        <v>4</v>
      </c>
      <c r="O27" s="24"/>
      <c r="P27" s="38" t="s">
        <v>5</v>
      </c>
      <c r="Q27" s="13">
        <f>D27*Q2</f>
        <v>1.08</v>
      </c>
      <c r="R27" s="13">
        <f t="shared" ref="R27:AA27" si="13">E27*R2</f>
        <v>0.8</v>
      </c>
      <c r="S27" s="13">
        <f t="shared" si="13"/>
        <v>0.96</v>
      </c>
      <c r="T27" s="13">
        <f t="shared" si="13"/>
        <v>1.1200000000000001</v>
      </c>
      <c r="U27" s="13">
        <f t="shared" si="13"/>
        <v>0.96</v>
      </c>
      <c r="V27" s="13">
        <f t="shared" si="13"/>
        <v>1.6</v>
      </c>
      <c r="W27" s="13">
        <f t="shared" si="13"/>
        <v>1.92</v>
      </c>
      <c r="X27" s="13">
        <f t="shared" si="13"/>
        <v>2.2400000000000002</v>
      </c>
      <c r="Y27" s="13">
        <f t="shared" si="13"/>
        <v>2.56</v>
      </c>
      <c r="Z27" s="13">
        <f t="shared" si="13"/>
        <v>2.88</v>
      </c>
      <c r="AA27" s="13">
        <f t="shared" si="13"/>
        <v>3.2</v>
      </c>
    </row>
    <row r="28" spans="1:27" x14ac:dyDescent="0.3">
      <c r="A28" s="3"/>
      <c r="B28" s="37" t="s">
        <v>6</v>
      </c>
      <c r="C28" s="35" t="s">
        <v>1574</v>
      </c>
      <c r="D28" s="91">
        <v>8</v>
      </c>
      <c r="E28" s="91">
        <v>4</v>
      </c>
      <c r="F28" s="91">
        <v>4</v>
      </c>
      <c r="G28" s="91">
        <v>4</v>
      </c>
      <c r="H28" s="91">
        <v>3</v>
      </c>
      <c r="I28" s="91">
        <v>3</v>
      </c>
      <c r="J28" s="91">
        <v>3</v>
      </c>
      <c r="K28" s="91">
        <v>3</v>
      </c>
      <c r="L28" s="91">
        <v>3</v>
      </c>
      <c r="M28" s="91">
        <v>3</v>
      </c>
      <c r="N28" s="91">
        <v>3</v>
      </c>
      <c r="O28" s="21"/>
      <c r="P28" s="37" t="s">
        <v>6</v>
      </c>
      <c r="Q28" s="12">
        <f>D28*Q2</f>
        <v>0.96</v>
      </c>
      <c r="R28" s="12">
        <f t="shared" ref="R28:AA28" si="14">E28*R2</f>
        <v>0.8</v>
      </c>
      <c r="S28" s="12">
        <f t="shared" si="14"/>
        <v>0.96</v>
      </c>
      <c r="T28" s="12">
        <f t="shared" si="14"/>
        <v>1.1200000000000001</v>
      </c>
      <c r="U28" s="12">
        <f t="shared" si="14"/>
        <v>0.96</v>
      </c>
      <c r="V28" s="12">
        <f t="shared" si="14"/>
        <v>1.2000000000000002</v>
      </c>
      <c r="W28" s="12">
        <f t="shared" si="14"/>
        <v>1.44</v>
      </c>
      <c r="X28" s="12">
        <f t="shared" si="14"/>
        <v>1.6800000000000002</v>
      </c>
      <c r="Y28" s="12">
        <f t="shared" si="14"/>
        <v>1.92</v>
      </c>
      <c r="Z28" s="12">
        <f t="shared" si="14"/>
        <v>2.16</v>
      </c>
      <c r="AA28" s="12">
        <f t="shared" si="14"/>
        <v>2.4000000000000004</v>
      </c>
    </row>
    <row r="29" spans="1:27" x14ac:dyDescent="0.3">
      <c r="A29" s="4"/>
      <c r="B29" s="38"/>
      <c r="C29" s="66"/>
      <c r="D29" s="93"/>
      <c r="E29" s="93"/>
      <c r="F29" s="93"/>
      <c r="G29" s="93"/>
      <c r="H29" s="93"/>
      <c r="I29" s="93"/>
      <c r="J29" s="93"/>
      <c r="K29" s="93"/>
      <c r="L29" s="93"/>
      <c r="M29" s="93"/>
      <c r="N29" s="93"/>
      <c r="O29" s="24"/>
      <c r="P29" s="38" t="s">
        <v>779</v>
      </c>
      <c r="Q29" s="13">
        <f t="shared" ref="Q29:AA29" si="15">Nozzle_Diameter*D26</f>
        <v>1.2000000000000002</v>
      </c>
      <c r="R29" s="13">
        <f t="shared" si="15"/>
        <v>1.2000000000000002</v>
      </c>
      <c r="S29" s="13">
        <f t="shared" si="15"/>
        <v>1.2000000000000002</v>
      </c>
      <c r="T29" s="13">
        <f t="shared" si="15"/>
        <v>1.2000000000000002</v>
      </c>
      <c r="U29" s="13">
        <f t="shared" si="15"/>
        <v>1.2000000000000002</v>
      </c>
      <c r="V29" s="13">
        <f t="shared" si="15"/>
        <v>1.2000000000000002</v>
      </c>
      <c r="W29" s="13">
        <f t="shared" si="15"/>
        <v>1.2000000000000002</v>
      </c>
      <c r="X29" s="13">
        <f t="shared" si="15"/>
        <v>1.2000000000000002</v>
      </c>
      <c r="Y29" s="13">
        <f t="shared" si="15"/>
        <v>1.2000000000000002</v>
      </c>
      <c r="Z29" s="13">
        <f t="shared" si="15"/>
        <v>1.2000000000000002</v>
      </c>
      <c r="AA29" s="13">
        <f t="shared" si="15"/>
        <v>1.2000000000000002</v>
      </c>
    </row>
    <row r="30" spans="1:27" x14ac:dyDescent="0.3">
      <c r="A30" s="3"/>
      <c r="B30" s="37"/>
      <c r="C30" s="35"/>
      <c r="D30" s="21"/>
      <c r="E30" s="21"/>
      <c r="F30" s="21"/>
      <c r="G30" s="21"/>
      <c r="H30" s="21"/>
      <c r="I30" s="21"/>
      <c r="J30" s="21"/>
      <c r="K30" s="21"/>
      <c r="L30" s="21"/>
      <c r="M30" s="21"/>
      <c r="N30" s="21"/>
      <c r="O30" s="21"/>
      <c r="P30" s="37" t="s">
        <v>781</v>
      </c>
      <c r="Q30" s="12">
        <f>D27*Q2</f>
        <v>1.08</v>
      </c>
      <c r="R30" s="12">
        <f t="shared" ref="R30:AA30" si="16">E27*R2</f>
        <v>0.8</v>
      </c>
      <c r="S30" s="12">
        <f t="shared" si="16"/>
        <v>0.96</v>
      </c>
      <c r="T30" s="12">
        <f t="shared" si="16"/>
        <v>1.1200000000000001</v>
      </c>
      <c r="U30" s="12">
        <f t="shared" si="16"/>
        <v>0.96</v>
      </c>
      <c r="V30" s="12">
        <f t="shared" si="16"/>
        <v>1.6</v>
      </c>
      <c r="W30" s="12">
        <f t="shared" si="16"/>
        <v>1.92</v>
      </c>
      <c r="X30" s="12">
        <f t="shared" si="16"/>
        <v>2.2400000000000002</v>
      </c>
      <c r="Y30" s="12">
        <f t="shared" si="16"/>
        <v>2.56</v>
      </c>
      <c r="Z30" s="12">
        <f t="shared" si="16"/>
        <v>2.88</v>
      </c>
      <c r="AA30" s="12">
        <f t="shared" si="16"/>
        <v>3.2</v>
      </c>
    </row>
    <row r="31" spans="1:27" x14ac:dyDescent="0.3">
      <c r="A31" s="4"/>
      <c r="B31" s="38"/>
      <c r="C31" s="66"/>
      <c r="D31" s="24"/>
      <c r="E31" s="24"/>
      <c r="F31" s="24"/>
      <c r="G31" s="24"/>
      <c r="H31" s="24"/>
      <c r="I31" s="24"/>
      <c r="J31" s="24"/>
      <c r="K31" s="24"/>
      <c r="L31" s="24"/>
      <c r="M31" s="24"/>
      <c r="N31" s="24"/>
      <c r="O31" s="24"/>
      <c r="P31" s="38" t="s">
        <v>6</v>
      </c>
      <c r="Q31" s="13">
        <f>D28*Q2</f>
        <v>0.96</v>
      </c>
      <c r="R31" s="13">
        <f t="shared" ref="R31:AA31" si="17">E28*R2</f>
        <v>0.8</v>
      </c>
      <c r="S31" s="13">
        <f t="shared" si="17"/>
        <v>0.96</v>
      </c>
      <c r="T31" s="13">
        <f t="shared" si="17"/>
        <v>1.1200000000000001</v>
      </c>
      <c r="U31" s="13">
        <f t="shared" si="17"/>
        <v>0.96</v>
      </c>
      <c r="V31" s="13">
        <f t="shared" si="17"/>
        <v>1.2000000000000002</v>
      </c>
      <c r="W31" s="13">
        <f t="shared" si="17"/>
        <v>1.44</v>
      </c>
      <c r="X31" s="13">
        <f t="shared" si="17"/>
        <v>1.6800000000000002</v>
      </c>
      <c r="Y31" s="13">
        <f t="shared" si="17"/>
        <v>1.92</v>
      </c>
      <c r="Z31" s="13">
        <f t="shared" si="17"/>
        <v>2.16</v>
      </c>
      <c r="AA31" s="13">
        <f t="shared" si="17"/>
        <v>2.4000000000000004</v>
      </c>
    </row>
    <row r="32" spans="1:27" x14ac:dyDescent="0.3">
      <c r="A32" s="3"/>
      <c r="B32" s="3"/>
      <c r="C32" s="35"/>
      <c r="D32" s="21"/>
      <c r="E32" s="21"/>
      <c r="F32" s="21"/>
      <c r="G32" s="21"/>
      <c r="H32" s="21"/>
      <c r="I32" s="21"/>
      <c r="J32" s="21"/>
      <c r="K32" s="21"/>
      <c r="L32" s="21"/>
      <c r="M32" s="21"/>
      <c r="N32" s="21"/>
      <c r="O32" s="21"/>
      <c r="P32" s="3"/>
      <c r="Q32" s="3"/>
      <c r="R32" s="3"/>
      <c r="S32" s="3"/>
      <c r="T32" s="3"/>
      <c r="U32" s="3"/>
      <c r="V32" s="3"/>
      <c r="W32" s="3"/>
      <c r="X32" s="3"/>
      <c r="Y32" s="3"/>
      <c r="Z32" s="3"/>
      <c r="AA32" s="3"/>
    </row>
    <row r="33" spans="1:27" x14ac:dyDescent="0.3">
      <c r="A33" s="4"/>
      <c r="B33" s="4"/>
      <c r="C33" s="66"/>
      <c r="D33" s="24"/>
      <c r="E33" s="24"/>
      <c r="F33" s="24"/>
      <c r="G33" s="24"/>
      <c r="H33" s="24"/>
      <c r="I33" s="24"/>
      <c r="J33" s="24"/>
      <c r="K33" s="24"/>
      <c r="L33" s="24"/>
      <c r="M33" s="24"/>
      <c r="N33" s="24"/>
      <c r="O33" s="24"/>
      <c r="P33" s="4"/>
      <c r="Q33" s="4"/>
      <c r="R33" s="4"/>
      <c r="S33" s="4"/>
      <c r="T33" s="4"/>
      <c r="U33" s="4"/>
      <c r="V33" s="4"/>
      <c r="W33" s="4"/>
      <c r="X33" s="4"/>
      <c r="Y33" s="4"/>
      <c r="Z33" s="4"/>
      <c r="AA33" s="4"/>
    </row>
    <row r="34" spans="1:27" x14ac:dyDescent="0.3">
      <c r="A34" s="3"/>
      <c r="B34" s="3"/>
      <c r="C34" s="35"/>
      <c r="D34" s="21"/>
      <c r="E34" s="21"/>
      <c r="F34" s="21"/>
      <c r="G34" s="21"/>
      <c r="H34" s="21"/>
      <c r="I34" s="21"/>
      <c r="J34" s="21"/>
      <c r="K34" s="21"/>
      <c r="L34" s="21"/>
      <c r="M34" s="21"/>
      <c r="N34" s="21"/>
      <c r="O34" s="21"/>
      <c r="P34" s="3"/>
      <c r="Q34" s="3"/>
      <c r="R34" s="3"/>
      <c r="S34" s="3"/>
      <c r="T34" s="3"/>
      <c r="U34" s="3"/>
      <c r="V34" s="3"/>
      <c r="W34" s="3"/>
      <c r="X34" s="3"/>
      <c r="Y34" s="3"/>
      <c r="Z34" s="3"/>
      <c r="AA34" s="3"/>
    </row>
    <row r="35" spans="1:27" x14ac:dyDescent="0.3">
      <c r="A35" s="4"/>
      <c r="B35" s="4"/>
      <c r="C35" s="66"/>
      <c r="D35" s="24"/>
      <c r="E35" s="24"/>
      <c r="F35" s="24"/>
      <c r="G35" s="24"/>
      <c r="H35" s="24"/>
      <c r="I35" s="24"/>
      <c r="J35" s="24"/>
      <c r="K35" s="24"/>
      <c r="L35" s="24"/>
      <c r="M35" s="24"/>
      <c r="N35" s="24"/>
      <c r="O35" s="24"/>
      <c r="P35" s="4"/>
      <c r="Q35" s="4"/>
      <c r="R35" s="4"/>
      <c r="S35" s="4"/>
      <c r="T35" s="4"/>
      <c r="U35" s="4"/>
      <c r="V35" s="4"/>
      <c r="W35" s="4"/>
      <c r="X35" s="4"/>
      <c r="Y35" s="4"/>
      <c r="Z35" s="4"/>
      <c r="AA35" s="4"/>
    </row>
    <row r="36" spans="1:27" x14ac:dyDescent="0.3">
      <c r="A36" s="3"/>
      <c r="B36" s="3"/>
      <c r="C36" s="35"/>
      <c r="D36" s="21"/>
      <c r="E36" s="21"/>
      <c r="F36" s="21"/>
      <c r="G36" s="21"/>
      <c r="H36" s="21"/>
      <c r="I36" s="21"/>
      <c r="J36" s="21"/>
      <c r="K36" s="21"/>
      <c r="L36" s="21"/>
      <c r="M36" s="21"/>
      <c r="N36" s="21"/>
      <c r="O36" s="21"/>
      <c r="P36" s="3"/>
      <c r="Q36" s="3"/>
      <c r="R36" s="3"/>
      <c r="S36" s="3"/>
      <c r="T36" s="3"/>
      <c r="U36" s="3"/>
      <c r="V36" s="3"/>
      <c r="W36" s="3"/>
      <c r="X36" s="3"/>
      <c r="Y36" s="3"/>
      <c r="Z36" s="3"/>
      <c r="AA36" s="3"/>
    </row>
    <row r="37" spans="1:27" x14ac:dyDescent="0.3">
      <c r="A37" s="4"/>
      <c r="B37" s="4"/>
      <c r="C37" s="66"/>
      <c r="D37" s="24"/>
      <c r="E37" s="24"/>
      <c r="F37" s="24"/>
      <c r="G37" s="24"/>
      <c r="H37" s="24"/>
      <c r="I37" s="24"/>
      <c r="J37" s="24"/>
      <c r="K37" s="24"/>
      <c r="L37" s="24"/>
      <c r="M37" s="24"/>
      <c r="N37" s="24"/>
      <c r="O37" s="24"/>
      <c r="P37" s="4"/>
      <c r="Q37" s="4"/>
      <c r="R37" s="4"/>
      <c r="S37" s="4"/>
      <c r="T37" s="4"/>
      <c r="U37" s="4"/>
      <c r="V37" s="4"/>
      <c r="W37" s="4"/>
      <c r="X37" s="4"/>
      <c r="Y37" s="4"/>
      <c r="Z37" s="4"/>
      <c r="AA37" s="4"/>
    </row>
    <row r="38" spans="1:27" x14ac:dyDescent="0.3">
      <c r="A38" s="3" t="s">
        <v>746</v>
      </c>
      <c r="B38" s="37" t="s">
        <v>3</v>
      </c>
      <c r="C38" s="35" t="s">
        <v>1574</v>
      </c>
      <c r="D38" s="91">
        <v>2</v>
      </c>
      <c r="E38" s="91">
        <v>2</v>
      </c>
      <c r="F38" s="91">
        <v>2</v>
      </c>
      <c r="G38" s="91">
        <v>2</v>
      </c>
      <c r="H38" s="91">
        <v>2</v>
      </c>
      <c r="I38" s="91">
        <v>2</v>
      </c>
      <c r="J38" s="91">
        <v>2</v>
      </c>
      <c r="K38" s="91">
        <v>2</v>
      </c>
      <c r="L38" s="91">
        <v>2</v>
      </c>
      <c r="M38" s="91">
        <v>2</v>
      </c>
      <c r="N38" s="91">
        <v>2</v>
      </c>
      <c r="O38" s="21"/>
      <c r="P38" s="37" t="s">
        <v>3</v>
      </c>
      <c r="Q38" s="12">
        <f t="shared" ref="Q38:AA38" si="18">Nozzle_Diameter*D38</f>
        <v>0.8</v>
      </c>
      <c r="R38" s="12">
        <f t="shared" si="18"/>
        <v>0.8</v>
      </c>
      <c r="S38" s="12">
        <f t="shared" si="18"/>
        <v>0.8</v>
      </c>
      <c r="T38" s="12">
        <f t="shared" si="18"/>
        <v>0.8</v>
      </c>
      <c r="U38" s="12">
        <f t="shared" si="18"/>
        <v>0.8</v>
      </c>
      <c r="V38" s="12">
        <f t="shared" si="18"/>
        <v>0.8</v>
      </c>
      <c r="W38" s="12">
        <f t="shared" si="18"/>
        <v>0.8</v>
      </c>
      <c r="X38" s="12">
        <f t="shared" si="18"/>
        <v>0.8</v>
      </c>
      <c r="Y38" s="12">
        <f t="shared" si="18"/>
        <v>0.8</v>
      </c>
      <c r="Z38" s="12">
        <f t="shared" si="18"/>
        <v>0.8</v>
      </c>
      <c r="AA38" s="12">
        <f t="shared" si="18"/>
        <v>0.8</v>
      </c>
    </row>
    <row r="39" spans="1:27" x14ac:dyDescent="0.3">
      <c r="A39" s="4"/>
      <c r="B39" s="38" t="s">
        <v>5</v>
      </c>
      <c r="C39" s="66">
        <v>4</v>
      </c>
      <c r="D39" s="90">
        <v>6</v>
      </c>
      <c r="E39" s="90">
        <v>4</v>
      </c>
      <c r="F39" s="90">
        <v>4</v>
      </c>
      <c r="G39" s="90">
        <v>4</v>
      </c>
      <c r="H39" s="90">
        <v>4</v>
      </c>
      <c r="I39" s="90">
        <v>4</v>
      </c>
      <c r="J39" s="90">
        <v>4</v>
      </c>
      <c r="K39" s="90">
        <v>4</v>
      </c>
      <c r="L39" s="90">
        <v>4</v>
      </c>
      <c r="M39" s="90">
        <v>4</v>
      </c>
      <c r="N39" s="90">
        <v>4</v>
      </c>
      <c r="O39" s="24"/>
      <c r="P39" s="38" t="s">
        <v>5</v>
      </c>
      <c r="Q39" s="13">
        <f>D39*Q2</f>
        <v>0.72</v>
      </c>
      <c r="R39" s="13">
        <f t="shared" ref="R39:AA39" si="19">E39*R2</f>
        <v>0.8</v>
      </c>
      <c r="S39" s="13">
        <f t="shared" si="19"/>
        <v>0.96</v>
      </c>
      <c r="T39" s="13">
        <f t="shared" si="19"/>
        <v>1.1200000000000001</v>
      </c>
      <c r="U39" s="13">
        <f t="shared" si="19"/>
        <v>1.28</v>
      </c>
      <c r="V39" s="13">
        <f t="shared" si="19"/>
        <v>1.6</v>
      </c>
      <c r="W39" s="13">
        <f t="shared" si="19"/>
        <v>1.92</v>
      </c>
      <c r="X39" s="13">
        <f t="shared" si="19"/>
        <v>2.2400000000000002</v>
      </c>
      <c r="Y39" s="13">
        <f t="shared" si="19"/>
        <v>2.56</v>
      </c>
      <c r="Z39" s="13">
        <f t="shared" si="19"/>
        <v>2.88</v>
      </c>
      <c r="AA39" s="13">
        <f t="shared" si="19"/>
        <v>3.2</v>
      </c>
    </row>
    <row r="40" spans="1:27" x14ac:dyDescent="0.3">
      <c r="A40" s="3"/>
      <c r="B40" s="37" t="s">
        <v>6</v>
      </c>
      <c r="C40" s="35" t="s">
        <v>1574</v>
      </c>
      <c r="D40" s="91">
        <v>5</v>
      </c>
      <c r="E40" s="91">
        <v>3</v>
      </c>
      <c r="F40" s="91">
        <v>3</v>
      </c>
      <c r="G40" s="91">
        <v>3</v>
      </c>
      <c r="H40" s="91">
        <v>3</v>
      </c>
      <c r="I40" s="91">
        <v>3</v>
      </c>
      <c r="J40" s="91">
        <v>3</v>
      </c>
      <c r="K40" s="91">
        <v>3</v>
      </c>
      <c r="L40" s="91">
        <v>3</v>
      </c>
      <c r="M40" s="91">
        <v>3</v>
      </c>
      <c r="N40" s="91">
        <v>3</v>
      </c>
      <c r="O40" s="21"/>
      <c r="P40" s="37" t="s">
        <v>6</v>
      </c>
      <c r="Q40" s="12">
        <f>D40*Q2</f>
        <v>0.6</v>
      </c>
      <c r="R40" s="12">
        <f t="shared" ref="R40:AA40" si="20">E40*R2</f>
        <v>0.60000000000000009</v>
      </c>
      <c r="S40" s="12">
        <f t="shared" si="20"/>
        <v>0.72</v>
      </c>
      <c r="T40" s="12">
        <f t="shared" si="20"/>
        <v>0.84000000000000008</v>
      </c>
      <c r="U40" s="12">
        <f t="shared" si="20"/>
        <v>0.96</v>
      </c>
      <c r="V40" s="12">
        <f t="shared" si="20"/>
        <v>1.2000000000000002</v>
      </c>
      <c r="W40" s="12">
        <f t="shared" si="20"/>
        <v>1.44</v>
      </c>
      <c r="X40" s="12">
        <f t="shared" si="20"/>
        <v>1.6800000000000002</v>
      </c>
      <c r="Y40" s="12">
        <f t="shared" si="20"/>
        <v>1.92</v>
      </c>
      <c r="Z40" s="12">
        <f t="shared" si="20"/>
        <v>2.16</v>
      </c>
      <c r="AA40" s="12">
        <f t="shared" si="20"/>
        <v>2.4000000000000004</v>
      </c>
    </row>
    <row r="41" spans="1:27" x14ac:dyDescent="0.3">
      <c r="A41" s="4"/>
      <c r="B41" s="38"/>
      <c r="C41" s="52"/>
      <c r="D41" s="11"/>
      <c r="E41" s="11"/>
      <c r="F41" s="11"/>
      <c r="G41" s="11"/>
      <c r="H41" s="11"/>
      <c r="I41" s="11"/>
      <c r="J41" s="11"/>
      <c r="K41" s="11"/>
      <c r="L41" s="11"/>
      <c r="M41" s="11"/>
      <c r="N41" s="11"/>
      <c r="O41" s="4"/>
      <c r="P41" s="38" t="s">
        <v>779</v>
      </c>
      <c r="Q41" s="13">
        <f t="shared" ref="Q41:AA41" si="21">Nozzle_Diameter*D38</f>
        <v>0.8</v>
      </c>
      <c r="R41" s="13">
        <f t="shared" si="21"/>
        <v>0.8</v>
      </c>
      <c r="S41" s="13">
        <f t="shared" si="21"/>
        <v>0.8</v>
      </c>
      <c r="T41" s="13">
        <f t="shared" si="21"/>
        <v>0.8</v>
      </c>
      <c r="U41" s="13">
        <f t="shared" si="21"/>
        <v>0.8</v>
      </c>
      <c r="V41" s="13">
        <f t="shared" si="21"/>
        <v>0.8</v>
      </c>
      <c r="W41" s="13">
        <f t="shared" si="21"/>
        <v>0.8</v>
      </c>
      <c r="X41" s="13">
        <f t="shared" si="21"/>
        <v>0.8</v>
      </c>
      <c r="Y41" s="13">
        <f t="shared" si="21"/>
        <v>0.8</v>
      </c>
      <c r="Z41" s="13">
        <f t="shared" si="21"/>
        <v>0.8</v>
      </c>
      <c r="AA41" s="13">
        <f t="shared" si="21"/>
        <v>0.8</v>
      </c>
    </row>
    <row r="42" spans="1:27" x14ac:dyDescent="0.3">
      <c r="A42" s="3"/>
      <c r="B42" s="37"/>
      <c r="C42" s="41"/>
      <c r="D42" s="3"/>
      <c r="E42" s="3"/>
      <c r="F42" s="3"/>
      <c r="G42" s="3"/>
      <c r="H42" s="3"/>
      <c r="I42" s="3"/>
      <c r="J42" s="3"/>
      <c r="K42" s="3"/>
      <c r="L42" s="3"/>
      <c r="M42" s="3"/>
      <c r="N42" s="3"/>
      <c r="O42" s="3"/>
      <c r="P42" s="37" t="s">
        <v>781</v>
      </c>
      <c r="Q42" s="12">
        <f>D39*Q2</f>
        <v>0.72</v>
      </c>
      <c r="R42" s="12">
        <f t="shared" ref="R42:AA42" si="22">E39*R2</f>
        <v>0.8</v>
      </c>
      <c r="S42" s="12">
        <f t="shared" si="22"/>
        <v>0.96</v>
      </c>
      <c r="T42" s="12">
        <f t="shared" si="22"/>
        <v>1.1200000000000001</v>
      </c>
      <c r="U42" s="12">
        <f t="shared" si="22"/>
        <v>1.28</v>
      </c>
      <c r="V42" s="12">
        <f t="shared" si="22"/>
        <v>1.6</v>
      </c>
      <c r="W42" s="12">
        <f t="shared" si="22"/>
        <v>1.92</v>
      </c>
      <c r="X42" s="12">
        <f t="shared" si="22"/>
        <v>2.2400000000000002</v>
      </c>
      <c r="Y42" s="12">
        <f t="shared" si="22"/>
        <v>2.56</v>
      </c>
      <c r="Z42" s="12">
        <f t="shared" si="22"/>
        <v>2.88</v>
      </c>
      <c r="AA42" s="12">
        <f t="shared" si="22"/>
        <v>3.2</v>
      </c>
    </row>
    <row r="43" spans="1:27" x14ac:dyDescent="0.3">
      <c r="A43" s="4"/>
      <c r="B43" s="38"/>
      <c r="C43" s="52"/>
      <c r="D43" s="4"/>
      <c r="E43" s="4"/>
      <c r="F43" s="4"/>
      <c r="G43" s="4"/>
      <c r="H43" s="4"/>
      <c r="I43" s="4"/>
      <c r="J43" s="4"/>
      <c r="K43" s="4"/>
      <c r="L43" s="4"/>
      <c r="M43" s="4"/>
      <c r="N43" s="4"/>
      <c r="O43" s="4"/>
      <c r="P43" s="38" t="s">
        <v>6</v>
      </c>
      <c r="Q43" s="13">
        <f>D40*Q2</f>
        <v>0.6</v>
      </c>
      <c r="R43" s="13">
        <f t="shared" ref="R43:AA43" si="23">E40*R2</f>
        <v>0.60000000000000009</v>
      </c>
      <c r="S43" s="13">
        <f t="shared" si="23"/>
        <v>0.72</v>
      </c>
      <c r="T43" s="13">
        <f t="shared" si="23"/>
        <v>0.84000000000000008</v>
      </c>
      <c r="U43" s="13">
        <f t="shared" si="23"/>
        <v>0.96</v>
      </c>
      <c r="V43" s="13">
        <f t="shared" si="23"/>
        <v>1.2000000000000002</v>
      </c>
      <c r="W43" s="13">
        <f t="shared" si="23"/>
        <v>1.44</v>
      </c>
      <c r="X43" s="13">
        <f t="shared" si="23"/>
        <v>1.6800000000000002</v>
      </c>
      <c r="Y43" s="13">
        <f t="shared" si="23"/>
        <v>1.92</v>
      </c>
      <c r="Z43" s="13">
        <f t="shared" si="23"/>
        <v>2.16</v>
      </c>
      <c r="AA43" s="13">
        <f t="shared" si="23"/>
        <v>2.4000000000000004</v>
      </c>
    </row>
    <row r="44" spans="1:27" x14ac:dyDescent="0.3">
      <c r="A44" s="3"/>
      <c r="B44" s="3"/>
      <c r="C44" s="41"/>
      <c r="D44" s="3"/>
      <c r="E44" s="3"/>
      <c r="F44" s="3"/>
      <c r="G44" s="3"/>
      <c r="H44" s="3"/>
      <c r="I44" s="3"/>
      <c r="J44" s="3"/>
      <c r="K44" s="3"/>
      <c r="L44" s="3"/>
      <c r="M44" s="3"/>
      <c r="N44" s="3"/>
      <c r="O44" s="3"/>
      <c r="P44" s="3"/>
      <c r="Q44" s="3"/>
      <c r="R44" s="3"/>
      <c r="S44" s="3"/>
      <c r="T44" s="3"/>
      <c r="U44" s="3"/>
      <c r="V44" s="3"/>
      <c r="W44" s="3"/>
      <c r="X44" s="3"/>
      <c r="Y44" s="3"/>
      <c r="Z44" s="3"/>
      <c r="AA44" s="3"/>
    </row>
    <row r="45" spans="1:27" x14ac:dyDescent="0.3">
      <c r="A45" s="4"/>
      <c r="B45" s="4"/>
      <c r="C45" s="52"/>
      <c r="D45" s="4"/>
      <c r="E45" s="4"/>
      <c r="F45" s="4"/>
      <c r="G45" s="4"/>
      <c r="H45" s="4"/>
      <c r="I45" s="4"/>
      <c r="J45" s="4"/>
      <c r="K45" s="4"/>
      <c r="L45" s="4"/>
      <c r="M45" s="4"/>
      <c r="N45" s="4"/>
      <c r="O45" s="4"/>
      <c r="P45" s="4"/>
      <c r="Q45" s="4"/>
      <c r="R45" s="4"/>
      <c r="S45" s="4"/>
      <c r="T45" s="4"/>
      <c r="U45" s="4"/>
      <c r="V45" s="4"/>
      <c r="W45" s="4"/>
      <c r="X45" s="4"/>
      <c r="Y45" s="4"/>
      <c r="Z45" s="4"/>
      <c r="AA45" s="4"/>
    </row>
    <row r="46" spans="1:27" x14ac:dyDescent="0.3">
      <c r="A46" s="3"/>
      <c r="B46" s="3"/>
      <c r="C46" s="41"/>
      <c r="D46" s="3"/>
      <c r="E46" s="3"/>
      <c r="F46" s="3"/>
      <c r="G46" s="3"/>
      <c r="H46" s="3"/>
      <c r="I46" s="3"/>
      <c r="J46" s="3"/>
      <c r="K46" s="3"/>
      <c r="L46" s="3"/>
      <c r="M46" s="3"/>
      <c r="N46" s="3"/>
      <c r="O46" s="3"/>
      <c r="P46" s="3"/>
      <c r="Q46" s="3"/>
      <c r="R46" s="3"/>
      <c r="S46" s="3"/>
      <c r="T46" s="3"/>
      <c r="U46" s="3"/>
      <c r="V46" s="3"/>
      <c r="W46" s="3"/>
      <c r="X46" s="3"/>
      <c r="Y46" s="3"/>
      <c r="Z46" s="3"/>
      <c r="AA46" s="3"/>
    </row>
    <row r="47" spans="1:27" x14ac:dyDescent="0.3">
      <c r="A47" s="4"/>
      <c r="B47" s="4"/>
      <c r="C47" s="52"/>
      <c r="D47" s="4"/>
      <c r="E47" s="4"/>
      <c r="F47" s="4"/>
      <c r="G47" s="4"/>
      <c r="H47" s="4"/>
      <c r="I47" s="4"/>
      <c r="J47" s="4"/>
      <c r="K47" s="4"/>
      <c r="L47" s="4"/>
      <c r="M47" s="4"/>
      <c r="N47" s="4"/>
      <c r="O47" s="4"/>
      <c r="P47" s="4"/>
      <c r="Q47" s="4"/>
      <c r="R47" s="4"/>
      <c r="S47" s="4"/>
      <c r="T47" s="4"/>
      <c r="U47" s="4"/>
      <c r="V47" s="4"/>
      <c r="W47" s="4"/>
      <c r="X47" s="4"/>
      <c r="Y47" s="4"/>
      <c r="Z47" s="4"/>
      <c r="AA47" s="4"/>
    </row>
    <row r="48" spans="1:27" x14ac:dyDescent="0.3">
      <c r="A48" s="3"/>
      <c r="B48" s="3"/>
      <c r="C48" s="41"/>
      <c r="D48" s="3"/>
      <c r="E48" s="3"/>
      <c r="F48" s="3"/>
      <c r="G48" s="3"/>
      <c r="H48" s="3"/>
      <c r="I48" s="3"/>
      <c r="J48" s="3"/>
      <c r="K48" s="3"/>
      <c r="L48" s="3"/>
      <c r="M48" s="3"/>
      <c r="N48" s="3"/>
      <c r="O48" s="3"/>
      <c r="P48" s="3"/>
      <c r="Q48" s="3"/>
      <c r="R48" s="3"/>
      <c r="S48" s="3"/>
      <c r="T48" s="3"/>
      <c r="U48" s="3"/>
      <c r="V48" s="3"/>
      <c r="W48" s="3"/>
      <c r="X48" s="3"/>
      <c r="Y48" s="3"/>
      <c r="Z48" s="3"/>
      <c r="AA48" s="3"/>
    </row>
    <row r="49" spans="1:27" x14ac:dyDescent="0.3">
      <c r="A49" s="4"/>
      <c r="B49" s="4"/>
      <c r="C49" s="52"/>
      <c r="D49" s="4"/>
      <c r="E49" s="4"/>
      <c r="F49" s="4"/>
      <c r="G49" s="4"/>
      <c r="H49" s="4"/>
      <c r="I49" s="4"/>
      <c r="J49" s="4"/>
      <c r="K49" s="4"/>
      <c r="L49" s="4"/>
      <c r="M49" s="4"/>
      <c r="N49" s="4"/>
      <c r="O49" s="4"/>
      <c r="P49" s="4"/>
      <c r="Q49" s="4"/>
      <c r="R49" s="4"/>
      <c r="S49" s="4"/>
      <c r="T49" s="4"/>
      <c r="U49" s="4"/>
      <c r="V49" s="4"/>
      <c r="W49" s="4"/>
      <c r="X49" s="4"/>
      <c r="Y49" s="4"/>
      <c r="Z49" s="4"/>
      <c r="AA49" s="4"/>
    </row>
    <row r="50" spans="1:27" x14ac:dyDescent="0.3">
      <c r="A50" s="3" t="s">
        <v>1573</v>
      </c>
      <c r="B50" s="3"/>
      <c r="C50" s="41"/>
      <c r="D50" s="3"/>
      <c r="E50" s="3"/>
      <c r="F50" s="3"/>
      <c r="G50" s="3"/>
      <c r="H50" s="3"/>
      <c r="I50" s="3"/>
      <c r="J50" s="3"/>
      <c r="K50" s="3"/>
      <c r="L50" s="3"/>
      <c r="M50" s="3"/>
      <c r="N50" s="3"/>
      <c r="O50" s="3"/>
      <c r="P50" s="3"/>
      <c r="Q50" s="3"/>
      <c r="R50" s="3"/>
      <c r="S50" s="3"/>
      <c r="T50" s="3"/>
      <c r="U50" s="3"/>
      <c r="V50" s="3"/>
      <c r="W50" s="3"/>
      <c r="X50" s="3"/>
      <c r="Y50" s="3"/>
      <c r="Z50" s="3"/>
      <c r="AA50" s="3"/>
    </row>
  </sheetData>
  <mergeCells count="2">
    <mergeCell ref="B1:N1"/>
    <mergeCell ref="P1:AA1"/>
  </mergeCells>
  <pageMargins left="0.7" right="0.7" top="0.75" bottom="0.75" header="0.3" footer="0.3"/>
  <ignoredErrors>
    <ignoredError sqref="C15 C16 C3:C5 C26 C38 C40 C28" numberStoredAsText="1"/>
  </ignoredError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DF054-D0FF-4CB9-8BFC-B2D2E95FDCB6}">
  <sheetPr codeName="Sheet8"/>
  <dimension ref="A1:S99"/>
  <sheetViews>
    <sheetView topLeftCell="A4" workbookViewId="0">
      <pane xSplit="1" topLeftCell="B1" activePane="topRight" state="frozen"/>
      <selection activeCell="J25" sqref="J25"/>
      <selection pane="topRight" activeCell="G21" sqref="G21"/>
    </sheetView>
  </sheetViews>
  <sheetFormatPr defaultRowHeight="14.4" x14ac:dyDescent="0.3"/>
  <cols>
    <col min="1" max="1" width="12.44140625" style="40" customWidth="1"/>
    <col min="2" max="2" width="11" customWidth="1"/>
    <col min="3" max="3" width="14.88671875" customWidth="1"/>
    <col min="4" max="4" width="12.6640625" customWidth="1"/>
    <col min="5" max="5" width="9.6640625" customWidth="1"/>
    <col min="6" max="6" width="13.33203125" customWidth="1"/>
    <col min="7" max="7" width="18.109375" customWidth="1"/>
    <col min="10" max="10" width="18" customWidth="1"/>
    <col min="12" max="12" width="16.6640625" customWidth="1"/>
    <col min="13" max="13" width="17.6640625" customWidth="1"/>
    <col min="14" max="14" width="22.44140625" customWidth="1"/>
    <col min="15" max="15" width="11.109375" style="40" customWidth="1"/>
    <col min="16" max="16" width="14" customWidth="1"/>
    <col min="17" max="17" width="29.33203125" bestFit="1" customWidth="1"/>
    <col min="18" max="18" width="18.44140625" bestFit="1" customWidth="1"/>
    <col min="19" max="19" width="133.6640625" customWidth="1"/>
    <col min="20" max="20" width="10.5546875" customWidth="1"/>
    <col min="28" max="28" width="10.44140625" customWidth="1"/>
    <col min="30" max="30" width="12.6640625" customWidth="1"/>
    <col min="31" max="31" width="13.33203125" customWidth="1"/>
    <col min="33" max="33" width="12.44140625" customWidth="1"/>
    <col min="34" max="34" width="13.44140625" customWidth="1"/>
    <col min="39" max="39" width="14.6640625" customWidth="1"/>
    <col min="40" max="40" width="10.6640625" customWidth="1"/>
    <col min="41" max="41" width="12.5546875" customWidth="1"/>
    <col min="42" max="42" width="11.44140625" customWidth="1"/>
    <col min="43" max="43" width="10.109375" customWidth="1"/>
    <col min="44" max="44" width="116.6640625" customWidth="1"/>
  </cols>
  <sheetData>
    <row r="1" spans="1:12" x14ac:dyDescent="0.3">
      <c r="A1" s="138" t="s">
        <v>333</v>
      </c>
      <c r="B1" s="137"/>
      <c r="C1" s="137"/>
      <c r="D1" s="137"/>
      <c r="E1" s="137"/>
      <c r="F1" s="137"/>
      <c r="G1" s="137"/>
      <c r="H1" s="137"/>
      <c r="I1" s="137"/>
      <c r="J1" s="137"/>
      <c r="K1" s="137"/>
      <c r="L1" s="137"/>
    </row>
    <row r="2" spans="1:12" ht="28.8" x14ac:dyDescent="0.3">
      <c r="A2" s="77" t="s">
        <v>313</v>
      </c>
      <c r="B2" s="76" t="s">
        <v>338</v>
      </c>
      <c r="C2" s="76" t="s">
        <v>337</v>
      </c>
      <c r="D2" s="76" t="s">
        <v>336</v>
      </c>
      <c r="E2" s="76" t="s">
        <v>335</v>
      </c>
      <c r="F2" s="76" t="s">
        <v>334</v>
      </c>
      <c r="G2" s="9" t="s">
        <v>1592</v>
      </c>
      <c r="H2" s="9" t="s">
        <v>1593</v>
      </c>
      <c r="I2" s="9"/>
      <c r="J2" s="9"/>
      <c r="K2" s="9"/>
      <c r="L2" s="9"/>
    </row>
    <row r="3" spans="1:12" x14ac:dyDescent="0.3">
      <c r="A3" s="37" t="str">
        <f>IF(ISBLANK(spec_filament!A60),"",spec_filament!A60)</f>
        <v>PLA</v>
      </c>
      <c r="B3" s="12">
        <v>13</v>
      </c>
      <c r="C3" s="12">
        <v>13</v>
      </c>
      <c r="D3" s="12">
        <v>22</v>
      </c>
      <c r="E3" s="12">
        <v>35</v>
      </c>
      <c r="F3" s="12">
        <f>IF(ISBLANK(C3),"",C3)</f>
        <v>13</v>
      </c>
      <c r="G3" s="3">
        <v>20</v>
      </c>
      <c r="H3" s="3">
        <v>30</v>
      </c>
      <c r="I3" s="3"/>
      <c r="J3" s="3"/>
      <c r="K3" s="3"/>
      <c r="L3" s="3"/>
    </row>
    <row r="4" spans="1:12" x14ac:dyDescent="0.3">
      <c r="A4" s="38" t="str">
        <f>IF(ISBLANK(spec_filament!A61),"",spec_filament!A61)</f>
        <v>PETG</v>
      </c>
      <c r="B4" s="13">
        <v>8</v>
      </c>
      <c r="C4" s="13">
        <v>8</v>
      </c>
      <c r="D4" s="13">
        <f t="shared" ref="D4:D12" si="0">($C4/$C$3) * $D$3</f>
        <v>13.53846153846154</v>
      </c>
      <c r="E4" s="13">
        <f t="shared" ref="E4:E12" si="1">($C4/$C$3) * $E$3</f>
        <v>21.53846153846154</v>
      </c>
      <c r="F4" s="13">
        <f t="shared" ref="F4:F17" si="2">IF(ISBLANK(C4),"",C4)</f>
        <v>8</v>
      </c>
      <c r="G4" s="4">
        <v>18</v>
      </c>
      <c r="H4" s="4">
        <v>28</v>
      </c>
      <c r="I4" s="4"/>
      <c r="J4" s="4"/>
      <c r="K4" s="4"/>
      <c r="L4" s="4"/>
    </row>
    <row r="5" spans="1:12" x14ac:dyDescent="0.3">
      <c r="A5" s="37" t="str">
        <f>IF(ISBLANK(spec_filament!A62),"",spec_filament!A62)</f>
        <v>ABS</v>
      </c>
      <c r="B5" s="12">
        <v>11</v>
      </c>
      <c r="C5" s="12">
        <v>11</v>
      </c>
      <c r="D5" s="12">
        <f t="shared" si="0"/>
        <v>18.615384615384617</v>
      </c>
      <c r="E5" s="12">
        <f t="shared" si="1"/>
        <v>29.615384615384617</v>
      </c>
      <c r="F5" s="12">
        <f t="shared" si="2"/>
        <v>11</v>
      </c>
      <c r="G5" s="3">
        <v>18</v>
      </c>
      <c r="H5" s="3">
        <v>28</v>
      </c>
      <c r="I5" s="3"/>
      <c r="J5" s="3"/>
      <c r="K5" s="3"/>
      <c r="L5" s="3"/>
    </row>
    <row r="6" spans="1:12" x14ac:dyDescent="0.3">
      <c r="A6" s="38" t="str">
        <f>IF(ISBLANK(spec_filament!A63),"",spec_filament!A63)</f>
        <v>Nylon</v>
      </c>
      <c r="B6" s="13">
        <v>10</v>
      </c>
      <c r="C6" s="13">
        <v>10</v>
      </c>
      <c r="D6" s="13">
        <f t="shared" si="0"/>
        <v>16.923076923076923</v>
      </c>
      <c r="E6" s="13">
        <f t="shared" si="1"/>
        <v>26.923076923076923</v>
      </c>
      <c r="F6" s="13">
        <f t="shared" si="2"/>
        <v>10</v>
      </c>
      <c r="G6" s="4">
        <v>16</v>
      </c>
      <c r="H6" s="4">
        <v>26</v>
      </c>
      <c r="I6" s="4"/>
      <c r="J6" s="4"/>
      <c r="K6" s="4"/>
      <c r="L6" s="4"/>
    </row>
    <row r="7" spans="1:12" x14ac:dyDescent="0.3">
      <c r="A7" s="37" t="str">
        <f>IF(ISBLANK(spec_filament!A64),"",spec_filament!A64)</f>
        <v>TPU</v>
      </c>
      <c r="B7" s="12">
        <v>1.35</v>
      </c>
      <c r="C7" s="12">
        <v>1.35</v>
      </c>
      <c r="D7" s="12">
        <f t="shared" si="0"/>
        <v>2.2846153846153849</v>
      </c>
      <c r="E7" s="12">
        <f t="shared" si="1"/>
        <v>3.634615384615385</v>
      </c>
      <c r="F7" s="12">
        <f t="shared" si="2"/>
        <v>1.35</v>
      </c>
      <c r="G7" s="3">
        <v>2</v>
      </c>
      <c r="H7" s="3">
        <v>4</v>
      </c>
      <c r="I7" s="3"/>
      <c r="J7" s="3"/>
      <c r="K7" s="3"/>
      <c r="L7" s="3"/>
    </row>
    <row r="8" spans="1:12" x14ac:dyDescent="0.3">
      <c r="A8" s="38" t="str">
        <f>IF(ISBLANK(spec_filament!A65),"",spec_filament!A65)</f>
        <v>HIPS</v>
      </c>
      <c r="B8" s="13">
        <v>11</v>
      </c>
      <c r="C8" s="13">
        <v>11</v>
      </c>
      <c r="D8" s="13">
        <f t="shared" si="0"/>
        <v>18.615384615384617</v>
      </c>
      <c r="E8" s="13">
        <f t="shared" si="1"/>
        <v>29.615384615384617</v>
      </c>
      <c r="F8" s="13">
        <f t="shared" si="2"/>
        <v>11</v>
      </c>
      <c r="G8" s="4">
        <v>18</v>
      </c>
      <c r="H8" s="4">
        <v>28</v>
      </c>
      <c r="I8" s="4"/>
      <c r="J8" s="4"/>
      <c r="K8" s="4"/>
      <c r="L8" s="4"/>
    </row>
    <row r="9" spans="1:12" x14ac:dyDescent="0.3">
      <c r="A9" s="37" t="str">
        <f>IF(ISBLANK(spec_filament!A66),"",spec_filament!A66)</f>
        <v>ASA</v>
      </c>
      <c r="B9" s="12">
        <v>11</v>
      </c>
      <c r="C9" s="12">
        <v>11</v>
      </c>
      <c r="D9" s="12">
        <f t="shared" si="0"/>
        <v>18.615384615384617</v>
      </c>
      <c r="E9" s="12">
        <f t="shared" si="1"/>
        <v>29.615384615384617</v>
      </c>
      <c r="F9" s="12">
        <f t="shared" si="2"/>
        <v>11</v>
      </c>
      <c r="G9" s="3">
        <v>18</v>
      </c>
      <c r="H9" s="3">
        <v>28</v>
      </c>
      <c r="I9" s="3"/>
      <c r="J9" s="3"/>
      <c r="K9" s="3"/>
      <c r="L9" s="3"/>
    </row>
    <row r="10" spans="1:12" x14ac:dyDescent="0.3">
      <c r="A10" s="38" t="str">
        <f>IF(ISBLANK(spec_filament!A67),"",spec_filament!A67)</f>
        <v>PC</v>
      </c>
      <c r="B10" s="13">
        <v>8</v>
      </c>
      <c r="C10" s="13">
        <v>8</v>
      </c>
      <c r="D10" s="13">
        <f t="shared" si="0"/>
        <v>13.53846153846154</v>
      </c>
      <c r="E10" s="13">
        <f t="shared" si="1"/>
        <v>21.53846153846154</v>
      </c>
      <c r="F10" s="13">
        <f t="shared" si="2"/>
        <v>8</v>
      </c>
      <c r="G10" s="4">
        <v>16</v>
      </c>
      <c r="H10" s="4">
        <v>26</v>
      </c>
      <c r="I10" s="4"/>
      <c r="J10" s="4"/>
      <c r="K10" s="4"/>
      <c r="L10" s="4"/>
    </row>
    <row r="11" spans="1:12" x14ac:dyDescent="0.3">
      <c r="A11" s="37" t="str">
        <f>IF(ISBLANK(spec_filament!A68),"",spec_filament!A68)</f>
        <v>ULTEM</v>
      </c>
      <c r="B11" s="12">
        <v>8</v>
      </c>
      <c r="C11" s="12">
        <v>8</v>
      </c>
      <c r="D11" s="12">
        <f t="shared" si="0"/>
        <v>13.53846153846154</v>
      </c>
      <c r="E11" s="12">
        <f t="shared" si="1"/>
        <v>21.53846153846154</v>
      </c>
      <c r="F11" s="12">
        <f t="shared" si="2"/>
        <v>8</v>
      </c>
      <c r="G11" s="3">
        <v>16</v>
      </c>
      <c r="H11" s="3">
        <v>26</v>
      </c>
      <c r="I11" s="3"/>
      <c r="J11" s="3"/>
      <c r="K11" s="3"/>
      <c r="L11" s="3"/>
    </row>
    <row r="12" spans="1:12" x14ac:dyDescent="0.3">
      <c r="A12" s="38" t="str">
        <f>IF(ISBLANK(spec_filament!A69),"",spec_filament!A69)</f>
        <v>PP</v>
      </c>
      <c r="B12" s="13">
        <v>5</v>
      </c>
      <c r="C12" s="13">
        <v>5</v>
      </c>
      <c r="D12" s="13">
        <f t="shared" si="0"/>
        <v>8.4615384615384617</v>
      </c>
      <c r="E12" s="13">
        <f t="shared" si="1"/>
        <v>13.461538461538462</v>
      </c>
      <c r="F12" s="13">
        <f t="shared" si="2"/>
        <v>5</v>
      </c>
      <c r="G12" s="4">
        <v>10</v>
      </c>
      <c r="H12" s="4">
        <v>22</v>
      </c>
      <c r="I12" s="4"/>
      <c r="J12" s="4"/>
      <c r="K12" s="4"/>
      <c r="L12" s="4"/>
    </row>
    <row r="13" spans="1:12" x14ac:dyDescent="0.3">
      <c r="A13" s="37" t="str">
        <f>IF(ISBLANK(spec_filament!A70),"",spec_filament!A70)</f>
        <v>TPE</v>
      </c>
      <c r="B13" s="3"/>
      <c r="C13" s="3"/>
      <c r="D13" s="3"/>
      <c r="E13" s="3"/>
      <c r="F13" s="12" t="str">
        <f t="shared" si="2"/>
        <v/>
      </c>
      <c r="G13" s="3"/>
      <c r="H13" s="3"/>
      <c r="I13" s="3"/>
      <c r="J13" s="3"/>
      <c r="K13" s="3"/>
      <c r="L13" s="3"/>
    </row>
    <row r="14" spans="1:12" x14ac:dyDescent="0.3">
      <c r="A14" s="38" t="str">
        <f>IF(ISBLANK(spec_filament!A71),"",spec_filament!A71)</f>
        <v>PEEK</v>
      </c>
      <c r="B14" s="4"/>
      <c r="C14" s="4"/>
      <c r="D14" s="4"/>
      <c r="E14" s="4"/>
      <c r="F14" s="13" t="str">
        <f t="shared" si="2"/>
        <v/>
      </c>
      <c r="G14" s="4"/>
      <c r="H14" s="4"/>
      <c r="I14" s="4"/>
      <c r="J14" s="4"/>
      <c r="K14" s="4"/>
      <c r="L14" s="4"/>
    </row>
    <row r="15" spans="1:12" x14ac:dyDescent="0.3">
      <c r="A15" s="37" t="str">
        <f>IF(ISBLANK(spec_filament!A72),"",spec_filament!A72)</f>
        <v/>
      </c>
      <c r="B15" s="3"/>
      <c r="C15" s="3"/>
      <c r="D15" s="3"/>
      <c r="E15" s="3"/>
      <c r="F15" s="12" t="str">
        <f t="shared" si="2"/>
        <v/>
      </c>
      <c r="G15" s="3"/>
      <c r="H15" s="3"/>
      <c r="I15" s="3"/>
      <c r="J15" s="3"/>
      <c r="K15" s="3"/>
      <c r="L15" s="3"/>
    </row>
    <row r="16" spans="1:12" x14ac:dyDescent="0.3">
      <c r="A16" s="38" t="str">
        <f>IF(ISBLANK(spec_filament!A73),"",spec_filament!A73)</f>
        <v>CPE</v>
      </c>
      <c r="B16" s="4"/>
      <c r="C16" s="4"/>
      <c r="D16" s="4"/>
      <c r="E16" s="4"/>
      <c r="F16" s="13" t="str">
        <f t="shared" si="2"/>
        <v/>
      </c>
      <c r="G16" s="4"/>
      <c r="H16" s="4"/>
      <c r="I16" s="4"/>
      <c r="J16" s="4"/>
      <c r="K16" s="4"/>
      <c r="L16" s="4"/>
    </row>
    <row r="17" spans="1:13" x14ac:dyDescent="0.3">
      <c r="A17" s="37" t="str">
        <f>IF(ISBLANK(spec_filament!A74),"",spec_filament!A74)</f>
        <v>PPSU</v>
      </c>
      <c r="B17" s="3"/>
      <c r="C17" s="3"/>
      <c r="D17" s="3"/>
      <c r="E17" s="3"/>
      <c r="F17" s="12" t="str">
        <f t="shared" si="2"/>
        <v/>
      </c>
      <c r="G17" s="3"/>
      <c r="H17" s="3"/>
      <c r="I17" s="3"/>
      <c r="J17" s="3"/>
      <c r="K17" s="3"/>
      <c r="L17" s="3"/>
    </row>
    <row r="23" spans="1:13" x14ac:dyDescent="0.3">
      <c r="A23" s="138" t="s">
        <v>314</v>
      </c>
      <c r="B23" s="137"/>
      <c r="C23" s="137"/>
      <c r="D23" s="137"/>
      <c r="E23" s="137"/>
      <c r="F23" s="137"/>
      <c r="G23" s="137"/>
      <c r="H23" s="137"/>
      <c r="I23" s="137"/>
      <c r="J23" s="137"/>
      <c r="K23" s="137"/>
      <c r="L23" s="137"/>
      <c r="M23" s="137"/>
    </row>
    <row r="24" spans="1:13" ht="43.2" x14ac:dyDescent="0.3">
      <c r="A24" s="42" t="s">
        <v>258</v>
      </c>
      <c r="B24" s="76" t="s">
        <v>294</v>
      </c>
      <c r="C24" s="9">
        <v>0.12</v>
      </c>
      <c r="D24" s="9">
        <v>0.2</v>
      </c>
      <c r="E24" s="9">
        <v>0.24</v>
      </c>
      <c r="F24" s="9">
        <v>0.28000000000000003</v>
      </c>
      <c r="G24" s="9">
        <v>0.32</v>
      </c>
      <c r="H24" s="9">
        <v>0.4</v>
      </c>
      <c r="I24" s="9">
        <v>0.48</v>
      </c>
      <c r="J24" s="9">
        <v>0.56000000000000005</v>
      </c>
      <c r="K24" s="9">
        <v>0.64</v>
      </c>
      <c r="L24" s="9">
        <v>0.72</v>
      </c>
      <c r="M24" s="9">
        <v>0.8</v>
      </c>
    </row>
    <row r="25" spans="1:13" x14ac:dyDescent="0.3">
      <c r="A25" s="37" t="str">
        <f>IF(ISBLANK(spec_filament!A60),"",spec_filament!A60)</f>
        <v>PLA</v>
      </c>
      <c r="B25" s="3" t="str">
        <f>Matchfill(INDEX($A$2:$L$17,MATCH($A25,$A$2:$A$17,0),MATCH(HotendType,$A$2:$L$2,0)),$B1)</f>
        <v>13</v>
      </c>
      <c r="C25" s="10">
        <f t="shared" ref="C25:M34" si="3">IF(LEN($B25) = 0,"",$B25/((Nozzle_Diameter*1.2)*C$24))</f>
        <v>225.69444444444446</v>
      </c>
      <c r="D25" s="10">
        <f t="shared" si="3"/>
        <v>135.41666666666666</v>
      </c>
      <c r="E25" s="10">
        <f t="shared" si="3"/>
        <v>112.84722222222223</v>
      </c>
      <c r="F25" s="10">
        <f t="shared" si="3"/>
        <v>96.726190476190467</v>
      </c>
      <c r="G25" s="10">
        <f t="shared" si="3"/>
        <v>84.635416666666671</v>
      </c>
      <c r="H25" s="10">
        <f t="shared" si="3"/>
        <v>67.708333333333329</v>
      </c>
      <c r="I25" s="10">
        <f t="shared" si="3"/>
        <v>56.423611111111114</v>
      </c>
      <c r="J25" s="10">
        <f t="shared" si="3"/>
        <v>48.363095238095234</v>
      </c>
      <c r="K25" s="10">
        <f t="shared" si="3"/>
        <v>42.317708333333336</v>
      </c>
      <c r="L25" s="10">
        <f t="shared" si="3"/>
        <v>37.615740740740748</v>
      </c>
      <c r="M25" s="10">
        <f t="shared" si="3"/>
        <v>33.854166666666664</v>
      </c>
    </row>
    <row r="26" spans="1:13" x14ac:dyDescent="0.3">
      <c r="A26" s="38" t="str">
        <f>IF(ISBLANK(spec_filament!A61),"",spec_filament!A61)</f>
        <v>PETG</v>
      </c>
      <c r="B26" s="4" t="str">
        <f>Matchfill(INDEX($A$2:$L$17,MATCH($A26,$A$2:$A$17,0),MATCH(HotendType,$A$2:$L$2,0)),$B2)</f>
        <v>8</v>
      </c>
      <c r="C26" s="11">
        <f t="shared" si="3"/>
        <v>138.88888888888889</v>
      </c>
      <c r="D26" s="11">
        <f t="shared" si="3"/>
        <v>83.333333333333329</v>
      </c>
      <c r="E26" s="11">
        <f t="shared" si="3"/>
        <v>69.444444444444443</v>
      </c>
      <c r="F26" s="11">
        <f t="shared" si="3"/>
        <v>59.523809523809518</v>
      </c>
      <c r="G26" s="11">
        <f t="shared" si="3"/>
        <v>52.083333333333336</v>
      </c>
      <c r="H26" s="11">
        <f t="shared" si="3"/>
        <v>41.666666666666664</v>
      </c>
      <c r="I26" s="11">
        <f t="shared" si="3"/>
        <v>34.722222222222221</v>
      </c>
      <c r="J26" s="11">
        <f t="shared" si="3"/>
        <v>29.761904761904759</v>
      </c>
      <c r="K26" s="11">
        <f t="shared" si="3"/>
        <v>26.041666666666668</v>
      </c>
      <c r="L26" s="11">
        <f t="shared" si="3"/>
        <v>23.148148148148152</v>
      </c>
      <c r="M26" s="11">
        <f t="shared" si="3"/>
        <v>20.833333333333332</v>
      </c>
    </row>
    <row r="27" spans="1:13" x14ac:dyDescent="0.3">
      <c r="A27" s="37" t="str">
        <f>IF(ISBLANK(spec_filament!A62),"",spec_filament!A62)</f>
        <v>ABS</v>
      </c>
      <c r="B27" s="3" t="str">
        <f>Matchfill(INDEX($A$2:$L$17,MATCH($A27,$A$2:$A$17,0),MATCH(HotendType,$A$2:$L$2,0)),$B3)</f>
        <v>11</v>
      </c>
      <c r="C27" s="10">
        <f t="shared" si="3"/>
        <v>190.97222222222223</v>
      </c>
      <c r="D27" s="10">
        <f t="shared" si="3"/>
        <v>114.58333333333333</v>
      </c>
      <c r="E27" s="10">
        <f t="shared" si="3"/>
        <v>95.486111111111114</v>
      </c>
      <c r="F27" s="10">
        <f t="shared" si="3"/>
        <v>81.845238095238088</v>
      </c>
      <c r="G27" s="10">
        <f t="shared" si="3"/>
        <v>71.614583333333343</v>
      </c>
      <c r="H27" s="10">
        <f t="shared" si="3"/>
        <v>57.291666666666664</v>
      </c>
      <c r="I27" s="10">
        <f t="shared" si="3"/>
        <v>47.743055555555557</v>
      </c>
      <c r="J27" s="10">
        <f t="shared" si="3"/>
        <v>40.922619047619044</v>
      </c>
      <c r="K27" s="10">
        <f t="shared" si="3"/>
        <v>35.807291666666671</v>
      </c>
      <c r="L27" s="10">
        <f t="shared" si="3"/>
        <v>31.828703703703706</v>
      </c>
      <c r="M27" s="10">
        <f t="shared" si="3"/>
        <v>28.645833333333332</v>
      </c>
    </row>
    <row r="28" spans="1:13" x14ac:dyDescent="0.3">
      <c r="A28" s="38" t="str">
        <f>IF(ISBLANK(spec_filament!A63),"",spec_filament!A63)</f>
        <v>Nylon</v>
      </c>
      <c r="B28" s="4" t="str">
        <f>Matchfill(INDEX($A$2:$L$17,MATCH($A28,$A$2:$A$17,0),MATCH(HotendType,$A$2:$L$2,0)),$B4)</f>
        <v>10</v>
      </c>
      <c r="C28" s="11">
        <f t="shared" si="3"/>
        <v>173.61111111111111</v>
      </c>
      <c r="D28" s="11">
        <f t="shared" si="3"/>
        <v>104.16666666666667</v>
      </c>
      <c r="E28" s="11">
        <f t="shared" si="3"/>
        <v>86.805555555555557</v>
      </c>
      <c r="F28" s="11">
        <f t="shared" si="3"/>
        <v>74.404761904761898</v>
      </c>
      <c r="G28" s="11">
        <f t="shared" si="3"/>
        <v>65.104166666666671</v>
      </c>
      <c r="H28" s="11">
        <f t="shared" si="3"/>
        <v>52.083333333333336</v>
      </c>
      <c r="I28" s="11">
        <f t="shared" si="3"/>
        <v>43.402777777777779</v>
      </c>
      <c r="J28" s="11">
        <f t="shared" si="3"/>
        <v>37.202380952380949</v>
      </c>
      <c r="K28" s="11">
        <f t="shared" si="3"/>
        <v>32.552083333333336</v>
      </c>
      <c r="L28" s="11">
        <f t="shared" si="3"/>
        <v>28.935185185185187</v>
      </c>
      <c r="M28" s="11">
        <f t="shared" si="3"/>
        <v>26.041666666666668</v>
      </c>
    </row>
    <row r="29" spans="1:13" x14ac:dyDescent="0.3">
      <c r="A29" s="37" t="str">
        <f>IF(ISBLANK(spec_filament!A64),"",spec_filament!A64)</f>
        <v>TPU</v>
      </c>
      <c r="B29" s="3" t="str">
        <f>Matchfill(INDEX($A$2:$L$17,MATCH($A29,$A$2:$A$17,0),MATCH(HotendType,$A$2:$L$2,0)),$B5)</f>
        <v>1.35</v>
      </c>
      <c r="C29" s="10">
        <f t="shared" si="3"/>
        <v>23.437500000000004</v>
      </c>
      <c r="D29" s="10">
        <f t="shared" si="3"/>
        <v>14.0625</v>
      </c>
      <c r="E29" s="10">
        <f t="shared" si="3"/>
        <v>11.718750000000002</v>
      </c>
      <c r="F29" s="10">
        <f t="shared" si="3"/>
        <v>10.044642857142856</v>
      </c>
      <c r="G29" s="10">
        <f t="shared" si="3"/>
        <v>8.7890625000000018</v>
      </c>
      <c r="H29" s="10">
        <f t="shared" si="3"/>
        <v>7.03125</v>
      </c>
      <c r="I29" s="10">
        <f t="shared" si="3"/>
        <v>5.8593750000000009</v>
      </c>
      <c r="J29" s="10">
        <f t="shared" si="3"/>
        <v>5.0223214285714279</v>
      </c>
      <c r="K29" s="10">
        <f t="shared" si="3"/>
        <v>4.3945312500000009</v>
      </c>
      <c r="L29" s="10">
        <f t="shared" si="3"/>
        <v>3.9062500000000009</v>
      </c>
      <c r="M29" s="10">
        <f t="shared" si="3"/>
        <v>3.515625</v>
      </c>
    </row>
    <row r="30" spans="1:13" x14ac:dyDescent="0.3">
      <c r="A30" s="38" t="str">
        <f>IF(ISBLANK(spec_filament!A65),"",spec_filament!A65)</f>
        <v>HIPS</v>
      </c>
      <c r="B30" s="4" t="str">
        <f>Matchfill(INDEX($A$2:$L$17,MATCH($A30,$A$2:$A$17,0),MATCH(HotendType,$A$2:$L$2,0)),$B6)</f>
        <v>11</v>
      </c>
      <c r="C30" s="11">
        <f t="shared" si="3"/>
        <v>190.97222222222223</v>
      </c>
      <c r="D30" s="11">
        <f t="shared" si="3"/>
        <v>114.58333333333333</v>
      </c>
      <c r="E30" s="11">
        <f t="shared" si="3"/>
        <v>95.486111111111114</v>
      </c>
      <c r="F30" s="11">
        <f t="shared" si="3"/>
        <v>81.845238095238088</v>
      </c>
      <c r="G30" s="11">
        <f t="shared" si="3"/>
        <v>71.614583333333343</v>
      </c>
      <c r="H30" s="11">
        <f t="shared" si="3"/>
        <v>57.291666666666664</v>
      </c>
      <c r="I30" s="11">
        <f t="shared" si="3"/>
        <v>47.743055555555557</v>
      </c>
      <c r="J30" s="11">
        <f t="shared" si="3"/>
        <v>40.922619047619044</v>
      </c>
      <c r="K30" s="11">
        <f t="shared" si="3"/>
        <v>35.807291666666671</v>
      </c>
      <c r="L30" s="11">
        <f t="shared" si="3"/>
        <v>31.828703703703706</v>
      </c>
      <c r="M30" s="11">
        <f t="shared" si="3"/>
        <v>28.645833333333332</v>
      </c>
    </row>
    <row r="31" spans="1:13" x14ac:dyDescent="0.3">
      <c r="A31" s="37" t="str">
        <f>IF(ISBLANK(spec_filament!A66),"",spec_filament!A66)</f>
        <v>ASA</v>
      </c>
      <c r="B31" s="3" t="str">
        <f>Matchfill(INDEX($A$2:$L$17,MATCH($A31,$A$2:$A$17,0),MATCH(HotendType,$A$2:$L$2,0)),$B7)</f>
        <v>11</v>
      </c>
      <c r="C31" s="10">
        <f t="shared" si="3"/>
        <v>190.97222222222223</v>
      </c>
      <c r="D31" s="10">
        <f t="shared" si="3"/>
        <v>114.58333333333333</v>
      </c>
      <c r="E31" s="10">
        <f t="shared" si="3"/>
        <v>95.486111111111114</v>
      </c>
      <c r="F31" s="10">
        <f t="shared" si="3"/>
        <v>81.845238095238088</v>
      </c>
      <c r="G31" s="10">
        <f t="shared" si="3"/>
        <v>71.614583333333343</v>
      </c>
      <c r="H31" s="10">
        <f t="shared" si="3"/>
        <v>57.291666666666664</v>
      </c>
      <c r="I31" s="10">
        <f t="shared" si="3"/>
        <v>47.743055555555557</v>
      </c>
      <c r="J31" s="10">
        <f t="shared" si="3"/>
        <v>40.922619047619044</v>
      </c>
      <c r="K31" s="10">
        <f t="shared" si="3"/>
        <v>35.807291666666671</v>
      </c>
      <c r="L31" s="10">
        <f t="shared" si="3"/>
        <v>31.828703703703706</v>
      </c>
      <c r="M31" s="10">
        <f t="shared" si="3"/>
        <v>28.645833333333332</v>
      </c>
    </row>
    <row r="32" spans="1:13" x14ac:dyDescent="0.3">
      <c r="A32" s="38" t="str">
        <f>IF(ISBLANK(spec_filament!A67),"",spec_filament!A67)</f>
        <v>PC</v>
      </c>
      <c r="B32" s="4" t="str">
        <f>Matchfill(INDEX($A$2:$L$17,MATCH($A32,$A$2:$A$17,0),MATCH(HotendType,$A$2:$L$2,0)),$B8)</f>
        <v>8</v>
      </c>
      <c r="C32" s="11">
        <f t="shared" si="3"/>
        <v>138.88888888888889</v>
      </c>
      <c r="D32" s="11">
        <f t="shared" si="3"/>
        <v>83.333333333333329</v>
      </c>
      <c r="E32" s="11">
        <f t="shared" si="3"/>
        <v>69.444444444444443</v>
      </c>
      <c r="F32" s="11">
        <f t="shared" si="3"/>
        <v>59.523809523809518</v>
      </c>
      <c r="G32" s="11">
        <f t="shared" si="3"/>
        <v>52.083333333333336</v>
      </c>
      <c r="H32" s="11">
        <f t="shared" si="3"/>
        <v>41.666666666666664</v>
      </c>
      <c r="I32" s="11">
        <f t="shared" si="3"/>
        <v>34.722222222222221</v>
      </c>
      <c r="J32" s="11">
        <f t="shared" si="3"/>
        <v>29.761904761904759</v>
      </c>
      <c r="K32" s="11">
        <f t="shared" si="3"/>
        <v>26.041666666666668</v>
      </c>
      <c r="L32" s="11">
        <f t="shared" si="3"/>
        <v>23.148148148148152</v>
      </c>
      <c r="M32" s="11">
        <f t="shared" si="3"/>
        <v>20.833333333333332</v>
      </c>
    </row>
    <row r="33" spans="1:17" x14ac:dyDescent="0.3">
      <c r="A33" s="37" t="str">
        <f>IF(ISBLANK(spec_filament!A68),"",spec_filament!A68)</f>
        <v>ULTEM</v>
      </c>
      <c r="B33" s="3" t="str">
        <f>Matchfill(INDEX($A$2:$L$17,MATCH($A33,$A$2:$A$17,0),MATCH(HotendType,$A$2:$L$2,0)),$B9)</f>
        <v>8</v>
      </c>
      <c r="C33" s="10">
        <f t="shared" si="3"/>
        <v>138.88888888888889</v>
      </c>
      <c r="D33" s="10">
        <f t="shared" si="3"/>
        <v>83.333333333333329</v>
      </c>
      <c r="E33" s="10">
        <f t="shared" si="3"/>
        <v>69.444444444444443</v>
      </c>
      <c r="F33" s="10">
        <f t="shared" si="3"/>
        <v>59.523809523809518</v>
      </c>
      <c r="G33" s="10">
        <f t="shared" si="3"/>
        <v>52.083333333333336</v>
      </c>
      <c r="H33" s="10">
        <f t="shared" si="3"/>
        <v>41.666666666666664</v>
      </c>
      <c r="I33" s="10">
        <f t="shared" si="3"/>
        <v>34.722222222222221</v>
      </c>
      <c r="J33" s="10">
        <f t="shared" si="3"/>
        <v>29.761904761904759</v>
      </c>
      <c r="K33" s="10">
        <f t="shared" si="3"/>
        <v>26.041666666666668</v>
      </c>
      <c r="L33" s="10">
        <f t="shared" si="3"/>
        <v>23.148148148148152</v>
      </c>
      <c r="M33" s="10">
        <f t="shared" si="3"/>
        <v>20.833333333333332</v>
      </c>
    </row>
    <row r="34" spans="1:17" x14ac:dyDescent="0.3">
      <c r="A34" s="38" t="str">
        <f>IF(ISBLANK(spec_filament!A69),"",spec_filament!A69)</f>
        <v>PP</v>
      </c>
      <c r="B34" s="4" t="str">
        <f>Matchfill(INDEX($A$2:$L$17,MATCH($A34,$A$2:$A$17,0),MATCH(HotendType,$A$2:$L$2,0)),$B10)</f>
        <v>5</v>
      </c>
      <c r="C34" s="11">
        <f t="shared" si="3"/>
        <v>86.805555555555557</v>
      </c>
      <c r="D34" s="11">
        <f t="shared" si="3"/>
        <v>52.083333333333336</v>
      </c>
      <c r="E34" s="11">
        <f t="shared" si="3"/>
        <v>43.402777777777779</v>
      </c>
      <c r="F34" s="11">
        <f t="shared" si="3"/>
        <v>37.202380952380949</v>
      </c>
      <c r="G34" s="11">
        <f t="shared" si="3"/>
        <v>32.552083333333336</v>
      </c>
      <c r="H34" s="11">
        <f t="shared" si="3"/>
        <v>26.041666666666668</v>
      </c>
      <c r="I34" s="11">
        <f t="shared" si="3"/>
        <v>21.701388888888889</v>
      </c>
      <c r="J34" s="11">
        <f t="shared" si="3"/>
        <v>18.601190476190474</v>
      </c>
      <c r="K34" s="11">
        <f t="shared" si="3"/>
        <v>16.276041666666668</v>
      </c>
      <c r="L34" s="11">
        <f t="shared" si="3"/>
        <v>14.467592592592593</v>
      </c>
      <c r="M34" s="11">
        <f t="shared" si="3"/>
        <v>13.020833333333334</v>
      </c>
    </row>
    <row r="35" spans="1:17" x14ac:dyDescent="0.3">
      <c r="A35" s="37" t="str">
        <f>IF(ISBLANK(spec_filament!A70),"",spec_filament!A70)</f>
        <v>TPE</v>
      </c>
      <c r="B35" s="3" t="str">
        <f>Matchfill(INDEX($A$2:$L$17,MATCH($A35,$A$2:$A$17,0),MATCH(HotendType,$A$2:$L$2,0)),$B11)</f>
        <v/>
      </c>
      <c r="C35" s="10" t="str">
        <f t="shared" ref="C35:D38" si="4">IF(LEN($B35) = 0,"",$B35/((Nozzle_Diameter*1.2)*C$24))</f>
        <v/>
      </c>
      <c r="D35" s="10" t="str">
        <f t="shared" si="4"/>
        <v/>
      </c>
      <c r="E35" s="10"/>
      <c r="F35" s="10"/>
      <c r="G35" s="10" t="str">
        <f t="shared" ref="G35:M38" si="5">IF(LEN($B35) = 0,"",$B35/((Nozzle_Diameter*1.2)*G$24))</f>
        <v/>
      </c>
      <c r="H35" s="10" t="str">
        <f t="shared" si="5"/>
        <v/>
      </c>
      <c r="I35" s="10" t="str">
        <f t="shared" si="5"/>
        <v/>
      </c>
      <c r="J35" s="10" t="str">
        <f t="shared" si="5"/>
        <v/>
      </c>
      <c r="K35" s="10" t="str">
        <f t="shared" si="5"/>
        <v/>
      </c>
      <c r="L35" s="10" t="str">
        <f t="shared" si="5"/>
        <v/>
      </c>
      <c r="M35" s="10" t="str">
        <f t="shared" si="5"/>
        <v/>
      </c>
    </row>
    <row r="36" spans="1:17" x14ac:dyDescent="0.3">
      <c r="A36" s="38" t="str">
        <f>IF(ISBLANK(spec_filament!A71),"",spec_filament!A71)</f>
        <v>PEEK</v>
      </c>
      <c r="B36" s="4" t="str">
        <f>Matchfill(INDEX($A$2:$L$17,MATCH($A36,$A$2:$A$17,0),MATCH(HotendType,$A$2:$L$2,0)),$B12)</f>
        <v>13</v>
      </c>
      <c r="C36" s="11">
        <f t="shared" si="4"/>
        <v>225.69444444444446</v>
      </c>
      <c r="D36" s="11">
        <f t="shared" si="4"/>
        <v>135.41666666666666</v>
      </c>
      <c r="E36" s="11"/>
      <c r="F36" s="11"/>
      <c r="G36" s="11">
        <f t="shared" si="5"/>
        <v>84.635416666666671</v>
      </c>
      <c r="H36" s="11">
        <f t="shared" si="5"/>
        <v>67.708333333333329</v>
      </c>
      <c r="I36" s="11">
        <f t="shared" si="5"/>
        <v>56.423611111111114</v>
      </c>
      <c r="J36" s="11">
        <f t="shared" si="5"/>
        <v>48.363095238095234</v>
      </c>
      <c r="K36" s="11">
        <f t="shared" si="5"/>
        <v>42.317708333333336</v>
      </c>
      <c r="L36" s="11">
        <f t="shared" si="5"/>
        <v>37.615740740740748</v>
      </c>
      <c r="M36" s="11">
        <f t="shared" si="5"/>
        <v>33.854166666666664</v>
      </c>
    </row>
    <row r="37" spans="1:17" ht="50.25" customHeight="1" x14ac:dyDescent="0.3">
      <c r="A37" s="37" t="str">
        <f>IF(ISBLANK(spec_filament!A72),"",spec_filament!A72)</f>
        <v/>
      </c>
      <c r="B37" s="3" t="str">
        <f>Matchfill(INDEX($A$2:$L$17,MATCH($A37,$A$2:$A$17,0),MATCH(HotendType,$A$2:$L$2,0)),$B13)</f>
        <v>11</v>
      </c>
      <c r="C37" s="10">
        <f t="shared" si="4"/>
        <v>190.97222222222223</v>
      </c>
      <c r="D37" s="10">
        <f t="shared" si="4"/>
        <v>114.58333333333333</v>
      </c>
      <c r="E37" s="10"/>
      <c r="F37" s="10"/>
      <c r="G37" s="10">
        <f t="shared" si="5"/>
        <v>71.614583333333343</v>
      </c>
      <c r="H37" s="10">
        <f t="shared" si="5"/>
        <v>57.291666666666664</v>
      </c>
      <c r="I37" s="10">
        <f t="shared" si="5"/>
        <v>47.743055555555557</v>
      </c>
      <c r="J37" s="10">
        <f t="shared" si="5"/>
        <v>40.922619047619044</v>
      </c>
      <c r="K37" s="10">
        <f t="shared" si="5"/>
        <v>35.807291666666671</v>
      </c>
      <c r="L37" s="10">
        <f t="shared" si="5"/>
        <v>31.828703703703706</v>
      </c>
      <c r="M37" s="10">
        <f t="shared" si="5"/>
        <v>28.645833333333332</v>
      </c>
    </row>
    <row r="38" spans="1:17" x14ac:dyDescent="0.3">
      <c r="A38" s="38" t="str">
        <f>IF(ISBLANK(spec_filament!A73),"",spec_filament!A73)</f>
        <v>CPE</v>
      </c>
      <c r="B38" s="4" t="str">
        <f>Matchfill(INDEX($A$2:$L$17,MATCH($A38,$A$2:$A$17,0),MATCH(HotendType,$A$2:$L$2,0)),$B14)</f>
        <v>1.35</v>
      </c>
      <c r="C38" s="11">
        <f t="shared" si="4"/>
        <v>23.437500000000004</v>
      </c>
      <c r="D38" s="11">
        <f t="shared" si="4"/>
        <v>14.0625</v>
      </c>
      <c r="E38" s="11"/>
      <c r="F38" s="11"/>
      <c r="G38" s="11">
        <f t="shared" si="5"/>
        <v>8.7890625000000018</v>
      </c>
      <c r="H38" s="11">
        <f t="shared" si="5"/>
        <v>7.03125</v>
      </c>
      <c r="I38" s="11">
        <f t="shared" si="5"/>
        <v>5.8593750000000009</v>
      </c>
      <c r="J38" s="11">
        <f t="shared" si="5"/>
        <v>5.0223214285714279</v>
      </c>
      <c r="K38" s="11">
        <f t="shared" si="5"/>
        <v>4.3945312500000009</v>
      </c>
      <c r="L38" s="11">
        <f t="shared" si="5"/>
        <v>3.9062500000000009</v>
      </c>
      <c r="M38" s="11">
        <f t="shared" si="5"/>
        <v>3.515625</v>
      </c>
    </row>
    <row r="39" spans="1:17" x14ac:dyDescent="0.3">
      <c r="A39" s="37" t="str">
        <f>IF(ISBLANK(spec_filament!A74),"",spec_filament!A74)</f>
        <v>PPSU</v>
      </c>
      <c r="B39" s="3" t="str">
        <f>Matchfill(INDEX($A$2:$L$17,MATCH($A39,$A$2:$A$17,0),MATCH(HotendType,$A$2:$L$2,0)),$B15)</f>
        <v>11</v>
      </c>
      <c r="C39" s="3"/>
      <c r="D39" s="3"/>
      <c r="E39" s="3"/>
      <c r="F39" s="3"/>
      <c r="G39" s="3"/>
      <c r="H39" s="3"/>
      <c r="I39" s="3"/>
      <c r="J39" s="3"/>
      <c r="K39" s="3"/>
      <c r="L39" s="3"/>
      <c r="M39" s="3"/>
    </row>
    <row r="40" spans="1:17" x14ac:dyDescent="0.3">
      <c r="D40" s="1"/>
      <c r="E40" s="1"/>
      <c r="F40" s="1"/>
    </row>
    <row r="41" spans="1:17" x14ac:dyDescent="0.3">
      <c r="O41" s="86"/>
      <c r="P41" s="87"/>
      <c r="Q41" s="87"/>
    </row>
    <row r="42" spans="1:17" x14ac:dyDescent="0.3">
      <c r="A42" s="138" t="s">
        <v>1072</v>
      </c>
      <c r="B42" s="137"/>
      <c r="C42" s="137"/>
      <c r="D42" s="137"/>
      <c r="E42" s="137"/>
      <c r="F42" s="137"/>
      <c r="G42" s="137"/>
      <c r="H42" s="137"/>
      <c r="I42" s="137"/>
      <c r="J42" s="137"/>
      <c r="K42" s="137"/>
      <c r="L42" s="137"/>
      <c r="M42" s="137"/>
      <c r="O42" s="88"/>
      <c r="P42" s="88"/>
      <c r="Q42" s="88"/>
    </row>
    <row r="43" spans="1:17" x14ac:dyDescent="0.3">
      <c r="A43" s="9" t="s">
        <v>258</v>
      </c>
      <c r="B43" s="9" t="s">
        <v>294</v>
      </c>
      <c r="C43" s="9">
        <v>0.12</v>
      </c>
      <c r="D43" s="9">
        <v>0.2</v>
      </c>
      <c r="E43" s="9">
        <v>0.24</v>
      </c>
      <c r="F43" s="9">
        <v>0.28000000000000003</v>
      </c>
      <c r="G43" s="9">
        <v>0.32</v>
      </c>
      <c r="H43" s="9">
        <v>0.4</v>
      </c>
      <c r="I43" s="9">
        <v>0.48</v>
      </c>
      <c r="J43" s="9">
        <v>0.56000000000000005</v>
      </c>
      <c r="K43" s="9">
        <v>0.64</v>
      </c>
      <c r="L43" s="9">
        <v>0.72</v>
      </c>
      <c r="M43" s="9">
        <v>0.8</v>
      </c>
      <c r="O43" s="83"/>
      <c r="P43" s="84"/>
      <c r="Q43" s="84"/>
    </row>
    <row r="44" spans="1:17" x14ac:dyDescent="0.3">
      <c r="A44" s="3" t="s">
        <v>141</v>
      </c>
      <c r="B44" s="3">
        <v>11.5</v>
      </c>
      <c r="C44" s="10">
        <f t="shared" ref="C44:M49" si="6">$B44/((Nozzle_Diameter*1.2)*C$43)</f>
        <v>199.65277777777777</v>
      </c>
      <c r="D44" s="10">
        <f t="shared" si="6"/>
        <v>119.79166666666666</v>
      </c>
      <c r="E44" s="10">
        <f t="shared" si="6"/>
        <v>99.826388888888886</v>
      </c>
      <c r="F44" s="10">
        <f t="shared" si="6"/>
        <v>85.565476190476176</v>
      </c>
      <c r="G44" s="10">
        <f t="shared" si="6"/>
        <v>74.869791666666671</v>
      </c>
      <c r="H44" s="10">
        <f t="shared" si="6"/>
        <v>59.895833333333329</v>
      </c>
      <c r="I44" s="10">
        <f t="shared" si="6"/>
        <v>49.913194444444443</v>
      </c>
      <c r="J44" s="10">
        <f t="shared" si="6"/>
        <v>42.782738095238088</v>
      </c>
      <c r="K44" s="10">
        <f t="shared" si="6"/>
        <v>37.434895833333336</v>
      </c>
      <c r="L44" s="10">
        <f t="shared" si="6"/>
        <v>33.275462962962969</v>
      </c>
      <c r="M44" s="10">
        <f t="shared" si="6"/>
        <v>29.947916666666664</v>
      </c>
      <c r="O44" s="79"/>
      <c r="P44" s="85"/>
      <c r="Q44" s="85"/>
    </row>
    <row r="45" spans="1:17" x14ac:dyDescent="0.3">
      <c r="A45" s="4" t="s">
        <v>418</v>
      </c>
      <c r="B45" s="4">
        <v>8</v>
      </c>
      <c r="C45" s="11">
        <f t="shared" si="6"/>
        <v>138.88888888888889</v>
      </c>
      <c r="D45" s="11">
        <f t="shared" si="6"/>
        <v>83.333333333333329</v>
      </c>
      <c r="E45" s="11">
        <f t="shared" si="6"/>
        <v>69.444444444444443</v>
      </c>
      <c r="F45" s="11">
        <f t="shared" si="6"/>
        <v>59.523809523809518</v>
      </c>
      <c r="G45" s="11">
        <f t="shared" si="6"/>
        <v>52.083333333333336</v>
      </c>
      <c r="H45" s="11">
        <f t="shared" si="6"/>
        <v>41.666666666666664</v>
      </c>
      <c r="I45" s="11">
        <f t="shared" si="6"/>
        <v>34.722222222222221</v>
      </c>
      <c r="J45" s="11">
        <f t="shared" si="6"/>
        <v>29.761904761904759</v>
      </c>
      <c r="K45" s="11">
        <f t="shared" si="6"/>
        <v>26.041666666666668</v>
      </c>
      <c r="L45" s="11">
        <f t="shared" si="6"/>
        <v>23.148148148148152</v>
      </c>
      <c r="M45" s="11">
        <f t="shared" si="6"/>
        <v>20.833333333333332</v>
      </c>
      <c r="O45" s="79"/>
      <c r="P45" s="85"/>
      <c r="Q45" s="85"/>
    </row>
    <row r="46" spans="1:17" x14ac:dyDescent="0.3">
      <c r="A46" s="3" t="s">
        <v>142</v>
      </c>
      <c r="B46" s="3">
        <v>10</v>
      </c>
      <c r="C46" s="10">
        <f t="shared" si="6"/>
        <v>173.61111111111111</v>
      </c>
      <c r="D46" s="10">
        <f t="shared" si="6"/>
        <v>104.16666666666667</v>
      </c>
      <c r="E46" s="10">
        <f t="shared" si="6"/>
        <v>86.805555555555557</v>
      </c>
      <c r="F46" s="10">
        <f t="shared" si="6"/>
        <v>74.404761904761898</v>
      </c>
      <c r="G46" s="10">
        <f t="shared" si="6"/>
        <v>65.104166666666671</v>
      </c>
      <c r="H46" s="10">
        <f t="shared" si="6"/>
        <v>52.083333333333336</v>
      </c>
      <c r="I46" s="10">
        <f t="shared" si="6"/>
        <v>43.402777777777779</v>
      </c>
      <c r="J46" s="10">
        <f t="shared" si="6"/>
        <v>37.202380952380949</v>
      </c>
      <c r="K46" s="10">
        <f t="shared" si="6"/>
        <v>32.552083333333336</v>
      </c>
      <c r="L46" s="10">
        <f t="shared" si="6"/>
        <v>28.935185185185187</v>
      </c>
      <c r="M46" s="10">
        <f t="shared" si="6"/>
        <v>26.041666666666668</v>
      </c>
      <c r="O46" s="79"/>
      <c r="P46" s="85"/>
      <c r="Q46" s="85"/>
    </row>
    <row r="47" spans="1:17" x14ac:dyDescent="0.3">
      <c r="A47" s="4" t="s">
        <v>279</v>
      </c>
      <c r="B47" s="4">
        <v>6</v>
      </c>
      <c r="C47" s="11">
        <f t="shared" si="6"/>
        <v>104.16666666666667</v>
      </c>
      <c r="D47" s="11">
        <f t="shared" si="6"/>
        <v>62.5</v>
      </c>
      <c r="E47" s="11">
        <f t="shared" si="6"/>
        <v>52.083333333333336</v>
      </c>
      <c r="F47" s="11">
        <f t="shared" si="6"/>
        <v>44.642857142857139</v>
      </c>
      <c r="G47" s="11">
        <f t="shared" si="6"/>
        <v>39.0625</v>
      </c>
      <c r="H47" s="11">
        <f t="shared" si="6"/>
        <v>31.25</v>
      </c>
      <c r="I47" s="11">
        <f t="shared" si="6"/>
        <v>26.041666666666668</v>
      </c>
      <c r="J47" s="11">
        <f t="shared" si="6"/>
        <v>22.321428571428569</v>
      </c>
      <c r="K47" s="11">
        <f t="shared" si="6"/>
        <v>19.53125</v>
      </c>
      <c r="L47" s="11">
        <f t="shared" si="6"/>
        <v>17.361111111111114</v>
      </c>
      <c r="M47" s="11">
        <f t="shared" si="6"/>
        <v>15.625</v>
      </c>
      <c r="O47" s="79"/>
      <c r="P47" s="85"/>
      <c r="Q47" s="85"/>
    </row>
    <row r="48" spans="1:17" x14ac:dyDescent="0.3">
      <c r="A48" s="3" t="s">
        <v>281</v>
      </c>
      <c r="B48" s="3">
        <v>6</v>
      </c>
      <c r="C48" s="10">
        <f t="shared" si="6"/>
        <v>104.16666666666667</v>
      </c>
      <c r="D48" s="10">
        <f t="shared" si="6"/>
        <v>62.5</v>
      </c>
      <c r="E48" s="10">
        <f t="shared" si="6"/>
        <v>52.083333333333336</v>
      </c>
      <c r="F48" s="10">
        <f t="shared" si="6"/>
        <v>44.642857142857139</v>
      </c>
      <c r="G48" s="10">
        <f t="shared" si="6"/>
        <v>39.0625</v>
      </c>
      <c r="H48" s="10">
        <f t="shared" si="6"/>
        <v>31.25</v>
      </c>
      <c r="I48" s="10">
        <f t="shared" si="6"/>
        <v>26.041666666666668</v>
      </c>
      <c r="J48" s="10">
        <f t="shared" si="6"/>
        <v>22.321428571428569</v>
      </c>
      <c r="K48" s="10">
        <f t="shared" si="6"/>
        <v>19.53125</v>
      </c>
      <c r="L48" s="10">
        <f t="shared" si="6"/>
        <v>17.361111111111114</v>
      </c>
      <c r="M48" s="10">
        <f t="shared" si="6"/>
        <v>15.625</v>
      </c>
      <c r="O48" s="79"/>
      <c r="P48" s="85"/>
      <c r="Q48" s="85"/>
    </row>
    <row r="49" spans="1:19" x14ac:dyDescent="0.3">
      <c r="A49" s="4" t="s">
        <v>143</v>
      </c>
      <c r="B49" s="4">
        <v>6</v>
      </c>
      <c r="C49" s="11">
        <f t="shared" si="6"/>
        <v>104.16666666666667</v>
      </c>
      <c r="D49" s="11">
        <f t="shared" si="6"/>
        <v>62.5</v>
      </c>
      <c r="E49" s="11">
        <f t="shared" si="6"/>
        <v>52.083333333333336</v>
      </c>
      <c r="F49" s="11">
        <f t="shared" si="6"/>
        <v>44.642857142857139</v>
      </c>
      <c r="G49" s="11">
        <f t="shared" si="6"/>
        <v>39.0625</v>
      </c>
      <c r="H49" s="11">
        <f t="shared" si="6"/>
        <v>31.25</v>
      </c>
      <c r="I49" s="11">
        <f t="shared" si="6"/>
        <v>26.041666666666668</v>
      </c>
      <c r="J49" s="11">
        <f t="shared" si="6"/>
        <v>22.321428571428569</v>
      </c>
      <c r="K49" s="11">
        <f t="shared" si="6"/>
        <v>19.53125</v>
      </c>
      <c r="L49" s="11">
        <f t="shared" si="6"/>
        <v>17.361111111111114</v>
      </c>
      <c r="M49" s="11">
        <f t="shared" si="6"/>
        <v>15.625</v>
      </c>
      <c r="O49" s="79"/>
      <c r="P49" s="85"/>
      <c r="Q49" s="85"/>
    </row>
    <row r="50" spans="1:19" x14ac:dyDescent="0.3">
      <c r="A50" s="3"/>
      <c r="B50" s="3"/>
      <c r="C50" s="10"/>
      <c r="D50" s="10"/>
      <c r="E50" s="10"/>
      <c r="F50" s="10"/>
      <c r="G50" s="10"/>
      <c r="H50" s="10"/>
      <c r="I50" s="10"/>
      <c r="J50" s="10"/>
      <c r="K50" s="10"/>
      <c r="L50" s="10"/>
      <c r="M50" s="10"/>
      <c r="O50" s="79"/>
      <c r="P50" s="55"/>
      <c r="Q50" s="55"/>
    </row>
    <row r="51" spans="1:19" x14ac:dyDescent="0.3">
      <c r="A51" s="4"/>
      <c r="B51" s="4"/>
      <c r="C51" s="11"/>
      <c r="D51" s="11"/>
      <c r="E51" s="11"/>
      <c r="F51" s="11"/>
      <c r="G51" s="11"/>
      <c r="H51" s="11"/>
      <c r="I51" s="11"/>
      <c r="J51" s="11"/>
      <c r="K51" s="11"/>
      <c r="L51" s="11"/>
      <c r="M51" s="11"/>
      <c r="O51" s="79"/>
      <c r="P51" s="55"/>
      <c r="Q51" s="55"/>
    </row>
    <row r="52" spans="1:19" x14ac:dyDescent="0.3">
      <c r="A52" s="3"/>
      <c r="B52" s="3"/>
      <c r="C52" s="10"/>
      <c r="D52" s="10"/>
      <c r="E52" s="10"/>
      <c r="F52" s="10"/>
      <c r="G52" s="10"/>
      <c r="H52" s="10"/>
      <c r="I52" s="10"/>
      <c r="J52" s="10"/>
      <c r="K52" s="10"/>
      <c r="L52" s="10"/>
      <c r="M52" s="10"/>
      <c r="O52" s="79"/>
      <c r="P52" s="55"/>
      <c r="Q52" s="55"/>
    </row>
    <row r="53" spans="1:19" x14ac:dyDescent="0.3">
      <c r="A53" s="4"/>
      <c r="B53" s="4"/>
      <c r="C53" s="11"/>
      <c r="D53" s="11"/>
      <c r="E53" s="11"/>
      <c r="F53" s="11"/>
      <c r="G53" s="11"/>
      <c r="H53" s="11"/>
      <c r="I53" s="11"/>
      <c r="J53" s="11"/>
      <c r="K53" s="11"/>
      <c r="L53" s="11"/>
      <c r="M53" s="11"/>
      <c r="O53" s="79"/>
      <c r="P53" s="55"/>
      <c r="Q53" s="55"/>
    </row>
    <row r="54" spans="1:19" x14ac:dyDescent="0.3">
      <c r="A54" s="3"/>
      <c r="B54" s="3"/>
      <c r="C54" s="10"/>
      <c r="D54" s="10"/>
      <c r="E54" s="10"/>
      <c r="F54" s="10"/>
      <c r="G54" s="10"/>
      <c r="H54" s="10"/>
      <c r="I54" s="10"/>
      <c r="J54" s="10"/>
      <c r="K54" s="10"/>
      <c r="L54" s="10"/>
      <c r="M54" s="10"/>
      <c r="O54" s="79"/>
      <c r="P54" s="55"/>
      <c r="Q54" s="55"/>
    </row>
    <row r="55" spans="1:19" x14ac:dyDescent="0.3">
      <c r="A55" s="4"/>
      <c r="B55" s="4"/>
      <c r="C55" s="11"/>
      <c r="D55" s="11"/>
      <c r="E55" s="11"/>
      <c r="F55" s="11"/>
      <c r="G55" s="11"/>
      <c r="H55" s="11"/>
      <c r="I55" s="11"/>
      <c r="J55" s="11"/>
      <c r="K55" s="11"/>
      <c r="L55" s="11"/>
      <c r="M55" s="11"/>
    </row>
    <row r="56" spans="1:19" x14ac:dyDescent="0.3">
      <c r="A56" s="3"/>
      <c r="B56" s="3"/>
      <c r="C56" s="10"/>
      <c r="D56" s="10"/>
      <c r="E56" s="10"/>
      <c r="F56" s="10"/>
      <c r="G56" s="10"/>
      <c r="H56" s="10"/>
      <c r="I56" s="10"/>
      <c r="J56" s="10"/>
      <c r="K56" s="10"/>
      <c r="L56" s="10"/>
      <c r="M56" s="10"/>
    </row>
    <row r="59" spans="1:19" ht="43.2" x14ac:dyDescent="0.3">
      <c r="A59" s="43" t="s">
        <v>316</v>
      </c>
      <c r="B59" s="6" t="s">
        <v>323</v>
      </c>
      <c r="C59" s="6" t="s">
        <v>317</v>
      </c>
      <c r="D59" s="6" t="s">
        <v>318</v>
      </c>
      <c r="E59" s="43" t="s">
        <v>433</v>
      </c>
      <c r="F59" s="43" t="s">
        <v>434</v>
      </c>
      <c r="G59" s="6" t="s">
        <v>321</v>
      </c>
      <c r="H59" s="6" t="s">
        <v>261</v>
      </c>
      <c r="I59" s="6" t="s">
        <v>322</v>
      </c>
      <c r="J59" s="43" t="s">
        <v>324</v>
      </c>
      <c r="K59" s="6" t="s">
        <v>326</v>
      </c>
      <c r="L59" s="6" t="s">
        <v>435</v>
      </c>
      <c r="M59" s="6" t="s">
        <v>436</v>
      </c>
      <c r="N59" s="6" t="s">
        <v>331</v>
      </c>
      <c r="O59" s="6" t="s">
        <v>332</v>
      </c>
      <c r="P59" s="6" t="s">
        <v>330</v>
      </c>
      <c r="Q59" s="2" t="s">
        <v>1563</v>
      </c>
      <c r="R59" s="2" t="s">
        <v>298</v>
      </c>
      <c r="S59" s="6" t="s">
        <v>1485</v>
      </c>
    </row>
    <row r="60" spans="1:19" x14ac:dyDescent="0.3">
      <c r="A60" s="37" t="s">
        <v>141</v>
      </c>
      <c r="B60" s="3">
        <v>60</v>
      </c>
      <c r="C60" s="3">
        <v>205</v>
      </c>
      <c r="D60" s="3">
        <v>60</v>
      </c>
      <c r="E60" s="37" t="s">
        <v>437</v>
      </c>
      <c r="F60" s="37" t="s">
        <v>319</v>
      </c>
      <c r="G60" s="3">
        <v>40</v>
      </c>
      <c r="H60" s="3">
        <v>50</v>
      </c>
      <c r="I60" s="3">
        <v>2</v>
      </c>
      <c r="J60" s="37" t="s">
        <v>327</v>
      </c>
      <c r="K60" s="3"/>
      <c r="L60" s="3">
        <v>53</v>
      </c>
      <c r="M60" s="3">
        <v>63</v>
      </c>
      <c r="N60" s="3">
        <v>50</v>
      </c>
      <c r="O60" s="3">
        <v>122</v>
      </c>
      <c r="P60" s="3">
        <v>4</v>
      </c>
      <c r="Q60" s="3">
        <v>1.5</v>
      </c>
      <c r="R60" s="3"/>
      <c r="S60" s="8" t="s">
        <v>1564</v>
      </c>
    </row>
    <row r="61" spans="1:19" x14ac:dyDescent="0.3">
      <c r="A61" s="38" t="s">
        <v>418</v>
      </c>
      <c r="B61" s="4">
        <v>40</v>
      </c>
      <c r="C61" s="4">
        <v>240</v>
      </c>
      <c r="D61" s="4">
        <v>70</v>
      </c>
      <c r="E61" s="38" t="s">
        <v>438</v>
      </c>
      <c r="F61" s="38" t="s">
        <v>319</v>
      </c>
      <c r="G61" s="4">
        <v>40</v>
      </c>
      <c r="H61" s="4">
        <v>30</v>
      </c>
      <c r="I61" s="4">
        <v>3</v>
      </c>
      <c r="J61" s="38" t="s">
        <v>329</v>
      </c>
      <c r="K61" s="4">
        <v>0.08</v>
      </c>
      <c r="L61" s="4">
        <v>73</v>
      </c>
      <c r="M61" s="4">
        <v>83</v>
      </c>
      <c r="N61" s="4">
        <v>70</v>
      </c>
      <c r="O61" s="4">
        <v>140</v>
      </c>
      <c r="P61" s="4">
        <v>3</v>
      </c>
      <c r="Q61" s="4"/>
      <c r="R61" s="4"/>
      <c r="S61" s="65" t="s">
        <v>1565</v>
      </c>
    </row>
    <row r="62" spans="1:19" x14ac:dyDescent="0.3">
      <c r="A62" s="37" t="s">
        <v>142</v>
      </c>
      <c r="B62" s="3">
        <v>60</v>
      </c>
      <c r="C62" s="3">
        <v>240</v>
      </c>
      <c r="D62" s="3">
        <v>100</v>
      </c>
      <c r="E62" s="37" t="s">
        <v>438</v>
      </c>
      <c r="F62" s="37" t="s">
        <v>320</v>
      </c>
      <c r="G62" s="3">
        <v>60</v>
      </c>
      <c r="H62" s="3">
        <v>0</v>
      </c>
      <c r="I62" s="3">
        <v>0</v>
      </c>
      <c r="J62" s="37" t="s">
        <v>327</v>
      </c>
      <c r="K62" s="3"/>
      <c r="L62" s="3">
        <v>98</v>
      </c>
      <c r="M62" s="3">
        <v>108</v>
      </c>
      <c r="N62" s="3">
        <v>96</v>
      </c>
      <c r="O62" s="3">
        <v>158</v>
      </c>
      <c r="P62" s="3">
        <v>2</v>
      </c>
      <c r="Q62" s="3"/>
      <c r="R62" s="3"/>
      <c r="S62" s="8" t="s">
        <v>1566</v>
      </c>
    </row>
    <row r="63" spans="1:19" ht="28.8" x14ac:dyDescent="0.3">
      <c r="A63" s="38" t="s">
        <v>279</v>
      </c>
      <c r="B63" s="4">
        <v>60</v>
      </c>
      <c r="C63" s="4">
        <v>270</v>
      </c>
      <c r="D63" s="4">
        <v>70</v>
      </c>
      <c r="E63" s="38" t="s">
        <v>439</v>
      </c>
      <c r="F63" s="38" t="s">
        <v>320</v>
      </c>
      <c r="G63" s="4">
        <v>45</v>
      </c>
      <c r="H63" s="4">
        <v>0</v>
      </c>
      <c r="I63" s="4">
        <v>0</v>
      </c>
      <c r="J63" s="38" t="s">
        <v>325</v>
      </c>
      <c r="K63" s="4"/>
      <c r="L63" s="4">
        <v>90</v>
      </c>
      <c r="M63" s="4">
        <v>108</v>
      </c>
      <c r="N63" s="24">
        <v>85</v>
      </c>
      <c r="O63" s="4"/>
      <c r="P63" s="4">
        <v>1</v>
      </c>
      <c r="Q63" s="4"/>
      <c r="R63" s="4"/>
      <c r="S63" s="65" t="s">
        <v>1567</v>
      </c>
    </row>
    <row r="64" spans="1:19" x14ac:dyDescent="0.3">
      <c r="A64" s="37" t="s">
        <v>143</v>
      </c>
      <c r="B64" s="3">
        <v>25</v>
      </c>
      <c r="C64" s="3">
        <v>230</v>
      </c>
      <c r="D64" s="3">
        <v>60</v>
      </c>
      <c r="E64" s="37" t="s">
        <v>437</v>
      </c>
      <c r="F64" s="37" t="s">
        <v>319</v>
      </c>
      <c r="G64" s="3">
        <v>40</v>
      </c>
      <c r="H64" s="3">
        <v>30</v>
      </c>
      <c r="I64" s="3">
        <v>2</v>
      </c>
      <c r="J64" s="37" t="s">
        <v>327</v>
      </c>
      <c r="K64" s="3"/>
      <c r="L64" s="3">
        <v>38</v>
      </c>
      <c r="M64" s="3">
        <v>-42</v>
      </c>
      <c r="N64" s="3">
        <v>70</v>
      </c>
      <c r="O64" s="3"/>
      <c r="P64" s="3">
        <v>3</v>
      </c>
      <c r="Q64" s="3"/>
      <c r="R64" s="3"/>
      <c r="S64" s="89" t="s">
        <v>1486</v>
      </c>
    </row>
    <row r="65" spans="1:19" x14ac:dyDescent="0.3">
      <c r="A65" s="38" t="s">
        <v>315</v>
      </c>
      <c r="B65" s="4">
        <v>60</v>
      </c>
      <c r="C65" s="4">
        <v>240</v>
      </c>
      <c r="D65" s="4">
        <v>60</v>
      </c>
      <c r="E65" s="38" t="s">
        <v>438</v>
      </c>
      <c r="F65" s="38" t="s">
        <v>320</v>
      </c>
      <c r="G65" s="4">
        <v>60</v>
      </c>
      <c r="H65" s="4">
        <v>50</v>
      </c>
      <c r="I65" s="4">
        <v>2</v>
      </c>
      <c r="J65" s="38" t="s">
        <v>327</v>
      </c>
      <c r="K65" s="4"/>
      <c r="L65" s="4">
        <v>97</v>
      </c>
      <c r="M65" s="4">
        <v>108</v>
      </c>
      <c r="N65" s="4">
        <v>100</v>
      </c>
      <c r="O65" s="4"/>
      <c r="P65" s="4">
        <v>4</v>
      </c>
      <c r="Q65" s="4"/>
      <c r="R65" s="4"/>
      <c r="S65" s="65" t="s">
        <v>1487</v>
      </c>
    </row>
    <row r="66" spans="1:19" x14ac:dyDescent="0.3">
      <c r="A66" s="37" t="s">
        <v>301</v>
      </c>
      <c r="B66" s="3">
        <v>80</v>
      </c>
      <c r="C66" s="3">
        <v>260</v>
      </c>
      <c r="D66" s="3">
        <v>100</v>
      </c>
      <c r="E66" s="37" t="s">
        <v>438</v>
      </c>
      <c r="F66" s="37" t="s">
        <v>320</v>
      </c>
      <c r="G66" s="3">
        <v>60</v>
      </c>
      <c r="H66" s="3">
        <v>20</v>
      </c>
      <c r="I66" s="3">
        <v>2</v>
      </c>
      <c r="J66" s="37" t="s">
        <v>327</v>
      </c>
      <c r="K66" s="3"/>
      <c r="L66" s="3">
        <v>98</v>
      </c>
      <c r="M66" s="3">
        <v>108</v>
      </c>
      <c r="N66" s="3">
        <v>95</v>
      </c>
      <c r="O66" s="3"/>
      <c r="P66" s="3">
        <v>3</v>
      </c>
      <c r="Q66" s="3"/>
      <c r="R66" s="3"/>
      <c r="S66" s="8" t="s">
        <v>1487</v>
      </c>
    </row>
    <row r="67" spans="1:19" x14ac:dyDescent="0.3">
      <c r="A67" s="38" t="s">
        <v>440</v>
      </c>
      <c r="B67" s="4">
        <v>60</v>
      </c>
      <c r="C67" s="4">
        <v>310</v>
      </c>
      <c r="D67" s="4">
        <v>145</v>
      </c>
      <c r="E67" s="38" t="s">
        <v>438</v>
      </c>
      <c r="F67" s="38" t="s">
        <v>320</v>
      </c>
      <c r="G67" s="4">
        <v>60</v>
      </c>
      <c r="H67" s="4">
        <v>0</v>
      </c>
      <c r="I67" s="4">
        <v>0</v>
      </c>
      <c r="J67" s="38" t="s">
        <v>327</v>
      </c>
      <c r="K67" s="4"/>
      <c r="L67" s="4">
        <v>138</v>
      </c>
      <c r="M67" s="4">
        <v>161</v>
      </c>
      <c r="N67" s="4">
        <v>121</v>
      </c>
      <c r="O67" s="4"/>
      <c r="P67" s="4">
        <v>3</v>
      </c>
      <c r="Q67" s="4"/>
      <c r="R67" s="4"/>
      <c r="S67" s="65" t="s">
        <v>1488</v>
      </c>
    </row>
    <row r="68" spans="1:19" x14ac:dyDescent="0.3">
      <c r="A68" s="37" t="s">
        <v>441</v>
      </c>
      <c r="B68" s="3">
        <v>60</v>
      </c>
      <c r="C68" s="3">
        <v>380</v>
      </c>
      <c r="D68" s="3">
        <v>150</v>
      </c>
      <c r="E68" s="37" t="s">
        <v>438</v>
      </c>
      <c r="F68" s="37" t="s">
        <v>320</v>
      </c>
      <c r="G68" s="3">
        <v>60</v>
      </c>
      <c r="H68" s="3">
        <v>0</v>
      </c>
      <c r="I68" s="3">
        <v>0</v>
      </c>
      <c r="J68" s="37" t="s">
        <v>327</v>
      </c>
      <c r="K68" s="3"/>
      <c r="L68" s="3">
        <v>216</v>
      </c>
      <c r="M68" s="3">
        <v>215</v>
      </c>
      <c r="N68" s="3"/>
      <c r="O68" s="3"/>
      <c r="P68" s="3"/>
      <c r="Q68" s="3"/>
      <c r="R68" s="3"/>
      <c r="S68" s="3"/>
    </row>
    <row r="69" spans="1:19" x14ac:dyDescent="0.3">
      <c r="A69" s="38" t="s">
        <v>281</v>
      </c>
      <c r="B69" s="4">
        <v>60</v>
      </c>
      <c r="C69" s="4">
        <v>265</v>
      </c>
      <c r="D69" s="4">
        <v>120</v>
      </c>
      <c r="E69" s="38" t="s">
        <v>442</v>
      </c>
      <c r="F69" s="38" t="s">
        <v>320</v>
      </c>
      <c r="G69" s="4">
        <v>60</v>
      </c>
      <c r="H69" s="4">
        <v>0</v>
      </c>
      <c r="I69" s="4">
        <v>0</v>
      </c>
      <c r="J69" s="38" t="s">
        <v>327</v>
      </c>
      <c r="K69" s="4"/>
      <c r="L69" s="4">
        <v>50</v>
      </c>
      <c r="M69" s="4">
        <v>52</v>
      </c>
      <c r="N69" s="4">
        <v>100</v>
      </c>
      <c r="O69" s="4"/>
      <c r="P69" s="4">
        <v>1</v>
      </c>
      <c r="Q69" s="4"/>
      <c r="R69" s="4"/>
      <c r="S69" s="4"/>
    </row>
    <row r="70" spans="1:19" x14ac:dyDescent="0.3">
      <c r="A70" s="37" t="s">
        <v>328</v>
      </c>
      <c r="B70" s="3">
        <v>25</v>
      </c>
      <c r="C70" s="3">
        <v>230</v>
      </c>
      <c r="D70" s="3">
        <v>40</v>
      </c>
      <c r="E70" s="37" t="s">
        <v>437</v>
      </c>
      <c r="F70" s="37" t="s">
        <v>319</v>
      </c>
      <c r="G70" s="3">
        <v>40</v>
      </c>
      <c r="H70" s="3">
        <v>0</v>
      </c>
      <c r="I70" s="3">
        <v>0</v>
      </c>
      <c r="J70" s="37" t="s">
        <v>327</v>
      </c>
      <c r="K70" s="3"/>
      <c r="L70" s="3"/>
      <c r="M70" s="3"/>
      <c r="N70" s="3"/>
      <c r="O70" s="3"/>
      <c r="P70" s="3">
        <v>3</v>
      </c>
      <c r="Q70" s="3"/>
      <c r="R70" s="3"/>
      <c r="S70" s="3"/>
    </row>
    <row r="71" spans="1:19" x14ac:dyDescent="0.3">
      <c r="A71" s="38" t="s">
        <v>447</v>
      </c>
      <c r="B71" s="4">
        <v>60</v>
      </c>
      <c r="C71" s="4">
        <v>410</v>
      </c>
      <c r="D71" s="4">
        <v>150</v>
      </c>
      <c r="E71" s="38" t="s">
        <v>438</v>
      </c>
      <c r="F71" s="38" t="s">
        <v>320</v>
      </c>
      <c r="G71" s="4">
        <v>60</v>
      </c>
      <c r="H71" s="4">
        <v>0</v>
      </c>
      <c r="I71" s="4">
        <v>0</v>
      </c>
      <c r="J71" s="38" t="s">
        <v>327</v>
      </c>
      <c r="K71" s="4"/>
      <c r="L71" s="4"/>
      <c r="M71" s="4"/>
      <c r="N71" s="4"/>
      <c r="O71" s="4"/>
      <c r="P71" s="4"/>
      <c r="Q71" s="4"/>
      <c r="R71" s="4"/>
      <c r="S71" s="4"/>
    </row>
    <row r="72" spans="1:19" x14ac:dyDescent="0.3">
      <c r="A72" s="37"/>
      <c r="B72" s="3"/>
      <c r="C72" s="3"/>
      <c r="D72" s="3"/>
      <c r="E72" s="37"/>
      <c r="F72" s="37"/>
      <c r="G72" s="3"/>
      <c r="H72" s="3"/>
      <c r="I72" s="3"/>
      <c r="J72" s="37"/>
      <c r="K72" s="3"/>
      <c r="L72" s="3"/>
      <c r="M72" s="3"/>
      <c r="N72" s="3"/>
      <c r="O72" s="3"/>
      <c r="P72" s="3"/>
      <c r="Q72" s="3"/>
      <c r="R72" s="3"/>
      <c r="S72" s="3"/>
    </row>
    <row r="73" spans="1:19" x14ac:dyDescent="0.3">
      <c r="A73" s="38" t="s">
        <v>443</v>
      </c>
      <c r="B73" s="4">
        <v>40</v>
      </c>
      <c r="C73" s="4">
        <v>245</v>
      </c>
      <c r="D73" s="4">
        <v>80</v>
      </c>
      <c r="E73" s="38"/>
      <c r="F73" s="38" t="s">
        <v>319</v>
      </c>
      <c r="G73" s="4">
        <v>40</v>
      </c>
      <c r="H73" s="4">
        <v>30</v>
      </c>
      <c r="I73" s="4">
        <v>3</v>
      </c>
      <c r="J73" s="38" t="s">
        <v>329</v>
      </c>
      <c r="K73" s="4"/>
      <c r="L73" s="4"/>
      <c r="M73" s="4"/>
      <c r="N73" s="4"/>
      <c r="O73" s="4"/>
      <c r="P73" s="4">
        <v>1</v>
      </c>
      <c r="Q73" s="4"/>
      <c r="R73" s="4"/>
      <c r="S73" s="4"/>
    </row>
    <row r="74" spans="1:19" x14ac:dyDescent="0.3">
      <c r="A74" s="37" t="s">
        <v>444</v>
      </c>
      <c r="B74" s="3"/>
      <c r="C74" s="3"/>
      <c r="D74" s="3"/>
      <c r="E74" s="37"/>
      <c r="F74" s="37"/>
      <c r="G74" s="3"/>
      <c r="H74" s="3"/>
      <c r="I74" s="3"/>
      <c r="J74" s="37"/>
      <c r="K74" s="3"/>
      <c r="L74" s="3">
        <v>189</v>
      </c>
      <c r="M74" s="3">
        <v>230</v>
      </c>
      <c r="N74" s="3"/>
      <c r="O74" s="3"/>
      <c r="P74" s="3"/>
      <c r="Q74" s="3"/>
      <c r="R74" s="3"/>
      <c r="S74" s="3"/>
    </row>
    <row r="78" spans="1:19" x14ac:dyDescent="0.3">
      <c r="A78" t="s">
        <v>1250</v>
      </c>
      <c r="B78" t="s">
        <v>1251</v>
      </c>
    </row>
    <row r="79" spans="1:19" x14ac:dyDescent="0.3">
      <c r="A79" t="s">
        <v>142</v>
      </c>
      <c r="B79">
        <v>4.4999999999999998E-2</v>
      </c>
      <c r="C79">
        <v>0.14000000000000001</v>
      </c>
    </row>
    <row r="80" spans="1:19" x14ac:dyDescent="0.3">
      <c r="A80" t="s">
        <v>1252</v>
      </c>
      <c r="B80">
        <v>0.03</v>
      </c>
      <c r="C80">
        <v>0.12</v>
      </c>
    </row>
    <row r="81" spans="1:3" x14ac:dyDescent="0.3">
      <c r="A81" t="s">
        <v>1253</v>
      </c>
      <c r="B81">
        <v>2.5000000000000001E-2</v>
      </c>
      <c r="C81">
        <v>0.5</v>
      </c>
    </row>
    <row r="82" spans="1:3" x14ac:dyDescent="0.3">
      <c r="A82" t="s">
        <v>1254</v>
      </c>
      <c r="B82">
        <v>0.03</v>
      </c>
      <c r="C82">
        <v>0.12</v>
      </c>
    </row>
    <row r="83" spans="1:3" x14ac:dyDescent="0.3">
      <c r="A83" t="s">
        <v>1255</v>
      </c>
      <c r="B83">
        <v>7.4999999999999997E-2</v>
      </c>
      <c r="C83">
        <v>1</v>
      </c>
    </row>
    <row r="84" spans="1:3" x14ac:dyDescent="0.3">
      <c r="A84" t="s">
        <v>279</v>
      </c>
      <c r="B84">
        <v>0.03</v>
      </c>
      <c r="C84">
        <v>0.115</v>
      </c>
    </row>
    <row r="85" spans="1:3" x14ac:dyDescent="0.3">
      <c r="A85" t="s">
        <v>1256</v>
      </c>
      <c r="B85">
        <v>0.04</v>
      </c>
      <c r="C85">
        <v>0.15</v>
      </c>
    </row>
    <row r="86" spans="1:3" x14ac:dyDescent="0.3">
      <c r="A86" t="s">
        <v>1257</v>
      </c>
      <c r="B86">
        <v>2.5000000000000001E-2</v>
      </c>
      <c r="C86">
        <v>0.125</v>
      </c>
    </row>
    <row r="87" spans="1:3" x14ac:dyDescent="0.3">
      <c r="A87" t="s">
        <v>1258</v>
      </c>
      <c r="B87">
        <v>0.03</v>
      </c>
      <c r="C87">
        <v>0.2</v>
      </c>
    </row>
    <row r="88" spans="1:3" x14ac:dyDescent="0.3">
      <c r="A88" t="s">
        <v>1259</v>
      </c>
      <c r="B88">
        <v>0.02</v>
      </c>
      <c r="C88">
        <v>0.18</v>
      </c>
    </row>
    <row r="89" spans="1:3" x14ac:dyDescent="0.3">
      <c r="A89" t="s">
        <v>1260</v>
      </c>
      <c r="B89">
        <v>2.5000000000000001E-2</v>
      </c>
      <c r="C89">
        <v>0.15</v>
      </c>
    </row>
    <row r="90" spans="1:3" x14ac:dyDescent="0.3">
      <c r="A90" t="s">
        <v>1261</v>
      </c>
      <c r="B90">
        <v>3.5000000000000003E-2</v>
      </c>
      <c r="C90">
        <v>0.15</v>
      </c>
    </row>
    <row r="91" spans="1:3" x14ac:dyDescent="0.3">
      <c r="A91" t="s">
        <v>1262</v>
      </c>
      <c r="B91">
        <v>0.08</v>
      </c>
      <c r="C91">
        <v>0.75</v>
      </c>
    </row>
    <row r="95" spans="1:3" x14ac:dyDescent="0.3">
      <c r="A95" s="40" t="s">
        <v>1586</v>
      </c>
    </row>
    <row r="96" spans="1:3" x14ac:dyDescent="0.3">
      <c r="A96" s="40" t="s">
        <v>1587</v>
      </c>
    </row>
    <row r="97" spans="1:1" x14ac:dyDescent="0.3">
      <c r="A97" s="40" t="s">
        <v>1588</v>
      </c>
    </row>
    <row r="98" spans="1:1" x14ac:dyDescent="0.3">
      <c r="A98" s="40" t="s">
        <v>1589</v>
      </c>
    </row>
    <row r="99" spans="1:1" x14ac:dyDescent="0.3">
      <c r="A99" s="40" t="s">
        <v>1590</v>
      </c>
    </row>
  </sheetData>
  <mergeCells count="3">
    <mergeCell ref="A23:M23"/>
    <mergeCell ref="A1:L1"/>
    <mergeCell ref="A42:M42"/>
  </mergeCells>
  <dataValidations count="4">
    <dataValidation type="list" allowBlank="1" showInputMessage="1" showErrorMessage="1" sqref="P60:P74" xr:uid="{9AA15FA4-D49E-4D69-8D73-7B47EFD91D95}">
      <formula1>"5,4,3,2,1"</formula1>
    </dataValidation>
    <dataValidation type="list" allowBlank="1" showInputMessage="1" showErrorMessage="1" sqref="J60:J74" xr:uid="{6EC31358-1DBA-4407-B72C-8AB98FACCDEE}">
      <formula1>"High Hygroscopic,Hygroscopic,Normal"</formula1>
    </dataValidation>
    <dataValidation type="list" allowBlank="1" showInputMessage="1" showErrorMessage="1" sqref="H60:H74" xr:uid="{63B10F33-DE10-4963-A402-3FAF5182766E}">
      <formula1>"0,100,70,50,30,20"</formula1>
    </dataValidation>
    <dataValidation type="list" allowBlank="1" showInputMessage="1" showErrorMessage="1" sqref="F60:F74" xr:uid="{8AC42914-82AE-4DA0-B2CC-31D66A4C348B}">
      <formula1>"Open, Enclosure "</formula1>
    </dataValidation>
  </dataValidations>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94121-CEF1-4163-A138-3B22D0EDE2CC}">
  <sheetPr codeName="Sheet11"/>
  <dimension ref="A1:C49"/>
  <sheetViews>
    <sheetView workbookViewId="0">
      <selection activeCell="K13" sqref="K13"/>
    </sheetView>
  </sheetViews>
  <sheetFormatPr defaultRowHeight="14.4" x14ac:dyDescent="0.3"/>
  <cols>
    <col min="1" max="1" width="12.6640625" bestFit="1" customWidth="1"/>
    <col min="2" max="2" width="19.44140625" bestFit="1" customWidth="1"/>
    <col min="3" max="3" width="9" bestFit="1" customWidth="1"/>
  </cols>
  <sheetData>
    <row r="1" spans="1:3" x14ac:dyDescent="0.3">
      <c r="A1" s="2" t="s">
        <v>1562</v>
      </c>
      <c r="B1" s="42" t="s">
        <v>300</v>
      </c>
      <c r="C1" s="42" t="s">
        <v>100</v>
      </c>
    </row>
    <row r="2" spans="1:3" x14ac:dyDescent="0.3">
      <c r="A2" s="3" t="s">
        <v>270</v>
      </c>
      <c r="B2" s="37" t="s">
        <v>13</v>
      </c>
      <c r="C2" s="33">
        <v>0.15</v>
      </c>
    </row>
    <row r="3" spans="1:3" x14ac:dyDescent="0.3">
      <c r="A3" s="4"/>
      <c r="B3" s="38" t="s">
        <v>87</v>
      </c>
      <c r="C3" s="51">
        <v>0.2</v>
      </c>
    </row>
    <row r="4" spans="1:3" x14ac:dyDescent="0.3">
      <c r="A4" s="3"/>
      <c r="B4" s="37"/>
      <c r="C4" s="33"/>
    </row>
    <row r="5" spans="1:3" x14ac:dyDescent="0.3">
      <c r="A5" s="4"/>
      <c r="B5" s="38"/>
      <c r="C5" s="66"/>
    </row>
    <row r="6" spans="1:3" x14ac:dyDescent="0.3">
      <c r="A6" s="3"/>
      <c r="B6" s="37"/>
      <c r="C6" s="35"/>
    </row>
    <row r="7" spans="1:3" x14ac:dyDescent="0.3">
      <c r="A7" s="4"/>
      <c r="B7" s="38"/>
      <c r="C7" s="66"/>
    </row>
    <row r="8" spans="1:3" x14ac:dyDescent="0.3">
      <c r="A8" s="3"/>
      <c r="B8" s="37"/>
      <c r="C8" s="35"/>
    </row>
    <row r="9" spans="1:3" x14ac:dyDescent="0.3">
      <c r="A9" s="4"/>
      <c r="B9" s="38"/>
      <c r="C9" s="66"/>
    </row>
    <row r="10" spans="1:3" x14ac:dyDescent="0.3">
      <c r="A10" s="3"/>
      <c r="B10" s="37"/>
      <c r="C10" s="35"/>
    </row>
    <row r="11" spans="1:3" x14ac:dyDescent="0.3">
      <c r="A11" s="4"/>
      <c r="B11" s="4"/>
      <c r="C11" s="66"/>
    </row>
    <row r="12" spans="1:3" x14ac:dyDescent="0.3">
      <c r="A12" s="3"/>
      <c r="B12" s="3"/>
      <c r="C12" s="35"/>
    </row>
    <row r="13" spans="1:3" x14ac:dyDescent="0.3">
      <c r="A13" s="4"/>
      <c r="B13" s="4"/>
      <c r="C13" s="66"/>
    </row>
    <row r="14" spans="1:3" x14ac:dyDescent="0.3">
      <c r="A14" s="3" t="s">
        <v>1568</v>
      </c>
      <c r="B14" s="37" t="s">
        <v>13</v>
      </c>
      <c r="C14" s="33">
        <v>0.4</v>
      </c>
    </row>
    <row r="15" spans="1:3" x14ac:dyDescent="0.3">
      <c r="A15" s="4"/>
      <c r="B15" s="38" t="s">
        <v>87</v>
      </c>
      <c r="C15" s="51">
        <v>0.25</v>
      </c>
    </row>
    <row r="16" spans="1:3" x14ac:dyDescent="0.3">
      <c r="A16" s="3"/>
      <c r="B16" s="37"/>
      <c r="C16" s="33"/>
    </row>
    <row r="17" spans="1:3" x14ac:dyDescent="0.3">
      <c r="A17" s="4"/>
      <c r="B17" s="38"/>
      <c r="C17" s="66"/>
    </row>
    <row r="18" spans="1:3" x14ac:dyDescent="0.3">
      <c r="A18" s="3"/>
      <c r="B18" s="37"/>
      <c r="C18" s="35"/>
    </row>
    <row r="19" spans="1:3" x14ac:dyDescent="0.3">
      <c r="A19" s="4"/>
      <c r="B19" s="38"/>
      <c r="C19" s="66"/>
    </row>
    <row r="20" spans="1:3" x14ac:dyDescent="0.3">
      <c r="A20" s="3"/>
      <c r="B20" s="3"/>
      <c r="C20" s="35"/>
    </row>
    <row r="21" spans="1:3" x14ac:dyDescent="0.3">
      <c r="A21" s="4"/>
      <c r="B21" s="4"/>
      <c r="C21" s="66"/>
    </row>
    <row r="22" spans="1:3" x14ac:dyDescent="0.3">
      <c r="A22" s="3"/>
      <c r="B22" s="3"/>
      <c r="C22" s="35"/>
    </row>
    <row r="23" spans="1:3" x14ac:dyDescent="0.3">
      <c r="A23" s="4"/>
      <c r="B23" s="4"/>
      <c r="C23" s="66"/>
    </row>
    <row r="24" spans="1:3" x14ac:dyDescent="0.3">
      <c r="A24" s="3"/>
      <c r="B24" s="3"/>
      <c r="C24" s="35"/>
    </row>
    <row r="25" spans="1:3" x14ac:dyDescent="0.3">
      <c r="A25" s="4" t="s">
        <v>1569</v>
      </c>
      <c r="B25" s="38" t="s">
        <v>13</v>
      </c>
      <c r="C25" s="51">
        <v>0.15</v>
      </c>
    </row>
    <row r="26" spans="1:3" x14ac:dyDescent="0.3">
      <c r="A26" s="3"/>
      <c r="B26" s="37" t="s">
        <v>87</v>
      </c>
      <c r="C26" s="33">
        <v>0.2</v>
      </c>
    </row>
    <row r="27" spans="1:3" x14ac:dyDescent="0.3">
      <c r="A27" s="4"/>
      <c r="B27" s="38"/>
      <c r="C27" s="66"/>
    </row>
    <row r="28" spans="1:3" x14ac:dyDescent="0.3">
      <c r="A28" s="3"/>
      <c r="B28" s="37"/>
      <c r="C28" s="35"/>
    </row>
    <row r="29" spans="1:3" x14ac:dyDescent="0.3">
      <c r="A29" s="4"/>
      <c r="B29" s="38"/>
      <c r="C29" s="66"/>
    </row>
    <row r="30" spans="1:3" x14ac:dyDescent="0.3">
      <c r="A30" s="3"/>
      <c r="B30" s="37"/>
      <c r="C30" s="35"/>
    </row>
    <row r="31" spans="1:3" x14ac:dyDescent="0.3">
      <c r="A31" s="4"/>
      <c r="B31" s="4"/>
      <c r="C31" s="66"/>
    </row>
    <row r="32" spans="1:3" x14ac:dyDescent="0.3">
      <c r="A32" s="3"/>
      <c r="B32" s="3"/>
      <c r="C32" s="35"/>
    </row>
    <row r="33" spans="1:3" x14ac:dyDescent="0.3">
      <c r="A33" s="4"/>
      <c r="B33" s="4"/>
      <c r="C33" s="66"/>
    </row>
    <row r="34" spans="1:3" x14ac:dyDescent="0.3">
      <c r="A34" s="3"/>
      <c r="B34" s="3"/>
      <c r="C34" s="35"/>
    </row>
    <row r="35" spans="1:3" x14ac:dyDescent="0.3">
      <c r="A35" s="4"/>
      <c r="B35" s="4"/>
      <c r="C35" s="66"/>
    </row>
    <row r="36" spans="1:3" x14ac:dyDescent="0.3">
      <c r="A36" s="3"/>
      <c r="B36" s="3"/>
      <c r="C36" s="35"/>
    </row>
    <row r="37" spans="1:3" x14ac:dyDescent="0.3">
      <c r="A37" s="4" t="s">
        <v>746</v>
      </c>
      <c r="B37" s="38" t="s">
        <v>13</v>
      </c>
      <c r="C37" s="51">
        <v>0.15</v>
      </c>
    </row>
    <row r="38" spans="1:3" x14ac:dyDescent="0.3">
      <c r="A38" s="3"/>
      <c r="B38" s="37" t="s">
        <v>87</v>
      </c>
      <c r="C38" s="33">
        <v>0.2</v>
      </c>
    </row>
    <row r="39" spans="1:3" x14ac:dyDescent="0.3">
      <c r="A39" s="4"/>
      <c r="B39" s="38"/>
      <c r="C39" s="66"/>
    </row>
    <row r="40" spans="1:3" x14ac:dyDescent="0.3">
      <c r="A40" s="3"/>
      <c r="B40" s="37"/>
      <c r="C40" s="41"/>
    </row>
    <row r="41" spans="1:3" x14ac:dyDescent="0.3">
      <c r="A41" s="4"/>
      <c r="B41" s="38"/>
      <c r="C41" s="52"/>
    </row>
    <row r="42" spans="1:3" x14ac:dyDescent="0.3">
      <c r="A42" s="3"/>
      <c r="B42" s="37"/>
      <c r="C42" s="41"/>
    </row>
    <row r="43" spans="1:3" x14ac:dyDescent="0.3">
      <c r="A43" s="4"/>
      <c r="B43" s="4"/>
      <c r="C43" s="52"/>
    </row>
    <row r="44" spans="1:3" x14ac:dyDescent="0.3">
      <c r="A44" s="3"/>
      <c r="B44" s="3"/>
      <c r="C44" s="41"/>
    </row>
    <row r="45" spans="1:3" x14ac:dyDescent="0.3">
      <c r="A45" s="4"/>
      <c r="B45" s="4"/>
      <c r="C45" s="52"/>
    </row>
    <row r="46" spans="1:3" x14ac:dyDescent="0.3">
      <c r="A46" s="3"/>
      <c r="B46" s="3"/>
      <c r="C46" s="41"/>
    </row>
    <row r="47" spans="1:3" x14ac:dyDescent="0.3">
      <c r="A47" s="4"/>
      <c r="B47" s="4"/>
      <c r="C47" s="52"/>
    </row>
    <row r="48" spans="1:3" x14ac:dyDescent="0.3">
      <c r="A48" s="3"/>
      <c r="B48" s="3"/>
      <c r="C48" s="41"/>
    </row>
    <row r="49" spans="1:3" x14ac:dyDescent="0.3">
      <c r="A49" s="4" t="s">
        <v>1573</v>
      </c>
      <c r="B49" s="4"/>
      <c r="C49" s="52"/>
    </row>
  </sheetData>
  <pageMargins left="0.7" right="0.7" top="0.75" bottom="0.75" header="0.3" footer="0.3"/>
</worksheet>
</file>

<file path=customUI/customUI14.xml><?xml version="1.0" encoding="utf-8"?>
<customUI xmlns="http://schemas.microsoft.com/office/2009/07/customui" onLoad="OnSlicerRibbonLoad">
  <ribbon startFromScratch="false">
    <tabs>
      <tab id="Slicer_Tab" label="Slicer">
        <group id="Slicer_MainGroup" label="Profile Generator">
          <button id="Slicer_generateProfiles" label="Generate Profiles" imageMso="EditConnectedSystem" size="large" onAction="Slicer_GenerateProfiles_Click"/>
          <dropDown id="Slicer_MachineSelection" label="Machine" sizeString="XXXXXXXXXXXXXXXX" getSelectedItemID="GetMachineSelectedItemID" onAction="MachineSelected_OnAction" screentip="Select machine name">
            <item id="Slicer_MachineSelection_Anycubic4MaxPro_4mm" label="Anycubic 4Max Pro 0.4mm"/>
            <item id="Slicer_MachineSelection_Anycubic4MaxPro_6mm" label="Anycubic 4Max Pro 0.6mm"/>
            <item id="Slicer_MachineSelection_Ender3_4mm" label="Ender 3 0.4mm"/>
            <item id="Slicer_MachineSelection_Ender3_6mm" label="Ender 3 0.6mm"/>
          </dropDown>
          <dropDown id="Slicer_genSelection" label="Profile Generator" sizeString="XXXXXXXXXXXXXXXX" getSelectedItemID="GetProfileGeneratorSelectedItemID" onAction="ProfileGeneratorSelected_OnAction" screentip="Select Slicer Type">
            <item id="Slicer_genSelection_slic3r" label="Slic3r"/>
            <item id="Slicer_genSelection_cura" label="Cura"/>
            <item id="Slicer_genSelection_s3d" label="S3D"/>
            <item id="Slicer_genSelection_prusa" label="Prusa"/>
            <item id="Slicer_genSelection_super" label="Super"/>
          </dropDown>
          <dropDown id="Slicer_profiletype" label="Profile Type" sizeString="XXXXXXXXXXXXXXXX" getSelectedItemID="GetProfileTypeSelectedItemID" onAction="ProfileTypeSelected_OnAction" screentip="Select Profile Type">
            <item id="Slicer_ProfileType_General" label="General"/>
            <item id="Slicer_ProfileType_Parts" label="Parts"/>
            <item id="Slicer_ProfileType_Model" label="Model"/>
            <item id="Slicer_ProfileType_Draft" label="Draft"/>
          </dropDown>
          <button id="Slicer_cleanupProfiles" label="Cleanup Profiles" imageMso="Delete" onAction="Slicer_CleanupProfiles_Click"/>
        </group>
        <group id="slic3r_RecalculationGroup" label="Recalculation">
          <button id="Slicer_calculateNow" label="ReCalculate Now" imageMso="CalculateNow" size="large" onAction="Slicer_RecalculateAll_Click"/>
          <dropDown id="Slicer_filamenttype" label="Filament Type" sizeString="XXXXXXXXXXXXXXXX" getSelectedItemID="GetFilamentTypeSelectedItemID" onAction="FilamentTypeSelected_OnAction" screentip="Select Filament Type">
            <item id="Slicer_FilamentType_PLA" label="PLA"/>
            <item id="Slicer_FilamentType_PETG" label="PETG"/>
            <item id="Slicer_FilamentType_ABS" label="ABS"/>
            <item id="Slicer_FilamentType_ASA" label="ASA"/>
            <item id="Slicer_FilamentType_Nylon" label="Nylon"/>
            <item id="Slicer_FilamentType_PP" label="PP"/>
            <item id="Slicer_FilamentType_TPU" label="TPU"/>
            <item id="Slicer_FilamentType_HIPS" label="HIPS"/>
            <item id="Slicer_FilamentType_PC" label="PC"/>
          </dropDown>
        </group>
        <group id="slic3r_ImportExportGroup" label="Prusa/Super Update Settings">
          <button id="slic3r_updateConfigSettings" label="Update Config Settings" imageMso="ImportExport" size="large" onAction="slic3r_UpdateConfigSettings_Click"/>
          <button id="slic3r_markOldConfigSettings" label="Mark Old Config Settings" imageMso="BookmarkInsert" size="normal" onAction="slic3r_markOldConfigSettings_Click"/>
          <button id="slic3r_markDuplicateSettings" label="Mark Duplicate Settings" imageMso="RemoveDuplicates" size="normal" onAction="slic3r_markDuplicateSettings_Click"/>
        </group>
        <group id="Slicer_ImportExportGroup" label="Tools">
          <button id="Slicer_formatCurrentSheet" label="Format Active Sheet" imageMso="ConditionalFormattingColorScalesGallery" size="large" onAction="Slicer_FormatActiveSheet_Click"/>
          <button id="Slicer_openFolder" label="Insert Folder" imageMso="ContentFolderMenu" size="large" onAction="Slicer_OpenFolder_Click"/>
          <button id="Slicer_insertrow" label="Insert Config Row" imageMso="TableInsertRowsBelow" size="large" onAction="Slicer_InsertConfigRow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18</vt:i4>
      </vt:variant>
    </vt:vector>
  </HeadingPairs>
  <TitlesOfParts>
    <vt:vector size="30" baseType="lpstr">
      <vt:lpstr>profile_spec</vt:lpstr>
      <vt:lpstr>spec</vt:lpstr>
      <vt:lpstr>printer</vt:lpstr>
      <vt:lpstr>filament</vt:lpstr>
      <vt:lpstr>print</vt:lpstr>
      <vt:lpstr>s3d_profile</vt:lpstr>
      <vt:lpstr>cura_quality</vt:lpstr>
      <vt:lpstr>spec_speed</vt:lpstr>
      <vt:lpstr>spec_linewidth</vt:lpstr>
      <vt:lpstr>spec_layers</vt:lpstr>
      <vt:lpstr>spec_filament</vt:lpstr>
      <vt:lpstr>spec_misc</vt:lpstr>
      <vt:lpstr>CURA_APPDATA_FOLDER</vt:lpstr>
      <vt:lpstr>FILAMENT_RANGE</vt:lpstr>
      <vt:lpstr>HotendType</vt:lpstr>
      <vt:lpstr>Max_Layer_Height</vt:lpstr>
      <vt:lpstr>Meterial_Thickness</vt:lpstr>
      <vt:lpstr>Min_Layer_Height</vt:lpstr>
      <vt:lpstr>Nozzle_Diameter</vt:lpstr>
      <vt:lpstr>PRINTER_DEF</vt:lpstr>
      <vt:lpstr>PRINTER_ID</vt:lpstr>
      <vt:lpstr>Printer_Name</vt:lpstr>
      <vt:lpstr>PRINTER_NAME_GENERIC</vt:lpstr>
      <vt:lpstr>PROFILE_TYPE</vt:lpstr>
      <vt:lpstr>PRUSA_APPDATA_FOLDER</vt:lpstr>
      <vt:lpstr>S3D_APPDATA_FOLDER</vt:lpstr>
      <vt:lpstr>SLICE3R_APPDATA_FOLDER</vt:lpstr>
      <vt:lpstr>SLICER_ID</vt:lpstr>
      <vt:lpstr>SpeedType</vt:lpstr>
      <vt:lpstr>SUPER_APPDATA_FOLDER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2022-09-23T19:39:34Z</dcterms:modified>
</cp:coreProperties>
</file>