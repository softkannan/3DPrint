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7f4a06b9e6a4bec"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633911B6-5CB8-4F65-B24A-FB0C9134BE9C}" xr6:coauthVersionLast="47" xr6:coauthVersionMax="47" xr10:uidLastSave="{00000000-0000-0000-0000-000000000000}"/>
  <bookViews>
    <workbookView xWindow="-120" yWindow="-120" windowWidth="29040" windowHeight="15840" activeTab="6" xr2:uid="{E8DF9499-C68D-4AF3-B2AA-BB8266EB0F5B}"/>
  </bookViews>
  <sheets>
    <sheet name="profile_spec" sheetId="24" r:id="rId1"/>
    <sheet name="spec" sheetId="6" r:id="rId2"/>
    <sheet name="spec_filament" sheetId="13" r:id="rId3"/>
    <sheet name="printer" sheetId="5" r:id="rId4"/>
    <sheet name="filament_ender3" sheetId="26" r:id="rId5"/>
    <sheet name="filament" sheetId="3" r:id="rId6"/>
    <sheet name="print" sheetId="2" r:id="rId7"/>
    <sheet name="print_PETG" sheetId="11" r:id="rId8"/>
    <sheet name="s3d_profile" sheetId="25" r:id="rId9"/>
    <sheet name="cura_quality" sheetId="20" r:id="rId10"/>
  </sheets>
  <functionGroups builtInGroupCount="19"/>
  <definedNames>
    <definedName name="CURA_APPDATA_FOLDER">profile_spec!$B$17</definedName>
    <definedName name="FILAMENT_RANGE">filament!$C$1:$M$108</definedName>
    <definedName name="HotendType">spec!$B$15</definedName>
    <definedName name="Max_Layer_Height">spec!$B$12</definedName>
    <definedName name="Meterial_Thickness">spec!$B$14</definedName>
    <definedName name="Min_Layer_Height">spec!$B$11</definedName>
    <definedName name="Nozzle_Diameter">spec!$B$2</definedName>
    <definedName name="PRINTER_DEF">spec!$B$10</definedName>
    <definedName name="PRINTER_ID">spec!$B$8</definedName>
    <definedName name="Printer_Name">spec!$B$7</definedName>
    <definedName name="PRINTER_NAME_GENERIC">spec!$B$6</definedName>
    <definedName name="PRUSA_APPDATA_FOLDER">profile_spec!$B$7</definedName>
    <definedName name="S3D_APPDATA_FOLDER">profile_spec!$B$22</definedName>
    <definedName name="SLICE3R_APPDATA_FOLDER">profile_spec!$B$2</definedName>
    <definedName name="SLICER_ID">spec!$B$9</definedName>
    <definedName name="SpeedType">spec!$B$13</definedName>
    <definedName name="SUPER_APPDATA_FOLDER">profile_spec!$B$12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29" i="2" l="1"/>
  <c r="D118" i="2"/>
  <c r="D67" i="26"/>
  <c r="D67" i="3"/>
  <c r="D135" i="2"/>
  <c r="D136" i="2"/>
  <c r="D48" i="6"/>
  <c r="D46" i="6"/>
  <c r="C22" i="6"/>
  <c r="D22" i="6"/>
  <c r="C23" i="6"/>
  <c r="D23" i="6"/>
  <c r="C26" i="6"/>
  <c r="D26" i="6"/>
  <c r="C27" i="6"/>
  <c r="D27" i="6"/>
  <c r="C28" i="6"/>
  <c r="D28" i="6"/>
  <c r="D173" i="2"/>
  <c r="E110" i="20"/>
  <c r="E109" i="20"/>
  <c r="E108" i="20"/>
  <c r="A224" i="11"/>
  <c r="C107" i="11"/>
  <c r="B67" i="11"/>
  <c r="A234" i="11"/>
  <c r="A313" i="11"/>
  <c r="C103" i="11"/>
  <c r="B304" i="11"/>
  <c r="C238" i="11"/>
  <c r="C385" i="11"/>
  <c r="B180" i="11"/>
  <c r="C300" i="11"/>
  <c r="C148" i="11"/>
  <c r="A229" i="11"/>
  <c r="C292" i="11"/>
  <c r="C290" i="11"/>
  <c r="B154" i="11"/>
  <c r="B387" i="11"/>
  <c r="C143" i="11"/>
  <c r="B47" i="11"/>
  <c r="B345" i="11"/>
  <c r="B110" i="11"/>
  <c r="B231" i="11"/>
  <c r="C105" i="11"/>
  <c r="C193" i="11"/>
  <c r="C34" i="11"/>
  <c r="A139" i="11"/>
  <c r="B377" i="11"/>
  <c r="B91" i="11"/>
  <c r="B364" i="11"/>
  <c r="B48" i="11"/>
  <c r="B50" i="11"/>
  <c r="C209" i="11"/>
  <c r="C379" i="11"/>
  <c r="B302" i="11"/>
  <c r="B388" i="11"/>
  <c r="A49" i="11"/>
  <c r="C170" i="11"/>
  <c r="A70" i="11"/>
  <c r="B41" i="11"/>
  <c r="B261" i="11"/>
  <c r="B147" i="11"/>
  <c r="A166" i="11"/>
  <c r="A390" i="11"/>
  <c r="C252" i="11"/>
  <c r="C200" i="11"/>
  <c r="A94" i="11"/>
  <c r="B76" i="11"/>
  <c r="C52" i="11"/>
  <c r="C315" i="11"/>
  <c r="A359" i="11"/>
  <c r="A225" i="11"/>
  <c r="B18" i="11"/>
  <c r="C371" i="11"/>
  <c r="A291" i="11"/>
  <c r="B17" i="11"/>
  <c r="B287" i="11"/>
  <c r="C313" i="11"/>
  <c r="B265" i="11"/>
  <c r="A335" i="11"/>
  <c r="B88" i="11"/>
  <c r="A77" i="11"/>
  <c r="B209" i="11"/>
  <c r="C98" i="11"/>
  <c r="B295" i="11"/>
  <c r="B286" i="11"/>
  <c r="A128" i="11"/>
  <c r="A55" i="11"/>
  <c r="C199" i="11"/>
  <c r="A257" i="11"/>
  <c r="A126" i="11"/>
  <c r="B272" i="11"/>
  <c r="B130" i="11"/>
  <c r="B230" i="11"/>
  <c r="B195" i="11"/>
  <c r="A24" i="11"/>
  <c r="C121" i="11"/>
  <c r="C281" i="11"/>
  <c r="B89" i="11"/>
  <c r="B262" i="11"/>
  <c r="B36" i="11"/>
  <c r="A228" i="11"/>
  <c r="C54" i="11"/>
  <c r="A134" i="11"/>
  <c r="C183" i="11"/>
  <c r="B121" i="11"/>
  <c r="A192" i="11"/>
  <c r="B181" i="11"/>
  <c r="A319" i="11"/>
  <c r="C267" i="11"/>
  <c r="A32" i="11"/>
  <c r="C391" i="11"/>
  <c r="A308" i="11"/>
  <c r="B22" i="11"/>
  <c r="A39" i="11"/>
  <c r="C195" i="11"/>
  <c r="C226" i="11"/>
  <c r="A267" i="11"/>
  <c r="C28" i="11"/>
  <c r="A123" i="11"/>
  <c r="B240" i="11"/>
  <c r="A122" i="11"/>
  <c r="C72" i="11"/>
  <c r="C216" i="11"/>
  <c r="C198" i="11"/>
  <c r="C38" i="11"/>
  <c r="B191" i="11"/>
  <c r="A258" i="11"/>
  <c r="B163" i="11"/>
  <c r="A357" i="11"/>
  <c r="B118" i="11"/>
  <c r="A51" i="11"/>
  <c r="C164" i="11"/>
  <c r="A353" i="11"/>
  <c r="C177" i="11"/>
  <c r="C42" i="11"/>
  <c r="B288" i="11"/>
  <c r="A76" i="11"/>
  <c r="A360" i="11"/>
  <c r="A286" i="11"/>
  <c r="C186" i="11"/>
  <c r="A99" i="11"/>
  <c r="C208" i="11"/>
  <c r="B160" i="11"/>
  <c r="A217" i="11"/>
  <c r="B235" i="11"/>
  <c r="B216" i="11"/>
  <c r="A152" i="11"/>
  <c r="A345" i="11"/>
  <c r="C16" i="11"/>
  <c r="B123" i="11"/>
  <c r="A270" i="11"/>
  <c r="B134" i="11"/>
  <c r="C150" i="11"/>
  <c r="B324" i="11"/>
  <c r="B149" i="11"/>
  <c r="A100" i="11"/>
  <c r="A89" i="11"/>
  <c r="B170" i="11"/>
  <c r="A183" i="11"/>
  <c r="B383" i="11"/>
  <c r="A68" i="11"/>
  <c r="A113" i="11"/>
  <c r="B92" i="11"/>
  <c r="A372" i="11"/>
  <c r="A45" i="11"/>
  <c r="A312" i="11"/>
  <c r="B70" i="11"/>
  <c r="C366" i="11"/>
  <c r="A36" i="11"/>
  <c r="A273" i="11"/>
  <c r="B344" i="11"/>
  <c r="B182" i="11"/>
  <c r="C309" i="11"/>
  <c r="A145" i="11"/>
  <c r="C287" i="11"/>
  <c r="A60" i="11"/>
  <c r="B142" i="11"/>
  <c r="A95" i="11"/>
  <c r="C89" i="11"/>
  <c r="B87" i="11"/>
  <c r="A198" i="11"/>
  <c r="A116" i="11"/>
  <c r="B337" i="11"/>
  <c r="C95" i="11"/>
  <c r="C101" i="11"/>
  <c r="C191" i="11"/>
  <c r="C134" i="11"/>
  <c r="C61" i="11"/>
  <c r="C147" i="11"/>
  <c r="C109" i="11"/>
  <c r="C74" i="11"/>
  <c r="C344" i="11"/>
  <c r="C245" i="11"/>
  <c r="A178" i="11"/>
  <c r="B334" i="11"/>
  <c r="A48" i="11"/>
  <c r="B330" i="11"/>
  <c r="A264" i="11"/>
  <c r="A66" i="11"/>
  <c r="B124" i="11"/>
  <c r="B245" i="11"/>
  <c r="C325" i="11"/>
  <c r="C171" i="11"/>
  <c r="A150" i="11"/>
  <c r="B72" i="11"/>
  <c r="C275" i="11"/>
  <c r="C319" i="11"/>
  <c r="A241" i="11"/>
  <c r="B138" i="11"/>
  <c r="B129" i="11"/>
  <c r="A339" i="11"/>
  <c r="A157" i="11"/>
  <c r="B226" i="11"/>
  <c r="B77" i="11"/>
  <c r="B332" i="11"/>
  <c r="A174" i="11"/>
  <c r="B196" i="11"/>
  <c r="C145" i="11"/>
  <c r="B112" i="11"/>
  <c r="B236" i="11"/>
  <c r="A129" i="11"/>
  <c r="B224" i="11"/>
  <c r="C174" i="11"/>
  <c r="C326" i="11"/>
  <c r="A180" i="11"/>
  <c r="C196" i="11"/>
  <c r="C80" i="11"/>
  <c r="C211" i="11"/>
  <c r="C125" i="11"/>
  <c r="C356" i="11"/>
  <c r="A277" i="11"/>
  <c r="C68" i="11"/>
  <c r="A389" i="11"/>
  <c r="A249" i="11"/>
  <c r="B325" i="11"/>
  <c r="A332" i="11"/>
  <c r="B101" i="11"/>
  <c r="C310" i="11"/>
  <c r="B42" i="11"/>
  <c r="A326" i="11"/>
  <c r="B120" i="11"/>
  <c r="C117" i="11"/>
  <c r="B397" i="11"/>
  <c r="C338" i="11"/>
  <c r="B115" i="11"/>
  <c r="C314" i="11"/>
  <c r="C75" i="11"/>
  <c r="C151" i="11"/>
  <c r="C116" i="11"/>
  <c r="A340" i="11"/>
  <c r="C220" i="11"/>
  <c r="C251" i="11"/>
  <c r="C341" i="11"/>
  <c r="B57" i="11"/>
  <c r="C293" i="11"/>
  <c r="A138" i="11"/>
  <c r="B305" i="11"/>
  <c r="B380" i="11"/>
  <c r="A333" i="11"/>
  <c r="A151" i="11"/>
  <c r="A65" i="11"/>
  <c r="A143" i="11"/>
  <c r="A248" i="11"/>
  <c r="C382" i="11"/>
  <c r="A393" i="11"/>
  <c r="D178" i="2"/>
  <c r="C240" i="11"/>
  <c r="B177" i="11"/>
  <c r="D177" i="2"/>
  <c r="C376" i="11"/>
  <c r="C158" i="11"/>
  <c r="B32" i="11"/>
  <c r="A322" i="11"/>
  <c r="B100" i="11"/>
  <c r="C302" i="11"/>
  <c r="B308" i="11"/>
  <c r="A316" i="11"/>
  <c r="C329" i="11"/>
  <c r="C370" i="11"/>
  <c r="C84" i="11"/>
  <c r="A292" i="11"/>
  <c r="A107" i="11"/>
  <c r="C156" i="11"/>
  <c r="A400" i="11"/>
  <c r="B367" i="11"/>
  <c r="A337" i="11"/>
  <c r="B311" i="11"/>
  <c r="C155" i="11"/>
  <c r="A161" i="11"/>
  <c r="C305" i="11"/>
  <c r="A67" i="11"/>
  <c r="B153" i="11"/>
  <c r="C47" i="11"/>
  <c r="C17" i="11"/>
  <c r="A342" i="11"/>
  <c r="C179" i="11"/>
  <c r="B37" i="11"/>
  <c r="A147" i="11"/>
  <c r="C97" i="11"/>
  <c r="A324" i="11"/>
  <c r="C70" i="11"/>
  <c r="A235" i="11"/>
  <c r="A341" i="11"/>
  <c r="A54" i="11"/>
  <c r="C201" i="11"/>
  <c r="A108" i="11"/>
  <c r="C235" i="11"/>
  <c r="B392" i="11"/>
  <c r="A120" i="11"/>
  <c r="C30" i="11"/>
  <c r="A125" i="11"/>
  <c r="B389" i="11"/>
  <c r="C163" i="11"/>
  <c r="C69" i="11"/>
  <c r="B104" i="11"/>
  <c r="B252" i="11"/>
  <c r="A281" i="11"/>
  <c r="A314" i="11"/>
  <c r="A144" i="11"/>
  <c r="A274" i="11"/>
  <c r="B283" i="11"/>
  <c r="B86" i="11"/>
  <c r="C229" i="11"/>
  <c r="C390" i="11"/>
  <c r="A41" i="11"/>
  <c r="C333" i="11"/>
  <c r="B140" i="11"/>
  <c r="A118" i="11"/>
  <c r="C321" i="11"/>
  <c r="C41" i="11"/>
  <c r="B60" i="11"/>
  <c r="B204" i="11"/>
  <c r="C265" i="11"/>
  <c r="B255" i="11"/>
  <c r="C247" i="11"/>
  <c r="A181" i="11"/>
  <c r="B151" i="11"/>
  <c r="B276" i="11"/>
  <c r="B210" i="11"/>
  <c r="A62" i="11"/>
  <c r="A323" i="11"/>
  <c r="C327" i="11"/>
  <c r="A197" i="11"/>
  <c r="C378" i="11"/>
  <c r="A255" i="11"/>
  <c r="C217" i="11"/>
  <c r="C261" i="11"/>
  <c r="C110" i="11"/>
  <c r="C37" i="11"/>
  <c r="C194" i="11"/>
  <c r="A376" i="11"/>
  <c r="C318" i="11"/>
  <c r="A127" i="11"/>
  <c r="C49" i="11"/>
  <c r="B298" i="11"/>
  <c r="A146" i="11"/>
  <c r="B155" i="11"/>
  <c r="C86" i="11"/>
  <c r="A22" i="11"/>
  <c r="B289" i="11"/>
  <c r="A19" i="11"/>
  <c r="C225" i="11"/>
  <c r="C394" i="11"/>
  <c r="A57" i="11"/>
  <c r="B179" i="11"/>
  <c r="C161" i="11"/>
  <c r="A358" i="11"/>
  <c r="C132" i="11"/>
  <c r="C129" i="11"/>
  <c r="A375" i="11"/>
  <c r="C274" i="11"/>
  <c r="C277" i="11"/>
  <c r="B39" i="11"/>
  <c r="C228" i="11"/>
  <c r="A208" i="11"/>
  <c r="B61" i="11"/>
  <c r="B148" i="11"/>
  <c r="A109" i="11"/>
  <c r="C24" i="11"/>
  <c r="A56" i="11"/>
  <c r="B371" i="11"/>
  <c r="C345" i="11"/>
  <c r="B270" i="11"/>
  <c r="B267" i="11"/>
  <c r="B187" i="11"/>
  <c r="A356" i="11"/>
  <c r="C280" i="11"/>
  <c r="B384" i="11"/>
  <c r="C335" i="11"/>
  <c r="B44" i="11"/>
  <c r="B186" i="11"/>
  <c r="C152" i="11"/>
  <c r="C296" i="11"/>
  <c r="A362" i="11"/>
  <c r="B102" i="11"/>
  <c r="B225" i="11"/>
  <c r="C348" i="11"/>
  <c r="B94" i="11"/>
  <c r="C254" i="11"/>
  <c r="A73" i="11"/>
  <c r="B45" i="11"/>
  <c r="C31" i="11"/>
  <c r="A158" i="11"/>
  <c r="C137" i="11"/>
  <c r="C342" i="11"/>
  <c r="A164" i="11"/>
  <c r="B95" i="11"/>
  <c r="C242" i="11"/>
  <c r="A256" i="11"/>
  <c r="B299" i="11"/>
  <c r="A250" i="11"/>
  <c r="C384" i="11"/>
  <c r="C87" i="11"/>
  <c r="A179" i="11"/>
  <c r="C328" i="11"/>
  <c r="A188" i="11"/>
  <c r="A382" i="11"/>
  <c r="B33" i="11"/>
  <c r="B259" i="11"/>
  <c r="B207" i="11"/>
  <c r="A121" i="11"/>
  <c r="A320" i="11"/>
  <c r="B342" i="11"/>
  <c r="A278" i="11"/>
  <c r="A168" i="11"/>
  <c r="A396" i="11"/>
  <c r="A81" i="11"/>
  <c r="A202" i="11"/>
  <c r="C67" i="11"/>
  <c r="A231" i="11"/>
  <c r="A259" i="11"/>
  <c r="B139" i="11"/>
  <c r="B53" i="11"/>
  <c r="C22" i="11"/>
  <c r="C354" i="11"/>
  <c r="B340" i="11"/>
  <c r="A280" i="11"/>
  <c r="C90" i="11"/>
  <c r="A219" i="11"/>
  <c r="A387" i="11"/>
  <c r="A136" i="11"/>
  <c r="B280" i="11"/>
  <c r="B106" i="11"/>
  <c r="A47" i="11"/>
  <c r="A196" i="11"/>
  <c r="A162" i="11"/>
  <c r="A102" i="11"/>
  <c r="C241" i="11"/>
  <c r="A371" i="11"/>
  <c r="B173" i="11"/>
  <c r="B246" i="11"/>
  <c r="A361" i="11"/>
  <c r="C20" i="11"/>
  <c r="A218" i="11"/>
  <c r="B333" i="11"/>
  <c r="B132" i="11"/>
  <c r="B63" i="11"/>
  <c r="B296" i="11"/>
  <c r="A42" i="11"/>
  <c r="C388" i="11"/>
  <c r="C112" i="11"/>
  <c r="A227" i="11"/>
  <c r="A97" i="11"/>
  <c r="C189" i="11"/>
  <c r="B169" i="11"/>
  <c r="A18" i="11"/>
  <c r="C173" i="11"/>
  <c r="B55" i="11"/>
  <c r="A72" i="11"/>
  <c r="C93" i="11"/>
  <c r="D243" i="2"/>
  <c r="A237" i="11"/>
  <c r="B192" i="11"/>
  <c r="C60" i="11"/>
  <c r="A244" i="11"/>
  <c r="A240" i="11"/>
  <c r="A269" i="11"/>
  <c r="A268" i="11"/>
  <c r="C361" i="11"/>
  <c r="B211" i="11"/>
  <c r="A298" i="11"/>
  <c r="B165" i="11"/>
  <c r="C169" i="11"/>
  <c r="A394" i="11"/>
  <c r="B313" i="11"/>
  <c r="C284" i="11"/>
  <c r="B185" i="11"/>
  <c r="A37" i="11"/>
  <c r="B212" i="11"/>
  <c r="C387" i="11"/>
  <c r="D181" i="2"/>
  <c r="A26" i="11"/>
  <c r="A381" i="11"/>
  <c r="C144" i="11"/>
  <c r="A114" i="11"/>
  <c r="C374" i="11"/>
  <c r="B81" i="11"/>
  <c r="A104" i="11"/>
  <c r="C367" i="11"/>
  <c r="A363" i="11"/>
  <c r="C396" i="11"/>
  <c r="B34" i="11"/>
  <c r="C347" i="11"/>
  <c r="C373" i="11"/>
  <c r="A283" i="11"/>
  <c r="C263" i="11"/>
  <c r="B137" i="11"/>
  <c r="B152" i="11"/>
  <c r="A195" i="11"/>
  <c r="B206" i="11"/>
  <c r="B136" i="11"/>
  <c r="A373" i="11"/>
  <c r="C364" i="11"/>
  <c r="B307" i="11"/>
  <c r="A245" i="11"/>
  <c r="A351" i="11"/>
  <c r="B111" i="11"/>
  <c r="B277" i="11"/>
  <c r="B188" i="11"/>
  <c r="C297" i="11"/>
  <c r="C50" i="11"/>
  <c r="A135" i="11"/>
  <c r="C286" i="11"/>
  <c r="A130" i="11"/>
  <c r="A35" i="11"/>
  <c r="A207" i="11"/>
  <c r="B193" i="11"/>
  <c r="A27" i="11"/>
  <c r="C279" i="11"/>
  <c r="A384" i="11"/>
  <c r="C288" i="11"/>
  <c r="B68" i="11"/>
  <c r="B74" i="11"/>
  <c r="A383" i="11"/>
  <c r="A344" i="11"/>
  <c r="B29" i="11"/>
  <c r="A266" i="11"/>
  <c r="C244" i="11"/>
  <c r="C349" i="11"/>
  <c r="C18" i="11"/>
  <c r="A318" i="11"/>
  <c r="C303" i="11"/>
  <c r="C206" i="11"/>
  <c r="A275" i="11"/>
  <c r="A354" i="11"/>
  <c r="B291" i="11"/>
  <c r="C359" i="11"/>
  <c r="B58" i="11"/>
  <c r="C181" i="11"/>
  <c r="C55" i="11"/>
  <c r="A96" i="11"/>
  <c r="C146" i="11"/>
  <c r="B234" i="11"/>
  <c r="C259" i="11"/>
  <c r="C270" i="11"/>
  <c r="A83" i="11"/>
  <c r="B126" i="11"/>
  <c r="C256" i="11"/>
  <c r="B78" i="11"/>
  <c r="B16" i="11"/>
  <c r="A160" i="11"/>
  <c r="C268" i="11"/>
  <c r="B373" i="11"/>
  <c r="B391" i="11"/>
  <c r="C258" i="11"/>
  <c r="B352" i="11"/>
  <c r="A187" i="11"/>
  <c r="A165" i="11"/>
  <c r="A338" i="11"/>
  <c r="B320" i="11"/>
  <c r="C59" i="11"/>
  <c r="B96" i="11"/>
  <c r="C63" i="11"/>
  <c r="C190" i="11"/>
  <c r="C23" i="11"/>
  <c r="A16" i="11"/>
  <c r="A25" i="11"/>
  <c r="A287" i="11"/>
  <c r="B27" i="11"/>
  <c r="C294" i="11"/>
  <c r="B328" i="11"/>
  <c r="B69" i="11"/>
  <c r="A173" i="11"/>
  <c r="C207" i="11"/>
  <c r="B257" i="11"/>
  <c r="C114" i="11"/>
  <c r="A222" i="11"/>
  <c r="B376" i="11"/>
  <c r="C35" i="11"/>
  <c r="A238" i="11"/>
  <c r="A154" i="11"/>
  <c r="A252" i="11"/>
  <c r="C214" i="11"/>
  <c r="C45" i="11"/>
  <c r="C233" i="11"/>
  <c r="A302" i="11"/>
  <c r="B355" i="11"/>
  <c r="C122" i="11"/>
  <c r="A205" i="11"/>
  <c r="C250" i="11"/>
  <c r="A101" i="11"/>
  <c r="B25" i="11"/>
  <c r="A282" i="11"/>
  <c r="A223" i="11"/>
  <c r="C58" i="11"/>
  <c r="B400" i="11"/>
  <c r="C106" i="11"/>
  <c r="C46" i="11"/>
  <c r="C291" i="11"/>
  <c r="A294" i="11"/>
  <c r="B156" i="11"/>
  <c r="B190" i="11"/>
  <c r="C331" i="11"/>
  <c r="B269" i="11"/>
  <c r="C343" i="11"/>
  <c r="C381" i="11"/>
  <c r="A398" i="11"/>
  <c r="B119" i="11"/>
  <c r="C253" i="11"/>
  <c r="B46" i="11"/>
  <c r="C218" i="11"/>
  <c r="A186" i="11"/>
  <c r="B266" i="11"/>
  <c r="B52" i="11"/>
  <c r="C166" i="11"/>
  <c r="D180" i="2"/>
  <c r="A105" i="11"/>
  <c r="C124" i="11"/>
  <c r="A305" i="11"/>
  <c r="C236" i="11"/>
  <c r="C222" i="11"/>
  <c r="A61" i="11"/>
  <c r="A142" i="11"/>
  <c r="B258" i="11"/>
  <c r="B349" i="11"/>
  <c r="B114" i="11"/>
  <c r="C62" i="11"/>
  <c r="C113" i="11"/>
  <c r="C399" i="11"/>
  <c r="C128" i="11"/>
  <c r="A170" i="11"/>
  <c r="A69" i="11"/>
  <c r="C44" i="11"/>
  <c r="B93" i="11"/>
  <c r="C317" i="11"/>
  <c r="B300" i="11"/>
  <c r="A201" i="11"/>
  <c r="C154" i="11"/>
  <c r="A254" i="11"/>
  <c r="A103" i="11"/>
  <c r="B263" i="11"/>
  <c r="A334" i="11"/>
  <c r="B80" i="11"/>
  <c r="B113" i="11"/>
  <c r="B194" i="11"/>
  <c r="C79" i="11"/>
  <c r="C340" i="11"/>
  <c r="C350" i="11"/>
  <c r="C323" i="11"/>
  <c r="B43" i="11"/>
  <c r="A17" i="11"/>
  <c r="A215" i="11"/>
  <c r="B321" i="11"/>
  <c r="B133" i="11"/>
  <c r="C119" i="11"/>
  <c r="C368" i="11"/>
  <c r="C278" i="11"/>
  <c r="A115" i="11"/>
  <c r="C272" i="11"/>
  <c r="A21" i="11"/>
  <c r="B260" i="11"/>
  <c r="A370" i="11"/>
  <c r="A75" i="11"/>
  <c r="A230" i="11"/>
  <c r="A93" i="11"/>
  <c r="D179" i="2"/>
  <c r="B366" i="11"/>
  <c r="B327" i="11"/>
  <c r="A30" i="11"/>
  <c r="B323" i="11"/>
  <c r="B158" i="11"/>
  <c r="B228" i="11"/>
  <c r="B105" i="11"/>
  <c r="A53" i="11"/>
  <c r="C311" i="11"/>
  <c r="C36" i="11"/>
  <c r="C204" i="11"/>
  <c r="C283" i="11"/>
  <c r="B201" i="11"/>
  <c r="A368" i="11"/>
  <c r="C243" i="11"/>
  <c r="C136" i="11"/>
  <c r="C316" i="11"/>
  <c r="A331" i="11"/>
  <c r="C65" i="11"/>
  <c r="B178" i="11"/>
  <c r="C304" i="11"/>
  <c r="A117" i="11"/>
  <c r="B62" i="11"/>
  <c r="A369" i="11"/>
  <c r="A50" i="11"/>
  <c r="A306" i="11"/>
  <c r="B167" i="11"/>
  <c r="C285" i="11"/>
  <c r="C85" i="11"/>
  <c r="C153" i="11"/>
  <c r="B239" i="11"/>
  <c r="A137" i="11"/>
  <c r="B135" i="11"/>
  <c r="C139" i="11"/>
  <c r="C100" i="11"/>
  <c r="C39" i="11"/>
  <c r="B99" i="11"/>
  <c r="B382" i="11"/>
  <c r="C255" i="11"/>
  <c r="A315" i="11"/>
  <c r="C33" i="11"/>
  <c r="C104" i="11"/>
  <c r="C239" i="11"/>
  <c r="C167" i="11"/>
  <c r="C120" i="11"/>
  <c r="C353" i="11"/>
  <c r="A106" i="11"/>
  <c r="B361" i="11"/>
  <c r="A348" i="11"/>
  <c r="B223" i="11"/>
  <c r="A29" i="11"/>
  <c r="C77" i="11"/>
  <c r="A216" i="11"/>
  <c r="A271" i="11"/>
  <c r="A110" i="11"/>
  <c r="C386" i="11"/>
  <c r="A163" i="11"/>
  <c r="A226" i="11"/>
  <c r="B162" i="11"/>
  <c r="B297" i="11"/>
  <c r="C392" i="11"/>
  <c r="A272" i="11"/>
  <c r="A285" i="11"/>
  <c r="A80" i="11"/>
  <c r="B150" i="11"/>
  <c r="C19" i="11"/>
  <c r="B56" i="11"/>
  <c r="B200" i="11"/>
  <c r="A204" i="11"/>
  <c r="B54" i="11"/>
  <c r="B26" i="11"/>
  <c r="B375" i="11"/>
  <c r="B294" i="11"/>
  <c r="A364" i="11"/>
  <c r="A199" i="11"/>
  <c r="C184" i="11"/>
  <c r="C26" i="11"/>
  <c r="A40" i="11"/>
  <c r="B368" i="11"/>
  <c r="B131" i="11"/>
  <c r="A210" i="11"/>
  <c r="A79" i="11"/>
  <c r="B79" i="11"/>
  <c r="C21" i="11"/>
  <c r="C27" i="11"/>
  <c r="C365" i="11"/>
  <c r="B75" i="11"/>
  <c r="C88" i="11"/>
  <c r="A321" i="11"/>
  <c r="A211" i="11"/>
  <c r="B166" i="11"/>
  <c r="B65" i="11"/>
  <c r="A232" i="11"/>
  <c r="A209" i="11"/>
  <c r="B217" i="11"/>
  <c r="C43" i="11"/>
  <c r="A276" i="11"/>
  <c r="C78" i="11"/>
  <c r="C176" i="11"/>
  <c r="B144" i="11"/>
  <c r="B21" i="11"/>
  <c r="C157" i="11"/>
  <c r="B213" i="11"/>
  <c r="A167" i="11"/>
  <c r="B51" i="11"/>
  <c r="B98" i="11"/>
  <c r="A38" i="11"/>
  <c r="B116" i="11"/>
  <c r="A52" i="11"/>
  <c r="A300" i="11"/>
  <c r="C266" i="11"/>
  <c r="A279" i="11"/>
  <c r="C82" i="11"/>
  <c r="A310" i="11"/>
  <c r="C81" i="11"/>
  <c r="C48" i="11"/>
  <c r="A149" i="11"/>
  <c r="A246" i="11"/>
  <c r="A193" i="11"/>
  <c r="B205" i="11"/>
  <c r="B253" i="11"/>
  <c r="A233" i="11"/>
  <c r="B398" i="11"/>
  <c r="A253" i="11"/>
  <c r="B365" i="11"/>
  <c r="C32" i="11"/>
  <c r="A74" i="11"/>
  <c r="C276" i="11"/>
  <c r="B71" i="11"/>
  <c r="A261" i="11"/>
  <c r="A190" i="11"/>
  <c r="A71" i="11"/>
  <c r="A84" i="11"/>
  <c r="B84" i="11"/>
  <c r="A171" i="11"/>
  <c r="A185" i="11"/>
  <c r="C140" i="11"/>
  <c r="B174" i="11"/>
  <c r="C141" i="11"/>
  <c r="C260" i="11"/>
  <c r="C123" i="11"/>
  <c r="B122" i="11"/>
  <c r="C180" i="11"/>
  <c r="A141" i="11"/>
  <c r="C71" i="11"/>
  <c r="A265" i="11"/>
  <c r="C212" i="11"/>
  <c r="B128" i="11"/>
  <c r="C188" i="11"/>
  <c r="C165" i="11"/>
  <c r="A262" i="11"/>
  <c r="A87" i="11"/>
  <c r="A58" i="11"/>
  <c r="B341" i="11"/>
  <c r="A86" i="11"/>
  <c r="C76" i="11"/>
  <c r="C111" i="11"/>
  <c r="B247" i="11"/>
  <c r="B176" i="11"/>
  <c r="A395" i="11"/>
  <c r="A156" i="11"/>
  <c r="C57" i="11"/>
  <c r="C375" i="11"/>
  <c r="A303" i="11"/>
  <c r="C224" i="11"/>
  <c r="B215" i="11"/>
  <c r="B390" i="11"/>
  <c r="C357" i="11"/>
  <c r="A177" i="11"/>
  <c r="B292" i="11"/>
  <c r="A33" i="11"/>
  <c r="B219" i="11"/>
  <c r="B199" i="11"/>
  <c r="C320" i="11"/>
  <c r="A98" i="11"/>
  <c r="B279" i="11"/>
  <c r="B335" i="11"/>
  <c r="A82" i="11"/>
  <c r="C64" i="11"/>
  <c r="B310" i="11"/>
  <c r="A64" i="11"/>
  <c r="A203" i="11"/>
  <c r="A289" i="11"/>
  <c r="C205" i="11"/>
  <c r="A191" i="11"/>
  <c r="C131" i="11"/>
  <c r="B374" i="11"/>
  <c r="B35" i="11"/>
  <c r="A91" i="11"/>
  <c r="B357" i="11"/>
  <c r="B28" i="11"/>
  <c r="C83" i="11"/>
  <c r="C230" i="11"/>
  <c r="B23" i="11"/>
  <c r="C248" i="11"/>
  <c r="B218" i="11"/>
  <c r="A221" i="11"/>
  <c r="B125" i="11"/>
  <c r="C257" i="11"/>
  <c r="C92" i="11"/>
  <c r="A112" i="11"/>
  <c r="B161" i="11"/>
  <c r="B222" i="11"/>
  <c r="B19" i="11"/>
  <c r="B354" i="11"/>
  <c r="B197" i="11"/>
  <c r="C246" i="11"/>
  <c r="B348" i="11"/>
  <c r="A131" i="11"/>
  <c r="C185" i="11"/>
  <c r="C231" i="11"/>
  <c r="C352" i="11"/>
  <c r="B244" i="11"/>
  <c r="A155" i="11"/>
  <c r="A63" i="11"/>
  <c r="B24" i="11"/>
  <c r="B49" i="11"/>
  <c r="A153" i="11"/>
  <c r="C227" i="11"/>
  <c r="C115" i="11"/>
  <c r="B220" i="11"/>
  <c r="A288" i="11"/>
  <c r="A388" i="11"/>
  <c r="B157" i="11"/>
  <c r="C334" i="11"/>
  <c r="B249" i="11"/>
  <c r="B214" i="11"/>
  <c r="B202" i="11"/>
  <c r="A365" i="11"/>
  <c r="C127" i="11"/>
  <c r="C51" i="11"/>
  <c r="B242" i="11"/>
  <c r="B117" i="11"/>
  <c r="B336" i="11"/>
  <c r="B254" i="11"/>
  <c r="A44" i="11"/>
  <c r="A85" i="11"/>
  <c r="A214" i="11"/>
  <c r="B322" i="11"/>
  <c r="A189" i="11"/>
  <c r="C221" i="11"/>
  <c r="B338" i="11"/>
  <c r="A176" i="11"/>
  <c r="C339" i="11"/>
  <c r="B319" i="11"/>
  <c r="B141" i="11"/>
  <c r="A293" i="11"/>
  <c r="B318" i="11"/>
  <c r="C249" i="11"/>
  <c r="A297" i="11"/>
  <c r="B175" i="11"/>
  <c r="B394" i="11"/>
  <c r="B331" i="11"/>
  <c r="C130" i="11"/>
  <c r="A307" i="11"/>
  <c r="C215" i="11"/>
  <c r="B97" i="11"/>
  <c r="C210" i="11"/>
  <c r="C234" i="11"/>
  <c r="A367" i="11"/>
  <c r="C307" i="11"/>
  <c r="B90" i="11"/>
  <c r="A386" i="11"/>
  <c r="B184" i="11"/>
  <c r="A119" i="11"/>
  <c r="A31" i="11"/>
  <c r="B20" i="11"/>
  <c r="A301" i="11"/>
  <c r="B159" i="11"/>
  <c r="A184" i="11"/>
  <c r="C232" i="11"/>
  <c r="A243" i="11"/>
  <c r="C299" i="11"/>
  <c r="A343" i="11"/>
  <c r="C178" i="11"/>
  <c r="B83" i="11"/>
  <c r="B351" i="11"/>
  <c r="B172" i="11"/>
  <c r="A20" i="11"/>
  <c r="B168" i="11"/>
  <c r="C187" i="11"/>
  <c r="B164" i="11"/>
  <c r="A159" i="11"/>
  <c r="B399" i="11"/>
  <c r="B329" i="11"/>
  <c r="B256" i="11"/>
  <c r="C182" i="11"/>
  <c r="C273" i="11"/>
  <c r="B317" i="11"/>
  <c r="B248" i="11"/>
  <c r="A28" i="11"/>
  <c r="C271" i="11"/>
  <c r="C126" i="11"/>
  <c r="B362" i="11"/>
  <c r="C149" i="11"/>
  <c r="A399" i="11"/>
  <c r="A355" i="11"/>
  <c r="B38" i="11"/>
  <c r="B353" i="11"/>
  <c r="C40" i="11"/>
  <c r="C237" i="11"/>
  <c r="C389" i="11"/>
  <c r="C269" i="11"/>
  <c r="B314" i="11"/>
  <c r="B370" i="11"/>
  <c r="C172" i="11"/>
  <c r="B303" i="11"/>
  <c r="C346" i="11"/>
  <c r="C159" i="11"/>
  <c r="B359" i="11"/>
  <c r="C301" i="11"/>
  <c r="A385" i="11"/>
  <c r="A296" i="11"/>
  <c r="C53" i="11"/>
  <c r="B350" i="11"/>
  <c r="B356" i="11"/>
  <c r="A263" i="11"/>
  <c r="A317" i="11"/>
  <c r="B107" i="11"/>
  <c r="B227" i="11"/>
  <c r="B339" i="11"/>
  <c r="B316" i="11"/>
  <c r="B238" i="11"/>
  <c r="A260" i="11"/>
  <c r="A169" i="11"/>
  <c r="B273" i="11"/>
  <c r="A346" i="11"/>
  <c r="C289" i="11"/>
  <c r="C355" i="11"/>
  <c r="A284" i="11"/>
  <c r="A220" i="11"/>
  <c r="A148" i="11"/>
  <c r="C362" i="11"/>
  <c r="C223" i="11"/>
  <c r="A59" i="11"/>
  <c r="C91" i="11"/>
  <c r="B396" i="11"/>
  <c r="B146" i="11"/>
  <c r="A182" i="11"/>
  <c r="C383" i="11"/>
  <c r="B108" i="11"/>
  <c r="A391" i="11"/>
  <c r="B363" i="11"/>
  <c r="C94" i="11"/>
  <c r="C393" i="11"/>
  <c r="B378" i="11"/>
  <c r="B208" i="11"/>
  <c r="A111" i="11"/>
  <c r="B31" i="11"/>
  <c r="B103" i="11"/>
  <c r="A34" i="11"/>
  <c r="C175" i="11"/>
  <c r="C336" i="11"/>
  <c r="C295" i="11"/>
  <c r="C138" i="11"/>
  <c r="C363" i="11"/>
  <c r="C377" i="11"/>
  <c r="B85" i="11"/>
  <c r="C29" i="11"/>
  <c r="C337" i="11"/>
  <c r="B264" i="11"/>
  <c r="C324" i="11"/>
  <c r="B59" i="11"/>
  <c r="B358" i="11"/>
  <c r="B198" i="11"/>
  <c r="B171" i="11"/>
  <c r="A325" i="11"/>
  <c r="B82" i="11"/>
  <c r="B229" i="11"/>
  <c r="A350" i="11"/>
  <c r="C99" i="11"/>
  <c r="B386" i="11"/>
  <c r="B241" i="11"/>
  <c r="A90" i="11"/>
  <c r="A236" i="11"/>
  <c r="C202" i="11"/>
  <c r="B274" i="11"/>
  <c r="B30" i="11"/>
  <c r="B347" i="11"/>
  <c r="A366" i="11"/>
  <c r="C66" i="11"/>
  <c r="A397" i="11"/>
  <c r="A295" i="11"/>
  <c r="B73" i="11"/>
  <c r="B385" i="11"/>
  <c r="C219" i="11"/>
  <c r="A206" i="11"/>
  <c r="C358" i="11"/>
  <c r="C118" i="11"/>
  <c r="C322" i="11"/>
  <c r="C369" i="11"/>
  <c r="A309" i="11"/>
  <c r="C203" i="11"/>
  <c r="C312" i="11"/>
  <c r="B381" i="11"/>
  <c r="C360" i="11"/>
  <c r="B343" i="11"/>
  <c r="B109" i="11"/>
  <c r="A247" i="11"/>
  <c r="C398" i="11"/>
  <c r="B346" i="11"/>
  <c r="C400" i="11"/>
  <c r="A140" i="11"/>
  <c r="B243" i="11"/>
  <c r="C142" i="11"/>
  <c r="C96" i="11"/>
  <c r="A92" i="11"/>
  <c r="A327" i="11"/>
  <c r="B285" i="11"/>
  <c r="C192" i="11"/>
  <c r="A133" i="11"/>
  <c r="C135" i="11"/>
  <c r="A213" i="11"/>
  <c r="B40" i="11"/>
  <c r="B278" i="11"/>
  <c r="C25" i="11"/>
  <c r="C213" i="11"/>
  <c r="B232" i="11"/>
  <c r="B275" i="11"/>
  <c r="C168" i="11"/>
  <c r="A43" i="11"/>
  <c r="B143" i="11"/>
  <c r="C73" i="11"/>
  <c r="A212" i="11"/>
  <c r="C332" i="11"/>
  <c r="A311" i="11"/>
  <c r="A23" i="11"/>
  <c r="A304" i="11"/>
  <c r="B301" i="11"/>
  <c r="B284" i="11"/>
  <c r="A349" i="11"/>
  <c r="C330" i="11"/>
  <c r="B64" i="11"/>
  <c r="C56" i="11"/>
  <c r="A347" i="11"/>
  <c r="B145" i="11"/>
  <c r="A329" i="11"/>
  <c r="A392" i="11"/>
  <c r="C197" i="11"/>
  <c r="A88" i="11"/>
  <c r="C306" i="11"/>
  <c r="C133" i="11"/>
  <c r="C397" i="11"/>
  <c r="A374" i="11"/>
  <c r="A132" i="11"/>
  <c r="A330" i="11"/>
  <c r="B282" i="11"/>
  <c r="B293" i="11"/>
  <c r="A377" i="11"/>
  <c r="A78" i="11"/>
  <c r="B326" i="11"/>
  <c r="B315" i="11"/>
  <c r="B237" i="11"/>
  <c r="B306" i="11"/>
  <c r="A200" i="11"/>
  <c r="A378" i="11"/>
  <c r="B221" i="11"/>
  <c r="A242" i="11"/>
  <c r="B312" i="11"/>
  <c r="C380" i="11"/>
  <c r="C395" i="11"/>
  <c r="A290" i="11"/>
  <c r="C102" i="11"/>
  <c r="B189" i="11"/>
  <c r="A299" i="11"/>
  <c r="C351" i="11"/>
  <c r="B250" i="11"/>
  <c r="D244" i="2"/>
  <c r="B393" i="11"/>
  <c r="A172" i="11"/>
  <c r="C108" i="11"/>
  <c r="A336" i="11"/>
  <c r="C298" i="11"/>
  <c r="B271" i="11"/>
  <c r="B233" i="11"/>
  <c r="B360" i="11"/>
  <c r="A175" i="11"/>
  <c r="B203" i="11"/>
  <c r="A239" i="11"/>
  <c r="A328" i="11"/>
  <c r="A46" i="11"/>
  <c r="B379" i="11"/>
  <c r="B290" i="11"/>
  <c r="B281" i="11"/>
  <c r="C282" i="11"/>
  <c r="C262" i="11"/>
  <c r="A352" i="11"/>
  <c r="C162" i="11"/>
  <c r="B268" i="11"/>
  <c r="C160" i="11"/>
  <c r="B309" i="11"/>
  <c r="C264" i="11"/>
  <c r="C372" i="11"/>
  <c r="A124" i="11"/>
  <c r="B369" i="11"/>
  <c r="B127" i="11"/>
  <c r="B66" i="11"/>
  <c r="B372" i="11"/>
  <c r="A194" i="11"/>
  <c r="A379" i="11"/>
  <c r="C308" i="11"/>
  <c r="B251" i="11"/>
  <c r="B395" i="11"/>
  <c r="B183" i="11"/>
  <c r="A251" i="11"/>
  <c r="A380" i="11"/>
  <c r="B15" i="26"/>
  <c r="C18" i="26"/>
  <c r="B18" i="26"/>
  <c r="A33" i="26"/>
  <c r="B22" i="26"/>
  <c r="A15" i="26"/>
  <c r="A21" i="26"/>
  <c r="B16" i="26"/>
  <c r="B9" i="26"/>
  <c r="B37" i="26"/>
  <c r="A16" i="26"/>
  <c r="C37" i="26"/>
  <c r="A31" i="26"/>
  <c r="A20" i="26"/>
  <c r="C15" i="26"/>
  <c r="C22" i="26"/>
  <c r="C33" i="26"/>
  <c r="B38" i="26"/>
  <c r="A38" i="26"/>
  <c r="A37" i="26"/>
  <c r="A19" i="26"/>
  <c r="B20" i="26"/>
  <c r="A9" i="26"/>
  <c r="B31" i="26"/>
  <c r="A22" i="26"/>
  <c r="B21" i="26"/>
  <c r="B33" i="26"/>
  <c r="A17" i="26"/>
  <c r="C16" i="26"/>
  <c r="C31" i="26"/>
  <c r="C32" i="26"/>
  <c r="C19" i="26"/>
  <c r="A18" i="26"/>
  <c r="A32" i="26"/>
  <c r="C9" i="26"/>
  <c r="C21" i="26"/>
  <c r="C20" i="26"/>
  <c r="C17" i="26"/>
  <c r="B17" i="26"/>
  <c r="B32" i="26"/>
  <c r="B19" i="26"/>
  <c r="C38" i="26"/>
  <c r="D6" i="5"/>
  <c r="D48" i="5"/>
  <c r="D57" i="5"/>
  <c r="D64" i="5"/>
  <c r="D56" i="5"/>
  <c r="D79" i="5"/>
  <c r="D106" i="5"/>
  <c r="D49" i="5"/>
  <c r="D58" i="5"/>
  <c r="D9" i="5"/>
  <c r="D60" i="5"/>
  <c r="D61" i="5"/>
  <c r="D63" i="5"/>
  <c r="D51" i="5"/>
  <c r="D50" i="5"/>
  <c r="D32" i="5"/>
  <c r="D55" i="5"/>
  <c r="D54" i="5"/>
  <c r="D121" i="5"/>
  <c r="D53" i="5"/>
  <c r="D62" i="5"/>
  <c r="D211" i="2"/>
  <c r="E26" i="20"/>
  <c r="D209" i="2"/>
  <c r="D206" i="2"/>
  <c r="D210" i="2"/>
  <c r="D213" i="2"/>
  <c r="D212" i="2"/>
  <c r="D208" i="2"/>
  <c r="D207" i="2"/>
  <c r="D214" i="2"/>
  <c r="D153" i="2" l="1"/>
  <c r="D256" i="2"/>
  <c r="E92" i="20"/>
  <c r="C403" i="11"/>
  <c r="A405" i="11"/>
  <c r="A408" i="11"/>
  <c r="J3" i="11"/>
  <c r="C418" i="11"/>
  <c r="C411" i="11"/>
  <c r="C405" i="11"/>
  <c r="B410" i="11"/>
  <c r="M3" i="11"/>
  <c r="C407" i="11"/>
  <c r="C409" i="11"/>
  <c r="E4" i="11"/>
  <c r="L4" i="11"/>
  <c r="B411" i="11"/>
  <c r="A404" i="11"/>
  <c r="B406" i="11"/>
  <c r="N3" i="11"/>
  <c r="B413" i="11"/>
  <c r="C401" i="11"/>
  <c r="C417" i="11"/>
  <c r="D2" i="11"/>
  <c r="O3" i="11"/>
  <c r="J4" i="11"/>
  <c r="A401" i="11"/>
  <c r="B403" i="11"/>
  <c r="F4" i="11"/>
  <c r="B3" i="11"/>
  <c r="C402" i="11"/>
  <c r="C415" i="11"/>
  <c r="C410" i="11"/>
  <c r="G3" i="11"/>
  <c r="L3" i="11"/>
  <c r="B7" i="11"/>
  <c r="F3" i="11"/>
  <c r="B15" i="11"/>
  <c r="K4" i="11"/>
  <c r="B407" i="11"/>
  <c r="B5" i="11"/>
  <c r="B418" i="11"/>
  <c r="C408" i="11"/>
  <c r="B402" i="11"/>
  <c r="H4" i="11"/>
  <c r="A403" i="11"/>
  <c r="G4" i="11"/>
  <c r="C404" i="11"/>
  <c r="A415" i="11"/>
  <c r="I4" i="11"/>
  <c r="E3" i="11"/>
  <c r="A416" i="11"/>
  <c r="B4" i="11"/>
  <c r="B416" i="11"/>
  <c r="M4" i="11"/>
  <c r="B13" i="11"/>
  <c r="C4" i="11"/>
  <c r="B11" i="11"/>
  <c r="A418" i="11"/>
  <c r="D3" i="11"/>
  <c r="B414" i="11"/>
  <c r="C413" i="11"/>
  <c r="B10" i="11"/>
  <c r="A414" i="11"/>
  <c r="N4" i="11"/>
  <c r="K3" i="11"/>
  <c r="I3" i="11"/>
  <c r="C414" i="11"/>
  <c r="A410" i="11"/>
  <c r="A402" i="11"/>
  <c r="B6" i="11"/>
  <c r="H3" i="11"/>
  <c r="B415" i="11"/>
  <c r="B408" i="11"/>
  <c r="C416" i="11"/>
  <c r="A409" i="11"/>
  <c r="A4" i="11"/>
  <c r="A417" i="11"/>
  <c r="B412" i="11"/>
  <c r="O4" i="11"/>
  <c r="B8" i="11"/>
  <c r="A412" i="11"/>
  <c r="A407" i="11"/>
  <c r="B409" i="11"/>
  <c r="C406" i="11"/>
  <c r="B401" i="11"/>
  <c r="A411" i="11"/>
  <c r="D4" i="11"/>
  <c r="B417" i="11"/>
  <c r="C412" i="11"/>
  <c r="B405" i="11"/>
  <c r="B9" i="11"/>
  <c r="B404" i="11"/>
  <c r="A406" i="11"/>
  <c r="B14" i="11"/>
  <c r="A413" i="11"/>
  <c r="B12" i="11"/>
  <c r="B2" i="11"/>
  <c r="E207" i="20" l="1"/>
  <c r="E216" i="20" l="1"/>
  <c r="E159" i="20"/>
  <c r="E149" i="20" l="1"/>
  <c r="E150" i="20"/>
  <c r="M68" i="26" l="1"/>
  <c r="L68" i="26"/>
  <c r="K68" i="26"/>
  <c r="J68" i="26"/>
  <c r="I68" i="26"/>
  <c r="H68" i="26"/>
  <c r="G68" i="26"/>
  <c r="F68" i="26"/>
  <c r="E68" i="26"/>
  <c r="D78" i="26"/>
  <c r="M56" i="3"/>
  <c r="L56" i="3"/>
  <c r="C11" i="6" l="1"/>
  <c r="C6" i="6" l="1"/>
  <c r="C7" i="6" s="1"/>
  <c r="C10" i="6" s="1"/>
  <c r="D6" i="6"/>
  <c r="D7" i="6" s="1"/>
  <c r="D10" i="6" s="1"/>
  <c r="D12" i="6"/>
  <c r="D11" i="6"/>
  <c r="C12" i="6"/>
  <c r="E118" i="20"/>
  <c r="E141" i="20"/>
  <c r="E121" i="20"/>
  <c r="E120" i="20"/>
  <c r="E116" i="20"/>
  <c r="E122" i="20"/>
  <c r="E236" i="20"/>
  <c r="E147" i="20"/>
  <c r="E83" i="20"/>
  <c r="E139" i="20"/>
  <c r="E119" i="20"/>
  <c r="E235" i="20"/>
  <c r="E128" i="20"/>
  <c r="E146" i="20"/>
  <c r="E86" i="20"/>
  <c r="E142" i="20"/>
  <c r="E85" i="20"/>
  <c r="E129" i="20"/>
  <c r="E127" i="20"/>
  <c r="E248" i="20"/>
  <c r="E237" i="20"/>
  <c r="E117" i="20"/>
  <c r="E84" i="20"/>
  <c r="E135" i="20"/>
  <c r="E71" i="20"/>
  <c r="E87" i="20"/>
  <c r="E88" i="20"/>
  <c r="E244" i="20"/>
  <c r="E246" i="20"/>
  <c r="E140" i="20"/>
  <c r="E29" i="20"/>
  <c r="E137" i="20"/>
  <c r="E102" i="20"/>
  <c r="E145" i="20"/>
  <c r="E138" i="20"/>
  <c r="E187" i="25"/>
  <c r="E25" i="25"/>
  <c r="E22" i="25"/>
  <c r="E100" i="25"/>
  <c r="E19" i="25"/>
  <c r="E123" i="25"/>
  <c r="E121" i="25"/>
  <c r="E188" i="25"/>
  <c r="E120" i="25"/>
  <c r="E23" i="25"/>
  <c r="E130" i="25"/>
  <c r="E125" i="25"/>
  <c r="E24" i="25"/>
  <c r="E26" i="25"/>
  <c r="E128" i="25"/>
  <c r="E189" i="25"/>
  <c r="E17" i="25"/>
  <c r="E111" i="25"/>
  <c r="E103" i="25"/>
  <c r="E127" i="25"/>
  <c r="E124" i="25"/>
  <c r="E199" i="25"/>
  <c r="E21" i="25"/>
  <c r="E114" i="25"/>
  <c r="E20" i="25"/>
  <c r="C369" i="26"/>
  <c r="A254" i="26"/>
  <c r="A350" i="26"/>
  <c r="A27" i="26"/>
  <c r="A403" i="26"/>
  <c r="A371" i="26"/>
  <c r="A291" i="26"/>
  <c r="B109" i="26"/>
  <c r="C291" i="26"/>
  <c r="B67" i="26"/>
  <c r="C206" i="26"/>
  <c r="A398" i="26"/>
  <c r="B315" i="26"/>
  <c r="B111" i="26"/>
  <c r="B289" i="26"/>
  <c r="C437" i="26"/>
  <c r="A221" i="26"/>
  <c r="A164" i="26"/>
  <c r="B170" i="26"/>
  <c r="A486" i="26"/>
  <c r="A382" i="26"/>
  <c r="A489" i="26"/>
  <c r="C363" i="26"/>
  <c r="C186" i="26"/>
  <c r="A443" i="26"/>
  <c r="A272" i="26"/>
  <c r="A266" i="26"/>
  <c r="C439" i="26"/>
  <c r="C423" i="26"/>
  <c r="A386" i="26"/>
  <c r="C432" i="26"/>
  <c r="C259" i="26"/>
  <c r="B500" i="26"/>
  <c r="C386" i="26"/>
  <c r="C147" i="26"/>
  <c r="A321" i="26"/>
  <c r="B257" i="26"/>
  <c r="C398" i="26"/>
  <c r="A277" i="26"/>
  <c r="B128" i="26"/>
  <c r="C303" i="26"/>
  <c r="C70" i="26"/>
  <c r="C499" i="26"/>
  <c r="A94" i="26"/>
  <c r="B256" i="26"/>
  <c r="A147" i="26"/>
  <c r="A494" i="26"/>
  <c r="A460" i="26"/>
  <c r="C112" i="26"/>
  <c r="A420" i="26"/>
  <c r="B294" i="26"/>
  <c r="B481" i="26"/>
  <c r="B484" i="26"/>
  <c r="A83" i="26"/>
  <c r="B130" i="26"/>
  <c r="A307" i="26"/>
  <c r="C426" i="26"/>
  <c r="A478" i="26"/>
  <c r="B345" i="26"/>
  <c r="C71" i="26"/>
  <c r="A466" i="26"/>
  <c r="C419" i="26"/>
  <c r="B235" i="26"/>
  <c r="B366" i="26"/>
  <c r="C456" i="26"/>
  <c r="B417" i="26"/>
  <c r="C431" i="26"/>
  <c r="B129" i="26"/>
  <c r="B143" i="26"/>
  <c r="B210" i="26"/>
  <c r="B26" i="26"/>
  <c r="A65" i="26"/>
  <c r="A158" i="26"/>
  <c r="C402" i="26"/>
  <c r="A330" i="26"/>
  <c r="B137" i="26"/>
  <c r="A363" i="26"/>
  <c r="A409" i="26"/>
  <c r="B458" i="26"/>
  <c r="A267" i="26"/>
  <c r="C296" i="26"/>
  <c r="C58" i="26"/>
  <c r="C141" i="26"/>
  <c r="B453" i="26"/>
  <c r="B47" i="26"/>
  <c r="A457" i="26"/>
  <c r="C50" i="26"/>
  <c r="B456" i="26"/>
  <c r="C55" i="26"/>
  <c r="C232" i="26"/>
  <c r="A115" i="26"/>
  <c r="A5" i="26"/>
  <c r="C34" i="26"/>
  <c r="A86" i="26"/>
  <c r="B399" i="26"/>
  <c r="A126" i="26"/>
  <c r="C261" i="26"/>
  <c r="B159" i="26"/>
  <c r="B229" i="26"/>
  <c r="A51" i="26"/>
  <c r="C109" i="26"/>
  <c r="B397" i="26"/>
  <c r="A73" i="26"/>
  <c r="B28" i="26"/>
  <c r="C194" i="26"/>
  <c r="A25" i="26"/>
  <c r="A124" i="26"/>
  <c r="A188" i="26"/>
  <c r="B116" i="26"/>
  <c r="B113" i="26"/>
  <c r="A247" i="26"/>
  <c r="C328" i="26"/>
  <c r="A476" i="26"/>
  <c r="A316" i="26"/>
  <c r="A219" i="26"/>
  <c r="A437" i="26"/>
  <c r="C287" i="26"/>
  <c r="A240" i="26"/>
  <c r="A171" i="26"/>
  <c r="A48" i="26"/>
  <c r="C425" i="26"/>
  <c r="C39" i="26"/>
  <c r="A355" i="26"/>
  <c r="B428" i="26"/>
  <c r="C345" i="26"/>
  <c r="B434" i="26"/>
  <c r="C201" i="26"/>
  <c r="A107" i="26"/>
  <c r="C267" i="26"/>
  <c r="B419" i="26"/>
  <c r="C448" i="26"/>
  <c r="A200" i="26"/>
  <c r="C125" i="26"/>
  <c r="C428" i="26"/>
  <c r="C497" i="26"/>
  <c r="B288" i="26"/>
  <c r="A120" i="26"/>
  <c r="A410" i="26"/>
  <c r="A57" i="26"/>
  <c r="A179" i="26"/>
  <c r="A185" i="26"/>
  <c r="C318" i="26"/>
  <c r="A318" i="26"/>
  <c r="C405" i="26"/>
  <c r="A273" i="26"/>
  <c r="C490" i="26"/>
  <c r="A82" i="26"/>
  <c r="B125" i="26"/>
  <c r="A186" i="26"/>
  <c r="B471" i="26"/>
  <c r="A293" i="26"/>
  <c r="C102" i="26"/>
  <c r="B139" i="26"/>
  <c r="C247" i="26"/>
  <c r="A380" i="26"/>
  <c r="C144" i="26"/>
  <c r="A471" i="26"/>
  <c r="B356" i="26"/>
  <c r="B124" i="26"/>
  <c r="A298" i="26"/>
  <c r="C97" i="26"/>
  <c r="A228" i="26"/>
  <c r="B213" i="26"/>
  <c r="C472" i="26"/>
  <c r="B308" i="26"/>
  <c r="C256" i="26"/>
  <c r="B7" i="26"/>
  <c r="B225" i="26"/>
  <c r="C42" i="26"/>
  <c r="C5" i="26"/>
  <c r="C498" i="26"/>
  <c r="C484" i="26"/>
  <c r="C447" i="26"/>
  <c r="B470" i="26"/>
  <c r="B68" i="26"/>
  <c r="B222" i="26"/>
  <c r="A198" i="26"/>
  <c r="B114" i="26"/>
  <c r="C357" i="26"/>
  <c r="B84" i="26"/>
  <c r="C241" i="26"/>
  <c r="C66" i="26"/>
  <c r="A88" i="26"/>
  <c r="A331" i="26"/>
  <c r="A166" i="26"/>
  <c r="A358" i="26"/>
  <c r="C91" i="26"/>
  <c r="C41" i="26"/>
  <c r="B152" i="26"/>
  <c r="A442" i="26"/>
  <c r="A176" i="26"/>
  <c r="C80" i="26"/>
  <c r="A75" i="26"/>
  <c r="C209" i="26"/>
  <c r="B322" i="26"/>
  <c r="B192" i="26"/>
  <c r="C121" i="26"/>
  <c r="C355" i="26"/>
  <c r="B195" i="26"/>
  <c r="A300" i="26"/>
  <c r="A411" i="26"/>
  <c r="C98" i="26"/>
  <c r="B293" i="26"/>
  <c r="C474" i="26"/>
  <c r="C173" i="26"/>
  <c r="C167" i="26"/>
  <c r="A483" i="26"/>
  <c r="B501" i="26"/>
  <c r="A237" i="26"/>
  <c r="B331" i="26"/>
  <c r="C300" i="26"/>
  <c r="A285" i="26"/>
  <c r="B459" i="26"/>
  <c r="C170" i="26"/>
  <c r="A210" i="26"/>
  <c r="C105" i="26"/>
  <c r="B338" i="26"/>
  <c r="B123" i="26"/>
  <c r="C395" i="26"/>
  <c r="A165" i="26"/>
  <c r="C285" i="26"/>
  <c r="C172" i="26"/>
  <c r="B132" i="26"/>
  <c r="A345" i="26"/>
  <c r="C451" i="26"/>
  <c r="C409" i="26"/>
  <c r="B248" i="26"/>
  <c r="B218" i="26"/>
  <c r="C371" i="26"/>
  <c r="B29" i="26"/>
  <c r="C468" i="26"/>
  <c r="C195" i="26"/>
  <c r="C166" i="26"/>
  <c r="C385" i="26"/>
  <c r="A414" i="26"/>
  <c r="C429" i="26"/>
  <c r="C480" i="26"/>
  <c r="A353" i="26"/>
  <c r="C127" i="26"/>
  <c r="C461" i="26"/>
  <c r="C82" i="26"/>
  <c r="A390" i="26"/>
  <c r="C175" i="26"/>
  <c r="C143" i="26"/>
  <c r="A392" i="26"/>
  <c r="B330" i="26"/>
  <c r="C162" i="26"/>
  <c r="C14" i="26"/>
  <c r="C72" i="26"/>
  <c r="B433" i="26"/>
  <c r="B88" i="26"/>
  <c r="C260" i="26"/>
  <c r="A348" i="26"/>
  <c r="C81" i="26"/>
  <c r="B388" i="26"/>
  <c r="B186" i="26"/>
  <c r="B103" i="26"/>
  <c r="C12" i="26"/>
  <c r="C222" i="26"/>
  <c r="C228" i="26"/>
  <c r="B343" i="26"/>
  <c r="A346" i="26"/>
  <c r="A356" i="26"/>
  <c r="C89" i="26"/>
  <c r="C199" i="26"/>
  <c r="B321" i="26"/>
  <c r="A227" i="26"/>
  <c r="A452" i="26"/>
  <c r="B394" i="26"/>
  <c r="B177" i="26"/>
  <c r="C376" i="26"/>
  <c r="C254" i="26"/>
  <c r="B59" i="26"/>
  <c r="C464" i="26"/>
  <c r="A223" i="26"/>
  <c r="B425" i="26"/>
  <c r="C139" i="26"/>
  <c r="C188" i="26"/>
  <c r="C356" i="26"/>
  <c r="B204" i="26"/>
  <c r="A151" i="26"/>
  <c r="B304" i="26"/>
  <c r="A39" i="26"/>
  <c r="C2" i="26"/>
  <c r="B427" i="26"/>
  <c r="A170" i="26"/>
  <c r="B462" i="26"/>
  <c r="C265" i="26"/>
  <c r="A212" i="26"/>
  <c r="C337" i="26"/>
  <c r="A263" i="26"/>
  <c r="A72" i="26"/>
  <c r="B402" i="26"/>
  <c r="A203" i="26"/>
  <c r="A500" i="26"/>
  <c r="C239" i="26"/>
  <c r="B351" i="26"/>
  <c r="B188" i="26"/>
  <c r="C183" i="26"/>
  <c r="C116" i="26"/>
  <c r="A195" i="26"/>
  <c r="B81" i="26"/>
  <c r="C47" i="26"/>
  <c r="B383" i="26"/>
  <c r="A214" i="26"/>
  <c r="C190" i="26"/>
  <c r="B378" i="26"/>
  <c r="B318" i="26"/>
  <c r="B440" i="26"/>
  <c r="C313" i="26"/>
  <c r="A347" i="26"/>
  <c r="A99" i="26"/>
  <c r="B347" i="26"/>
  <c r="A472" i="26"/>
  <c r="A290" i="26"/>
  <c r="A270" i="26"/>
  <c r="C168" i="26"/>
  <c r="A422" i="26"/>
  <c r="A177" i="26"/>
  <c r="B215" i="26"/>
  <c r="B122" i="26"/>
  <c r="C339" i="26"/>
  <c r="B359" i="26"/>
  <c r="C220" i="26"/>
  <c r="C234" i="26"/>
  <c r="A491" i="26"/>
  <c r="B410" i="26"/>
  <c r="A301" i="26"/>
  <c r="A148" i="26"/>
  <c r="C382" i="26"/>
  <c r="A343" i="26"/>
  <c r="C378" i="26"/>
  <c r="A35" i="26"/>
  <c r="A6" i="26"/>
  <c r="A487" i="26"/>
  <c r="B249" i="26"/>
  <c r="A419" i="26"/>
  <c r="C412" i="26"/>
  <c r="A262" i="26"/>
  <c r="B133" i="26"/>
  <c r="B329" i="26"/>
  <c r="B405" i="26"/>
  <c r="A138" i="26"/>
  <c r="C475" i="26"/>
  <c r="B493" i="26"/>
  <c r="B105" i="26"/>
  <c r="C243" i="26"/>
  <c r="B66" i="26"/>
  <c r="A122" i="26"/>
  <c r="B429" i="26"/>
  <c r="A324" i="26"/>
  <c r="A265" i="26"/>
  <c r="A243" i="26"/>
  <c r="C24" i="26"/>
  <c r="C73" i="26"/>
  <c r="C452" i="26"/>
  <c r="B489" i="26"/>
  <c r="C482" i="26"/>
  <c r="B52" i="26"/>
  <c r="B454" i="26"/>
  <c r="B476" i="26"/>
  <c r="A305" i="26"/>
  <c r="B89" i="26"/>
  <c r="C441" i="26"/>
  <c r="C424" i="26"/>
  <c r="A125" i="26"/>
  <c r="A159" i="26"/>
  <c r="A50" i="26"/>
  <c r="A168" i="26"/>
  <c r="A154" i="26"/>
  <c r="C227" i="26"/>
  <c r="C298" i="26"/>
  <c r="C372" i="26"/>
  <c r="B403" i="26"/>
  <c r="B469" i="26"/>
  <c r="B232" i="26"/>
  <c r="B230" i="26"/>
  <c r="C48" i="26"/>
  <c r="B86" i="26"/>
  <c r="C165" i="26"/>
  <c r="A140" i="26"/>
  <c r="C401" i="26"/>
  <c r="B324" i="26"/>
  <c r="B250" i="26"/>
  <c r="A225" i="26"/>
  <c r="B323" i="26"/>
  <c r="A328" i="26"/>
  <c r="B334" i="26"/>
  <c r="B110" i="26"/>
  <c r="C360" i="26"/>
  <c r="B6" i="26"/>
  <c r="B309" i="26"/>
  <c r="C438" i="26"/>
  <c r="C364" i="26"/>
  <c r="C205" i="26"/>
  <c r="B332" i="26"/>
  <c r="C327" i="26"/>
  <c r="A320" i="26"/>
  <c r="A490" i="26"/>
  <c r="C383" i="26"/>
  <c r="A415" i="26"/>
  <c r="C331" i="26"/>
  <c r="C128" i="26"/>
  <c r="A234" i="26"/>
  <c r="B140" i="26"/>
  <c r="B360" i="26"/>
  <c r="C470" i="26"/>
  <c r="B409" i="26"/>
  <c r="C275" i="26"/>
  <c r="C75" i="26"/>
  <c r="A451" i="26"/>
  <c r="B255" i="26"/>
  <c r="A55" i="26"/>
  <c r="C413" i="26"/>
  <c r="C333" i="26"/>
  <c r="B228" i="26"/>
  <c r="C229" i="26"/>
  <c r="C422" i="26"/>
  <c r="B253" i="26"/>
  <c r="C341" i="26"/>
  <c r="B416" i="26"/>
  <c r="B10" i="26"/>
  <c r="A40" i="26"/>
  <c r="B436" i="26"/>
  <c r="A44" i="26"/>
  <c r="C293" i="26"/>
  <c r="A173" i="26"/>
  <c r="C290" i="26"/>
  <c r="C249" i="26"/>
  <c r="B446" i="26"/>
  <c r="A296" i="26"/>
  <c r="B313" i="26"/>
  <c r="B156" i="26"/>
  <c r="C83" i="26"/>
  <c r="C163" i="26"/>
  <c r="A493" i="26"/>
  <c r="A297" i="26"/>
  <c r="C500" i="26"/>
  <c r="C262" i="26"/>
  <c r="C92" i="26"/>
  <c r="C282" i="26"/>
  <c r="B386" i="26"/>
  <c r="C49" i="26"/>
  <c r="A258" i="26"/>
  <c r="B208" i="26"/>
  <c r="A162" i="26"/>
  <c r="B287" i="26"/>
  <c r="A174" i="26"/>
  <c r="C387" i="26"/>
  <c r="B370" i="26"/>
  <c r="C182" i="26"/>
  <c r="C323" i="26"/>
  <c r="B479" i="26"/>
  <c r="A28" i="26"/>
  <c r="A327" i="26"/>
  <c r="B134" i="26"/>
  <c r="A68" i="26"/>
  <c r="B238" i="26"/>
  <c r="B269" i="26"/>
  <c r="A103" i="26"/>
  <c r="A394" i="26"/>
  <c r="C340" i="26"/>
  <c r="B398" i="26"/>
  <c r="C365" i="26"/>
  <c r="B444" i="26"/>
  <c r="B55" i="26"/>
  <c r="B237" i="26"/>
  <c r="B203" i="26"/>
  <c r="C408" i="26"/>
  <c r="A275" i="26"/>
  <c r="A372" i="26"/>
  <c r="C281" i="26"/>
  <c r="A87" i="26"/>
  <c r="B61" i="26"/>
  <c r="B62" i="26"/>
  <c r="C78" i="26"/>
  <c r="B211" i="26"/>
  <c r="C394" i="26"/>
  <c r="C146" i="26"/>
  <c r="B85" i="26"/>
  <c r="C380" i="26"/>
  <c r="B413" i="26"/>
  <c r="A95" i="26"/>
  <c r="C237" i="26"/>
  <c r="C111" i="26"/>
  <c r="B283" i="26"/>
  <c r="A61" i="26"/>
  <c r="B223" i="26"/>
  <c r="B149" i="26"/>
  <c r="A13" i="26"/>
  <c r="B485" i="26"/>
  <c r="A469" i="26"/>
  <c r="B286" i="26"/>
  <c r="B179" i="26"/>
  <c r="C90" i="26"/>
  <c r="C467" i="26"/>
  <c r="B404" i="26"/>
  <c r="C449" i="26"/>
  <c r="A251" i="26"/>
  <c r="A333" i="26"/>
  <c r="C62" i="26"/>
  <c r="A357" i="26"/>
  <c r="B70" i="26"/>
  <c r="A36" i="26"/>
  <c r="B46" i="26"/>
  <c r="B477" i="26"/>
  <c r="B95" i="26"/>
  <c r="C446" i="26"/>
  <c r="C79" i="26"/>
  <c r="A375" i="26"/>
  <c r="C11" i="26"/>
  <c r="A43" i="26"/>
  <c r="B278" i="26"/>
  <c r="A366" i="26"/>
  <c r="A211" i="26"/>
  <c r="A289" i="26"/>
  <c r="C399" i="26"/>
  <c r="A360" i="26"/>
  <c r="B290" i="26"/>
  <c r="A351" i="26"/>
  <c r="C4" i="26"/>
  <c r="A205" i="26"/>
  <c r="B254" i="26"/>
  <c r="A76" i="26"/>
  <c r="C119" i="26"/>
  <c r="A226" i="26"/>
  <c r="A477" i="26"/>
  <c r="C244" i="26"/>
  <c r="B169" i="26"/>
  <c r="C483" i="26"/>
  <c r="C132" i="26"/>
  <c r="C391" i="26"/>
  <c r="B299" i="26"/>
  <c r="C13" i="26"/>
  <c r="C359" i="26"/>
  <c r="B354" i="26"/>
  <c r="B381" i="26"/>
  <c r="B364" i="26"/>
  <c r="B502" i="26"/>
  <c r="B166" i="26"/>
  <c r="C316" i="26"/>
  <c r="C433" i="26"/>
  <c r="A202" i="26"/>
  <c r="B333" i="26"/>
  <c r="B430" i="26"/>
  <c r="B468" i="26"/>
  <c r="A184" i="26"/>
  <c r="C329" i="26"/>
  <c r="C223" i="26"/>
  <c r="A241" i="26"/>
  <c r="B277" i="26"/>
  <c r="A334" i="26"/>
  <c r="C30" i="26"/>
  <c r="B298" i="26"/>
  <c r="B182" i="26"/>
  <c r="C28" i="26"/>
  <c r="A379" i="26"/>
  <c r="B247" i="26"/>
  <c r="A280" i="26"/>
  <c r="A246" i="26"/>
  <c r="A235" i="26"/>
  <c r="A135" i="26"/>
  <c r="B147" i="26"/>
  <c r="A54" i="26"/>
  <c r="B341" i="26"/>
  <c r="A388" i="26"/>
  <c r="B187" i="26"/>
  <c r="A485" i="26"/>
  <c r="B75" i="26"/>
  <c r="B379" i="26"/>
  <c r="A49" i="26"/>
  <c r="B497" i="26"/>
  <c r="C478" i="26"/>
  <c r="A438" i="26"/>
  <c r="C152" i="26"/>
  <c r="B158" i="26"/>
  <c r="C59" i="26"/>
  <c r="C225" i="26"/>
  <c r="B167" i="26"/>
  <c r="A418" i="26"/>
  <c r="A70" i="26"/>
  <c r="B107" i="26"/>
  <c r="B214" i="26"/>
  <c r="A66" i="26"/>
  <c r="C501" i="26"/>
  <c r="B117" i="26"/>
  <c r="B144" i="26"/>
  <c r="C213" i="26"/>
  <c r="A128" i="26"/>
  <c r="C192" i="26"/>
  <c r="A294" i="26"/>
  <c r="C444" i="26"/>
  <c r="B233" i="26"/>
  <c r="C403" i="26"/>
  <c r="C289" i="26"/>
  <c r="C390" i="26"/>
  <c r="B363" i="26"/>
  <c r="B367" i="26"/>
  <c r="A67" i="26"/>
  <c r="B439" i="26"/>
  <c r="B112" i="26"/>
  <c r="A308" i="26"/>
  <c r="B121" i="26"/>
  <c r="A474" i="26"/>
  <c r="A499" i="26"/>
  <c r="C219" i="26"/>
  <c r="A112" i="26"/>
  <c r="C445" i="26"/>
  <c r="B236" i="26"/>
  <c r="A456" i="26"/>
  <c r="A60" i="26"/>
  <c r="B460" i="26"/>
  <c r="A98" i="26"/>
  <c r="B23" i="26"/>
  <c r="A222" i="26"/>
  <c r="A323" i="26"/>
  <c r="B407" i="26"/>
  <c r="A430" i="26"/>
  <c r="B374" i="26"/>
  <c r="A90" i="26"/>
  <c r="A436" i="26"/>
  <c r="B207" i="26"/>
  <c r="C64" i="26"/>
  <c r="C107" i="26"/>
  <c r="C305" i="26"/>
  <c r="C178" i="26"/>
  <c r="B44" i="26"/>
  <c r="C176" i="26"/>
  <c r="B12" i="26"/>
  <c r="B163" i="26"/>
  <c r="C286" i="26"/>
  <c r="C77" i="26"/>
  <c r="B40" i="26"/>
  <c r="C57" i="26"/>
  <c r="C388" i="26"/>
  <c r="C435" i="26"/>
  <c r="C312" i="26"/>
  <c r="C320" i="26"/>
  <c r="B142" i="26"/>
  <c r="C277" i="26"/>
  <c r="A412" i="26"/>
  <c r="C158" i="26"/>
  <c r="A459" i="26"/>
  <c r="B395" i="26"/>
  <c r="B165" i="26"/>
  <c r="B154" i="26"/>
  <c r="C311" i="26"/>
  <c r="A253" i="26"/>
  <c r="C126" i="26"/>
  <c r="B80" i="26"/>
  <c r="C306" i="26"/>
  <c r="C198" i="26"/>
  <c r="B206" i="26"/>
  <c r="A448" i="26"/>
  <c r="A8" i="26"/>
  <c r="B261" i="26"/>
  <c r="C131" i="26"/>
  <c r="A216" i="26"/>
  <c r="A133" i="26"/>
  <c r="C184" i="26"/>
  <c r="B264" i="26"/>
  <c r="C362" i="26"/>
  <c r="B97" i="26"/>
  <c r="B63" i="26"/>
  <c r="C299" i="26"/>
  <c r="A399" i="26"/>
  <c r="C248" i="26"/>
  <c r="A406" i="26"/>
  <c r="A391" i="26"/>
  <c r="B118" i="26"/>
  <c r="C495" i="26"/>
  <c r="A340" i="26"/>
  <c r="B175" i="26"/>
  <c r="C215" i="26"/>
  <c r="A317" i="26"/>
  <c r="C108" i="26"/>
  <c r="B376" i="26"/>
  <c r="C396" i="26"/>
  <c r="A306" i="26"/>
  <c r="C226" i="26"/>
  <c r="C455" i="26"/>
  <c r="B387" i="26"/>
  <c r="A484" i="26"/>
  <c r="B259" i="26"/>
  <c r="A191" i="26"/>
  <c r="B201" i="26"/>
  <c r="B150" i="26"/>
  <c r="B348" i="26"/>
  <c r="B423" i="26"/>
  <c r="A172" i="26"/>
  <c r="A385" i="26"/>
  <c r="B178" i="26"/>
  <c r="C338" i="26"/>
  <c r="C85" i="26"/>
  <c r="C104" i="26"/>
  <c r="B219" i="26"/>
  <c r="A187" i="26"/>
  <c r="A383" i="26"/>
  <c r="C381" i="26"/>
  <c r="C238" i="26"/>
  <c r="B243" i="26"/>
  <c r="B224" i="26"/>
  <c r="A349" i="26"/>
  <c r="B300" i="26"/>
  <c r="C332" i="26"/>
  <c r="B291" i="26"/>
  <c r="C191" i="26"/>
  <c r="B45" i="26"/>
  <c r="A193" i="26"/>
  <c r="A106" i="26"/>
  <c r="B369" i="26"/>
  <c r="A462" i="26"/>
  <c r="C481" i="26"/>
  <c r="B467" i="26"/>
  <c r="C10" i="26"/>
  <c r="B392" i="26"/>
  <c r="A445" i="26"/>
  <c r="A155" i="26"/>
  <c r="C295" i="26"/>
  <c r="C257" i="26"/>
  <c r="B412" i="26"/>
  <c r="C151" i="26"/>
  <c r="C297" i="26"/>
  <c r="C269" i="26"/>
  <c r="C153" i="26"/>
  <c r="C74" i="26"/>
  <c r="C443" i="26"/>
  <c r="A189" i="26"/>
  <c r="A453" i="26"/>
  <c r="A361" i="26"/>
  <c r="B174" i="26"/>
  <c r="A108" i="26"/>
  <c r="C45" i="26"/>
  <c r="C187" i="26"/>
  <c r="B87" i="26"/>
  <c r="A439" i="26"/>
  <c r="B5" i="26"/>
  <c r="C273" i="26"/>
  <c r="B245" i="26"/>
  <c r="B34" i="26"/>
  <c r="A501" i="26"/>
  <c r="A96" i="26"/>
  <c r="A131" i="26"/>
  <c r="B337" i="26"/>
  <c r="B99" i="26"/>
  <c r="A127" i="26"/>
  <c r="A123" i="26"/>
  <c r="A429" i="26"/>
  <c r="B275" i="26"/>
  <c r="C459" i="26"/>
  <c r="C283" i="26"/>
  <c r="C361" i="26"/>
  <c r="B380" i="26"/>
  <c r="B57" i="26"/>
  <c r="C321" i="26"/>
  <c r="B340" i="26"/>
  <c r="C348" i="26"/>
  <c r="C454" i="26"/>
  <c r="C86" i="26"/>
  <c r="C491" i="26"/>
  <c r="A175" i="26"/>
  <c r="B490" i="26"/>
  <c r="B438" i="26"/>
  <c r="A24" i="26"/>
  <c r="B69" i="26"/>
  <c r="A81" i="26"/>
  <c r="C471" i="26"/>
  <c r="B98" i="26"/>
  <c r="B336" i="26"/>
  <c r="A132" i="26"/>
  <c r="C103" i="26"/>
  <c r="B353" i="26"/>
  <c r="A446" i="26"/>
  <c r="A313" i="26"/>
  <c r="B212" i="26"/>
  <c r="C65" i="26"/>
  <c r="C485" i="26"/>
  <c r="B240" i="26"/>
  <c r="B455" i="26"/>
  <c r="B279" i="26"/>
  <c r="A134" i="26"/>
  <c r="A144" i="26"/>
  <c r="B234" i="26"/>
  <c r="B11" i="26"/>
  <c r="B406" i="26"/>
  <c r="A423" i="26"/>
  <c r="A10" i="26"/>
  <c r="B408" i="26"/>
  <c r="C159" i="26"/>
  <c r="A29" i="26"/>
  <c r="B202" i="26"/>
  <c r="A492" i="26"/>
  <c r="C69" i="26"/>
  <c r="C346" i="26"/>
  <c r="B373" i="26"/>
  <c r="A130" i="26"/>
  <c r="C263" i="26"/>
  <c r="C246" i="26"/>
  <c r="B463" i="26"/>
  <c r="A220" i="26"/>
  <c r="C84" i="26"/>
  <c r="B157" i="26"/>
  <c r="B8" i="26"/>
  <c r="C174" i="26"/>
  <c r="B24" i="26"/>
  <c r="B108" i="26"/>
  <c r="B76" i="26"/>
  <c r="B13" i="26"/>
  <c r="A407" i="26"/>
  <c r="C488" i="26"/>
  <c r="B385" i="26"/>
  <c r="A30" i="26"/>
  <c r="C61" i="26"/>
  <c r="C138" i="26"/>
  <c r="A77" i="26"/>
  <c r="C344" i="26"/>
  <c r="B371" i="26"/>
  <c r="C315" i="26"/>
  <c r="A432" i="26"/>
  <c r="A169" i="26"/>
  <c r="A431" i="26"/>
  <c r="B119" i="26"/>
  <c r="A408" i="26"/>
  <c r="C350" i="26"/>
  <c r="A105" i="26"/>
  <c r="B138" i="26"/>
  <c r="B310" i="26"/>
  <c r="A428" i="26"/>
  <c r="A465" i="26"/>
  <c r="C274" i="26"/>
  <c r="B73" i="26"/>
  <c r="A468" i="26"/>
  <c r="A424" i="26"/>
  <c r="B280" i="26"/>
  <c r="B220" i="26"/>
  <c r="C342" i="26"/>
  <c r="A461" i="26"/>
  <c r="C416" i="26"/>
  <c r="A110" i="26"/>
  <c r="C266" i="26"/>
  <c r="B53" i="26"/>
  <c r="C366" i="26"/>
  <c r="C230" i="26"/>
  <c r="C349" i="26"/>
  <c r="A69" i="26"/>
  <c r="C442" i="26"/>
  <c r="B305" i="26"/>
  <c r="B273" i="26"/>
  <c r="A322" i="26"/>
  <c r="A450" i="26"/>
  <c r="C217" i="26"/>
  <c r="B486" i="26"/>
  <c r="B473" i="26"/>
  <c r="A482" i="26"/>
  <c r="B420" i="26"/>
  <c r="B382" i="26"/>
  <c r="A454" i="26"/>
  <c r="A2" i="26"/>
  <c r="C496" i="26"/>
  <c r="B342" i="26"/>
  <c r="C411" i="26"/>
  <c r="B400" i="26"/>
  <c r="B306" i="26"/>
  <c r="A367" i="26"/>
  <c r="C326" i="26"/>
  <c r="C415" i="26"/>
  <c r="A248" i="26"/>
  <c r="A370" i="26"/>
  <c r="B171" i="26"/>
  <c r="B302" i="26"/>
  <c r="C494" i="26"/>
  <c r="C334" i="26"/>
  <c r="B352" i="26"/>
  <c r="A3" i="26"/>
  <c r="B303" i="26"/>
  <c r="A364" i="26"/>
  <c r="C210" i="26"/>
  <c r="B448" i="26"/>
  <c r="B25" i="26"/>
  <c r="B181" i="26"/>
  <c r="B56" i="26"/>
  <c r="C436" i="26"/>
  <c r="C185" i="26"/>
  <c r="C373" i="26"/>
  <c r="A441" i="26"/>
  <c r="B64" i="26"/>
  <c r="C164" i="26"/>
  <c r="B231" i="26"/>
  <c r="B415" i="26"/>
  <c r="B297" i="26"/>
  <c r="A201" i="26"/>
  <c r="C113" i="26"/>
  <c r="A292" i="26"/>
  <c r="A208" i="26"/>
  <c r="A146" i="26"/>
  <c r="A255" i="26"/>
  <c r="C115" i="26"/>
  <c r="A433" i="26"/>
  <c r="A502" i="26"/>
  <c r="A139" i="26"/>
  <c r="C245" i="26"/>
  <c r="C63" i="26"/>
  <c r="B92" i="26"/>
  <c r="A215" i="26"/>
  <c r="A183" i="26"/>
  <c r="B295" i="26"/>
  <c r="C427" i="26"/>
  <c r="B141" i="26"/>
  <c r="A244" i="26"/>
  <c r="B50" i="26"/>
  <c r="A74" i="26"/>
  <c r="B101" i="26"/>
  <c r="C414" i="26"/>
  <c r="C469" i="26"/>
  <c r="A78" i="26"/>
  <c r="C142" i="26"/>
  <c r="C94" i="26"/>
  <c r="A475" i="26"/>
  <c r="B244" i="26"/>
  <c r="A378" i="26"/>
  <c r="C420" i="26"/>
  <c r="A12" i="26"/>
  <c r="C161" i="26"/>
  <c r="A310" i="26"/>
  <c r="A256" i="26"/>
  <c r="C368" i="26"/>
  <c r="A467" i="26"/>
  <c r="C154" i="26"/>
  <c r="C302" i="26"/>
  <c r="C240" i="26"/>
  <c r="B41" i="26"/>
  <c r="C465" i="26"/>
  <c r="A85" i="26"/>
  <c r="A488" i="26"/>
  <c r="A395" i="26"/>
  <c r="A455" i="26"/>
  <c r="B58" i="26"/>
  <c r="A53" i="26"/>
  <c r="C304" i="26"/>
  <c r="B326" i="26"/>
  <c r="B189" i="26"/>
  <c r="C160" i="26"/>
  <c r="C400" i="26"/>
  <c r="B361" i="26"/>
  <c r="B148" i="26"/>
  <c r="C204" i="26"/>
  <c r="A233" i="26"/>
  <c r="B190" i="26"/>
  <c r="B48" i="26"/>
  <c r="B120" i="26"/>
  <c r="B494" i="26"/>
  <c r="A311" i="26"/>
  <c r="C404" i="26"/>
  <c r="C145" i="26"/>
  <c r="A440" i="26"/>
  <c r="B437" i="26"/>
  <c r="A368" i="26"/>
  <c r="A303" i="26"/>
  <c r="C280" i="26"/>
  <c r="B198" i="26"/>
  <c r="B390" i="26"/>
  <c r="B451" i="26"/>
  <c r="B424" i="26"/>
  <c r="B217" i="26"/>
  <c r="A46" i="26"/>
  <c r="C392" i="26"/>
  <c r="A335" i="26"/>
  <c r="C421" i="26"/>
  <c r="C487" i="26"/>
  <c r="A282" i="26"/>
  <c r="C343" i="26"/>
  <c r="A93" i="26"/>
  <c r="A397" i="26"/>
  <c r="B492" i="26"/>
  <c r="A236" i="26"/>
  <c r="A113" i="26"/>
  <c r="B498" i="26"/>
  <c r="A314" i="26"/>
  <c r="C208" i="26"/>
  <c r="C292" i="26"/>
  <c r="C140" i="26"/>
  <c r="A449" i="26"/>
  <c r="A369" i="26"/>
  <c r="C114" i="26"/>
  <c r="B292" i="26"/>
  <c r="B265" i="26"/>
  <c r="C23" i="26"/>
  <c r="A143" i="26"/>
  <c r="C279" i="26"/>
  <c r="B325" i="26"/>
  <c r="B226" i="26"/>
  <c r="B104" i="26"/>
  <c r="A230" i="26"/>
  <c r="B242" i="26"/>
  <c r="C221" i="26"/>
  <c r="C457" i="26"/>
  <c r="A116" i="26"/>
  <c r="C314" i="26"/>
  <c r="B191" i="26"/>
  <c r="A463" i="26"/>
  <c r="B267" i="26"/>
  <c r="C218" i="26"/>
  <c r="C351" i="26"/>
  <c r="C379" i="26"/>
  <c r="A111" i="26"/>
  <c r="C301" i="26"/>
  <c r="A299" i="26"/>
  <c r="C354" i="26"/>
  <c r="C118" i="26"/>
  <c r="A416" i="26"/>
  <c r="C358" i="26"/>
  <c r="C309" i="26"/>
  <c r="C156" i="26"/>
  <c r="A42" i="26"/>
  <c r="A252" i="26"/>
  <c r="A352" i="26"/>
  <c r="B91" i="26"/>
  <c r="B372" i="26"/>
  <c r="C43" i="26"/>
  <c r="C106" i="26"/>
  <c r="B199" i="26"/>
  <c r="B268" i="26"/>
  <c r="A23" i="26"/>
  <c r="A319" i="26"/>
  <c r="B72" i="26"/>
  <c r="A278" i="26"/>
  <c r="C235" i="26"/>
  <c r="A11" i="26"/>
  <c r="A62" i="26"/>
  <c r="C44" i="26"/>
  <c r="B194" i="26"/>
  <c r="B78" i="26"/>
  <c r="C60" i="26"/>
  <c r="A217" i="26"/>
  <c r="B480" i="26"/>
  <c r="B457" i="26"/>
  <c r="A47" i="26"/>
  <c r="A341" i="26"/>
  <c r="C258" i="26"/>
  <c r="A156" i="26"/>
  <c r="C310" i="26"/>
  <c r="B487" i="26"/>
  <c r="B251" i="26"/>
  <c r="A496" i="26"/>
  <c r="A180" i="26"/>
  <c r="B209" i="26"/>
  <c r="B184" i="26"/>
  <c r="A150" i="26"/>
  <c r="A339" i="26"/>
  <c r="B172" i="26"/>
  <c r="C40" i="26"/>
  <c r="C252" i="26"/>
  <c r="C242" i="26"/>
  <c r="B227" i="26"/>
  <c r="A381" i="26"/>
  <c r="A163" i="26"/>
  <c r="A142" i="26"/>
  <c r="A404" i="26"/>
  <c r="C489" i="26"/>
  <c r="A260" i="26"/>
  <c r="A167" i="26"/>
  <c r="C440" i="26"/>
  <c r="B461" i="26"/>
  <c r="C179" i="26"/>
  <c r="A239" i="26"/>
  <c r="B252" i="26"/>
  <c r="B106" i="26"/>
  <c r="A209" i="26"/>
  <c r="C324" i="26"/>
  <c r="B127" i="26"/>
  <c r="C177" i="26"/>
  <c r="C407" i="26"/>
  <c r="C477" i="26"/>
  <c r="C123" i="26"/>
  <c r="A194" i="26"/>
  <c r="C393" i="26"/>
  <c r="A129" i="26"/>
  <c r="C367" i="26"/>
  <c r="A359" i="26"/>
  <c r="B115" i="26"/>
  <c r="A447" i="26"/>
  <c r="B239" i="26"/>
  <c r="A157" i="26"/>
  <c r="A268" i="26"/>
  <c r="A137" i="26"/>
  <c r="A325" i="26"/>
  <c r="B499" i="26"/>
  <c r="C117" i="26"/>
  <c r="B65" i="26"/>
  <c r="B450" i="26"/>
  <c r="C101" i="26"/>
  <c r="C486" i="26"/>
  <c r="A206" i="26"/>
  <c r="C129" i="26"/>
  <c r="B43" i="26"/>
  <c r="B136" i="26"/>
  <c r="A199" i="26"/>
  <c r="A182" i="26"/>
  <c r="A97" i="26"/>
  <c r="C330" i="26"/>
  <c r="B2" i="26"/>
  <c r="B319" i="26"/>
  <c r="C434" i="26"/>
  <c r="A326" i="26"/>
  <c r="A376" i="26"/>
  <c r="C100" i="26"/>
  <c r="A261" i="26"/>
  <c r="A259" i="26"/>
  <c r="B482" i="26"/>
  <c r="B100" i="26"/>
  <c r="C493" i="26"/>
  <c r="A26" i="26"/>
  <c r="C325" i="26"/>
  <c r="B35" i="26"/>
  <c r="C271" i="26"/>
  <c r="B355" i="26"/>
  <c r="B183" i="26"/>
  <c r="B266" i="26"/>
  <c r="C95" i="26"/>
  <c r="C36" i="26"/>
  <c r="B418" i="26"/>
  <c r="C54" i="26"/>
  <c r="B200" i="26"/>
  <c r="C207" i="26"/>
  <c r="B126" i="26"/>
  <c r="A480" i="26"/>
  <c r="A64" i="26"/>
  <c r="C335" i="26"/>
  <c r="C56" i="26"/>
  <c r="C211" i="26"/>
  <c r="C124" i="26"/>
  <c r="A181" i="26"/>
  <c r="C212" i="26"/>
  <c r="A232" i="26"/>
  <c r="B42" i="26"/>
  <c r="C375" i="26"/>
  <c r="C134" i="26"/>
  <c r="B3" i="26"/>
  <c r="C200" i="26"/>
  <c r="C53" i="26"/>
  <c r="A84" i="26"/>
  <c r="B431" i="26"/>
  <c r="B475" i="26"/>
  <c r="A153" i="26"/>
  <c r="A145" i="26"/>
  <c r="A284" i="26"/>
  <c r="C76" i="26"/>
  <c r="B491" i="26"/>
  <c r="B160" i="26"/>
  <c r="A276" i="26"/>
  <c r="C88" i="26"/>
  <c r="B449" i="26"/>
  <c r="C6" i="26"/>
  <c r="A34" i="26"/>
  <c r="B443" i="26"/>
  <c r="C417" i="26"/>
  <c r="C87" i="26"/>
  <c r="A354" i="26"/>
  <c r="C288" i="26"/>
  <c r="C463" i="26"/>
  <c r="A136" i="26"/>
  <c r="A336" i="26"/>
  <c r="B246" i="26"/>
  <c r="B488" i="26"/>
  <c r="C169" i="26"/>
  <c r="C29" i="26"/>
  <c r="C370" i="26"/>
  <c r="A141" i="26"/>
  <c r="C157" i="26"/>
  <c r="C122" i="26"/>
  <c r="B145" i="26"/>
  <c r="A374" i="26"/>
  <c r="C352" i="26"/>
  <c r="B241" i="26"/>
  <c r="B285" i="26"/>
  <c r="B320" i="26"/>
  <c r="B358" i="26"/>
  <c r="C137" i="26"/>
  <c r="B296" i="26"/>
  <c r="A497" i="26"/>
  <c r="C27" i="26"/>
  <c r="A121" i="26"/>
  <c r="B272" i="26"/>
  <c r="C374" i="26"/>
  <c r="A152" i="26"/>
  <c r="A4" i="26"/>
  <c r="A250" i="26"/>
  <c r="A79" i="26"/>
  <c r="A464" i="26"/>
  <c r="B27" i="26"/>
  <c r="A281" i="26"/>
  <c r="C460" i="26"/>
  <c r="C476" i="26"/>
  <c r="A80" i="26"/>
  <c r="B311" i="26"/>
  <c r="B411" i="26"/>
  <c r="A309" i="26"/>
  <c r="A444" i="26"/>
  <c r="C216" i="26"/>
  <c r="B282" i="26"/>
  <c r="B151" i="26"/>
  <c r="C136" i="26"/>
  <c r="A63" i="26"/>
  <c r="C255" i="26"/>
  <c r="B401" i="26"/>
  <c r="A58" i="26"/>
  <c r="C7" i="26"/>
  <c r="C272" i="26"/>
  <c r="B131" i="26"/>
  <c r="C308" i="26"/>
  <c r="A279" i="26"/>
  <c r="C251" i="26"/>
  <c r="C155" i="26"/>
  <c r="B173" i="26"/>
  <c r="A365" i="26"/>
  <c r="A14" i="26"/>
  <c r="B90" i="26"/>
  <c r="A271" i="26"/>
  <c r="B262" i="26"/>
  <c r="C418" i="26"/>
  <c r="A102" i="26"/>
  <c r="B365" i="26"/>
  <c r="C171" i="26"/>
  <c r="C389" i="26"/>
  <c r="C149" i="26"/>
  <c r="B281" i="26"/>
  <c r="A337" i="26"/>
  <c r="A59" i="26"/>
  <c r="A45" i="26"/>
  <c r="A229" i="26"/>
  <c r="A389" i="26"/>
  <c r="B74" i="26"/>
  <c r="A238" i="26"/>
  <c r="B472" i="26"/>
  <c r="B357" i="26"/>
  <c r="B60" i="26"/>
  <c r="A426" i="26"/>
  <c r="B316" i="26"/>
  <c r="B284" i="26"/>
  <c r="C180" i="26"/>
  <c r="C202" i="26"/>
  <c r="A495" i="26"/>
  <c r="A338" i="26"/>
  <c r="B441" i="26"/>
  <c r="A161" i="26"/>
  <c r="B301" i="26"/>
  <c r="B71" i="26"/>
  <c r="C8" i="26"/>
  <c r="A119" i="26"/>
  <c r="A362" i="26"/>
  <c r="B196" i="26"/>
  <c r="B153" i="26"/>
  <c r="A400" i="26"/>
  <c r="B483" i="26"/>
  <c r="B82" i="26"/>
  <c r="C197" i="26"/>
  <c r="A56" i="26"/>
  <c r="C46" i="26"/>
  <c r="B426" i="26"/>
  <c r="C181" i="26"/>
  <c r="B146" i="26"/>
  <c r="C450" i="26"/>
  <c r="B307" i="26"/>
  <c r="B4" i="26"/>
  <c r="C384" i="26"/>
  <c r="B349" i="26"/>
  <c r="B496" i="26"/>
  <c r="A89" i="26"/>
  <c r="C353" i="26"/>
  <c r="C130" i="26"/>
  <c r="B276" i="26"/>
  <c r="A479" i="26"/>
  <c r="A377" i="26"/>
  <c r="A304" i="26"/>
  <c r="A231" i="26"/>
  <c r="B155" i="26"/>
  <c r="A329" i="26"/>
  <c r="C193" i="26"/>
  <c r="A101" i="26"/>
  <c r="C52" i="26"/>
  <c r="A224" i="26"/>
  <c r="B102" i="26"/>
  <c r="A196" i="26"/>
  <c r="B478" i="26"/>
  <c r="A425" i="26"/>
  <c r="A242" i="26"/>
  <c r="B205" i="26"/>
  <c r="C270" i="26"/>
  <c r="A178" i="26"/>
  <c r="A342" i="26"/>
  <c r="A435" i="26"/>
  <c r="B14" i="26"/>
  <c r="C35" i="26"/>
  <c r="C236" i="26"/>
  <c r="A41" i="26"/>
  <c r="C319" i="26"/>
  <c r="B474" i="26"/>
  <c r="C110" i="26"/>
  <c r="C135" i="26"/>
  <c r="B30" i="26"/>
  <c r="A405" i="26"/>
  <c r="A104" i="26"/>
  <c r="B442" i="26"/>
  <c r="C336" i="26"/>
  <c r="B495" i="26"/>
  <c r="B168" i="26"/>
  <c r="B164" i="26"/>
  <c r="B135" i="26"/>
  <c r="C502" i="26"/>
  <c r="A384" i="26"/>
  <c r="C148" i="26"/>
  <c r="C410" i="26"/>
  <c r="B274" i="26"/>
  <c r="C3" i="26"/>
  <c r="C492" i="26"/>
  <c r="B421" i="26"/>
  <c r="A481" i="26"/>
  <c r="A287" i="26"/>
  <c r="B216" i="26"/>
  <c r="B36" i="26"/>
  <c r="A71" i="26"/>
  <c r="A207" i="26"/>
  <c r="A315" i="26"/>
  <c r="A117" i="26"/>
  <c r="C347" i="26"/>
  <c r="B49" i="26"/>
  <c r="A373" i="26"/>
  <c r="A249" i="26"/>
  <c r="B83" i="26"/>
  <c r="A7" i="26"/>
  <c r="A498" i="26"/>
  <c r="B271" i="26"/>
  <c r="A473" i="26"/>
  <c r="B51" i="26"/>
  <c r="C264" i="26"/>
  <c r="B317" i="26"/>
  <c r="B414" i="26"/>
  <c r="B263" i="26"/>
  <c r="B79" i="26"/>
  <c r="A458" i="26"/>
  <c r="A192" i="26"/>
  <c r="B314" i="26"/>
  <c r="B391" i="26"/>
  <c r="A190" i="26"/>
  <c r="A160" i="26"/>
  <c r="C294" i="26"/>
  <c r="C453" i="26"/>
  <c r="A269" i="26"/>
  <c r="B96" i="26"/>
  <c r="C397" i="26"/>
  <c r="C51" i="26"/>
  <c r="C466" i="26"/>
  <c r="C317" i="26"/>
  <c r="A91" i="26"/>
  <c r="A149" i="26"/>
  <c r="B393" i="26"/>
  <c r="A387" i="26"/>
  <c r="B270" i="26"/>
  <c r="A427" i="26"/>
  <c r="C133" i="26"/>
  <c r="B432" i="26"/>
  <c r="C120" i="26"/>
  <c r="C26" i="26"/>
  <c r="C196" i="26"/>
  <c r="B339" i="26"/>
  <c r="B362" i="26"/>
  <c r="B221" i="26"/>
  <c r="B452" i="26"/>
  <c r="A312" i="26"/>
  <c r="B93" i="26"/>
  <c r="C307" i="26"/>
  <c r="B377" i="26"/>
  <c r="B162" i="26"/>
  <c r="B466" i="26"/>
  <c r="B94" i="26"/>
  <c r="B346" i="26"/>
  <c r="A413" i="26"/>
  <c r="B445" i="26"/>
  <c r="A204" i="26"/>
  <c r="B77" i="26"/>
  <c r="B258" i="26"/>
  <c r="A344" i="26"/>
  <c r="B464" i="26"/>
  <c r="C67" i="26"/>
  <c r="B327" i="26"/>
  <c r="B335" i="26"/>
  <c r="A257" i="26"/>
  <c r="B176" i="26"/>
  <c r="C278" i="26"/>
  <c r="B344" i="26"/>
  <c r="B185" i="26"/>
  <c r="A401" i="26"/>
  <c r="C406" i="26"/>
  <c r="A218" i="26"/>
  <c r="C253" i="26"/>
  <c r="C473" i="26"/>
  <c r="C276" i="26"/>
  <c r="B375" i="26"/>
  <c r="C68" i="26"/>
  <c r="A332" i="26"/>
  <c r="A109" i="26"/>
  <c r="C96" i="26"/>
  <c r="A302" i="26"/>
  <c r="B447" i="26"/>
  <c r="B396" i="26"/>
  <c r="C203" i="26"/>
  <c r="A434" i="26"/>
  <c r="C377" i="26"/>
  <c r="C250" i="26"/>
  <c r="A100" i="26"/>
  <c r="A52" i="26"/>
  <c r="A393" i="26"/>
  <c r="B384" i="26"/>
  <c r="C322" i="26"/>
  <c r="C233" i="26"/>
  <c r="B39" i="26"/>
  <c r="C189" i="26"/>
  <c r="B197" i="26"/>
  <c r="C284" i="26"/>
  <c r="A118" i="26"/>
  <c r="C430" i="26"/>
  <c r="B422" i="26"/>
  <c r="A274" i="26"/>
  <c r="A245" i="26"/>
  <c r="B389" i="26"/>
  <c r="B260" i="26"/>
  <c r="B312" i="26"/>
  <c r="A396" i="26"/>
  <c r="C150" i="26"/>
  <c r="C479" i="26"/>
  <c r="A92" i="26"/>
  <c r="A470" i="26"/>
  <c r="C231" i="26"/>
  <c r="A295" i="26"/>
  <c r="B435" i="26"/>
  <c r="C214" i="26"/>
  <c r="C99" i="26"/>
  <c r="A264" i="26"/>
  <c r="A283" i="26"/>
  <c r="C93" i="26"/>
  <c r="A114" i="26"/>
  <c r="B161" i="26"/>
  <c r="C224" i="26"/>
  <c r="B328" i="26"/>
  <c r="B350" i="26"/>
  <c r="B465" i="26"/>
  <c r="B368" i="26"/>
  <c r="A288" i="26"/>
  <c r="B54" i="26"/>
  <c r="A402" i="26"/>
  <c r="B193" i="26"/>
  <c r="C268" i="26"/>
  <c r="C25" i="26"/>
  <c r="C458" i="26"/>
  <c r="A421" i="26"/>
  <c r="B180" i="26"/>
  <c r="C462" i="26"/>
  <c r="A197" i="26"/>
  <c r="A213" i="26"/>
  <c r="A286" i="26"/>
  <c r="A417" i="26"/>
  <c r="E23" i="20"/>
  <c r="E24" i="20"/>
  <c r="E25" i="20"/>
  <c r="E17" i="20"/>
  <c r="E22" i="20"/>
  <c r="E20" i="20"/>
  <c r="E18" i="20"/>
  <c r="E15" i="20"/>
  <c r="E19" i="20"/>
  <c r="E16" i="20"/>
  <c r="E21" i="20"/>
  <c r="E57" i="20" l="1"/>
  <c r="G68" i="3" l="1"/>
  <c r="H68" i="3"/>
  <c r="I68" i="3"/>
  <c r="J68" i="3"/>
  <c r="K68" i="3"/>
  <c r="L68" i="3"/>
  <c r="M68" i="3"/>
  <c r="E68" i="3"/>
  <c r="F68" i="3"/>
  <c r="E75" i="20" l="1"/>
  <c r="E40" i="20"/>
  <c r="E53" i="20" l="1"/>
  <c r="E189" i="20" l="1"/>
  <c r="H169" i="20"/>
  <c r="I169" i="20"/>
  <c r="E133" i="20"/>
  <c r="E131" i="20"/>
  <c r="E27" i="20" l="1"/>
  <c r="E239" i="20"/>
  <c r="E249" i="20" l="1"/>
  <c r="E44" i="20"/>
  <c r="E12" i="20"/>
  <c r="E187" i="20"/>
  <c r="J3" i="6" l="1"/>
  <c r="J19" i="6" s="1"/>
  <c r="K3" i="6"/>
  <c r="K19" i="6" s="1"/>
  <c r="L3" i="6"/>
  <c r="L19" i="6" s="1"/>
  <c r="M3" i="6"/>
  <c r="M19" i="6" s="1"/>
  <c r="N3" i="6"/>
  <c r="N19" i="6" s="1"/>
  <c r="O3" i="6"/>
  <c r="O19" i="6" s="1"/>
  <c r="P3" i="6"/>
  <c r="P19" i="6" s="1"/>
  <c r="Q3" i="6"/>
  <c r="Q19" i="6" s="1"/>
  <c r="R3" i="6"/>
  <c r="R19" i="6" s="1"/>
  <c r="S3" i="6"/>
  <c r="S19" i="6" s="1"/>
  <c r="T3" i="6"/>
  <c r="T19" i="6" s="1"/>
  <c r="J4" i="6"/>
  <c r="J20" i="6" s="1"/>
  <c r="K4" i="6"/>
  <c r="K20" i="6" s="1"/>
  <c r="N4" i="6"/>
  <c r="N20" i="6" s="1"/>
  <c r="O4" i="6"/>
  <c r="O20" i="6" s="1"/>
  <c r="P4" i="6"/>
  <c r="P20" i="6" s="1"/>
  <c r="Q4" i="6"/>
  <c r="Q20" i="6" s="1"/>
  <c r="R4" i="6"/>
  <c r="R20" i="6" s="1"/>
  <c r="S4" i="6"/>
  <c r="S20" i="6" s="1"/>
  <c r="T4" i="6"/>
  <c r="T20" i="6" s="1"/>
  <c r="J5" i="6"/>
  <c r="J21" i="6" s="1"/>
  <c r="K5" i="6"/>
  <c r="K21" i="6" s="1"/>
  <c r="N5" i="6"/>
  <c r="N21" i="6" s="1"/>
  <c r="O5" i="6"/>
  <c r="O21" i="6" s="1"/>
  <c r="P5" i="6"/>
  <c r="P21" i="6" s="1"/>
  <c r="Q5" i="6"/>
  <c r="Q21" i="6" s="1"/>
  <c r="R5" i="6"/>
  <c r="R21" i="6" s="1"/>
  <c r="S5" i="6"/>
  <c r="S21" i="6" s="1"/>
  <c r="T5" i="6"/>
  <c r="T21" i="6" s="1"/>
  <c r="J6" i="6"/>
  <c r="K6" i="6"/>
  <c r="L6" i="6"/>
  <c r="M6" i="6"/>
  <c r="N6" i="6"/>
  <c r="O6" i="6"/>
  <c r="P6" i="6"/>
  <c r="Q6" i="6"/>
  <c r="R6" i="6"/>
  <c r="S6" i="6"/>
  <c r="T6" i="6"/>
  <c r="J7" i="6"/>
  <c r="K7" i="6"/>
  <c r="N7" i="6"/>
  <c r="O7" i="6"/>
  <c r="P7" i="6"/>
  <c r="Q7" i="6"/>
  <c r="R7" i="6"/>
  <c r="S7" i="6"/>
  <c r="T7" i="6"/>
  <c r="J8" i="6"/>
  <c r="K8" i="6"/>
  <c r="N8" i="6"/>
  <c r="O8" i="6"/>
  <c r="P8" i="6"/>
  <c r="Q8" i="6"/>
  <c r="R8" i="6"/>
  <c r="S8" i="6"/>
  <c r="T8" i="6"/>
  <c r="L20" i="6"/>
  <c r="M20" i="6"/>
  <c r="L21" i="6"/>
  <c r="M21" i="6"/>
  <c r="E79" i="20" l="1"/>
  <c r="E250" i="20"/>
  <c r="E136" i="20"/>
  <c r="E177" i="20"/>
  <c r="E176" i="20"/>
  <c r="E160" i="20"/>
  <c r="E132" i="20"/>
  <c r="D153" i="11"/>
  <c r="E7" i="25" l="1"/>
  <c r="E9" i="25"/>
  <c r="E8" i="25"/>
  <c r="P89" i="20" l="1"/>
  <c r="O89" i="20"/>
  <c r="N89" i="20"/>
  <c r="M89" i="20"/>
  <c r="L89" i="20"/>
  <c r="K89" i="20"/>
  <c r="J89" i="20"/>
  <c r="I89" i="20"/>
  <c r="H89" i="20"/>
  <c r="G89" i="20"/>
  <c r="F89" i="20"/>
  <c r="F82" i="3"/>
  <c r="G82" i="3"/>
  <c r="H82" i="3"/>
  <c r="I82" i="3"/>
  <c r="J82" i="3"/>
  <c r="K82" i="3"/>
  <c r="L82" i="3"/>
  <c r="M82" i="3"/>
  <c r="F81" i="3"/>
  <c r="G81" i="3"/>
  <c r="H81" i="3"/>
  <c r="I81" i="3"/>
  <c r="J81" i="3"/>
  <c r="K81" i="3"/>
  <c r="L81" i="3"/>
  <c r="M81" i="3"/>
  <c r="E82" i="3"/>
  <c r="E81" i="3"/>
  <c r="E91" i="20"/>
  <c r="E97" i="20"/>
  <c r="E243" i="20"/>
  <c r="E99" i="20"/>
  <c r="E100" i="20"/>
  <c r="E98" i="20"/>
  <c r="E95" i="20"/>
  <c r="E245" i="20"/>
  <c r="E93" i="20"/>
  <c r="E94" i="20"/>
  <c r="E90" i="20"/>
  <c r="E40" i="25"/>
  <c r="E183" i="25"/>
  <c r="E69" i="25"/>
  <c r="E29" i="25"/>
  <c r="E176" i="25"/>
  <c r="E32" i="25"/>
  <c r="E77" i="25"/>
  <c r="E31" i="25"/>
  <c r="E177" i="25"/>
  <c r="E30" i="25"/>
  <c r="E51" i="25"/>
  <c r="E175" i="25"/>
  <c r="E174" i="25"/>
  <c r="E178" i="25"/>
  <c r="A2" i="11"/>
  <c r="A15" i="11"/>
  <c r="C11" i="11"/>
  <c r="C3" i="11"/>
  <c r="C7" i="11"/>
  <c r="A3" i="11"/>
  <c r="C6" i="11"/>
  <c r="C13" i="11"/>
  <c r="C8" i="11"/>
  <c r="C14" i="11"/>
  <c r="C12" i="11"/>
  <c r="A14" i="11"/>
  <c r="A12" i="11"/>
  <c r="C9" i="11"/>
  <c r="C2" i="11"/>
  <c r="A7" i="11"/>
  <c r="A11" i="11"/>
  <c r="A10" i="11"/>
  <c r="A5" i="11"/>
  <c r="C5" i="11"/>
  <c r="C15" i="11"/>
  <c r="A8" i="11"/>
  <c r="A9" i="11"/>
  <c r="A6" i="11"/>
  <c r="C10" i="11"/>
  <c r="A13" i="11"/>
  <c r="E179" i="25" l="1"/>
  <c r="E148" i="25"/>
  <c r="E147" i="25"/>
  <c r="E146" i="25"/>
  <c r="E145" i="25"/>
  <c r="E144" i="25"/>
  <c r="E143" i="25"/>
  <c r="P28" i="25"/>
  <c r="O28" i="25"/>
  <c r="N28" i="25"/>
  <c r="M28" i="25"/>
  <c r="L28" i="25"/>
  <c r="K28" i="25"/>
  <c r="J28" i="25"/>
  <c r="I28" i="25"/>
  <c r="H28" i="25"/>
  <c r="G28" i="25"/>
  <c r="F28" i="25"/>
  <c r="E14" i="25"/>
  <c r="E5" i="25"/>
  <c r="E53" i="25"/>
  <c r="E96" i="20" l="1"/>
  <c r="E18" i="25"/>
  <c r="E171" i="25"/>
  <c r="M27" i="13" l="1"/>
  <c r="L27" i="13"/>
  <c r="K27" i="13"/>
  <c r="J27" i="13"/>
  <c r="I27" i="13"/>
  <c r="H27" i="13"/>
  <c r="G27" i="13"/>
  <c r="F27" i="13"/>
  <c r="E27" i="13"/>
  <c r="D27" i="13"/>
  <c r="C27" i="13"/>
  <c r="M26" i="13"/>
  <c r="L26" i="13"/>
  <c r="K26" i="13"/>
  <c r="J26" i="13"/>
  <c r="I26" i="13"/>
  <c r="H26" i="13"/>
  <c r="G26" i="13"/>
  <c r="F26" i="13"/>
  <c r="E26" i="13"/>
  <c r="D26" i="13"/>
  <c r="C26" i="13"/>
  <c r="M25" i="13"/>
  <c r="L25" i="13"/>
  <c r="K25" i="13"/>
  <c r="J25" i="13"/>
  <c r="I25" i="13"/>
  <c r="H25" i="13"/>
  <c r="G25" i="13"/>
  <c r="F25" i="13"/>
  <c r="E25" i="13"/>
  <c r="D25" i="13"/>
  <c r="C25" i="13"/>
  <c r="M24" i="13"/>
  <c r="L24" i="13"/>
  <c r="K24" i="13"/>
  <c r="J24" i="13"/>
  <c r="I24" i="13"/>
  <c r="H24" i="13"/>
  <c r="G24" i="13"/>
  <c r="F24" i="13"/>
  <c r="E24" i="13"/>
  <c r="D24" i="13"/>
  <c r="C24" i="13"/>
  <c r="M23" i="13"/>
  <c r="L23" i="13"/>
  <c r="K23" i="13"/>
  <c r="J23" i="13"/>
  <c r="I23" i="13"/>
  <c r="H23" i="13"/>
  <c r="G23" i="13"/>
  <c r="F23" i="13"/>
  <c r="E23" i="13"/>
  <c r="D23" i="13"/>
  <c r="C23" i="13"/>
  <c r="M22" i="13"/>
  <c r="L22" i="13"/>
  <c r="K22" i="13"/>
  <c r="J22" i="13"/>
  <c r="I22" i="13"/>
  <c r="H22" i="13"/>
  <c r="G22" i="13"/>
  <c r="F22" i="13"/>
  <c r="E22" i="13"/>
  <c r="D22" i="13"/>
  <c r="C22" i="13"/>
  <c r="E231" i="20"/>
  <c r="E230" i="20"/>
  <c r="E218" i="20"/>
  <c r="E229" i="20"/>
  <c r="E217" i="20"/>
  <c r="E228" i="20"/>
  <c r="E181" i="20"/>
  <c r="E180" i="20"/>
  <c r="E175" i="20"/>
  <c r="E148" i="20"/>
  <c r="E111" i="20"/>
  <c r="E107" i="20"/>
  <c r="E105" i="20"/>
  <c r="E80" i="20"/>
  <c r="E65" i="20"/>
  <c r="E64" i="20"/>
  <c r="E63" i="20"/>
  <c r="E56" i="20"/>
  <c r="E55" i="20"/>
  <c r="E47" i="20"/>
  <c r="E46" i="20"/>
  <c r="E45" i="20"/>
  <c r="E42" i="20"/>
  <c r="E41" i="20"/>
  <c r="E39" i="20"/>
  <c r="E38" i="20"/>
  <c r="P13" i="20"/>
  <c r="O13" i="20"/>
  <c r="N13" i="20"/>
  <c r="M13" i="20"/>
  <c r="L13" i="20"/>
  <c r="K13" i="20"/>
  <c r="J13" i="20"/>
  <c r="G13" i="20"/>
  <c r="F13" i="20"/>
  <c r="K169" i="20" l="1"/>
  <c r="L169" i="20"/>
  <c r="F169" i="20"/>
  <c r="J169" i="20"/>
  <c r="M169" i="20"/>
  <c r="N169" i="20"/>
  <c r="O169" i="20"/>
  <c r="P169" i="20"/>
  <c r="G169" i="20"/>
  <c r="F6" i="2"/>
  <c r="F138" i="2" s="1"/>
  <c r="G6" i="2"/>
  <c r="G138" i="2" s="1"/>
  <c r="H6" i="2"/>
  <c r="H138" i="2" s="1"/>
  <c r="I6" i="2"/>
  <c r="I138" i="2" s="1"/>
  <c r="J6" i="2"/>
  <c r="J138" i="2" s="1"/>
  <c r="K6" i="2"/>
  <c r="K138" i="2" s="1"/>
  <c r="L6" i="2"/>
  <c r="L138" i="2" s="1"/>
  <c r="M6" i="2"/>
  <c r="M138" i="2" s="1"/>
  <c r="N6" i="2"/>
  <c r="N138" i="2" s="1"/>
  <c r="O6" i="2"/>
  <c r="O138" i="2" s="1"/>
  <c r="E6" i="2"/>
  <c r="E138" i="2" s="1"/>
  <c r="O6" i="11"/>
  <c r="H6" i="11"/>
  <c r="E6" i="11"/>
  <c r="K6" i="11"/>
  <c r="F6" i="11"/>
  <c r="L6" i="11"/>
  <c r="J6" i="11"/>
  <c r="G6" i="11"/>
  <c r="N6" i="11"/>
  <c r="I6" i="11"/>
  <c r="M6" i="11"/>
  <c r="G135" i="2" l="1"/>
  <c r="G136" i="2"/>
  <c r="L136" i="2"/>
  <c r="L135" i="2"/>
  <c r="M136" i="2"/>
  <c r="M135" i="2"/>
  <c r="K135" i="2"/>
  <c r="K136" i="2"/>
  <c r="O135" i="2"/>
  <c r="O136" i="2"/>
  <c r="J135" i="2"/>
  <c r="J136" i="2"/>
  <c r="I135" i="2"/>
  <c r="I136" i="2"/>
  <c r="H136" i="2"/>
  <c r="H135" i="2"/>
  <c r="N135" i="2"/>
  <c r="N136" i="2"/>
  <c r="F135" i="2"/>
  <c r="F136" i="2"/>
  <c r="E136" i="2"/>
  <c r="E135" i="2"/>
  <c r="D69" i="5" l="1"/>
  <c r="D105" i="5" s="1"/>
  <c r="E42" i="5"/>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D72" i="5"/>
  <c r="E4" i="25"/>
  <c r="F28" i="20"/>
  <c r="N35" i="20"/>
  <c r="O33" i="20"/>
  <c r="J33" i="20"/>
  <c r="J35" i="20"/>
  <c r="G35" i="20"/>
  <c r="M35" i="20"/>
  <c r="O35" i="20"/>
  <c r="G28" i="20"/>
  <c r="K28" i="20"/>
  <c r="K33" i="20"/>
  <c r="M33" i="20"/>
  <c r="F33" i="20"/>
  <c r="O28" i="20"/>
  <c r="L35" i="20"/>
  <c r="P28" i="20"/>
  <c r="L33" i="20"/>
  <c r="N33" i="20"/>
  <c r="G33" i="20"/>
  <c r="J28" i="20"/>
  <c r="F35" i="20"/>
  <c r="K35" i="20"/>
  <c r="P33" i="20"/>
  <c r="L28" i="20"/>
  <c r="M28" i="20"/>
  <c r="N29" i="25"/>
  <c r="L29" i="25"/>
  <c r="G30" i="25"/>
  <c r="M29" i="25"/>
  <c r="K29" i="25"/>
  <c r="P31" i="25"/>
  <c r="M30" i="25"/>
  <c r="F30" i="25"/>
  <c r="M31" i="25"/>
  <c r="K30" i="25"/>
  <c r="J29" i="25"/>
  <c r="L31" i="25"/>
  <c r="P29" i="25"/>
  <c r="N30" i="25"/>
  <c r="K31" i="25"/>
  <c r="G31" i="25"/>
  <c r="L30" i="25"/>
  <c r="O31" i="25"/>
  <c r="J31" i="25"/>
  <c r="F31" i="25"/>
  <c r="O29" i="25"/>
  <c r="J30" i="25"/>
  <c r="O30" i="25"/>
  <c r="F29" i="25"/>
  <c r="B4" i="13"/>
  <c r="K13" i="2"/>
  <c r="L13" i="2"/>
  <c r="M13" i="2"/>
  <c r="B5" i="13"/>
  <c r="B3" i="13"/>
  <c r="O13" i="2"/>
  <c r="E83" i="5"/>
  <c r="J13" i="2"/>
  <c r="N13" i="2"/>
  <c r="E6" i="20" l="1"/>
  <c r="E28" i="25"/>
  <c r="E56" i="3"/>
  <c r="I56" i="3"/>
  <c r="F56" i="3"/>
  <c r="J56" i="3"/>
  <c r="H56" i="3"/>
  <c r="D56" i="3"/>
  <c r="G56" i="3"/>
  <c r="K56" i="3"/>
  <c r="D7" i="2"/>
  <c r="D6" i="2"/>
  <c r="D71" i="5"/>
  <c r="M3" i="13"/>
  <c r="I3" i="13"/>
  <c r="E3" i="13"/>
  <c r="K3" i="13"/>
  <c r="F3" i="13"/>
  <c r="H3" i="13"/>
  <c r="L3" i="13"/>
  <c r="G3" i="13"/>
  <c r="J3" i="13"/>
  <c r="D3" i="13"/>
  <c r="C3" i="13"/>
  <c r="M5" i="13"/>
  <c r="I5" i="13"/>
  <c r="E5" i="13"/>
  <c r="J5" i="13"/>
  <c r="F5" i="13"/>
  <c r="G5" i="13"/>
  <c r="C5" i="13"/>
  <c r="H5" i="13"/>
  <c r="L5" i="13"/>
  <c r="D5" i="13"/>
  <c r="K5" i="13"/>
  <c r="J4" i="13"/>
  <c r="F4" i="13"/>
  <c r="K4" i="13"/>
  <c r="M4" i="13"/>
  <c r="G4" i="13"/>
  <c r="D4" i="13"/>
  <c r="H4" i="13"/>
  <c r="C4" i="13"/>
  <c r="L4" i="13"/>
  <c r="E4" i="13"/>
  <c r="I4" i="13"/>
  <c r="H28" i="20"/>
  <c r="E61" i="20"/>
  <c r="F90" i="20"/>
  <c r="H90" i="20"/>
  <c r="I35" i="20"/>
  <c r="P35" i="20"/>
  <c r="I28" i="20"/>
  <c r="N28" i="20"/>
  <c r="H35" i="20"/>
  <c r="H33" i="20"/>
  <c r="I33" i="20"/>
  <c r="I90" i="20"/>
  <c r="G29" i="25"/>
  <c r="N31" i="25"/>
  <c r="P30" i="25"/>
  <c r="H29" i="25"/>
  <c r="I31" i="25"/>
  <c r="I30" i="25"/>
  <c r="H30" i="25"/>
  <c r="I29" i="25"/>
  <c r="H31" i="25"/>
  <c r="B7" i="13"/>
  <c r="B16" i="13"/>
  <c r="B12" i="13"/>
  <c r="F22" i="3"/>
  <c r="D6" i="11"/>
  <c r="B9" i="13"/>
  <c r="B15" i="13"/>
  <c r="B11" i="13"/>
  <c r="B6" i="13"/>
  <c r="B13" i="13"/>
  <c r="B17" i="13"/>
  <c r="B8" i="13"/>
  <c r="G22" i="3"/>
  <c r="B14" i="13"/>
  <c r="E22" i="3"/>
  <c r="K184" i="2" s="1"/>
  <c r="B10" i="13"/>
  <c r="E184" i="2"/>
  <c r="H184" i="11"/>
  <c r="J184" i="11"/>
  <c r="N184" i="11"/>
  <c r="I184" i="11"/>
  <c r="L184" i="11"/>
  <c r="O184" i="11"/>
  <c r="K184" i="11"/>
  <c r="M184" i="11"/>
  <c r="G184" i="11"/>
  <c r="F184" i="11"/>
  <c r="E184" i="11"/>
  <c r="G184" i="2"/>
  <c r="J184" i="2"/>
  <c r="M184" i="2"/>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D15" i="13"/>
  <c r="M15" i="13"/>
  <c r="H15" i="13"/>
  <c r="L15" i="13"/>
  <c r="K15" i="13"/>
  <c r="I15" i="13"/>
  <c r="G15" i="13"/>
  <c r="J15" i="13"/>
  <c r="C15" i="13"/>
  <c r="F9" i="13"/>
  <c r="G9" i="13"/>
  <c r="C9" i="13"/>
  <c r="H9" i="13"/>
  <c r="M9" i="13"/>
  <c r="L9" i="13"/>
  <c r="I9" i="13"/>
  <c r="D9" i="13"/>
  <c r="E9" i="13"/>
  <c r="K9" i="13"/>
  <c r="J9" i="13"/>
  <c r="G11" i="13"/>
  <c r="H11" i="13"/>
  <c r="J11" i="13"/>
  <c r="D11" i="13"/>
  <c r="L11" i="13"/>
  <c r="M11" i="13"/>
  <c r="F11" i="13"/>
  <c r="I11" i="13"/>
  <c r="K11" i="13"/>
  <c r="E11" i="13"/>
  <c r="C11" i="13"/>
  <c r="H27" i="20"/>
  <c r="I32" i="20"/>
  <c r="I31" i="20"/>
  <c r="H34" i="20"/>
  <c r="H32" i="20"/>
  <c r="H31" i="20"/>
  <c r="I27" i="20"/>
  <c r="I34" i="20"/>
  <c r="K14" i="13"/>
  <c r="L14" i="13"/>
  <c r="G14" i="13"/>
  <c r="H14" i="13"/>
  <c r="I14" i="13"/>
  <c r="J14" i="13"/>
  <c r="C14" i="13"/>
  <c r="M14" i="13"/>
  <c r="D14" i="13"/>
  <c r="G6" i="13"/>
  <c r="C6" i="13"/>
  <c r="L6" i="13"/>
  <c r="J6" i="13"/>
  <c r="H6" i="13"/>
  <c r="F6" i="13"/>
  <c r="M6" i="13"/>
  <c r="D6" i="13"/>
  <c r="K6" i="13"/>
  <c r="I6" i="13"/>
  <c r="E6" i="13"/>
  <c r="D12" i="13"/>
  <c r="C12" i="13"/>
  <c r="K12" i="13"/>
  <c r="F12" i="13"/>
  <c r="M12" i="13"/>
  <c r="G12" i="13"/>
  <c r="L12" i="13"/>
  <c r="J12" i="13"/>
  <c r="H12" i="13"/>
  <c r="E12" i="13"/>
  <c r="I12" i="13"/>
  <c r="K13" i="13"/>
  <c r="D13" i="13"/>
  <c r="L13" i="13"/>
  <c r="G13" i="13"/>
  <c r="M13" i="13"/>
  <c r="I13" i="13"/>
  <c r="H13" i="13"/>
  <c r="J13" i="13"/>
  <c r="C13" i="13"/>
  <c r="G8" i="13"/>
  <c r="C8" i="13"/>
  <c r="H8" i="13"/>
  <c r="M8" i="13"/>
  <c r="J8" i="13"/>
  <c r="E8" i="13"/>
  <c r="L8" i="13"/>
  <c r="F8" i="13"/>
  <c r="D8" i="13"/>
  <c r="K8" i="13"/>
  <c r="I8" i="13"/>
  <c r="E5" i="20"/>
  <c r="E13" i="20"/>
  <c r="G153" i="2"/>
  <c r="L16" i="13"/>
  <c r="C16" i="13"/>
  <c r="G16" i="13"/>
  <c r="I16" i="13"/>
  <c r="J16" i="13"/>
  <c r="M16" i="13"/>
  <c r="K16" i="13"/>
  <c r="D16" i="13"/>
  <c r="H16" i="13"/>
  <c r="M10" i="13"/>
  <c r="J10" i="13"/>
  <c r="L10" i="13"/>
  <c r="I10" i="13"/>
  <c r="F10" i="13"/>
  <c r="H10" i="13"/>
  <c r="E10" i="13"/>
  <c r="K10" i="13"/>
  <c r="D10" i="13"/>
  <c r="G10" i="13"/>
  <c r="C10" i="13"/>
  <c r="F153" i="11"/>
  <c r="L153" i="11"/>
  <c r="N153" i="11"/>
  <c r="J153" i="11"/>
  <c r="G7" i="13"/>
  <c r="D7" i="13"/>
  <c r="I7" i="13"/>
  <c r="C7" i="13"/>
  <c r="J7" i="13"/>
  <c r="F7" i="13"/>
  <c r="L7" i="13"/>
  <c r="M7" i="13"/>
  <c r="K7" i="13"/>
  <c r="H7" i="13"/>
  <c r="E7" i="13"/>
  <c r="J153" i="2"/>
  <c r="M153" i="11"/>
  <c r="K153" i="2"/>
  <c r="M153" i="2"/>
  <c r="O153" i="11"/>
  <c r="I153" i="11"/>
  <c r="E153" i="2"/>
  <c r="H153" i="11"/>
  <c r="K153" i="11"/>
  <c r="E153" i="11"/>
  <c r="G153" i="11"/>
  <c r="M90" i="20"/>
  <c r="O90" i="20"/>
  <c r="J90" i="20"/>
  <c r="L90" i="20"/>
  <c r="G90" i="20"/>
  <c r="N90" i="20"/>
  <c r="P90" i="20"/>
  <c r="K90" i="20"/>
  <c r="E172" i="25"/>
  <c r="I184" i="2"/>
  <c r="G156" i="2"/>
  <c r="L184" i="2"/>
  <c r="M159" i="2"/>
  <c r="J154" i="2"/>
  <c r="E166" i="2"/>
  <c r="K158" i="2"/>
  <c r="M166" i="2"/>
  <c r="J157" i="2"/>
  <c r="K155" i="2"/>
  <c r="M160" i="2"/>
  <c r="K160" i="2"/>
  <c r="L22" i="3"/>
  <c r="G158" i="2"/>
  <c r="E158" i="2"/>
  <c r="E156" i="2"/>
  <c r="G162" i="2"/>
  <c r="M157" i="2"/>
  <c r="F184" i="2"/>
  <c r="M158" i="2"/>
  <c r="J156" i="2"/>
  <c r="E155" i="2"/>
  <c r="M155" i="2"/>
  <c r="M156" i="2"/>
  <c r="I22" i="3"/>
  <c r="K162" i="2"/>
  <c r="G154" i="2"/>
  <c r="K156" i="2"/>
  <c r="J22" i="3"/>
  <c r="E154" i="2"/>
  <c r="M162" i="2"/>
  <c r="E157" i="2"/>
  <c r="G160" i="2"/>
  <c r="J159" i="2"/>
  <c r="J158" i="2"/>
  <c r="G159" i="2"/>
  <c r="M154" i="2"/>
  <c r="O184" i="2"/>
  <c r="M22" i="3"/>
  <c r="G166" i="2"/>
  <c r="K166" i="2"/>
  <c r="J160" i="2"/>
  <c r="K159" i="2"/>
  <c r="G155" i="2"/>
  <c r="G157" i="2"/>
  <c r="J162" i="2"/>
  <c r="K154" i="2"/>
  <c r="E159" i="2"/>
  <c r="J166" i="2"/>
  <c r="K22" i="3"/>
  <c r="H184" i="2"/>
  <c r="N184" i="2"/>
  <c r="K157" i="2"/>
  <c r="E162" i="2"/>
  <c r="E160" i="2"/>
  <c r="J155" i="2"/>
  <c r="H22" i="3"/>
  <c r="M160" i="11"/>
  <c r="E156" i="11"/>
  <c r="N157" i="11"/>
  <c r="O165" i="11"/>
  <c r="K166" i="11"/>
  <c r="N167" i="11"/>
  <c r="E155" i="11"/>
  <c r="J159" i="11"/>
  <c r="L166" i="11"/>
  <c r="I155" i="11"/>
  <c r="H154" i="11"/>
  <c r="G155" i="11"/>
  <c r="E162" i="11"/>
  <c r="O156" i="11"/>
  <c r="E160" i="11"/>
  <c r="J156" i="11"/>
  <c r="G158" i="11"/>
  <c r="F159" i="11"/>
  <c r="G166" i="11"/>
  <c r="I156" i="11"/>
  <c r="K165" i="11"/>
  <c r="H156" i="11"/>
  <c r="J157" i="11"/>
  <c r="K158" i="11"/>
  <c r="K160" i="11"/>
  <c r="G160" i="11"/>
  <c r="G165" i="11"/>
  <c r="K167" i="11"/>
  <c r="I167" i="11"/>
  <c r="H157" i="11"/>
  <c r="F157" i="11"/>
  <c r="N160" i="11"/>
  <c r="O160" i="11"/>
  <c r="I154" i="11"/>
  <c r="F156" i="11"/>
  <c r="L160" i="11"/>
  <c r="L154" i="11"/>
  <c r="E154" i="11"/>
  <c r="G159" i="11"/>
  <c r="M156" i="11"/>
  <c r="J165" i="11"/>
  <c r="I157" i="11"/>
  <c r="F155" i="11"/>
  <c r="J158" i="11"/>
  <c r="N158" i="11"/>
  <c r="N162" i="11"/>
  <c r="M158" i="11"/>
  <c r="I158" i="11"/>
  <c r="H155" i="11"/>
  <c r="L167" i="11"/>
  <c r="K162" i="11"/>
  <c r="L156" i="11"/>
  <c r="K156" i="11"/>
  <c r="J155" i="11"/>
  <c r="O155" i="11"/>
  <c r="M162" i="11"/>
  <c r="F158" i="11"/>
  <c r="M159" i="11"/>
  <c r="N165" i="11"/>
  <c r="O158" i="11"/>
  <c r="I166" i="11"/>
  <c r="E158" i="11"/>
  <c r="J166" i="11"/>
  <c r="F162" i="11"/>
  <c r="H166" i="11"/>
  <c r="H167" i="11"/>
  <c r="N159" i="11"/>
  <c r="M154" i="11"/>
  <c r="F167" i="11"/>
  <c r="L158" i="11"/>
  <c r="M157" i="11"/>
  <c r="L159" i="11"/>
  <c r="G167" i="11"/>
  <c r="H159" i="11"/>
  <c r="H160" i="11"/>
  <c r="F166" i="11"/>
  <c r="L162" i="11"/>
  <c r="I162" i="11"/>
  <c r="G162" i="11"/>
  <c r="J154" i="11"/>
  <c r="J160" i="11"/>
  <c r="F154" i="11"/>
  <c r="O166" i="11"/>
  <c r="K159" i="11"/>
  <c r="F160" i="11"/>
  <c r="L165" i="11"/>
  <c r="N166" i="11"/>
  <c r="M165" i="11"/>
  <c r="I160" i="11"/>
  <c r="M166" i="11"/>
  <c r="K155" i="11"/>
  <c r="M155" i="11"/>
  <c r="G157" i="11"/>
  <c r="L155" i="11"/>
  <c r="E166" i="11"/>
  <c r="O154" i="11"/>
  <c r="E167" i="11"/>
  <c r="F165" i="11"/>
  <c r="E165" i="11"/>
  <c r="G156" i="11"/>
  <c r="K157" i="11"/>
  <c r="O157" i="11"/>
  <c r="O159" i="11"/>
  <c r="E157" i="11"/>
  <c r="K154" i="11"/>
  <c r="M167" i="11"/>
  <c r="L157" i="11"/>
  <c r="N155" i="11"/>
  <c r="N156" i="11"/>
  <c r="N154" i="11"/>
  <c r="H158" i="11"/>
  <c r="H162" i="11"/>
  <c r="G154" i="11"/>
  <c r="O162" i="11"/>
  <c r="I159" i="11"/>
  <c r="E159" i="11"/>
  <c r="J167" i="11"/>
  <c r="H165" i="11"/>
  <c r="O167" i="11"/>
  <c r="I165" i="11"/>
  <c r="J162" i="11"/>
  <c r="I153" i="2" l="1"/>
  <c r="N153" i="2"/>
  <c r="O153" i="2"/>
  <c r="H153" i="2"/>
  <c r="L153" i="2"/>
  <c r="F153" i="2"/>
  <c r="E34" i="20"/>
  <c r="E31" i="20"/>
  <c r="E32" i="20"/>
  <c r="J171" i="25"/>
  <c r="M171" i="25"/>
  <c r="G171" i="25"/>
  <c r="N171" i="25"/>
  <c r="L171" i="25"/>
  <c r="F171" i="25"/>
  <c r="H171" i="25"/>
  <c r="I171" i="25"/>
  <c r="O171" i="25"/>
  <c r="K171" i="25"/>
  <c r="P171" i="25"/>
  <c r="O94" i="20"/>
  <c r="G92" i="20"/>
  <c r="F97" i="20"/>
  <c r="F94" i="20"/>
  <c r="P95" i="20"/>
  <c r="G93" i="20"/>
  <c r="P92" i="20"/>
  <c r="N97" i="20"/>
  <c r="N92" i="20"/>
  <c r="N91" i="20"/>
  <c r="G91" i="20"/>
  <c r="N93" i="20"/>
  <c r="K92" i="20"/>
  <c r="M91" i="20"/>
  <c r="O97" i="20"/>
  <c r="N98" i="20"/>
  <c r="I91" i="20"/>
  <c r="P94" i="20"/>
  <c r="K98" i="20"/>
  <c r="L91" i="20"/>
  <c r="F92" i="20"/>
  <c r="O91" i="20"/>
  <c r="H98" i="20"/>
  <c r="M93" i="20"/>
  <c r="J94" i="20"/>
  <c r="O92" i="20"/>
  <c r="J95" i="20"/>
  <c r="F93" i="20"/>
  <c r="O95" i="20"/>
  <c r="N94" i="20"/>
  <c r="L97" i="20"/>
  <c r="P98" i="20"/>
  <c r="O98" i="20"/>
  <c r="K95" i="20"/>
  <c r="H92" i="20"/>
  <c r="J91" i="20"/>
  <c r="L94" i="20"/>
  <c r="O93" i="20"/>
  <c r="J98" i="20"/>
  <c r="H91" i="20"/>
  <c r="I93" i="20"/>
  <c r="F91" i="20"/>
  <c r="F95" i="20"/>
  <c r="L98" i="20"/>
  <c r="L92" i="20"/>
  <c r="K97" i="20"/>
  <c r="K91" i="20"/>
  <c r="N95" i="20"/>
  <c r="I92" i="20"/>
  <c r="M92" i="20"/>
  <c r="P97" i="20"/>
  <c r="L93" i="20"/>
  <c r="M95" i="20"/>
  <c r="H95" i="20"/>
  <c r="G95" i="20"/>
  <c r="J93" i="20"/>
  <c r="H93" i="20"/>
  <c r="I95" i="20"/>
  <c r="K94" i="20"/>
  <c r="J97" i="20"/>
  <c r="F98" i="20"/>
  <c r="H97" i="20"/>
  <c r="P93" i="20"/>
  <c r="J92" i="20"/>
  <c r="K93" i="20"/>
  <c r="L95" i="20"/>
  <c r="P91" i="20"/>
  <c r="H94" i="20"/>
  <c r="H174" i="25"/>
  <c r="N174" i="25"/>
  <c r="L174" i="25"/>
  <c r="I174" i="25"/>
  <c r="F174" i="25"/>
  <c r="P174" i="25"/>
  <c r="J174" i="25"/>
  <c r="G174" i="25"/>
  <c r="O174" i="25"/>
  <c r="K174" i="25"/>
  <c r="M174" i="25"/>
  <c r="I157" i="2"/>
  <c r="F166" i="2"/>
  <c r="H157" i="2"/>
  <c r="F160" i="2"/>
  <c r="O154" i="2"/>
  <c r="O157" i="2"/>
  <c r="N158" i="2"/>
  <c r="F159" i="2"/>
  <c r="I159" i="2"/>
  <c r="H158" i="2"/>
  <c r="L159" i="2"/>
  <c r="L160" i="2"/>
  <c r="H159" i="2"/>
  <c r="L155" i="2"/>
  <c r="O166" i="2"/>
  <c r="I162" i="2"/>
  <c r="F155" i="2"/>
  <c r="F154" i="2"/>
  <c r="L157" i="2"/>
  <c r="F158" i="2"/>
  <c r="N156" i="2"/>
  <c r="F157" i="2"/>
  <c r="I160" i="2"/>
  <c r="I156" i="2"/>
  <c r="O162" i="2"/>
  <c r="H166" i="2"/>
  <c r="I155" i="2"/>
  <c r="N159" i="2"/>
  <c r="L166" i="2"/>
  <c r="F162" i="2"/>
  <c r="N155" i="2"/>
  <c r="N160" i="2"/>
  <c r="L158" i="2"/>
  <c r="H156" i="2"/>
  <c r="N162" i="2"/>
  <c r="I166" i="2"/>
  <c r="L154" i="2"/>
  <c r="H160" i="2"/>
  <c r="F156" i="2"/>
  <c r="N154" i="2"/>
  <c r="N157" i="2"/>
  <c r="N166" i="2"/>
  <c r="L162" i="2"/>
  <c r="I158" i="2"/>
  <c r="O158" i="2"/>
  <c r="H155" i="2"/>
  <c r="I154" i="2"/>
  <c r="O156" i="2"/>
  <c r="O160" i="2"/>
  <c r="O155" i="2"/>
  <c r="H162" i="2"/>
  <c r="O159" i="2"/>
  <c r="L156" i="2"/>
  <c r="H154" i="2"/>
  <c r="J176" i="25" l="1"/>
  <c r="J183" i="25"/>
  <c r="J177" i="25"/>
  <c r="J40" i="25"/>
  <c r="J175" i="25"/>
  <c r="I40" i="25"/>
  <c r="I176" i="25"/>
  <c r="I177" i="25"/>
  <c r="I175" i="25"/>
  <c r="I183" i="25"/>
  <c r="O40" i="25"/>
  <c r="O183" i="25"/>
  <c r="O177" i="25"/>
  <c r="O176" i="25"/>
  <c r="O175" i="25"/>
  <c r="M183" i="25"/>
  <c r="H183" i="25"/>
  <c r="K183" i="25"/>
  <c r="N183" i="25"/>
  <c r="P183" i="25"/>
  <c r="G183" i="25"/>
  <c r="L183" i="25"/>
  <c r="F183" i="25"/>
  <c r="H176" i="25"/>
  <c r="H177" i="25"/>
  <c r="H40" i="25"/>
  <c r="H175" i="25"/>
  <c r="L176" i="25"/>
  <c r="L177" i="25"/>
  <c r="L175" i="25"/>
  <c r="L40" i="25"/>
  <c r="G176" i="25"/>
  <c r="G40" i="25"/>
  <c r="G175" i="25"/>
  <c r="G177" i="25"/>
  <c r="K175" i="25"/>
  <c r="K177" i="25"/>
  <c r="K40" i="25"/>
  <c r="K176" i="25"/>
  <c r="F176" i="25"/>
  <c r="F177" i="25"/>
  <c r="F175" i="25"/>
  <c r="F40" i="25"/>
  <c r="P40" i="25"/>
  <c r="P175" i="25"/>
  <c r="P177" i="25"/>
  <c r="P176" i="25"/>
  <c r="N40" i="25"/>
  <c r="N177" i="25"/>
  <c r="N175" i="25"/>
  <c r="N176" i="25"/>
  <c r="M175" i="25"/>
  <c r="M40" i="25"/>
  <c r="M177" i="25"/>
  <c r="M176" i="25"/>
  <c r="M94" i="20"/>
  <c r="I98" i="20"/>
  <c r="G97" i="20"/>
  <c r="M98" i="20"/>
  <c r="G94" i="20"/>
  <c r="M97" i="20"/>
  <c r="I94" i="20"/>
  <c r="G98" i="20"/>
  <c r="I97" i="20"/>
  <c r="D78"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38"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38" authorId="0" shapeId="0" xr:uid="{3636496E-0C66-4D1C-A6D0-7349FF8ACDA6}">
      <text>
        <r>
          <rPr>
            <b/>
            <sz val="9"/>
            <color indexed="81"/>
            <rFont val="Tahoma"/>
            <family val="2"/>
          </rPr>
          <t>Kannan Krishnamoorthy:</t>
        </r>
        <r>
          <rPr>
            <sz val="9"/>
            <color indexed="81"/>
            <rFont val="Tahoma"/>
            <family val="2"/>
          </rPr>
          <t xml:space="preserve">
25-100mm/sec</t>
        </r>
      </text>
    </comment>
    <comment ref="F38"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9"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9" authorId="0" shapeId="0" xr:uid="{F1F44305-6CBB-44F9-8A9C-A42EFBD6EDA2}">
      <text>
        <r>
          <rPr>
            <b/>
            <sz val="9"/>
            <color indexed="81"/>
            <rFont val="Tahoma"/>
            <family val="2"/>
          </rPr>
          <t>Kannan Krishnamoorthy:</t>
        </r>
        <r>
          <rPr>
            <sz val="9"/>
            <color indexed="81"/>
            <rFont val="Tahoma"/>
            <family val="2"/>
          </rPr>
          <t xml:space="preserve">
25-50mm/sec</t>
        </r>
      </text>
    </comment>
    <comment ref="F39"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0"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0" authorId="0" shapeId="0" xr:uid="{EAF9E38D-FA7C-4F51-A9AA-BD22E77C90E3}">
      <text>
        <r>
          <rPr>
            <b/>
            <sz val="9"/>
            <color indexed="81"/>
            <rFont val="Tahoma"/>
            <family val="2"/>
          </rPr>
          <t>Kannan Krishnamoorthy:</t>
        </r>
        <r>
          <rPr>
            <sz val="9"/>
            <color indexed="81"/>
            <rFont val="Tahoma"/>
            <family val="2"/>
          </rPr>
          <t xml:space="preserve">
25-100mm/sec
</t>
        </r>
      </text>
    </comment>
    <comment ref="C40"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0"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0"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41"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41"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41"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41"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41"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41"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42"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42"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42"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42"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42"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43"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43" authorId="0" shapeId="0" xr:uid="{431CBCD0-AC9E-4C7D-A675-FB1C270859CC}">
      <text>
        <r>
          <rPr>
            <b/>
            <sz val="9"/>
            <color indexed="81"/>
            <rFont val="Tahoma"/>
            <family val="2"/>
          </rPr>
          <t>Kannan Krishnamoorthy:</t>
        </r>
        <r>
          <rPr>
            <sz val="9"/>
            <color indexed="81"/>
            <rFont val="Tahoma"/>
            <family val="2"/>
          </rPr>
          <t xml:space="preserve">
25-100mm/sec</t>
        </r>
      </text>
    </comment>
    <comment ref="C43"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43"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43" authorId="0" shapeId="0" xr:uid="{A1A04AE2-621B-460E-B91E-2BF5F2F0E5E6}">
      <text>
        <r>
          <rPr>
            <b/>
            <sz val="9"/>
            <color indexed="81"/>
            <rFont val="Tahoma"/>
            <family val="2"/>
          </rPr>
          <t>Kannan Krishnamoorthy:</t>
        </r>
        <r>
          <rPr>
            <sz val="9"/>
            <color indexed="81"/>
            <rFont val="Tahoma"/>
            <family val="2"/>
          </rPr>
          <t xml:space="preserve">
Hairspray</t>
        </r>
      </text>
    </comment>
    <comment ref="B44" authorId="0" shapeId="0" xr:uid="{D2DACB8C-2459-44EB-A8F3-EF4E26BCFC86}">
      <text>
        <r>
          <rPr>
            <b/>
            <sz val="9"/>
            <color indexed="81"/>
            <rFont val="Tahoma"/>
            <family val="2"/>
          </rPr>
          <t>Kannan Krishnamoorthy:</t>
        </r>
        <r>
          <rPr>
            <sz val="9"/>
            <color indexed="81"/>
            <rFont val="Tahoma"/>
            <family val="2"/>
          </rPr>
          <t xml:space="preserve">
50 – 120 mm/sec</t>
        </r>
      </text>
    </comment>
    <comment ref="F44" authorId="0" shapeId="0" xr:uid="{6A5973BC-85E2-45F9-B1BC-E80CB118A29C}">
      <text>
        <r>
          <rPr>
            <b/>
            <sz val="9"/>
            <color indexed="81"/>
            <rFont val="Tahoma"/>
            <family val="2"/>
          </rPr>
          <t>Kannan Krishnamoorthy:</t>
        </r>
        <r>
          <rPr>
            <sz val="9"/>
            <color indexed="81"/>
            <rFont val="Tahoma"/>
            <family val="2"/>
          </rPr>
          <t xml:space="preserve">
Hairspray</t>
        </r>
      </text>
    </comment>
    <comment ref="A47"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47"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<sst xmlns="http://schemas.openxmlformats.org/spreadsheetml/2006/main" count="2533" uniqueCount="1588">
  <si>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</si>
  <si>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</si>
  <si>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</si>
  <si>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</si>
  <si>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</si>
  <si>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</si>
  <si>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</si>
  <si>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</si>
  <si>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</si>
  <si>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</si>
  <si>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</si>
  <si>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</si>
  <si>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</si>
  <si>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</si>
  <si>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</si>
  <si>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</si>
  <si>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</si>
  <si>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</si>
  <si>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</si>
  <si>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</si>
  <si>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</si>
  <si>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</si>
  <si>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</si>
  <si>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</si>
  <si>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</si>
  <si>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</si>
  <si>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</si>
  <si>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</si>
  <si>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</si>
  <si>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</si>
  <si>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</si>
  <si>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</si>
  <si>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</si>
  <si>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</si>
  <si>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</si>
  <si>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</si>
  <si>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</si>
  <si>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</si>
  <si>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</si>
  <si>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</si>
  <si>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</si>
  <si>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</si>
  <si>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</si>
  <si>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</si>
  <si>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</si>
  <si>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</si>
  <si>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</si>
  <si>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</si>
  <si>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</si>
  <si>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</si>
  <si>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</si>
  <si>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</si>
  <si>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</si>
  <si>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</si>
  <si>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</si>
  <si>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</si>
  <si>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</si>
  <si>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</si>
  <si>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</si>
  <si>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</si>
  <si>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</si>
  <si>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</si>
  <si>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</si>
  <si>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</si>
  <si>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</si>
  <si>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</si>
  <si>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</si>
  <si>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</si>
  <si>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</si>
  <si>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</si>
  <si>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</si>
  <si>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</si>
  <si>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</si>
  <si>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</si>
  <si>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</si>
  <si>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</si>
  <si>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</si>
  <si>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</si>
  <si>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</si>
  <si>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</si>
  <si>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</si>
  <si>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</si>
  <si>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</si>
  <si>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</si>
  <si>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</si>
  <si>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</si>
  <si>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</si>
  <si>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</si>
  <si>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</si>
  <si>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</si>
  <si>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</si>
  <si>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</si>
  <si>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</si>
  <si>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</si>
  <si>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</si>
  <si>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</si>
  <si>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</si>
  <si>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</si>
  <si>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</si>
  <si>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</si>
  <si>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</si>
  <si>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</si>
  <si>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</si>
  <si>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</si>
  <si>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</si>
  <si>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</si>
  <si>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</si>
  <si>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</si>
  <si>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</si>
  <si>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</si>
  <si>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</si>
  <si>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</si>
  <si>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</si>
  <si>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</si>
  <si>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</si>
  <si>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</si>
  <si>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</si>
  <si>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</si>
  <si>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</si>
  <si>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</si>
  <si>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</si>
  <si>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</si>
  <si>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</si>
  <si>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</si>
  <si>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</si>
  <si>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</si>
  <si>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</si>
  <si>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</si>
  <si>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</si>
  <si>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</si>
  <si>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</si>
  <si>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</si>
  <si>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</si>
  <si>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</si>
  <si>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</si>
  <si>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</si>
  <si>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</si>
  <si>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</si>
  <si>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</si>
  <si>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</si>
  <si>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</si>
  <si>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</si>
  <si>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</si>
  <si>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</si>
  <si>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</si>
  <si>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</si>
  <si>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</si>
  <si>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</si>
  <si>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</si>
  <si>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</si>
  <si>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</si>
  <si>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</si>
  <si>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</si>
  <si>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</si>
  <si>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</si>
  <si>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</si>
  <si>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</si>
  <si>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</si>
  <si>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</si>
  <si>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</si>
  <si>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</si>
  <si>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</si>
  <si>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</si>
  <si>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</si>
  <si>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</si>
  <si>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</si>
  <si>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</si>
  <si>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</si>
  <si>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</si>
  <si>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</si>
  <si>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</si>
  <si>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</si>
  <si>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</si>
  <si>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</si>
  <si>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</si>
  <si>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</si>
  <si>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</si>
  <si>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</si>
  <si>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</si>
  <si>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</si>
  <si>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</si>
  <si>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</si>
  <si>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</si>
  <si>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</si>
  <si>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</si>
  <si>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</si>
  <si>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</si>
  <si>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</si>
  <si>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</si>
  <si>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</si>
  <si>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</si>
  <si>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</si>
  <si>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</si>
  <si>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</si>
  <si>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</si>
  <si>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</si>
  <si>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</si>
  <si>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</si>
  <si>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</si>
  <si>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</si>
  <si>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</si>
  <si>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</si>
  <si>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</si>
  <si>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</si>
  <si>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</si>
  <si>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</si>
  <si>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</si>
  <si>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</si>
  <si>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</si>
  <si>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</si>
  <si>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</si>
  <si>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</si>
  <si>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</si>
  <si>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</si>
  <si>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</si>
  <si>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</si>
  <si>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</si>
  <si>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</si>
  <si>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</si>
  <si>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</si>
  <si>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</si>
  <si>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</si>
  <si>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</si>
  <si>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</si>
  <si>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</si>
  <si>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</si>
  <si>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</si>
  <si>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</si>
  <si>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</si>
  <si>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</si>
  <si>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</si>
  <si>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</si>
  <si>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</si>
  <si>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</si>
  <si>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</si>
  <si>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</si>
  <si>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</si>
  <si>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</si>
  <si>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</si>
  <si>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</si>
  <si>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</si>
  <si>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</si>
  <si>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</si>
  <si>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</si>
  <si>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</si>
  <si>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</si>
  <si>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</si>
  <si>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</si>
  <si>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</si>
  <si>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</si>
  <si>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</si>
  <si>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</si>
  <si>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</si>
  <si>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</si>
  <si>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</si>
  <si>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</si>
  <si>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</si>
  <si>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</si>
  <si>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</si>
  <si>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</si>
  <si>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</si>
  <si>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</si>
  <si>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</si>
  <si>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</si>
  <si>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</si>
  <si>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</si>
  <si>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</si>
  <si>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</si>
  <si>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</si>
  <si>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</si>
  <si>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</si>
  <si>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</si>
  <si>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</si>
  <si>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</si>
  <si>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</si>
  <si>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</si>
  <si>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</si>
  <si>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</si>
  <si>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</si>
  <si>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</si>
  <si>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</si>
  <si>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</si>
  <si>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</si>
  <si>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</si>
  <si>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</si>
  <si>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</si>
  <si>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</si>
  <si>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</si>
  <si>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</si>
  <si>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</si>
  <si>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filament_settings_id</t>
  </si>
  <si>
    <t>Overrides</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</si>
  <si>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</si>
  <si>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</si>
  <si>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</si>
  <si>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</si>
  <si>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</si>
  <si>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</si>
  <si>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</si>
  <si>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</si>
  <si>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</si>
  <si>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</si>
  <si>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</si>
  <si>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</si>
  <si>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</si>
  <si>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</si>
  <si>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</si>
  <si>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</si>
  <si>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</si>
  <si>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</si>
  <si>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</si>
  <si>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</si>
  <si>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</si>
  <si>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</si>
  <si>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</si>
  <si>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</si>
  <si>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</si>
  <si>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</si>
  <si>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</si>
  <si>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</si>
  <si>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</si>
  <si>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</si>
  <si>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</si>
  <si>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</si>
  <si>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</si>
  <si>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</si>
  <si>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</si>
  <si>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</si>
  <si>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</si>
  <si>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</si>
  <si>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</si>
  <si>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</si>
  <si>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</si>
  <si>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</si>
  <si>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</si>
  <si>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</si>
  <si>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</si>
  <si>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</si>
  <si>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</si>
  <si>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</si>
  <si>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</si>
  <si>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</si>
  <si>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</si>
  <si>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</si>
  <si>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</si>
  <si>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</si>
  <si>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coarse</t>
  </si>
  <si>
    <t>quick</t>
  </si>
  <si>
    <t>grid</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</si>
  <si>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</si>
  <si>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</si>
  <si>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</si>
  <si>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</si>
  <si>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</si>
  <si>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</si>
  <si>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</si>
  <si>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</si>
  <si>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</si>
  <si>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</si>
  <si>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</si>
  <si>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</si>
  <si>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</si>
  <si>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</si>
  <si>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</si>
  <si>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</si>
  <si>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</si>
  <si>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</si>
  <si>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</si>
  <si>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</si>
  <si>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</si>
  <si>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</si>
  <si>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</si>
  <si>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</si>
  <si>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</si>
  <si>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</si>
  <si>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</si>
  <si>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</si>
  <si>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</si>
  <si>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</si>
  <si>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</si>
  <si>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</si>
  <si>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</si>
  <si>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</si>
  <si>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</si>
  <si>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</si>
  <si>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</si>
  <si>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</si>
  <si>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</si>
  <si>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</si>
  <si>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</si>
  <si>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</si>
  <si>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</si>
  <si>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</si>
  <si>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</si>
  <si>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</si>
  <si>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</si>
  <si>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</si>
  <si>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</si>
  <si>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</si>
  <si>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</si>
  <si>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</si>
  <si>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</si>
  <si>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</si>
  <si>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</si>
  <si>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</si>
  <si>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</si>
  <si>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</si>
  <si>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</si>
  <si>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</si>
  <si>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</si>
  <si>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</si>
  <si>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</si>
  <si>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</si>
  <si>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</si>
  <si>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</si>
  <si>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</si>
  <si>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</si>
  <si>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</si>
  <si>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</si>
  <si>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</si>
  <si>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</si>
  <si>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</si>
  <si>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</si>
  <si>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</si>
  <si>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</si>
  <si>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</si>
  <si>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</si>
  <si>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</si>
  <si>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</si>
  <si>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</si>
  <si>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</si>
  <si>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</si>
  <si>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</si>
  <si>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</si>
  <si>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</si>
  <si>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</si>
  <si>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</si>
  <si>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</si>
  <si>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</si>
  <si>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</si>
  <si>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</si>
  <si>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</si>
  <si>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</si>
  <si>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</si>
  <si>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</si>
  <si>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</si>
  <si>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</si>
  <si>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</si>
  <si>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</si>
  <si>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</si>
  <si>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</si>
  <si>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</si>
  <si>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</si>
  <si>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</si>
  <si>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</si>
  <si>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</si>
  <si>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</si>
  <si>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</si>
  <si>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</si>
  <si>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</si>
  <si>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</si>
  <si>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</si>
  <si>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</si>
  <si>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</si>
  <si>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</si>
  <si>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</si>
  <si>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</si>
  <si>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</si>
  <si>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</si>
  <si>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</si>
  <si>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</si>
  <si>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</si>
  <si>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</si>
  <si>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</si>
  <si>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</si>
  <si>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</si>
  <si>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</si>
  <si>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</si>
  <si>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</si>
  <si>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</si>
  <si>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</si>
  <si>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</si>
  <si>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</si>
  <si>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</si>
  <si>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</si>
  <si>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</si>
  <si>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</si>
  <si>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</si>
  <si>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</si>
  <si>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</si>
  <si>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</si>
  <si>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</si>
  <si>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</si>
  <si>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</si>
  <si>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</si>
  <si>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</si>
  <si>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</si>
  <si>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</si>
  <si>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</si>
  <si>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</si>
  <si>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</si>
  <si>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</si>
  <si>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</si>
  <si>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</si>
  <si>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</si>
  <si>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</si>
  <si>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</si>
  <si>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</si>
  <si>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</si>
  <si>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</si>
  <si>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</si>
  <si>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</si>
  <si>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</si>
  <si>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</si>
  <si>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</si>
  <si>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</si>
  <si>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</si>
  <si>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</si>
  <si>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</si>
  <si>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</si>
  <si>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</si>
  <si>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</si>
  <si>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</si>
  <si>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</si>
  <si>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</si>
  <si>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</si>
  <si>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</si>
  <si>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</si>
  <si>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</si>
  <si>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</si>
  <si>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</si>
  <si>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</si>
  <si>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</si>
  <si>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</si>
  <si>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</si>
  <si>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</si>
  <si>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</si>
  <si>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</si>
  <si>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</si>
  <si>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</si>
  <si>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</si>
  <si>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</si>
  <si>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</si>
  <si>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</si>
  <si>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</si>
  <si>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</si>
  <si>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</si>
  <si>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</si>
  <si>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</si>
  <si>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</si>
  <si>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</si>
  <si>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</si>
  <si>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</si>
  <si>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</si>
  <si>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</si>
  <si>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</si>
  <si>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</si>
  <si>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</si>
  <si>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</si>
  <si>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</si>
  <si>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</si>
  <si>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</si>
  <si>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</si>
  <si>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</si>
  <si>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</si>
  <si>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</si>
  <si>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</si>
  <si>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</si>
  <si>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</si>
  <si>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</si>
  <si>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</si>
  <si>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</si>
  <si>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</si>
  <si>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</si>
  <si>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</si>
  <si>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</si>
  <si>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</si>
  <si>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</si>
  <si>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</si>
  <si>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</si>
  <si>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</si>
  <si>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</si>
  <si>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</si>
  <si>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</si>
  <si>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</si>
  <si>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</si>
  <si>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</si>
  <si>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</si>
  <si>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</si>
  <si>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</si>
  <si>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</si>
  <si>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</si>
  <si>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</si>
  <si>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</si>
  <si>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</si>
  <si>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</si>
  <si>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</si>
  <si>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</si>
  <si>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</si>
  <si>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</si>
  <si>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</si>
  <si>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</si>
  <si>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</si>
  <si>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</si>
  <si>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</si>
  <si>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</si>
  <si>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</si>
  <si>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</si>
  <si>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</si>
  <si>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</si>
  <si>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</si>
  <si>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</si>
  <si>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</si>
  <si>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</si>
  <si>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</si>
  <si>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</si>
  <si>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</si>
  <si>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</si>
  <si>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</si>
  <si>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</si>
  <si>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</si>
  <si>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</si>
  <si>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</si>
  <si>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</si>
  <si>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</si>
  <si>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</si>
  <si>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</si>
  <si>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</si>
  <si>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</si>
  <si>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</si>
  <si>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</si>
  <si>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</si>
  <si>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</si>
  <si>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</si>
  <si>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</si>
  <si>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</si>
  <si>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</si>
  <si>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</si>
  <si>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</si>
  <si>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</si>
  <si>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</si>
  <si>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</si>
  <si>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</si>
  <si>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</si>
  <si>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</si>
  <si>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</si>
  <si>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</si>
  <si>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</si>
  <si>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</si>
  <si>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</si>
  <si>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</si>
  <si>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</si>
  <si>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</si>
  <si>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</si>
  <si>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</si>
  <si>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</si>
  <si>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</si>
  <si>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</si>
  <si>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</si>
  <si>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</si>
  <si>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</si>
  <si>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</si>
  <si>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</si>
  <si>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</si>
  <si>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</si>
  <si>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</si>
  <si>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</si>
  <si>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</si>
  <si>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</si>
  <si>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</si>
  <si>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</si>
  <si>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</si>
  <si>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</si>
  <si>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</si>
  <si>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</si>
  <si>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</si>
  <si>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</si>
  <si>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</si>
  <si>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</si>
  <si>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</si>
  <si>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</si>
  <si>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</si>
  <si>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</si>
  <si>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</si>
  <si>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</si>
  <si>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</si>
  <si>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</si>
  <si>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</si>
  <si>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</si>
  <si>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</si>
  <si>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</si>
  <si>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</si>
  <si>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</si>
  <si>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</si>
  <si>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</si>
  <si>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</si>
  <si>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</si>
  <si>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</si>
  <si>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</si>
  <si>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</si>
  <si>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</si>
  <si>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</si>
  <si>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</si>
  <si>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</si>
  <si>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</si>
  <si>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</si>
  <si>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</si>
  <si>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</si>
  <si>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</si>
  <si>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</si>
  <si>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</si>
  <si>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</si>
  <si>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</si>
  <si>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</si>
  <si>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</si>
  <si>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</si>
  <si>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</si>
  <si>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</si>
  <si>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</si>
  <si>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</si>
  <si>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</si>
  <si>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</si>
  <si>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</si>
  <si>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</si>
  <si>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</si>
  <si>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</si>
  <si>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</si>
  <si>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</si>
  <si>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</si>
  <si>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</si>
  <si>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</si>
  <si>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</si>
  <si>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</si>
  <si>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</si>
  <si>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</si>
  <si>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</si>
  <si>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</si>
  <si>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</si>
  <si>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</si>
  <si>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</si>
  <si>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</si>
  <si>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</si>
  <si>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</si>
  <si>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</si>
  <si>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</si>
  <si>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</si>
  <si>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</si>
  <si>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</si>
  <si>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</si>
  <si>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</si>
  <si>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</si>
  <si>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</si>
  <si>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</si>
  <si>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</si>
  <si>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</si>
  <si>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</si>
  <si>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</si>
  <si>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</si>
  <si>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</si>
  <si>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</si>
  <si>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</si>
  <si>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</si>
  <si>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</si>
  <si>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</si>
  <si>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</si>
  <si>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</si>
  <si>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</si>
  <si>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</si>
  <si>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</si>
  <si>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</si>
  <si>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</si>
  <si>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</si>
  <si>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</si>
  <si>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</si>
  <si>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</si>
  <si>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</si>
  <si>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</si>
  <si>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</si>
  <si>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</si>
  <si>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</si>
  <si>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</si>
  <si>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</si>
  <si>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</si>
  <si>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</si>
  <si>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</si>
  <si>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</si>
  <si>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</si>
  <si>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</si>
  <si>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</si>
  <si>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</si>
  <si>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</si>
  <si>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</si>
  <si>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</si>
  <si>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</si>
  <si>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</si>
  <si>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</si>
  <si>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</si>
  <si>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</si>
  <si>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</si>
  <si>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</si>
  <si>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</si>
  <si>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</si>
  <si>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</si>
  <si>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</si>
  <si>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</si>
  <si>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</si>
  <si>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</si>
  <si>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</si>
  <si>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</si>
  <si>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</si>
  <si>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</si>
  <si>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</si>
  <si>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</si>
  <si>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</si>
  <si>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</si>
  <si>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</si>
  <si>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</si>
  <si>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</si>
  <si>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</si>
  <si>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</si>
  <si>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</si>
  <si>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</si>
  <si>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</si>
  <si>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</si>
  <si>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</si>
  <si>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</si>
  <si>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</si>
  <si>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</si>
  <si>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</si>
  <si>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</si>
  <si>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</si>
  <si>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</si>
  <si>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</si>
  <si>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</si>
  <si>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</si>
  <si>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</si>
  <si>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</si>
  <si>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</si>
  <si>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</si>
  <si>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</si>
  <si>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</si>
  <si>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</si>
  <si>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</si>
  <si>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</si>
  <si>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</si>
  <si>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</si>
  <si>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</si>
  <si>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</si>
  <si>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</si>
  <si>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</si>
  <si>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</si>
  <si>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</si>
  <si>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</si>
  <si>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</si>
  <si>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</si>
  <si>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</si>
  <si>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</si>
  <si>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</si>
  <si>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</si>
  <si>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</si>
  <si>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</si>
  <si>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</si>
  <si>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</si>
  <si>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</si>
  <si>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</si>
  <si>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</si>
  <si>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</si>
  <si>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</si>
  <si>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</si>
  <si>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</si>
  <si>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</si>
  <si>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</si>
  <si>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</si>
  <si>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</si>
  <si>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</si>
  <si>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</si>
  <si>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</si>
  <si>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</si>
  <si>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</si>
  <si>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</si>
  <si>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</si>
  <si>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</si>
  <si>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</si>
  <si>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</si>
  <si>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</si>
  <si>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</si>
  <si>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</si>
  <si>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</si>
  <si>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</si>
  <si>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</si>
  <si>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</si>
  <si>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</si>
  <si>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</si>
  <si>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</si>
  <si>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</si>
  <si>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</si>
  <si>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</si>
  <si>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</si>
  <si>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</si>
  <si>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</si>
  <si>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</si>
  <si>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</si>
  <si>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</si>
  <si>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</si>
  <si>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</si>
  <si>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</si>
  <si>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</si>
  <si>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</si>
  <si>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</si>
  <si>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</si>
  <si>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</si>
  <si>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</si>
  <si>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</si>
  <si>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</si>
  <si>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</si>
  <si>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</si>
  <si>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</si>
  <si>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</si>
  <si>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</si>
  <si>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</si>
  <si>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</si>
  <si>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</si>
  <si>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</si>
  <si>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</si>
  <si>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</si>
  <si>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</si>
  <si>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</si>
  <si>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</si>
  <si>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</si>
  <si>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</si>
  <si>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</si>
  <si>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</si>
  <si>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</si>
  <si>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</si>
  <si>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</si>
  <si>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</si>
  <si>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</si>
  <si>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</si>
  <si>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</si>
  <si>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</si>
  <si>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</si>
  <si>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</si>
  <si>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</si>
  <si>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</si>
  <si>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</si>
  <si>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</si>
  <si>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</si>
  <si>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</si>
  <si>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</si>
  <si>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</si>
  <si>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</si>
  <si>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</si>
  <si>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</si>
  <si>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</si>
  <si>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</si>
  <si>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</si>
  <si>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</si>
  <si>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</si>
  <si>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</si>
  <si>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</si>
  <si>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</si>
  <si>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</si>
  <si>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</si>
  <si>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</si>
  <si>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</si>
  <si>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</si>
  <si>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</si>
  <si>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</si>
  <si>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</si>
  <si>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</si>
  <si>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</si>
  <si>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</si>
  <si>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</si>
  <si>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</si>
  <si>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</si>
  <si>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</si>
  <si>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</si>
  <si>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</si>
  <si>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</si>
  <si>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</si>
  <si>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</si>
  <si>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</si>
  <si>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</si>
  <si>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</si>
  <si>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</si>
  <si>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</si>
  <si>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</si>
  <si>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</si>
  <si>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</si>
  <si>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</si>
  <si>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</si>
  <si>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</si>
  <si>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</si>
  <si>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</si>
  <si>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</si>
  <si>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</si>
  <si>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</si>
  <si>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</si>
  <si>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</si>
  <si>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</si>
  <si>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</si>
  <si>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</si>
  <si>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</si>
  <si>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</si>
  <si>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</si>
  <si>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</si>
  <si>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</si>
  <si>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</si>
  <si>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</si>
  <si>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</si>
  <si>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</si>
  <si>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</si>
  <si>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</si>
  <si>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</si>
  <si>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</si>
  <si>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</si>
  <si>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</si>
  <si>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</si>
  <si>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</si>
  <si>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</si>
  <si>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</si>
  <si>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</si>
  <si>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</si>
  <si>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</si>
  <si>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</si>
  <si>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</si>
  <si>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</si>
  <si>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</si>
  <si>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</si>
  <si>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</si>
  <si>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</si>
  <si>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</si>
  <si>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</si>
  <si>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</si>
  <si>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</si>
  <si>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</si>
  <si>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</si>
  <si>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</si>
  <si>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</si>
  <si>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</si>
  <si>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</si>
  <si>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</si>
  <si>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</si>
  <si>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</si>
  <si>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</si>
  <si>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</si>
  <si>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</si>
  <si>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</si>
  <si>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</si>
  <si>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</si>
  <si>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</si>
  <si>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</si>
  <si>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</si>
  <si>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</si>
  <si>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</si>
  <si>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</si>
  <si>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</si>
  <si>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</si>
  <si>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</si>
  <si>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</si>
  <si>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</si>
  <si>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</si>
  <si>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</si>
  <si>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</si>
  <si>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</si>
  <si>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</si>
  <si>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</si>
  <si>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</si>
  <si>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</si>
  <si>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</si>
  <si>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</si>
  <si>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</si>
  <si>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</si>
  <si>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</si>
  <si>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</si>
  <si>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</si>
  <si>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</si>
  <si>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</si>
  <si>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</si>
  <si>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</si>
  <si>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</si>
  <si>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</si>
  <si>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</si>
  <si>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</si>
  <si>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</si>
  <si>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</si>
  <si>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</si>
  <si>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</si>
  <si>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</si>
  <si>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</si>
  <si>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</si>
  <si>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</si>
  <si>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</si>
  <si>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</si>
  <si>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</si>
  <si>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</si>
  <si>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</si>
  <si>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</si>
  <si>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</si>
  <si>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</si>
  <si>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</si>
  <si>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</si>
  <si>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</si>
  <si>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</si>
  <si>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</si>
  <si>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C:\Users\softk\Desktop\Slicer_Config\Test_Prusa</t>
  </si>
  <si>
    <t>C:\Users\softk\Desktop\Slicer_Config\Test_Cura</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</si>
  <si>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</si>
  <si>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</si>
  <si>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</si>
  <si>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</si>
  <si>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</si>
  <si>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</si>
  <si>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</si>
  <si>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</si>
  <si>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</si>
  <si>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</si>
  <si>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</si>
  <si>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</si>
  <si>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</si>
  <si>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</si>
  <si>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</si>
  <si>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</si>
  <si>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</si>
  <si>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</si>
  <si>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</si>
  <si>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</si>
  <si>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</si>
  <si>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</si>
  <si>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</si>
  <si>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</si>
  <si>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</si>
  <si>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</si>
  <si>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</si>
  <si>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</si>
  <si>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</si>
  <si>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</si>
  <si>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</si>
  <si>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</si>
  <si>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</si>
  <si>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</si>
  <si>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</si>
  <si>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</si>
  <si>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</si>
  <si>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</si>
  <si>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</si>
  <si>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</si>
  <si>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</si>
  <si>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</si>
  <si>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</si>
  <si>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</si>
  <si>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</si>
  <si>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</si>
  <si>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</si>
  <si>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</si>
  <si>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</si>
  <si>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</si>
  <si>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</si>
  <si>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</si>
  <si>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</si>
  <si>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</si>
  <si>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</si>
  <si>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</si>
  <si>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</si>
  <si>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</si>
  <si>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</si>
  <si>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</si>
  <si>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</si>
  <si>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</si>
  <si>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</si>
  <si>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</si>
  <si>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</si>
  <si>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</si>
  <si>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</si>
  <si>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</si>
  <si>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</si>
  <si>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</si>
  <si>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</si>
  <si>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</si>
  <si>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</si>
  <si>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</si>
  <si>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</si>
  <si>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</si>
  <si>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</si>
  <si>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</si>
  <si>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</si>
  <si>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</si>
  <si>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</si>
  <si>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</si>
  <si>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</si>
  <si>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</si>
  <si>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</si>
  <si>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</si>
  <si>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</si>
  <si>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</si>
  <si>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</si>
  <si>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</si>
  <si>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</si>
  <si>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</si>
  <si>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</si>
  <si>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</si>
  <si>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</si>
  <si>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</si>
  <si>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</si>
  <si>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</si>
  <si>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</si>
  <si>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</si>
  <si>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</si>
  <si>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</si>
  <si>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</si>
  <si>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</si>
  <si>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</si>
  <si>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</si>
  <si>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</si>
  <si>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</si>
  <si>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</si>
  <si>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</si>
  <si>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</si>
  <si>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</si>
  <si>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</si>
  <si>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</si>
  <si>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</si>
  <si>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</si>
  <si>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</si>
  <si>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</si>
  <si>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</si>
  <si>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</si>
  <si>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</si>
  <si>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</si>
  <si>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</si>
  <si>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</si>
  <si>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</si>
  <si>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</si>
  <si>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</si>
  <si>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</si>
  <si>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</si>
  <si>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</si>
  <si>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</si>
  <si>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</si>
  <si>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</si>
  <si>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</si>
  <si>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</si>
  <si>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</si>
  <si>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</si>
  <si>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concentric</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</si>
  <si>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</si>
  <si>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</si>
  <si>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</si>
  <si>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</si>
  <si>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</si>
  <si>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</si>
  <si>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</si>
  <si>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</si>
  <si>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</si>
  <si>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</si>
  <si>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</si>
  <si>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</si>
  <si>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</si>
  <si>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</si>
  <si>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</si>
  <si>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</si>
  <si>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</si>
  <si>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</si>
  <si>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</si>
  <si>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</si>
  <si>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</si>
  <si>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</si>
  <si>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</si>
  <si>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</si>
  <si>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</si>
  <si>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</si>
  <si>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</si>
  <si>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</si>
  <si>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</si>
  <si>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</si>
  <si>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</si>
  <si>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</si>
  <si>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</si>
  <si>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</si>
  <si>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</si>
  <si>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</si>
  <si>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</si>
  <si>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</si>
  <si>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</si>
  <si>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</si>
  <si>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</si>
  <si>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</si>
  <si>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</si>
  <si>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</si>
  <si>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</si>
  <si>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</si>
  <si>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</si>
  <si>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</si>
  <si>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</si>
  <si>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</si>
  <si>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#filament_retract_length</t>
  </si>
  <si>
    <t>0.6mm always going to leak, so small coasting will benefit even PA/LA is enabled</t>
  </si>
  <si>
    <t>#filament_bridge_flow</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</si>
  <si>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</si>
  <si>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</si>
  <si>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</si>
  <si>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</si>
  <si>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</si>
  <si>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</si>
  <si>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</si>
  <si>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</si>
  <si>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t>
  </si>
  <si>
    <t>ironing_type</t>
  </si>
  <si>
    <t>ironing_flowrate</t>
  </si>
  <si>
    <t>ironing_spacing</t>
  </si>
  <si>
    <t>ironing_speed</t>
  </si>
  <si>
    <t>ironing</t>
  </si>
  <si>
    <t>##ironing</t>
  </si>
  <si>
    <t>Ender 3</t>
  </si>
  <si>
    <t>4 Max Pro</t>
  </si>
  <si>
    <t>marlin value</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</si>
  <si>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</si>
  <si>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</si>
  <si>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</si>
  <si>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</si>
  <si>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</si>
  <si>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</si>
  <si>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</si>
  <si>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</si>
  <si>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</si>
  <si>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</si>
  <si>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</si>
  <si>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</si>
  <si>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</si>
  <si>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</si>
  <si>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</si>
  <si>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</si>
  <si>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</si>
  <si>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</si>
  <si>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</si>
  <si>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</si>
  <si>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</si>
  <si>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</si>
  <si>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</si>
  <si>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</si>
  <si>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</si>
  <si>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</si>
  <si>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</si>
  <si>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</si>
  <si>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</si>
  <si>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</si>
  <si>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</si>
  <si>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</si>
  <si>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</si>
  <si>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</si>
  <si>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</si>
  <si>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</si>
  <si>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</si>
  <si>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</si>
  <si>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</si>
  <si>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</si>
  <si>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</si>
  <si>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</si>
  <si>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</si>
  <si>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</si>
  <si>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</si>
  <si>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</si>
  <si>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</si>
  <si>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</si>
  <si>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</si>
  <si>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</si>
  <si>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</si>
  <si>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</si>
  <si>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</si>
  <si>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</si>
  <si>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</si>
  <si>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</si>
  <si>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</si>
  <si>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</si>
  <si>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</si>
  <si>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</si>
  <si>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</si>
  <si>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</si>
  <si>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</si>
  <si>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</si>
  <si>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</si>
  <si>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</si>
  <si>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</si>
  <si>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</si>
  <si>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</si>
  <si>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</si>
  <si>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</si>
  <si>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</si>
  <si>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none</t>
  </si>
  <si>
    <t>only_one_perimeter_top</t>
  </si>
  <si>
    <t>over_bridge_flow_ratio</t>
  </si>
  <si>
    <t>overhangs_reverse</t>
  </si>
  <si>
    <t>overhangs_reverse_threshold</t>
  </si>
  <si>
    <t>overhangs_width</t>
  </si>
  <si>
    <t>perimeter_bonding</t>
  </si>
  <si>
    <t>perimeter_loop</t>
  </si>
  <si>
    <t>perimeter_loop_seam</t>
  </si>
  <si>
    <t>perimeter_overlap</t>
  </si>
  <si>
    <t>print_extrusion_multiplier</t>
  </si>
  <si>
    <t>seam_travel</t>
  </si>
  <si>
    <t>skirt_extrusion_width</t>
  </si>
  <si>
    <t>solid_fill_pattern</t>
  </si>
  <si>
    <t>rectilineargapfill</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</si>
  <si>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</si>
  <si>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</si>
  <si>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</si>
  <si>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</si>
  <si>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</si>
  <si>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</si>
  <si>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</si>
  <si>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</si>
  <si>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</si>
  <si>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</si>
  <si>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</si>
  <si>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</si>
  <si>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</si>
  <si>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</si>
  <si>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</si>
  <si>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</si>
  <si>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</si>
  <si>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</si>
  <si>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</si>
  <si>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</si>
  <si>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</si>
  <si>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</si>
  <si>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</si>
  <si>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</si>
  <si>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</si>
  <si>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</si>
  <si>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</si>
  <si>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</si>
  <si>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</si>
  <si>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</si>
  <si>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</si>
  <si>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</si>
  <si>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</si>
  <si>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</si>
  <si>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</si>
  <si>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</si>
  <si>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</si>
  <si>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</si>
  <si>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</si>
  <si>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</si>
  <si>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</si>
  <si>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</si>
  <si>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</si>
  <si>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</si>
  <si>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</si>
  <si>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</si>
  <si>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</si>
  <si>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</si>
  <si>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</si>
  <si>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</si>
  <si>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</si>
  <si>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wipe_advanced_multiplier</t>
  </si>
  <si>
    <t>wipe_advanced_nozzle_melted_volume</t>
  </si>
  <si>
    <t>wipe_extra_perimeter</t>
  </si>
  <si>
    <t>z_step</t>
  </si>
  <si>
    <t>autosmall</t>
  </si>
  <si>
    <t>Prusa Profile Generation</t>
  </si>
  <si>
    <t>Prusa AppData folder</t>
  </si>
  <si>
    <t>Super Slicer AppData folder</t>
  </si>
  <si>
    <t>Super Profile Generation</t>
  </si>
  <si>
    <t>C:\Users\softk\Desktop\Slicer_Config\Test_Super</t>
  </si>
  <si>
    <t>C:\Users\softk\Desktop\Slicer_Config\Test_Slic3r</t>
  </si>
  <si>
    <t>Creality</t>
  </si>
  <si>
    <t>Anycubic</t>
  </si>
  <si>
    <t>marlin value,0.05,0.08,0.05,0.05</t>
  </si>
  <si>
    <t>machine_bound_min_x</t>
  </si>
  <si>
    <t>machine_bound_max_x</t>
  </si>
  <si>
    <t>machine_bound_min_y</t>
  </si>
  <si>
    <t>machine_bound_max_y</t>
  </si>
  <si>
    <t>machine_bound_min_z</t>
  </si>
  <si>
    <t>machine_bound_max_z</t>
  </si>
  <si>
    <t>machine_start_gcode_travel</t>
  </si>
  <si>
    <t>machine_start_gcode_print</t>
  </si>
  <si>
    <t>machine_filament_diameter</t>
  </si>
  <si>
    <t>machine_start_gcode_end</t>
  </si>
  <si>
    <t>machine_start_gcode_layer_height</t>
  </si>
  <si>
    <t>machine_end_gcode_ypos</t>
  </si>
  <si>
    <t>machine_end_gcode_xpos</t>
  </si>
  <si>
    <t>machine_end_gcode_zpos</t>
  </si>
  <si>
    <t>filament_spool_weight</t>
  </si>
  <si>
    <t>full_fan_speed_layer</t>
  </si>
  <si>
    <t>E:\3D_Printer_Tools\SuperSlicerPortable\Data\AppData_SuperSlicer</t>
  </si>
  <si>
    <t>E:\3D_Printer_Tools\Slic3rPortable\Data\AppData_Slic3r</t>
  </si>
  <si>
    <t>[input_filename_base]_[filament_type]_[nozzle_diameter]mm_[layer_height]mm.gcode</t>
  </si>
  <si>
    <t>E:\3D_Printer_Tools\SuperSlicerAlphaPortable\Data\AppData\SuperSlicer-alpha</t>
  </si>
  <si>
    <t>raft_margin</t>
  </si>
  <si>
    <t>raft_airgap</t>
  </si>
  <si>
    <t>If the raft is enabled, this is the extra raft area around the model which is also given a raft. Increasing this margin will create a stronger raft while using more material and leaving less area for your print.</t>
  </si>
  <si>
    <t>The gap between the final raft layer and the first layer of the model. Only the first layer is raised by this amount to lower the bonding between the raft layer and the model. Makes it easier to peel off the raft.</t>
  </si>
  <si>
    <t>shortest</t>
  </si>
  <si>
    <t>seam_position</t>
  </si>
  <si>
    <t>prusa</t>
  </si>
  <si>
    <t>extrusion_width_calc_type</t>
  </si>
  <si>
    <t>nearest</t>
  </si>
  <si>
    <t>infill_anchor</t>
  </si>
  <si>
    <t>infill_anchor_max</t>
  </si>
  <si>
    <t>kg</t>
  </si>
  <si>
    <t>machine_gcode_comments</t>
  </si>
  <si>
    <t>machine_gcode_label_objects</t>
  </si>
  <si>
    <t>E:\3D_Printer_Tools\PrusaSlicerPortable\Data\AppData\PrusaSlicer</t>
  </si>
  <si>
    <t>-ive value move the head towards the bed and +ive value lift the head away from bed</t>
  </si>
  <si>
    <t>E:\3D_Printer_Tools\Cura4\Data\AppData\cura\4.10</t>
  </si>
  <si>
    <t>Material properties</t>
  </si>
  <si>
    <t>Brittle (Low Toughness)
Under Load it will deform over period of time
Low temperature resistance</t>
  </si>
  <si>
    <t>Low temperature resistance (Compare to ABS)
Might Flex Bit more than ABS, so part design should consider that</t>
  </si>
  <si>
    <t>Low temperature makes Brittle</t>
  </si>
  <si>
    <t>Brittle (No Flex Compare to ABS)</t>
  </si>
  <si>
    <t>Exposed to heat makes Brittle (Compare to ABS)</t>
  </si>
  <si>
    <t>Hard to Print
Idle for mechanical part
High temperature resistance
Toxic Fume
 great choice for “wear and tear” 3D prints.</t>
  </si>
  <si>
    <t>Hard to Print
Idle for mechanical part
High temperature resistance
excellent strength to flexibility ratio
very little warpage</t>
  </si>
  <si>
    <t>avoid_crossing_perimeters_max_detour</t>
  </si>
  <si>
    <t>bridge_speed_internal</t>
  </si>
  <si>
    <t>brim_ears_detection_length</t>
  </si>
  <si>
    <t>external_perimeter_extrusion_spacing</t>
  </si>
  <si>
    <t>extrusion_spacing</t>
  </si>
  <si>
    <t>first_layer_extrusion_spacing</t>
  </si>
  <si>
    <t>gap_fill_overlap</t>
  </si>
  <si>
    <t>hole_size_threshold</t>
  </si>
  <si>
    <t>hole_to_polyhole_threshold</t>
  </si>
  <si>
    <t>infill_connection</t>
  </si>
  <si>
    <t>connected</t>
  </si>
  <si>
    <t>infill_connection_bottom</t>
  </si>
  <si>
    <t>infill_connection_solid</t>
  </si>
  <si>
    <t>infill_connection_top</t>
  </si>
  <si>
    <t>infill_extrusion_spacing</t>
  </si>
  <si>
    <t>ironing_angle</t>
  </si>
  <si>
    <t>only_one_perimeter_top_other_algo</t>
  </si>
  <si>
    <t>overhangs_speed</t>
  </si>
  <si>
    <t>overhangs_width_speed</t>
  </si>
  <si>
    <t>perimeter_extrusion_spacing</t>
  </si>
  <si>
    <t>perimeter_round_corners</t>
  </si>
  <si>
    <t>print_retract_length</t>
  </si>
  <si>
    <t>print_retract_lift</t>
  </si>
  <si>
    <t>print_temperature</t>
  </si>
  <si>
    <t>seam_angle_cost</t>
  </si>
  <si>
    <t>seam_travel_cost</t>
  </si>
  <si>
    <t>small_perimeter_max_length</t>
  </si>
  <si>
    <t>small_perimeter_min_length</t>
  </si>
  <si>
    <t>solid_infill_extrusion_spacing</t>
  </si>
  <si>
    <t>top_infill_extrusion_spacing</t>
  </si>
  <si>
    <t>travel_speed_z</t>
  </si>
  <si>
    <t>##Overhangs</t>
  </si>
  <si>
    <t>##External perimeter first</t>
  </si>
  <si>
    <t>Slicing</t>
  </si>
  <si>
    <t>##Filtering</t>
  </si>
  <si>
    <t>##Modifying Slices</t>
  </si>
  <si>
    <t>##Advanced infill options</t>
  </si>
  <si>
    <t>##Options for support material interface</t>
  </si>
  <si>
    <t>Advanced / Width &amp; Flow</t>
  </si>
  <si>
    <t>##Plater</t>
  </si>
  <si>
    <t>##Post-Processing milling</t>
  </si>
  <si>
    <t>sawtooth</t>
  </si>
  <si>
    <t>##Filament Properties</t>
  </si>
  <si>
    <t>##Print Speed Override</t>
  </si>
  <si>
    <t>filament_max_speed</t>
  </si>
  <si>
    <t>milling_count</t>
  </si>
  <si>
    <t>color_change_gcode</t>
  </si>
  <si>
    <t>extruder_fan_offset</t>
  </si>
  <si>
    <t>extruder_temperature_offset</t>
  </si>
  <si>
    <t>fan_kickstart</t>
  </si>
  <si>
    <t>fan_percentage</t>
  </si>
  <si>
    <t>fan_speedup_overhangs</t>
  </si>
  <si>
    <t>gcode_precision_e</t>
  </si>
  <si>
    <t>gcode_precision_xyz</t>
  </si>
  <si>
    <t>machine_limits_usage</t>
  </si>
  <si>
    <t>pause_print_gcode</t>
  </si>
  <si>
    <t>printhost_port</t>
  </si>
  <si>
    <t>retract_lift_first_layer</t>
  </si>
  <si>
    <t>retract_lift_top</t>
  </si>
  <si>
    <t>start_gcode_manual</t>
  </si>
  <si>
    <t>template_custom_gcode</t>
  </si>
  <si>
    <t>thumbnails_color</t>
  </si>
  <si>
    <t>#018aff</t>
  </si>
  <si>
    <t>thumbnails_custom_color</t>
  </si>
  <si>
    <t>thumbnails_with_bed</t>
  </si>
  <si>
    <t>tool_name</t>
  </si>
  <si>
    <t>##Cooling Fan</t>
  </si>
  <si>
    <t>##Thumbnails</t>
  </si>
  <si>
    <t>64x64,400x300</t>
  </si>
  <si>
    <t>##Firmware Compensation</t>
  </si>
  <si>
    <t>##Machine Limits</t>
  </si>
  <si>
    <t>emit_to_gcode</t>
  </si>
  <si>
    <t>AnyCubic E3D V6</t>
  </si>
  <si>
    <t>AnyCubic E3D V6 0.6 mm</t>
  </si>
  <si>
    <t>anycubic_e3d_v6_0_6_mm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</si>
</sst>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7">
    <border>
      <left/>
      <right/>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diagonal/>
    </border>
  </borders>
  <cellStyleXfs count="1">
    <xf numFmtId="0" fontId="0" fillId="0" borderId="0"/>
  </cellStyleXfs>
  <cellXfs count="108">
    <xf numFmtId="0" fontId="0" fillId="0" borderId="0" xfId="0"/>
    <xf numFmtId="1" fontId="0" fillId="0" borderId="0" xfId="0" applyNumberFormat="1" applyBorder="1"/>
    <xf numFmtId="0" fontId="0" fillId="3" borderId="1" xfId="0" applyFill="1" applyBorder="1"/>
    <xf numFmtId="0" fontId="0" fillId="4" borderId="1" xfId="0" applyFill="1" applyBorder="1"/>
    <xf numFmtId="0" fontId="0" fillId="5" borderId="1" xfId="0" applyFill="1" applyBorder="1"/>
    <xf numFmtId="0" fontId="0" fillId="2"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ont="1" applyFill="1" applyBorder="1"/>
    <xf numFmtId="0" fontId="0" fillId="9" borderId="1" xfId="0" applyFont="1" applyFill="1" applyBorder="1"/>
    <xf numFmtId="0" fontId="0" fillId="10" borderId="1" xfId="0" applyFont="1" applyFill="1" applyBorder="1"/>
    <xf numFmtId="0" fontId="0" fillId="7" borderId="1" xfId="0" applyFill="1" applyBorder="1"/>
    <xf numFmtId="0" fontId="0" fillId="9" borderId="1" xfId="0" applyFill="1" applyBorder="1"/>
    <xf numFmtId="0" fontId="0" fillId="8" borderId="1" xfId="0" applyFill="1" applyBorder="1"/>
    <xf numFmtId="0" fontId="0" fillId="10" borderId="1" xfId="0" applyFill="1" applyBorder="1"/>
    <xf numFmtId="0" fontId="0" fillId="4" borderId="1" xfId="0" applyFill="1" applyBorder="1" applyAlignment="1">
      <alignment horizontal="right"/>
    </xf>
    <xf numFmtId="0" fontId="0" fillId="7" borderId="1" xfId="0" applyFont="1" applyFill="1" applyBorder="1" applyAlignment="1">
      <alignment horizontal="right"/>
    </xf>
    <xf numFmtId="0" fontId="0" fillId="9" borderId="1" xfId="0" applyFont="1" applyFill="1" applyBorder="1" applyAlignment="1">
      <alignment horizontal="right"/>
    </xf>
    <xf numFmtId="0" fontId="0" fillId="5" borderId="1" xfId="0"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9" borderId="1" xfId="0" applyFill="1" applyBorder="1" applyAlignment="1">
      <alignment horizontal="right"/>
    </xf>
    <xf numFmtId="0" fontId="0" fillId="7"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2"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2" borderId="1" xfId="0" applyNumberFormat="1" applyFill="1" applyBorder="1"/>
    <xf numFmtId="49" fontId="0" fillId="6" borderId="1" xfId="0" applyNumberFormat="1" applyFill="1" applyBorder="1"/>
    <xf numFmtId="49" fontId="0" fillId="0" borderId="0" xfId="0" applyNumberFormat="1"/>
    <xf numFmtId="0" fontId="0" fillId="4" borderId="1" xfId="0" applyNumberFormat="1" applyFill="1" applyBorder="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ont="1" applyFill="1" applyBorder="1"/>
    <xf numFmtId="49" fontId="0" fillId="9" borderId="1" xfId="0" applyNumberFormat="1" applyFont="1" applyFill="1" applyBorder="1"/>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10" borderId="1" xfId="0" applyNumberFormat="1" applyFont="1" applyFill="1" applyBorder="1"/>
    <xf numFmtId="9" fontId="0" fillId="5" borderId="1" xfId="0" applyNumberFormat="1" applyFill="1" applyBorder="1"/>
    <xf numFmtId="9" fontId="0" fillId="5" borderId="1" xfId="0" applyNumberFormat="1" applyFill="1" applyBorder="1" applyAlignment="1">
      <alignment horizontal="right"/>
    </xf>
    <xf numFmtId="0" fontId="0" fillId="5"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0" fillId="0" borderId="0" xfId="0" applyFill="1" applyBorder="1"/>
    <xf numFmtId="0" fontId="0" fillId="3" borderId="1" xfId="0" quotePrefix="1" applyFill="1" applyBorder="1"/>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49" fontId="0" fillId="8" borderId="1" xfId="0" applyNumberFormat="1" applyFont="1" applyFill="1" applyBorder="1"/>
    <xf numFmtId="0" fontId="0" fillId="8" borderId="1" xfId="0" applyFont="1" applyFill="1" applyBorder="1"/>
    <xf numFmtId="0" fontId="0" fillId="5" borderId="1" xfId="0" applyFill="1" applyBorder="1" applyAlignment="1">
      <alignment wrapText="1"/>
    </xf>
    <xf numFmtId="0" fontId="0" fillId="3" borderId="1" xfId="0" applyNumberFormat="1" applyFill="1" applyBorder="1"/>
    <xf numFmtId="0" fontId="0" fillId="2" borderId="1" xfId="0" applyNumberFormat="1" applyFill="1" applyBorder="1"/>
    <xf numFmtId="0" fontId="0" fillId="6" borderId="1" xfId="0" applyNumberFormat="1" applyFill="1" applyBorder="1"/>
    <xf numFmtId="0" fontId="0" fillId="0" borderId="0" xfId="0" applyNumberFormat="1"/>
    <xf numFmtId="0" fontId="0" fillId="5" borderId="1" xfId="0" applyNumberFormat="1" applyFill="1" applyBorder="1" applyAlignment="1">
      <alignment horizontal="right"/>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0" fillId="4" borderId="2" xfId="0" applyFill="1" applyBorder="1"/>
    <xf numFmtId="0" fontId="6" fillId="0" borderId="0" xfId="0" applyFont="1" applyFill="1" applyBorder="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0" fillId="0" borderId="0" xfId="0" applyNumberFormat="1" applyFont="1" applyFill="1" applyBorder="1"/>
    <xf numFmtId="49" fontId="0" fillId="0" borderId="0" xfId="0" applyNumberFormat="1" applyFill="1" applyBorder="1"/>
    <xf numFmtId="49" fontId="0" fillId="4" borderId="1" xfId="0" applyNumberFormat="1" applyFill="1" applyBorder="1" applyAlignment="1">
      <alignment horizontal="right"/>
    </xf>
    <xf numFmtId="0" fontId="0" fillId="10" borderId="1" xfId="0" applyFont="1" applyFill="1" applyBorder="1" applyAlignment="1">
      <alignment horizontal="right"/>
    </xf>
    <xf numFmtId="0" fontId="0" fillId="10" borderId="1" xfId="0" applyNumberFormat="1" applyFill="1" applyBorder="1" applyAlignment="1">
      <alignment horizontal="right"/>
    </xf>
    <xf numFmtId="0" fontId="0" fillId="6" borderId="1" xfId="0" quotePrefix="1" applyFill="1" applyBorder="1"/>
    <xf numFmtId="0" fontId="0" fillId="3" borderId="6" xfId="0" applyFill="1" applyBorder="1" applyAlignment="1">
      <alignment wrapText="1"/>
    </xf>
    <xf numFmtId="0" fontId="0" fillId="0" borderId="0" xfId="0" applyAlignment="1">
      <alignment wrapText="1"/>
    </xf>
    <xf numFmtId="0" fontId="0" fillId="0" borderId="0" xfId="0" applyAlignment="1">
      <alignment vertical="center"/>
    </xf>
    <xf numFmtId="9" fontId="0" fillId="2" borderId="1" xfId="0" applyNumberFormat="1" applyFill="1" applyBorder="1"/>
    <xf numFmtId="9" fontId="0" fillId="2" borderId="1" xfId="0" applyNumberFormat="1" applyFill="1" applyBorder="1" applyAlignment="1">
      <alignment horizontal="right"/>
    </xf>
    <xf numFmtId="0" fontId="0" fillId="11" borderId="1" xfId="0" applyFill="1" applyBorder="1" applyAlignment="1">
      <alignment horizontal="center"/>
    </xf>
    <xf numFmtId="0" fontId="0" fillId="3" borderId="1" xfId="0" applyFill="1" applyBorder="1" applyAlignment="1">
      <alignment horizontal="center"/>
    </xf>
    <xf numFmtId="0" fontId="0" fillId="11" borderId="3" xfId="0" applyFill="1" applyBorder="1" applyAlignment="1">
      <alignment horizontal="center"/>
    </xf>
    <xf numFmtId="0" fontId="0" fillId="0" borderId="4" xfId="0" applyBorder="1" applyAlignment="1">
      <alignment horizontal="center"/>
    </xf>
    <xf numFmtId="0" fontId="0" fillId="0" borderId="5" xfId="0"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37"/>
  <sheetViews>
    <sheetView workbookViewId="0">
      <selection activeCell="B19" sqref="B19"/>
    </sheetView>
  </sheetViews>
  <sheetFormatPr defaultRowHeight="15" x14ac:dyDescent="0.25"/>
  <cols>
    <col min="1" max="1" width="25.85546875" bestFit="1" customWidth="1"/>
    <col min="2" max="2" width="74" style="46" bestFit="1" customWidth="1"/>
    <col min="4" max="4" width="22.85546875" customWidth="1"/>
    <col min="5" max="5" width="44.42578125" bestFit="1" customWidth="1"/>
    <col min="7" max="7" width="22.85546875" customWidth="1"/>
    <col min="8" max="8" width="64.28515625" customWidth="1"/>
  </cols>
  <sheetData>
    <row r="1" spans="1:8" x14ac:dyDescent="0.25">
      <c r="A1" s="10" t="s">
        <v>1080</v>
      </c>
      <c r="B1" s="48" t="s">
        <v>433</v>
      </c>
      <c r="E1" s="92"/>
      <c r="F1" s="62"/>
      <c r="G1" s="62"/>
      <c r="H1" s="62"/>
    </row>
    <row r="2" spans="1:8" x14ac:dyDescent="0.25">
      <c r="A2" s="17" t="s">
        <v>216</v>
      </c>
      <c r="B2" s="56" t="s">
        <v>1464</v>
      </c>
      <c r="E2" s="62"/>
      <c r="F2" s="62"/>
      <c r="G2" s="62"/>
      <c r="H2" s="62"/>
    </row>
    <row r="3" spans="1:8" x14ac:dyDescent="0.25">
      <c r="A3" s="73"/>
      <c r="B3" s="73" t="s">
        <v>1485</v>
      </c>
      <c r="E3" s="92"/>
      <c r="F3" s="62"/>
      <c r="G3" s="62"/>
      <c r="H3" s="62"/>
    </row>
    <row r="4" spans="1:8" x14ac:dyDescent="0.25">
      <c r="A4" s="15"/>
      <c r="B4" s="50"/>
      <c r="E4" s="92"/>
      <c r="F4" s="62"/>
      <c r="G4" s="62"/>
      <c r="H4" s="62"/>
    </row>
    <row r="5" spans="1:8" x14ac:dyDescent="0.25">
      <c r="E5" s="62"/>
      <c r="F5" s="62"/>
      <c r="G5" s="62"/>
      <c r="H5" s="84"/>
    </row>
    <row r="6" spans="1:8" x14ac:dyDescent="0.25">
      <c r="A6" s="10" t="s">
        <v>1459</v>
      </c>
      <c r="B6" s="48" t="s">
        <v>433</v>
      </c>
      <c r="E6" s="92"/>
      <c r="F6" s="62"/>
      <c r="G6" s="62"/>
      <c r="H6" s="84"/>
    </row>
    <row r="7" spans="1:8" x14ac:dyDescent="0.25">
      <c r="A7" s="17" t="s">
        <v>1460</v>
      </c>
      <c r="B7" s="56" t="s">
        <v>1105</v>
      </c>
      <c r="E7" s="62"/>
      <c r="F7" s="62"/>
      <c r="G7" s="62"/>
      <c r="H7" s="84"/>
    </row>
    <row r="8" spans="1:8" x14ac:dyDescent="0.25">
      <c r="A8" s="73"/>
      <c r="B8" s="73" t="s">
        <v>1502</v>
      </c>
      <c r="E8" s="62"/>
      <c r="F8" s="62"/>
      <c r="G8" s="62"/>
      <c r="H8" s="84"/>
    </row>
    <row r="9" spans="1:8" x14ac:dyDescent="0.25">
      <c r="A9" s="15"/>
      <c r="B9" s="50"/>
      <c r="E9" s="62"/>
      <c r="F9" s="62"/>
      <c r="G9" s="62"/>
      <c r="H9" s="84"/>
    </row>
    <row r="10" spans="1:8" x14ac:dyDescent="0.25">
      <c r="E10" s="62"/>
      <c r="F10" s="62"/>
      <c r="G10" s="62"/>
      <c r="H10" s="62"/>
    </row>
    <row r="11" spans="1:8" x14ac:dyDescent="0.25">
      <c r="A11" s="10" t="s">
        <v>1462</v>
      </c>
      <c r="B11" s="48" t="s">
        <v>433</v>
      </c>
      <c r="E11" s="62"/>
      <c r="F11" s="62"/>
      <c r="G11" s="62"/>
      <c r="H11" s="62"/>
    </row>
    <row r="12" spans="1:8" x14ac:dyDescent="0.25">
      <c r="A12" s="17" t="s">
        <v>1461</v>
      </c>
      <c r="B12" s="56" t="s">
        <v>1463</v>
      </c>
      <c r="E12" s="62"/>
      <c r="F12" s="62"/>
      <c r="G12" s="62"/>
      <c r="H12" s="62"/>
    </row>
    <row r="13" spans="1:8" x14ac:dyDescent="0.25">
      <c r="A13" s="73"/>
      <c r="B13" s="73" t="s">
        <v>1484</v>
      </c>
      <c r="E13" s="62"/>
      <c r="F13" s="62"/>
      <c r="G13" s="62"/>
      <c r="H13" s="62"/>
    </row>
    <row r="14" spans="1:8" x14ac:dyDescent="0.25">
      <c r="A14" s="15"/>
      <c r="B14" s="50" t="s">
        <v>1487</v>
      </c>
      <c r="E14" s="62"/>
      <c r="F14" s="62"/>
      <c r="G14" s="62"/>
      <c r="H14" s="62"/>
    </row>
    <row r="15" spans="1:8" x14ac:dyDescent="0.25">
      <c r="E15" s="62"/>
      <c r="F15" s="62"/>
      <c r="G15" s="62"/>
      <c r="H15" s="62"/>
    </row>
    <row r="16" spans="1:8" x14ac:dyDescent="0.25">
      <c r="A16" s="10" t="s">
        <v>1082</v>
      </c>
      <c r="B16" s="10" t="s">
        <v>433</v>
      </c>
      <c r="E16" s="62"/>
      <c r="F16" s="62"/>
      <c r="G16" s="62"/>
      <c r="H16" s="62"/>
    </row>
    <row r="17" spans="1:8" x14ac:dyDescent="0.25">
      <c r="A17" s="21" t="s">
        <v>1081</v>
      </c>
      <c r="B17" s="18" t="s">
        <v>1106</v>
      </c>
      <c r="E17" s="62"/>
      <c r="F17" s="62"/>
      <c r="G17" s="62"/>
      <c r="H17" s="62"/>
    </row>
    <row r="18" spans="1:8" x14ac:dyDescent="0.25">
      <c r="A18" s="4"/>
      <c r="B18" s="4" t="s">
        <v>1504</v>
      </c>
      <c r="E18" s="62"/>
      <c r="F18" s="62"/>
      <c r="G18" s="62"/>
      <c r="H18" s="62"/>
    </row>
    <row r="19" spans="1:8" x14ac:dyDescent="0.25">
      <c r="A19" s="3"/>
      <c r="B19" s="3"/>
      <c r="E19" s="62"/>
      <c r="F19" s="62"/>
      <c r="G19" s="62"/>
      <c r="H19" s="62"/>
    </row>
    <row r="20" spans="1:8" x14ac:dyDescent="0.25">
      <c r="E20" s="62"/>
      <c r="F20" s="62"/>
      <c r="G20" s="62"/>
      <c r="H20" s="62"/>
    </row>
    <row r="21" spans="1:8" x14ac:dyDescent="0.25">
      <c r="A21" s="10" t="s">
        <v>1083</v>
      </c>
      <c r="B21" s="10" t="s">
        <v>433</v>
      </c>
      <c r="E21" s="62"/>
      <c r="F21" s="62"/>
      <c r="G21" s="62"/>
      <c r="H21" s="62"/>
    </row>
    <row r="22" spans="1:8" x14ac:dyDescent="0.25">
      <c r="A22" s="21" t="s">
        <v>1084</v>
      </c>
      <c r="B22" s="18" t="s">
        <v>1104</v>
      </c>
      <c r="E22" s="62"/>
      <c r="F22" s="62"/>
      <c r="G22" s="62"/>
      <c r="H22" s="62"/>
    </row>
    <row r="23" spans="1:8" x14ac:dyDescent="0.25">
      <c r="A23" s="4"/>
      <c r="B23" s="4"/>
      <c r="E23" s="62"/>
      <c r="F23" s="62"/>
      <c r="G23" s="62"/>
      <c r="H23" s="93"/>
    </row>
    <row r="24" spans="1:8" x14ac:dyDescent="0.25">
      <c r="A24" s="3"/>
      <c r="B24" s="83"/>
      <c r="E24" s="62"/>
      <c r="F24" s="62"/>
      <c r="G24" s="62"/>
      <c r="H24" s="92"/>
    </row>
    <row r="25" spans="1:8" x14ac:dyDescent="0.25">
      <c r="E25" s="62"/>
      <c r="F25" s="62"/>
      <c r="G25" s="62"/>
      <c r="H25" s="92"/>
    </row>
    <row r="26" spans="1:8" x14ac:dyDescent="0.25">
      <c r="E26" s="62"/>
      <c r="F26" s="62"/>
      <c r="G26" s="62"/>
      <c r="H26" s="92"/>
    </row>
    <row r="27" spans="1:8" x14ac:dyDescent="0.25">
      <c r="E27" s="62"/>
      <c r="F27" s="62"/>
      <c r="G27" s="62"/>
      <c r="H27" s="92"/>
    </row>
    <row r="28" spans="1:8" x14ac:dyDescent="0.25">
      <c r="E28" s="62"/>
      <c r="F28" s="62"/>
      <c r="G28" s="62"/>
      <c r="H28" s="93"/>
    </row>
    <row r="29" spans="1:8" x14ac:dyDescent="0.25">
      <c r="E29" s="62"/>
      <c r="F29" s="62"/>
      <c r="G29" s="62"/>
      <c r="H29" s="93"/>
    </row>
    <row r="30" spans="1:8" x14ac:dyDescent="0.25">
      <c r="E30" s="62"/>
      <c r="F30" s="62"/>
      <c r="G30" s="62"/>
      <c r="H30" s="93"/>
    </row>
    <row r="31" spans="1:8" x14ac:dyDescent="0.25">
      <c r="E31" s="62"/>
      <c r="F31" s="62"/>
      <c r="G31" s="62"/>
      <c r="H31" s="93"/>
    </row>
    <row r="32" spans="1:8" x14ac:dyDescent="0.25">
      <c r="E32" s="62"/>
      <c r="F32" s="62"/>
      <c r="G32" s="62"/>
      <c r="H32" s="92"/>
    </row>
    <row r="33" spans="5:8" x14ac:dyDescent="0.25">
      <c r="E33" s="62"/>
      <c r="F33" s="62"/>
      <c r="G33" s="62"/>
      <c r="H33" s="92"/>
    </row>
    <row r="34" spans="5:8" x14ac:dyDescent="0.25">
      <c r="E34" s="62"/>
      <c r="F34" s="62"/>
      <c r="G34" s="62"/>
      <c r="H34" s="93"/>
    </row>
    <row r="35" spans="5:8" x14ac:dyDescent="0.25">
      <c r="E35" s="62"/>
      <c r="F35" s="62"/>
      <c r="G35" s="62"/>
      <c r="H35" s="93"/>
    </row>
    <row r="36" spans="5:8" x14ac:dyDescent="0.25">
      <c r="E36" s="62"/>
      <c r="F36" s="62"/>
      <c r="G36" s="62"/>
      <c r="H36" s="92"/>
    </row>
    <row r="37" spans="5:8" x14ac:dyDescent="0.25">
      <c r="E37" s="62"/>
      <c r="F37" s="62"/>
      <c r="G37" s="62"/>
      <c r="H37" s="9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T63"/>
  <sheetViews>
    <sheetView topLeftCell="A13" workbookViewId="0">
      <selection activeCell="D38" sqref="D38"/>
    </sheetView>
  </sheetViews>
  <sheetFormatPr defaultRowHeight="15" x14ac:dyDescent="0.25"/>
  <cols>
    <col min="1" max="1" width="35.5703125" style="46" bestFit="1" customWidth="1"/>
    <col min="2" max="2" width="51" bestFit="1" customWidth="1"/>
    <col min="3" max="3" width="26.140625" customWidth="1"/>
    <col min="4" max="4" width="32.42578125" customWidth="1"/>
    <col min="5" max="6" width="9.85546875" customWidth="1"/>
    <col min="9" max="9" width="23" customWidth="1"/>
    <col min="10" max="10" width="12.7109375" bestFit="1" customWidth="1"/>
    <col min="11" max="12" width="12.7109375" customWidth="1"/>
    <col min="21" max="21" width="7.85546875" bestFit="1" customWidth="1"/>
    <col min="22" max="22" width="18.140625" bestFit="1" customWidth="1"/>
    <col min="23" max="23" width="21.140625" bestFit="1" customWidth="1"/>
  </cols>
  <sheetData>
    <row r="1" spans="1:20" x14ac:dyDescent="0.25">
      <c r="A1" s="48" t="s">
        <v>202</v>
      </c>
      <c r="B1" s="10" t="s">
        <v>203</v>
      </c>
      <c r="C1" s="10" t="s">
        <v>1313</v>
      </c>
      <c r="D1" s="10" t="s">
        <v>1314</v>
      </c>
      <c r="E1" s="10" t="s">
        <v>297</v>
      </c>
      <c r="F1" s="10" t="s">
        <v>206</v>
      </c>
      <c r="I1" s="103" t="s">
        <v>302</v>
      </c>
      <c r="J1" s="104"/>
      <c r="K1" s="104"/>
      <c r="L1" s="104"/>
      <c r="M1" s="104"/>
      <c r="N1" s="104"/>
      <c r="O1" s="104"/>
      <c r="P1" s="104"/>
      <c r="Q1" s="104"/>
      <c r="R1" s="104"/>
      <c r="S1" s="104"/>
      <c r="T1" s="104"/>
    </row>
    <row r="2" spans="1:20" x14ac:dyDescent="0.25">
      <c r="A2" s="50" t="s">
        <v>146</v>
      </c>
      <c r="B2" s="26">
        <v>0.6</v>
      </c>
      <c r="C2" s="26">
        <v>0.4</v>
      </c>
      <c r="D2" s="26">
        <v>0.6</v>
      </c>
      <c r="E2" s="15" t="s">
        <v>298</v>
      </c>
      <c r="F2" s="15"/>
      <c r="I2" s="48" t="s">
        <v>305</v>
      </c>
      <c r="J2" s="10">
        <v>0.12</v>
      </c>
      <c r="K2" s="10">
        <v>0.2</v>
      </c>
      <c r="L2" s="10">
        <v>0.24</v>
      </c>
      <c r="M2" s="10">
        <v>0.28000000000000003</v>
      </c>
      <c r="N2" s="10">
        <v>0.32</v>
      </c>
      <c r="O2" s="10">
        <v>0.4</v>
      </c>
      <c r="P2" s="10">
        <v>0.48</v>
      </c>
      <c r="Q2" s="10">
        <v>0.56000000000000005</v>
      </c>
      <c r="R2" s="10">
        <v>0.64</v>
      </c>
      <c r="S2" s="10">
        <v>0.72</v>
      </c>
      <c r="T2" s="10">
        <v>0.8</v>
      </c>
    </row>
    <row r="3" spans="1:20" x14ac:dyDescent="0.25">
      <c r="A3" s="51" t="s">
        <v>1276</v>
      </c>
      <c r="B3" s="27"/>
      <c r="C3" s="27"/>
      <c r="D3" s="27"/>
      <c r="E3" s="16"/>
      <c r="F3" s="16"/>
      <c r="I3" s="42" t="s">
        <v>3</v>
      </c>
      <c r="J3" s="13">
        <f t="shared" ref="J3:T3" si="0">Nozzle_Diameter*3</f>
        <v>1.7999999999999998</v>
      </c>
      <c r="K3" s="13">
        <f t="shared" si="0"/>
        <v>1.7999999999999998</v>
      </c>
      <c r="L3" s="13">
        <f t="shared" si="0"/>
        <v>1.7999999999999998</v>
      </c>
      <c r="M3" s="13">
        <f t="shared" si="0"/>
        <v>1.7999999999999998</v>
      </c>
      <c r="N3" s="13">
        <f t="shared" si="0"/>
        <v>1.7999999999999998</v>
      </c>
      <c r="O3" s="13">
        <f t="shared" si="0"/>
        <v>1.7999999999999998</v>
      </c>
      <c r="P3" s="13">
        <f t="shared" si="0"/>
        <v>1.7999999999999998</v>
      </c>
      <c r="Q3" s="13">
        <f t="shared" si="0"/>
        <v>1.7999999999999998</v>
      </c>
      <c r="R3" s="13">
        <f t="shared" si="0"/>
        <v>1.7999999999999998</v>
      </c>
      <c r="S3" s="13">
        <f t="shared" si="0"/>
        <v>1.7999999999999998</v>
      </c>
      <c r="T3" s="13">
        <f t="shared" si="0"/>
        <v>1.7999999999999998</v>
      </c>
    </row>
    <row r="4" spans="1:20" x14ac:dyDescent="0.25">
      <c r="A4" s="50" t="s">
        <v>79</v>
      </c>
      <c r="B4" s="26">
        <v>0.65</v>
      </c>
      <c r="C4" s="26">
        <v>0.45</v>
      </c>
      <c r="D4" s="26">
        <v>0.65</v>
      </c>
      <c r="E4" s="15" t="s">
        <v>298</v>
      </c>
      <c r="F4" s="15"/>
      <c r="I4" s="43" t="s">
        <v>5</v>
      </c>
      <c r="J4" s="14">
        <f>$J$2*7</f>
        <v>0.84</v>
      </c>
      <c r="K4" s="14">
        <f>$K$2*4</f>
        <v>0.8</v>
      </c>
      <c r="L4" s="14">
        <v>0.96</v>
      </c>
      <c r="M4" s="14">
        <v>1.1200000000000001</v>
      </c>
      <c r="N4" s="14">
        <f>$N$2*3</f>
        <v>0.96</v>
      </c>
      <c r="O4" s="14">
        <f>$O$2*3</f>
        <v>1.2000000000000002</v>
      </c>
      <c r="P4" s="14">
        <f>$P$2*3</f>
        <v>1.44</v>
      </c>
      <c r="Q4" s="14">
        <f>$Q$2*3</f>
        <v>1.6800000000000002</v>
      </c>
      <c r="R4" s="14">
        <f>$R$2*3</f>
        <v>1.92</v>
      </c>
      <c r="S4" s="14">
        <f>$S$2*3</f>
        <v>2.16</v>
      </c>
      <c r="T4" s="14">
        <f>T$2*3</f>
        <v>2.4000000000000004</v>
      </c>
    </row>
    <row r="5" spans="1:20" x14ac:dyDescent="0.25">
      <c r="A5" s="51" t="s">
        <v>277</v>
      </c>
      <c r="B5" s="27" t="s">
        <v>1466</v>
      </c>
      <c r="C5" s="27" t="s">
        <v>1465</v>
      </c>
      <c r="D5" s="27" t="s">
        <v>1466</v>
      </c>
      <c r="E5" s="16"/>
      <c r="F5" s="16"/>
      <c r="I5" s="42" t="s">
        <v>6</v>
      </c>
      <c r="J5" s="13">
        <f>$J$2*7</f>
        <v>0.84</v>
      </c>
      <c r="K5" s="13">
        <f>$K$2*4</f>
        <v>0.8</v>
      </c>
      <c r="L5" s="13">
        <v>0.96</v>
      </c>
      <c r="M5" s="13">
        <v>1.1200000000000001</v>
      </c>
      <c r="N5" s="13">
        <f>$N$2*3</f>
        <v>0.96</v>
      </c>
      <c r="O5" s="13">
        <f>$O$2*3</f>
        <v>1.2000000000000002</v>
      </c>
      <c r="P5" s="13">
        <f>$P$2*3</f>
        <v>1.44</v>
      </c>
      <c r="Q5" s="13">
        <f>$Q$2*3</f>
        <v>1.6800000000000002</v>
      </c>
      <c r="R5" s="13">
        <f>$R$2*3</f>
        <v>1.92</v>
      </c>
      <c r="S5" s="13">
        <f>$S$2*3</f>
        <v>2.16</v>
      </c>
      <c r="T5" s="13">
        <f>T$2*3</f>
        <v>2.4000000000000004</v>
      </c>
    </row>
    <row r="6" spans="1:20" x14ac:dyDescent="0.25">
      <c r="A6" s="56" t="s">
        <v>1170</v>
      </c>
      <c r="B6" s="95" t="s">
        <v>1585</v>
      </c>
      <c r="C6" s="95" t="str">
        <f>"Ender 3 " &amp;C15</f>
        <v>Ender 3 E3D V6</v>
      </c>
      <c r="D6" s="95" t="str">
        <f>"AnyCubic " &amp;D15</f>
        <v>AnyCubic E3D V6</v>
      </c>
      <c r="E6" s="17"/>
      <c r="F6" s="17"/>
      <c r="I6" s="43" t="s">
        <v>786</v>
      </c>
      <c r="J6" s="14">
        <f t="shared" ref="J6:T6" si="1">Nozzle_Diameter*3</f>
        <v>1.7999999999999998</v>
      </c>
      <c r="K6" s="14">
        <f t="shared" si="1"/>
        <v>1.7999999999999998</v>
      </c>
      <c r="L6" s="14">
        <f t="shared" si="1"/>
        <v>1.7999999999999998</v>
      </c>
      <c r="M6" s="14">
        <f t="shared" si="1"/>
        <v>1.7999999999999998</v>
      </c>
      <c r="N6" s="14">
        <f t="shared" si="1"/>
        <v>1.7999999999999998</v>
      </c>
      <c r="O6" s="14">
        <f t="shared" si="1"/>
        <v>1.7999999999999998</v>
      </c>
      <c r="P6" s="14">
        <f t="shared" si="1"/>
        <v>1.7999999999999998</v>
      </c>
      <c r="Q6" s="14">
        <f t="shared" si="1"/>
        <v>1.7999999999999998</v>
      </c>
      <c r="R6" s="14">
        <f t="shared" si="1"/>
        <v>1.7999999999999998</v>
      </c>
      <c r="S6" s="14">
        <f t="shared" si="1"/>
        <v>1.7999999999999998</v>
      </c>
      <c r="T6" s="14">
        <f t="shared" si="1"/>
        <v>1.7999999999999998</v>
      </c>
    </row>
    <row r="7" spans="1:20" x14ac:dyDescent="0.25">
      <c r="A7" s="51" t="s">
        <v>1171</v>
      </c>
      <c r="B7" s="27" t="s">
        <v>1586</v>
      </c>
      <c r="C7" s="27" t="str">
        <f>C6 &amp; " " &amp; C2 &amp; " mm"</f>
        <v>Ender 3 E3D V6 0.4 mm</v>
      </c>
      <c r="D7" s="27" t="str">
        <f>D6 &amp; " " &amp; D2 &amp; " mm"</f>
        <v>AnyCubic E3D V6 0.6 mm</v>
      </c>
      <c r="E7" s="16"/>
      <c r="F7" s="16"/>
      <c r="I7" s="42" t="s">
        <v>788</v>
      </c>
      <c r="J7" s="13">
        <f>$J$2*7</f>
        <v>0.84</v>
      </c>
      <c r="K7" s="13">
        <f>$K$2*4</f>
        <v>0.8</v>
      </c>
      <c r="L7" s="13">
        <v>0.96</v>
      </c>
      <c r="M7" s="13">
        <v>1.1200000000000001</v>
      </c>
      <c r="N7" s="13">
        <f>$N$2*3</f>
        <v>0.96</v>
      </c>
      <c r="O7" s="13">
        <f>$O$2*3</f>
        <v>1.2000000000000002</v>
      </c>
      <c r="P7" s="13">
        <f>$P$2*3</f>
        <v>1.44</v>
      </c>
      <c r="Q7" s="13">
        <f>$Q$2*3</f>
        <v>1.6800000000000002</v>
      </c>
      <c r="R7" s="13">
        <f>$R$2*3</f>
        <v>1.92</v>
      </c>
      <c r="S7" s="13">
        <f>$S$2*3</f>
        <v>2.16</v>
      </c>
      <c r="T7" s="13">
        <f>T$2*3</f>
        <v>2.4000000000000004</v>
      </c>
    </row>
    <row r="8" spans="1:20" x14ac:dyDescent="0.25">
      <c r="A8" s="50" t="s">
        <v>1316</v>
      </c>
      <c r="B8" s="26" t="s">
        <v>1318</v>
      </c>
      <c r="C8" s="26" t="s">
        <v>1317</v>
      </c>
      <c r="D8" s="26" t="s">
        <v>1318</v>
      </c>
      <c r="E8" s="15"/>
      <c r="F8" s="15"/>
      <c r="I8" s="43" t="s">
        <v>6</v>
      </c>
      <c r="J8" s="14">
        <f>$J$2*7</f>
        <v>0.84</v>
      </c>
      <c r="K8" s="14">
        <f>$K$2*4</f>
        <v>0.8</v>
      </c>
      <c r="L8" s="14">
        <v>0.96</v>
      </c>
      <c r="M8" s="14">
        <v>1.1200000000000001</v>
      </c>
      <c r="N8" s="14">
        <f>$N$2*3</f>
        <v>0.96</v>
      </c>
      <c r="O8" s="14">
        <f>$O$2*3</f>
        <v>1.2000000000000002</v>
      </c>
      <c r="P8" s="14">
        <f>$P$2*3</f>
        <v>1.44</v>
      </c>
      <c r="Q8" s="14">
        <f>$Q$2*3</f>
        <v>1.6800000000000002</v>
      </c>
      <c r="R8" s="14">
        <f>$R$2*3</f>
        <v>1.92</v>
      </c>
      <c r="S8" s="14">
        <f>$S$2*3</f>
        <v>2.16</v>
      </c>
      <c r="T8" s="14">
        <f>T$2*3</f>
        <v>2.4000000000000004</v>
      </c>
    </row>
    <row r="9" spans="1:20" x14ac:dyDescent="0.25">
      <c r="A9" s="51" t="s">
        <v>1336</v>
      </c>
      <c r="B9" s="27" t="s">
        <v>1418</v>
      </c>
      <c r="C9" s="27" t="s">
        <v>1418</v>
      </c>
      <c r="D9" s="27" t="s">
        <v>1418</v>
      </c>
      <c r="E9" s="16"/>
      <c r="F9" s="16"/>
      <c r="I9" s="3"/>
      <c r="J9" s="3"/>
      <c r="K9" s="3"/>
      <c r="L9" s="3"/>
      <c r="M9" s="3"/>
      <c r="N9" s="3"/>
      <c r="O9" s="3"/>
      <c r="P9" s="3"/>
      <c r="Q9" s="3"/>
      <c r="R9" s="3"/>
      <c r="S9" s="3"/>
      <c r="T9" s="3"/>
    </row>
    <row r="10" spans="1:20" x14ac:dyDescent="0.25">
      <c r="A10" s="50" t="s">
        <v>1172</v>
      </c>
      <c r="B10" s="26" t="s">
        <v>1587</v>
      </c>
      <c r="C10" s="26" t="str">
        <f>LOWER(SUBSTITUTE(SUBSTITUTE(TRIM(C7)," ","_"),".","_"))</f>
        <v>ender_3_e3d_v6_0_4_mm</v>
      </c>
      <c r="D10" s="26" t="str">
        <f>LOWER(SUBSTITUTE(SUBSTITUTE(TRIM(D7)," ","_"),".","_"))</f>
        <v>anycubic_e3d_v6_0_6_mm</v>
      </c>
      <c r="E10" s="15"/>
      <c r="F10" s="15"/>
      <c r="I10" s="43"/>
      <c r="J10" s="4"/>
      <c r="K10" s="4"/>
      <c r="L10" s="4"/>
      <c r="M10" s="4"/>
      <c r="N10" s="4"/>
      <c r="O10" s="4"/>
      <c r="P10" s="4"/>
      <c r="Q10" s="4"/>
      <c r="R10" s="4"/>
      <c r="S10" s="4"/>
      <c r="T10" s="4"/>
    </row>
    <row r="11" spans="1:20" x14ac:dyDescent="0.25">
      <c r="A11" s="72" t="s">
        <v>178</v>
      </c>
      <c r="B11" s="27">
        <v>0.12</v>
      </c>
      <c r="C11" s="27">
        <f>IF(C2*0.2 &lt; 0.12, 0.12, C2*0.2)</f>
        <v>0.12</v>
      </c>
      <c r="D11" s="27">
        <f>D2*0.2</f>
        <v>0.12</v>
      </c>
      <c r="E11" s="73" t="s">
        <v>298</v>
      </c>
      <c r="F11" s="73"/>
      <c r="I11" s="42"/>
      <c r="J11" s="3"/>
      <c r="K11" s="3"/>
      <c r="L11" s="3"/>
      <c r="M11" s="3"/>
      <c r="N11" s="3"/>
      <c r="O11" s="3"/>
      <c r="P11" s="3"/>
      <c r="Q11" s="3"/>
      <c r="R11" s="3"/>
      <c r="S11" s="3"/>
      <c r="T11" s="3"/>
    </row>
    <row r="12" spans="1:20" x14ac:dyDescent="0.25">
      <c r="A12" s="50" t="s">
        <v>179</v>
      </c>
      <c r="B12" s="26">
        <v>0.48</v>
      </c>
      <c r="C12" s="26">
        <f>C2*0.8</f>
        <v>0.32000000000000006</v>
      </c>
      <c r="D12" s="26">
        <f>D2*0.8</f>
        <v>0.48</v>
      </c>
      <c r="E12" s="15" t="s">
        <v>298</v>
      </c>
      <c r="F12" s="15"/>
      <c r="I12" s="4"/>
      <c r="J12" s="4"/>
      <c r="K12" s="4"/>
      <c r="L12" s="4"/>
      <c r="M12" s="4"/>
      <c r="N12" s="4"/>
      <c r="O12" s="4"/>
      <c r="P12" s="4"/>
      <c r="Q12" s="4"/>
      <c r="R12" s="4"/>
      <c r="S12" s="4"/>
      <c r="T12" s="4"/>
    </row>
    <row r="13" spans="1:20" x14ac:dyDescent="0.25">
      <c r="A13" s="51" t="s">
        <v>1173</v>
      </c>
      <c r="B13" s="24" t="s">
        <v>349</v>
      </c>
      <c r="C13" s="24" t="s">
        <v>349</v>
      </c>
      <c r="D13" s="24" t="s">
        <v>349</v>
      </c>
      <c r="E13" s="16"/>
      <c r="F13" s="16"/>
      <c r="I13" s="3"/>
      <c r="J13" s="3"/>
      <c r="K13" s="3"/>
      <c r="L13" s="3"/>
      <c r="M13" s="3"/>
      <c r="N13" s="3"/>
      <c r="O13" s="3"/>
      <c r="P13" s="3"/>
      <c r="Q13" s="3"/>
      <c r="R13" s="3"/>
      <c r="S13" s="3"/>
      <c r="T13" s="3"/>
    </row>
    <row r="14" spans="1:20" x14ac:dyDescent="0.25">
      <c r="A14" s="50" t="s">
        <v>1174</v>
      </c>
      <c r="B14" s="23" t="s">
        <v>317</v>
      </c>
      <c r="C14" s="23" t="s">
        <v>317</v>
      </c>
      <c r="D14" s="23" t="s">
        <v>317</v>
      </c>
      <c r="E14" s="15"/>
      <c r="F14" s="15"/>
      <c r="I14" s="4"/>
      <c r="J14" s="4"/>
      <c r="K14" s="4"/>
      <c r="L14" s="4"/>
      <c r="M14" s="4"/>
      <c r="N14" s="4"/>
      <c r="O14" s="4"/>
      <c r="P14" s="4"/>
      <c r="Q14" s="4"/>
      <c r="R14" s="4"/>
      <c r="S14" s="4"/>
      <c r="T14" s="4"/>
    </row>
    <row r="15" spans="1:20" x14ac:dyDescent="0.25">
      <c r="A15" s="51" t="s">
        <v>1169</v>
      </c>
      <c r="B15" s="24" t="s">
        <v>344</v>
      </c>
      <c r="C15" s="24" t="s">
        <v>344</v>
      </c>
      <c r="D15" s="24" t="s">
        <v>344</v>
      </c>
      <c r="E15" s="16"/>
      <c r="F15" s="16"/>
      <c r="I15" s="3"/>
      <c r="J15" s="3"/>
      <c r="K15" s="3"/>
      <c r="L15" s="3"/>
      <c r="M15" s="3"/>
      <c r="N15" s="3"/>
      <c r="O15" s="3"/>
      <c r="P15" s="3"/>
      <c r="Q15" s="3"/>
      <c r="R15" s="3"/>
      <c r="S15" s="3"/>
      <c r="T15" s="3"/>
    </row>
    <row r="16" spans="1:20" x14ac:dyDescent="0.25">
      <c r="A16" s="52" t="s">
        <v>1495</v>
      </c>
      <c r="B16" s="29" t="s">
        <v>1494</v>
      </c>
      <c r="C16" s="29" t="s">
        <v>1494</v>
      </c>
      <c r="D16" s="29" t="s">
        <v>1494</v>
      </c>
      <c r="E16" s="18"/>
      <c r="F16" s="15"/>
      <c r="I16" s="4"/>
      <c r="J16" s="4"/>
      <c r="K16" s="4"/>
      <c r="L16" s="4"/>
      <c r="M16" s="4"/>
      <c r="N16" s="4"/>
      <c r="O16" s="4"/>
      <c r="P16" s="4"/>
      <c r="Q16" s="4"/>
      <c r="R16" s="4"/>
      <c r="S16" s="4"/>
      <c r="T16" s="4"/>
    </row>
    <row r="17" spans="1:20" x14ac:dyDescent="0.25">
      <c r="A17" s="53" t="s">
        <v>162</v>
      </c>
      <c r="B17" s="28">
        <v>150</v>
      </c>
      <c r="C17" s="28">
        <v>150</v>
      </c>
      <c r="D17" s="28">
        <v>150</v>
      </c>
      <c r="E17" s="19"/>
      <c r="F17" s="16"/>
      <c r="I17" s="105" t="s">
        <v>304</v>
      </c>
      <c r="J17" s="106"/>
      <c r="K17" s="106"/>
      <c r="L17" s="106"/>
      <c r="M17" s="106"/>
      <c r="N17" s="106"/>
      <c r="O17" s="106"/>
      <c r="P17" s="106"/>
      <c r="Q17" s="106"/>
      <c r="R17" s="106"/>
      <c r="S17" s="106"/>
      <c r="T17" s="107"/>
    </row>
    <row r="18" spans="1:20" x14ac:dyDescent="0.25">
      <c r="A18" s="52" t="s">
        <v>163</v>
      </c>
      <c r="B18" s="29">
        <v>150</v>
      </c>
      <c r="C18" s="29">
        <v>150</v>
      </c>
      <c r="D18" s="29">
        <v>150</v>
      </c>
      <c r="E18" s="18"/>
      <c r="F18" s="15"/>
      <c r="I18" s="48" t="s">
        <v>305</v>
      </c>
      <c r="J18" s="10">
        <v>0.12</v>
      </c>
      <c r="K18" s="10">
        <v>0.2</v>
      </c>
      <c r="L18" s="10">
        <v>0.24</v>
      </c>
      <c r="M18" s="10">
        <v>0.28000000000000003</v>
      </c>
      <c r="N18" s="10">
        <v>0.32</v>
      </c>
      <c r="O18" s="10">
        <v>0.4</v>
      </c>
      <c r="P18" s="10">
        <v>0.48</v>
      </c>
      <c r="Q18" s="10">
        <v>0.56000000000000005</v>
      </c>
      <c r="R18" s="10">
        <v>0.64</v>
      </c>
      <c r="S18" s="10">
        <v>0.72</v>
      </c>
      <c r="T18" s="10">
        <v>0.8</v>
      </c>
    </row>
    <row r="19" spans="1:20" x14ac:dyDescent="0.25">
      <c r="A19" s="53" t="s">
        <v>164</v>
      </c>
      <c r="B19" s="28">
        <v>10</v>
      </c>
      <c r="C19" s="28">
        <v>10</v>
      </c>
      <c r="D19" s="28">
        <v>10</v>
      </c>
      <c r="E19" s="19"/>
      <c r="F19" s="16"/>
      <c r="I19" s="42" t="s">
        <v>3</v>
      </c>
      <c r="J19" s="13">
        <f t="shared" ref="J19:T19" si="2">J3/Nozzle_Diameter</f>
        <v>3</v>
      </c>
      <c r="K19" s="13">
        <f t="shared" si="2"/>
        <v>3</v>
      </c>
      <c r="L19" s="13">
        <f t="shared" si="2"/>
        <v>3</v>
      </c>
      <c r="M19" s="13">
        <f t="shared" si="2"/>
        <v>3</v>
      </c>
      <c r="N19" s="13">
        <f t="shared" si="2"/>
        <v>3</v>
      </c>
      <c r="O19" s="13">
        <f t="shared" si="2"/>
        <v>3</v>
      </c>
      <c r="P19" s="13">
        <f t="shared" si="2"/>
        <v>3</v>
      </c>
      <c r="Q19" s="13">
        <f t="shared" si="2"/>
        <v>3</v>
      </c>
      <c r="R19" s="13">
        <f t="shared" si="2"/>
        <v>3</v>
      </c>
      <c r="S19" s="13">
        <f t="shared" si="2"/>
        <v>3</v>
      </c>
      <c r="T19" s="13">
        <f t="shared" si="2"/>
        <v>3</v>
      </c>
    </row>
    <row r="20" spans="1:20" x14ac:dyDescent="0.25">
      <c r="A20" s="55" t="s">
        <v>165</v>
      </c>
      <c r="B20" s="30">
        <v>120</v>
      </c>
      <c r="C20" s="30">
        <v>120</v>
      </c>
      <c r="D20" s="30">
        <v>120</v>
      </c>
      <c r="E20" s="21"/>
      <c r="F20" s="17"/>
      <c r="I20" s="43" t="s">
        <v>5</v>
      </c>
      <c r="J20" s="14">
        <f t="shared" ref="J20:T20" si="3">J4/J$18</f>
        <v>7</v>
      </c>
      <c r="K20" s="14">
        <f t="shared" si="3"/>
        <v>4</v>
      </c>
      <c r="L20" s="14">
        <f t="shared" si="3"/>
        <v>4</v>
      </c>
      <c r="M20" s="14">
        <f t="shared" si="3"/>
        <v>4</v>
      </c>
      <c r="N20" s="14">
        <f t="shared" si="3"/>
        <v>3</v>
      </c>
      <c r="O20" s="14">
        <f t="shared" si="3"/>
        <v>3.0000000000000004</v>
      </c>
      <c r="P20" s="14">
        <f t="shared" si="3"/>
        <v>3</v>
      </c>
      <c r="Q20" s="14">
        <f t="shared" si="3"/>
        <v>3</v>
      </c>
      <c r="R20" s="14">
        <f t="shared" si="3"/>
        <v>3</v>
      </c>
      <c r="S20" s="14">
        <f t="shared" si="3"/>
        <v>3.0000000000000004</v>
      </c>
      <c r="T20" s="14">
        <f t="shared" si="3"/>
        <v>3.0000000000000004</v>
      </c>
    </row>
    <row r="21" spans="1:20" x14ac:dyDescent="0.25">
      <c r="A21" s="53" t="s">
        <v>426</v>
      </c>
      <c r="B21" s="24">
        <v>1000</v>
      </c>
      <c r="C21" s="24">
        <v>700</v>
      </c>
      <c r="D21" s="24">
        <v>1000</v>
      </c>
      <c r="E21" s="19"/>
      <c r="F21" s="16"/>
      <c r="I21" s="42" t="s">
        <v>6</v>
      </c>
      <c r="J21" s="13">
        <f t="shared" ref="J21:T21" si="4">J5/J$18</f>
        <v>7</v>
      </c>
      <c r="K21" s="13">
        <f t="shared" si="4"/>
        <v>4</v>
      </c>
      <c r="L21" s="13">
        <f t="shared" si="4"/>
        <v>4</v>
      </c>
      <c r="M21" s="13">
        <f t="shared" si="4"/>
        <v>4</v>
      </c>
      <c r="N21" s="13">
        <f t="shared" si="4"/>
        <v>3</v>
      </c>
      <c r="O21" s="13">
        <f t="shared" si="4"/>
        <v>3.0000000000000004</v>
      </c>
      <c r="P21" s="13">
        <f t="shared" si="4"/>
        <v>3</v>
      </c>
      <c r="Q21" s="13">
        <f t="shared" si="4"/>
        <v>3</v>
      </c>
      <c r="R21" s="13">
        <f t="shared" si="4"/>
        <v>3</v>
      </c>
      <c r="S21" s="13">
        <f t="shared" si="4"/>
        <v>3.0000000000000004</v>
      </c>
      <c r="T21" s="13">
        <f t="shared" si="4"/>
        <v>3.0000000000000004</v>
      </c>
    </row>
    <row r="22" spans="1:20" x14ac:dyDescent="0.25">
      <c r="A22" s="52" t="s">
        <v>166</v>
      </c>
      <c r="B22" s="29">
        <v>1000</v>
      </c>
      <c r="C22" s="23">
        <f>C21</f>
        <v>700</v>
      </c>
      <c r="D22" s="29">
        <f>D21</f>
        <v>1000</v>
      </c>
      <c r="E22" s="18"/>
      <c r="F22" s="17"/>
      <c r="I22" s="43"/>
      <c r="J22" s="12"/>
      <c r="K22" s="12"/>
      <c r="L22" s="12"/>
      <c r="M22" s="12"/>
      <c r="N22" s="12"/>
      <c r="O22" s="12"/>
      <c r="P22" s="12"/>
      <c r="Q22" s="12"/>
      <c r="R22" s="12"/>
      <c r="S22" s="12"/>
      <c r="T22" s="12"/>
    </row>
    <row r="23" spans="1:20" x14ac:dyDescent="0.25">
      <c r="A23" s="54" t="s">
        <v>167</v>
      </c>
      <c r="B23" s="31">
        <v>1000</v>
      </c>
      <c r="C23" s="24">
        <f>C21</f>
        <v>700</v>
      </c>
      <c r="D23" s="31">
        <f>D21</f>
        <v>1000</v>
      </c>
      <c r="E23" s="20"/>
      <c r="F23" s="16"/>
      <c r="I23" s="42"/>
      <c r="J23" s="3"/>
      <c r="K23" s="3"/>
      <c r="L23" s="3"/>
      <c r="M23" s="3"/>
      <c r="N23" s="3"/>
      <c r="O23" s="3"/>
      <c r="P23" s="3"/>
      <c r="Q23" s="3"/>
      <c r="R23" s="3"/>
      <c r="S23" s="3"/>
      <c r="T23" s="3"/>
    </row>
    <row r="24" spans="1:20" x14ac:dyDescent="0.25">
      <c r="A24" s="52" t="s">
        <v>168</v>
      </c>
      <c r="B24" s="29">
        <v>200</v>
      </c>
      <c r="C24" s="29">
        <v>200</v>
      </c>
      <c r="D24" s="29">
        <v>200</v>
      </c>
      <c r="E24" s="18"/>
      <c r="F24" s="17"/>
      <c r="I24" s="43"/>
      <c r="J24" s="4"/>
      <c r="K24" s="4"/>
      <c r="L24" s="4"/>
      <c r="M24" s="4"/>
      <c r="N24" s="4"/>
      <c r="O24" s="4"/>
      <c r="P24" s="4"/>
      <c r="Q24" s="4"/>
      <c r="R24" s="4"/>
      <c r="S24" s="4"/>
      <c r="T24" s="4"/>
    </row>
    <row r="25" spans="1:20" x14ac:dyDescent="0.25">
      <c r="A25" s="54" t="s">
        <v>169</v>
      </c>
      <c r="B25" s="31">
        <v>5000</v>
      </c>
      <c r="C25" s="31">
        <v>5000</v>
      </c>
      <c r="D25" s="31">
        <v>5000</v>
      </c>
      <c r="E25" s="20"/>
      <c r="F25" s="16"/>
      <c r="I25" s="42"/>
      <c r="J25" s="3"/>
      <c r="K25" s="3"/>
      <c r="L25" s="3"/>
      <c r="M25" s="3"/>
      <c r="N25" s="3"/>
      <c r="O25" s="3"/>
      <c r="P25" s="3"/>
      <c r="Q25" s="3"/>
      <c r="R25" s="3"/>
      <c r="S25" s="3"/>
      <c r="T25" s="3"/>
    </row>
    <row r="26" spans="1:20" x14ac:dyDescent="0.25">
      <c r="A26" s="42" t="s">
        <v>170</v>
      </c>
      <c r="B26" s="96">
        <v>1000</v>
      </c>
      <c r="C26" s="96">
        <f>C21</f>
        <v>700</v>
      </c>
      <c r="D26" s="96">
        <f>D21</f>
        <v>1000</v>
      </c>
      <c r="E26" s="42"/>
      <c r="F26" s="42"/>
      <c r="I26" s="43"/>
      <c r="J26" s="4"/>
      <c r="K26" s="4"/>
      <c r="L26" s="4"/>
      <c r="M26" s="4"/>
      <c r="N26" s="4"/>
      <c r="O26" s="4"/>
      <c r="P26" s="4"/>
      <c r="Q26" s="4"/>
      <c r="R26" s="4"/>
      <c r="S26" s="4"/>
      <c r="T26" s="4"/>
    </row>
    <row r="27" spans="1:20" x14ac:dyDescent="0.25">
      <c r="A27" s="43" t="s">
        <v>171</v>
      </c>
      <c r="B27" s="25">
        <v>1000</v>
      </c>
      <c r="C27" s="25">
        <f>C21</f>
        <v>700</v>
      </c>
      <c r="D27" s="25">
        <f>D21</f>
        <v>1000</v>
      </c>
      <c r="E27" s="4"/>
      <c r="F27" s="73"/>
      <c r="I27" s="42"/>
      <c r="J27" s="3"/>
      <c r="K27" s="3"/>
      <c r="L27" s="3"/>
      <c r="M27" s="3"/>
      <c r="N27" s="3"/>
      <c r="O27" s="3"/>
      <c r="P27" s="3"/>
      <c r="Q27" s="3"/>
      <c r="R27" s="3"/>
      <c r="S27" s="3"/>
      <c r="T27" s="3"/>
    </row>
    <row r="28" spans="1:20" x14ac:dyDescent="0.25">
      <c r="A28" s="42" t="s">
        <v>1443</v>
      </c>
      <c r="B28" s="96">
        <v>1000</v>
      </c>
      <c r="C28" s="96">
        <f>C21</f>
        <v>700</v>
      </c>
      <c r="D28" s="96">
        <f>D21</f>
        <v>1000</v>
      </c>
      <c r="E28" s="42"/>
      <c r="F28" s="42"/>
      <c r="I28" s="4"/>
      <c r="J28" s="4"/>
      <c r="K28" s="4"/>
      <c r="L28" s="4"/>
      <c r="M28" s="4"/>
      <c r="N28" s="4"/>
      <c r="O28" s="4"/>
      <c r="P28" s="4"/>
      <c r="Q28" s="4"/>
      <c r="R28" s="4"/>
      <c r="S28" s="4"/>
      <c r="T28" s="4"/>
    </row>
    <row r="29" spans="1:20" x14ac:dyDescent="0.25">
      <c r="A29" s="43" t="s">
        <v>172</v>
      </c>
      <c r="B29" s="25">
        <v>8</v>
      </c>
      <c r="C29" s="25">
        <v>8</v>
      </c>
      <c r="D29" s="25">
        <v>8</v>
      </c>
      <c r="E29" s="4"/>
      <c r="F29" s="73"/>
      <c r="I29" s="3"/>
      <c r="J29" s="3"/>
      <c r="K29" s="3"/>
      <c r="L29" s="3"/>
      <c r="M29" s="3"/>
      <c r="N29" s="3"/>
      <c r="O29" s="3"/>
      <c r="P29" s="3"/>
      <c r="Q29" s="3"/>
      <c r="R29" s="3"/>
      <c r="S29" s="3"/>
      <c r="T29" s="3"/>
    </row>
    <row r="30" spans="1:20" x14ac:dyDescent="0.25">
      <c r="A30" s="42" t="s">
        <v>173</v>
      </c>
      <c r="B30" s="22">
        <v>8</v>
      </c>
      <c r="C30" s="22">
        <v>8</v>
      </c>
      <c r="D30" s="22">
        <v>8</v>
      </c>
      <c r="E30" s="3"/>
      <c r="F30" s="17"/>
      <c r="I30" s="4"/>
      <c r="J30" s="4"/>
      <c r="K30" s="4"/>
      <c r="L30" s="4"/>
      <c r="M30" s="4"/>
      <c r="N30" s="4"/>
      <c r="O30" s="4"/>
      <c r="P30" s="4"/>
      <c r="Q30" s="4"/>
      <c r="R30" s="4"/>
      <c r="S30" s="4"/>
      <c r="T30" s="4"/>
    </row>
    <row r="31" spans="1:20" x14ac:dyDescent="0.25">
      <c r="A31" s="43" t="s">
        <v>174</v>
      </c>
      <c r="B31" s="25">
        <v>0.4</v>
      </c>
      <c r="C31" s="25">
        <v>0.4</v>
      </c>
      <c r="D31" s="25">
        <v>0.4</v>
      </c>
      <c r="E31" s="4"/>
      <c r="F31" s="16"/>
      <c r="I31" s="3"/>
      <c r="J31" s="3"/>
      <c r="K31" s="3"/>
      <c r="L31" s="3"/>
      <c r="M31" s="3"/>
      <c r="N31" s="3"/>
      <c r="O31" s="3"/>
      <c r="P31" s="3"/>
      <c r="Q31" s="3"/>
      <c r="R31" s="3"/>
      <c r="S31" s="3"/>
      <c r="T31" s="3"/>
    </row>
    <row r="32" spans="1:20" x14ac:dyDescent="0.25">
      <c r="A32" s="42" t="s">
        <v>175</v>
      </c>
      <c r="B32" s="22">
        <v>10</v>
      </c>
      <c r="C32" s="22">
        <v>10</v>
      </c>
      <c r="D32" s="22">
        <v>10</v>
      </c>
      <c r="E32" s="3"/>
      <c r="F32" s="17"/>
      <c r="I32" s="4"/>
      <c r="J32" s="4"/>
      <c r="K32" s="4"/>
      <c r="L32" s="4"/>
      <c r="M32" s="4"/>
      <c r="N32" s="4"/>
      <c r="O32" s="4"/>
      <c r="P32" s="4"/>
      <c r="Q32" s="4"/>
      <c r="R32" s="4"/>
      <c r="S32" s="4"/>
      <c r="T32" s="4"/>
    </row>
    <row r="33" spans="1:20" x14ac:dyDescent="0.25">
      <c r="A33" s="43" t="s">
        <v>427</v>
      </c>
      <c r="B33" s="25">
        <v>0.08</v>
      </c>
      <c r="C33" s="25">
        <v>0.08</v>
      </c>
      <c r="D33" s="25">
        <v>0.08</v>
      </c>
      <c r="E33" s="4"/>
      <c r="F33" s="4"/>
      <c r="I33" s="3"/>
      <c r="J33" s="3"/>
      <c r="K33" s="3"/>
      <c r="L33" s="3"/>
      <c r="M33" s="3"/>
      <c r="N33" s="3"/>
      <c r="O33" s="3"/>
      <c r="P33" s="3"/>
      <c r="Q33" s="3"/>
      <c r="R33" s="3"/>
      <c r="S33" s="3"/>
      <c r="T33" s="3"/>
    </row>
    <row r="34" spans="1:20" x14ac:dyDescent="0.25">
      <c r="A34" s="42" t="s">
        <v>428</v>
      </c>
      <c r="B34" s="22">
        <v>100</v>
      </c>
      <c r="C34" s="22">
        <v>80</v>
      </c>
      <c r="D34" s="22">
        <v>100</v>
      </c>
      <c r="E34" s="3"/>
      <c r="F34" s="3"/>
      <c r="I34" s="4"/>
      <c r="J34" s="4"/>
      <c r="K34" s="4"/>
      <c r="L34" s="4"/>
      <c r="M34" s="4"/>
      <c r="N34" s="4"/>
      <c r="O34" s="4"/>
      <c r="P34" s="4"/>
      <c r="Q34" s="4"/>
      <c r="R34" s="4"/>
      <c r="S34" s="4"/>
      <c r="T34" s="4"/>
    </row>
    <row r="35" spans="1:20" x14ac:dyDescent="0.25">
      <c r="A35" s="43" t="s">
        <v>429</v>
      </c>
      <c r="B35" s="25">
        <v>80</v>
      </c>
      <c r="C35" s="25">
        <v>80</v>
      </c>
      <c r="D35" s="25">
        <v>80</v>
      </c>
      <c r="E35" s="4"/>
      <c r="F35" s="4"/>
    </row>
    <row r="36" spans="1:20" x14ac:dyDescent="0.25">
      <c r="A36" s="42" t="s">
        <v>430</v>
      </c>
      <c r="B36" s="22">
        <v>800</v>
      </c>
      <c r="C36" s="22">
        <v>400</v>
      </c>
      <c r="D36" s="22">
        <v>800</v>
      </c>
      <c r="E36" s="3"/>
      <c r="F36" s="3"/>
    </row>
    <row r="37" spans="1:20" x14ac:dyDescent="0.25">
      <c r="A37" s="43" t="s">
        <v>431</v>
      </c>
      <c r="B37" s="25">
        <v>418</v>
      </c>
      <c r="C37" s="25">
        <v>418</v>
      </c>
      <c r="D37" s="25">
        <v>418</v>
      </c>
      <c r="E37" s="4"/>
      <c r="F37" s="4"/>
    </row>
    <row r="38" spans="1:20" x14ac:dyDescent="0.25">
      <c r="A38" s="42" t="s">
        <v>432</v>
      </c>
      <c r="B38" s="22">
        <v>15</v>
      </c>
      <c r="C38" s="22">
        <v>15</v>
      </c>
      <c r="D38" s="22">
        <v>15</v>
      </c>
      <c r="E38" s="3"/>
      <c r="F38" s="3"/>
    </row>
    <row r="39" spans="1:20" x14ac:dyDescent="0.25">
      <c r="A39" s="43" t="s">
        <v>434</v>
      </c>
      <c r="B39" s="25">
        <v>10</v>
      </c>
      <c r="C39" s="25">
        <v>0</v>
      </c>
      <c r="D39" s="25">
        <v>10</v>
      </c>
      <c r="E39" s="4"/>
      <c r="F39" s="4"/>
    </row>
    <row r="40" spans="1:20" x14ac:dyDescent="0.25">
      <c r="A40" s="42" t="s">
        <v>435</v>
      </c>
      <c r="B40" s="22">
        <v>280</v>
      </c>
      <c r="C40" s="22">
        <v>230</v>
      </c>
      <c r="D40" s="22">
        <v>280</v>
      </c>
      <c r="E40" s="3"/>
      <c r="F40" s="3"/>
    </row>
    <row r="41" spans="1:20" x14ac:dyDescent="0.25">
      <c r="A41" s="43" t="s">
        <v>436</v>
      </c>
      <c r="B41" s="25">
        <v>0</v>
      </c>
      <c r="C41" s="25">
        <v>0</v>
      </c>
      <c r="D41" s="25">
        <v>0</v>
      </c>
      <c r="E41" s="4"/>
      <c r="F41" s="4"/>
    </row>
    <row r="42" spans="1:20" x14ac:dyDescent="0.25">
      <c r="A42" s="42" t="s">
        <v>437</v>
      </c>
      <c r="B42" s="22">
        <v>200</v>
      </c>
      <c r="C42" s="22">
        <v>200</v>
      </c>
      <c r="D42" s="22">
        <v>200</v>
      </c>
      <c r="E42" s="3"/>
      <c r="F42" s="3"/>
    </row>
    <row r="43" spans="1:20" x14ac:dyDescent="0.25">
      <c r="A43" s="43" t="s">
        <v>438</v>
      </c>
      <c r="B43" s="25">
        <v>0</v>
      </c>
      <c r="C43" s="25">
        <v>0</v>
      </c>
      <c r="D43" s="25">
        <v>0</v>
      </c>
      <c r="E43" s="4"/>
      <c r="F43" s="4"/>
    </row>
    <row r="44" spans="1:20" x14ac:dyDescent="0.25">
      <c r="A44" s="42" t="s">
        <v>439</v>
      </c>
      <c r="B44" s="22">
        <v>200</v>
      </c>
      <c r="C44" s="22">
        <v>200</v>
      </c>
      <c r="D44" s="22">
        <v>200</v>
      </c>
      <c r="E44" s="3"/>
      <c r="F44" s="3"/>
    </row>
    <row r="45" spans="1:20" x14ac:dyDescent="0.25">
      <c r="A45" s="43" t="s">
        <v>1468</v>
      </c>
      <c r="B45" s="4">
        <v>10</v>
      </c>
      <c r="C45" s="25">
        <v>0</v>
      </c>
      <c r="D45" s="25">
        <v>10</v>
      </c>
      <c r="E45" s="4"/>
      <c r="F45" s="4"/>
    </row>
    <row r="46" spans="1:20" x14ac:dyDescent="0.25">
      <c r="A46" s="42" t="s">
        <v>1469</v>
      </c>
      <c r="B46" s="3">
        <v>270</v>
      </c>
      <c r="C46" s="22">
        <v>230</v>
      </c>
      <c r="D46" s="22">
        <f>D40-D45</f>
        <v>270</v>
      </c>
      <c r="E46" s="3"/>
      <c r="F46" s="3"/>
    </row>
    <row r="47" spans="1:20" x14ac:dyDescent="0.25">
      <c r="A47" s="43" t="s">
        <v>1470</v>
      </c>
      <c r="B47" s="4">
        <v>10</v>
      </c>
      <c r="C47" s="25">
        <v>0</v>
      </c>
      <c r="D47" s="4">
        <v>10</v>
      </c>
      <c r="E47" s="4"/>
      <c r="F47" s="4"/>
    </row>
    <row r="48" spans="1:20" x14ac:dyDescent="0.25">
      <c r="A48" s="42" t="s">
        <v>1471</v>
      </c>
      <c r="B48" s="3">
        <v>190</v>
      </c>
      <c r="C48" s="22">
        <v>200</v>
      </c>
      <c r="D48" s="3">
        <f>D42-D47</f>
        <v>190</v>
      </c>
      <c r="E48" s="3"/>
      <c r="F48" s="3"/>
    </row>
    <row r="49" spans="1:6" x14ac:dyDescent="0.25">
      <c r="A49" s="43" t="s">
        <v>1472</v>
      </c>
      <c r="B49" s="4">
        <v>0</v>
      </c>
      <c r="C49" s="25">
        <v>0</v>
      </c>
      <c r="D49" s="4">
        <v>0</v>
      </c>
      <c r="E49" s="4"/>
      <c r="F49" s="4"/>
    </row>
    <row r="50" spans="1:6" x14ac:dyDescent="0.25">
      <c r="A50" s="42" t="s">
        <v>1473</v>
      </c>
      <c r="B50" s="3">
        <v>200</v>
      </c>
      <c r="C50" s="22">
        <v>200</v>
      </c>
      <c r="D50" s="3">
        <v>200</v>
      </c>
      <c r="E50" s="3"/>
      <c r="F50" s="3"/>
    </row>
    <row r="51" spans="1:6" x14ac:dyDescent="0.25">
      <c r="A51" s="43" t="s">
        <v>1474</v>
      </c>
      <c r="B51" s="4">
        <v>120</v>
      </c>
      <c r="C51" s="25">
        <v>120</v>
      </c>
      <c r="D51" s="4">
        <v>120</v>
      </c>
      <c r="E51" s="4"/>
      <c r="F51" s="4"/>
    </row>
    <row r="52" spans="1:6" x14ac:dyDescent="0.25">
      <c r="A52" s="42" t="s">
        <v>1475</v>
      </c>
      <c r="B52" s="3">
        <v>30</v>
      </c>
      <c r="C52" s="22">
        <v>30</v>
      </c>
      <c r="D52" s="3">
        <v>30</v>
      </c>
      <c r="E52" s="3"/>
      <c r="F52" s="3"/>
    </row>
    <row r="53" spans="1:6" x14ac:dyDescent="0.25">
      <c r="A53" s="43" t="s">
        <v>1476</v>
      </c>
      <c r="B53" s="4">
        <v>1.75</v>
      </c>
      <c r="C53" s="25">
        <v>1.75</v>
      </c>
      <c r="D53" s="4">
        <v>1.75</v>
      </c>
      <c r="E53" s="4"/>
      <c r="F53" s="4"/>
    </row>
    <row r="54" spans="1:6" x14ac:dyDescent="0.25">
      <c r="A54" s="42" t="s">
        <v>1477</v>
      </c>
      <c r="B54" s="3">
        <v>100</v>
      </c>
      <c r="C54" s="22">
        <v>100</v>
      </c>
      <c r="D54" s="3">
        <v>100</v>
      </c>
      <c r="E54" s="3"/>
      <c r="F54" s="3"/>
    </row>
    <row r="55" spans="1:6" x14ac:dyDescent="0.25">
      <c r="A55" s="43" t="s">
        <v>1478</v>
      </c>
      <c r="B55" s="4">
        <v>0.2</v>
      </c>
      <c r="C55" s="25">
        <v>0.2</v>
      </c>
      <c r="D55" s="4">
        <v>0.2</v>
      </c>
      <c r="E55" s="4"/>
      <c r="F55" s="4"/>
    </row>
    <row r="56" spans="1:6" x14ac:dyDescent="0.25">
      <c r="A56" s="42" t="s">
        <v>1480</v>
      </c>
      <c r="B56" s="3">
        <v>0</v>
      </c>
      <c r="C56" s="22">
        <v>0</v>
      </c>
      <c r="D56" s="3">
        <v>0</v>
      </c>
      <c r="E56" s="3"/>
      <c r="F56" s="3"/>
    </row>
    <row r="57" spans="1:6" x14ac:dyDescent="0.25">
      <c r="A57" s="43" t="s">
        <v>1479</v>
      </c>
      <c r="B57" s="4">
        <v>0</v>
      </c>
      <c r="C57" s="25">
        <v>200</v>
      </c>
      <c r="D57" s="4">
        <v>0</v>
      </c>
      <c r="E57" s="4"/>
      <c r="F57" s="4"/>
    </row>
    <row r="58" spans="1:6" x14ac:dyDescent="0.25">
      <c r="A58" s="42" t="s">
        <v>1481</v>
      </c>
      <c r="B58" s="3">
        <v>180</v>
      </c>
      <c r="C58" s="22">
        <v>150</v>
      </c>
      <c r="D58" s="3">
        <v>180</v>
      </c>
      <c r="E58" s="3"/>
      <c r="F58" s="3"/>
    </row>
    <row r="59" spans="1:6" x14ac:dyDescent="0.25">
      <c r="A59" s="43" t="s">
        <v>1500</v>
      </c>
      <c r="B59" s="4">
        <v>0</v>
      </c>
      <c r="C59" s="4">
        <v>1</v>
      </c>
      <c r="D59" s="4">
        <v>0</v>
      </c>
      <c r="E59" s="4"/>
      <c r="F59" s="4"/>
    </row>
    <row r="60" spans="1:6" x14ac:dyDescent="0.25">
      <c r="A60" s="42" t="s">
        <v>1501</v>
      </c>
      <c r="B60" s="3">
        <v>0</v>
      </c>
      <c r="C60" s="3">
        <v>1</v>
      </c>
      <c r="D60" s="3">
        <v>0</v>
      </c>
      <c r="E60" s="3"/>
      <c r="F60" s="3"/>
    </row>
    <row r="61" spans="1:6" x14ac:dyDescent="0.25">
      <c r="A61" s="43" t="s">
        <v>366</v>
      </c>
      <c r="B61" s="25"/>
      <c r="C61" s="25" t="s">
        <v>1581</v>
      </c>
      <c r="D61" s="25"/>
      <c r="E61" s="4"/>
      <c r="F61" s="4"/>
    </row>
    <row r="62" spans="1:6" x14ac:dyDescent="0.25">
      <c r="A62" s="42" t="s">
        <v>96</v>
      </c>
      <c r="B62" s="22">
        <v>0</v>
      </c>
      <c r="C62" s="22">
        <v>0</v>
      </c>
      <c r="D62" s="3">
        <v>0</v>
      </c>
      <c r="E62" s="3"/>
      <c r="F62" s="3"/>
    </row>
    <row r="63" spans="1:6" x14ac:dyDescent="0.25">
      <c r="A63" s="43" t="s">
        <v>292</v>
      </c>
      <c r="B63" s="25">
        <v>0</v>
      </c>
      <c r="C63" s="25">
        <v>1</v>
      </c>
      <c r="D63" s="4">
        <v>0</v>
      </c>
      <c r="E63" s="4"/>
      <c r="F63" s="4"/>
    </row>
  </sheetData>
  <mergeCells count="2">
    <mergeCell ref="I1:T1"/>
    <mergeCell ref="I17:T17"/>
  </mergeCells>
  <dataValidations count="4">
    <dataValidation type="list" allowBlank="1" showInputMessage="1" showErrorMessage="1" sqref="B2:D3" xr:uid="{E3E925ED-0E0D-40C2-A029-5018B37F33A7}">
      <formula1>"0.4,0.5,0.6,0.8,1.0"</formula1>
    </dataValidation>
    <dataValidation type="list" allowBlank="1" showInputMessage="1" showErrorMessage="1" sqref="B13:D13" xr:uid="{46FA8B79-A3D5-4B60-934D-A3C0041161FA}">
      <formula1>"ForceVolumetric,AutoVolumetric,Manual"</formula1>
    </dataValidation>
    <dataValidation type="list" allowBlank="1" showInputMessage="1" showErrorMessage="1" sqref="B14:D14" xr:uid="{63E5D475-50A7-42C0-A232-E90DB7D8BFAC}">
      <formula1>"Recommended,Min"</formula1>
    </dataValidation>
    <dataValidation type="list" allowBlank="1" showInputMessage="1" showErrorMessage="1" sqref="C16:D16" xr:uid="{24BE939B-E335-4FEE-83B3-AE1A389B67FF}">
      <formula1>"slic3r,s3d,prusa,default"</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spec_filament!$Q$2:$T$2</xm:f>
          </x14:formula1>
          <xm:sqref>B15:D15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52"/>
  <sheetViews>
    <sheetView topLeftCell="A28" workbookViewId="0">
      <pane xSplit="1" topLeftCell="I1" activePane="topRight" state="frozen"/>
      <selection pane="topRight" activeCell="Q42" sqref="Q42"/>
    </sheetView>
  </sheetViews>
  <sheetFormatPr defaultRowHeight="15" x14ac:dyDescent="0.25"/>
  <cols>
    <col min="1" max="1" width="12.42578125" style="46" customWidth="1"/>
    <col min="2" max="2" width="11" customWidth="1"/>
    <col min="3" max="3" width="14.85546875" customWidth="1"/>
    <col min="4" max="4" width="12.7109375" customWidth="1"/>
    <col min="5" max="5" width="9.7109375" customWidth="1"/>
    <col min="6" max="6" width="13.28515625" customWidth="1"/>
    <col min="7" max="7" width="18.140625" customWidth="1"/>
    <col min="10" max="10" width="17.7109375" customWidth="1"/>
    <col min="12" max="12" width="16.7109375" customWidth="1"/>
    <col min="13" max="13" width="17.7109375" customWidth="1"/>
    <col min="14" max="14" width="22.42578125" customWidth="1"/>
    <col min="15" max="15" width="11.140625" style="46" customWidth="1"/>
    <col min="16" max="16" width="14" customWidth="1"/>
    <col min="17" max="17" width="100.85546875" customWidth="1"/>
    <col min="18" max="18" width="11.140625" customWidth="1"/>
    <col min="19" max="19" width="10.28515625" customWidth="1"/>
    <col min="20" max="20" width="10.5703125" customWidth="1"/>
    <col min="28" max="28" width="10.42578125" customWidth="1"/>
    <col min="30" max="30" width="12.7109375" customWidth="1"/>
    <col min="31" max="31" width="13.28515625" customWidth="1"/>
    <col min="33" max="33" width="12.42578125" customWidth="1"/>
    <col min="34" max="34" width="13.42578125" customWidth="1"/>
    <col min="39" max="39" width="14.7109375" customWidth="1"/>
    <col min="40" max="40" width="10.7109375" customWidth="1"/>
    <col min="41" max="41" width="12.5703125" customWidth="1"/>
    <col min="42" max="42" width="11.42578125" customWidth="1"/>
    <col min="43" max="43" width="10.140625" customWidth="1"/>
    <col min="44" max="44" width="116.7109375" customWidth="1"/>
  </cols>
  <sheetData>
    <row r="1" spans="1:26" x14ac:dyDescent="0.25">
      <c r="A1" s="103" t="s">
        <v>321</v>
      </c>
      <c r="B1" s="104"/>
      <c r="C1" s="104"/>
      <c r="D1" s="104"/>
      <c r="E1" s="104"/>
      <c r="F1" s="104"/>
      <c r="G1" s="104"/>
      <c r="H1" s="104"/>
      <c r="I1" s="104"/>
      <c r="J1" s="104"/>
      <c r="K1" s="104"/>
      <c r="L1" s="104"/>
      <c r="M1" s="104"/>
      <c r="O1" s="103" t="s">
        <v>340</v>
      </c>
      <c r="P1" s="104"/>
      <c r="Q1" s="104"/>
      <c r="R1" s="104"/>
      <c r="S1" s="104"/>
      <c r="T1" s="104"/>
      <c r="U1" s="104"/>
      <c r="V1" s="104"/>
      <c r="W1" s="104"/>
      <c r="X1" s="104"/>
      <c r="Y1" s="104"/>
      <c r="Z1" s="104"/>
    </row>
    <row r="2" spans="1:26" ht="45" x14ac:dyDescent="0.25">
      <c r="A2" s="48" t="s">
        <v>260</v>
      </c>
      <c r="B2" s="90" t="s">
        <v>296</v>
      </c>
      <c r="C2" s="10">
        <v>0.12</v>
      </c>
      <c r="D2" s="10">
        <v>0.2</v>
      </c>
      <c r="E2" s="10">
        <v>0.24</v>
      </c>
      <c r="F2" s="10">
        <v>0.28000000000000003</v>
      </c>
      <c r="G2" s="10">
        <v>0.32</v>
      </c>
      <c r="H2" s="10">
        <v>0.4</v>
      </c>
      <c r="I2" s="10">
        <v>0.48</v>
      </c>
      <c r="J2" s="10">
        <v>0.56000000000000005</v>
      </c>
      <c r="K2" s="10">
        <v>0.64</v>
      </c>
      <c r="L2" s="10">
        <v>0.72</v>
      </c>
      <c r="M2" s="10">
        <v>0.8</v>
      </c>
      <c r="O2" s="91" t="s">
        <v>320</v>
      </c>
      <c r="P2" s="90" t="s">
        <v>345</v>
      </c>
      <c r="Q2" s="90" t="s">
        <v>344</v>
      </c>
      <c r="R2" s="90" t="s">
        <v>343</v>
      </c>
      <c r="S2" s="90" t="s">
        <v>342</v>
      </c>
      <c r="T2" s="90" t="s">
        <v>341</v>
      </c>
      <c r="U2" s="10"/>
      <c r="V2" s="10"/>
      <c r="W2" s="10"/>
      <c r="X2" s="10"/>
      <c r="Y2" s="10"/>
      <c r="Z2" s="10"/>
    </row>
    <row r="3" spans="1:26" x14ac:dyDescent="0.25">
      <c r="A3" s="42" t="str">
        <f>IF(ISBLANK(spec_filament!A38),"",spec_filament!A38)</f>
        <v>PLA</v>
      </c>
      <c r="B3" s="3" t="str">
        <f t="shared" ref="B3:B17" si="0">Matchfill(INDEX($O$2:$Z$17,MATCH($A3,$O$2:$O$17,0),MATCH(HotendType,$O$2:$Z$2,0)),$P1)</f>
        <v>15</v>
      </c>
      <c r="C3" s="11">
        <f t="shared" ref="C3:M16" si="1">IF(LEN($B3) = 0,"",$B3/((Nozzle_Diameter*1.2)*C$2))</f>
        <v>173.61111111111114</v>
      </c>
      <c r="D3" s="11">
        <f t="shared" si="1"/>
        <v>104.16666666666667</v>
      </c>
      <c r="E3" s="11">
        <f t="shared" si="1"/>
        <v>86.805555555555571</v>
      </c>
      <c r="F3" s="11">
        <f t="shared" si="1"/>
        <v>74.404761904761898</v>
      </c>
      <c r="G3" s="11">
        <f t="shared" si="1"/>
        <v>65.104166666666671</v>
      </c>
      <c r="H3" s="11">
        <f t="shared" si="1"/>
        <v>52.083333333333336</v>
      </c>
      <c r="I3" s="11">
        <f t="shared" si="1"/>
        <v>43.402777777777786</v>
      </c>
      <c r="J3" s="11">
        <f t="shared" si="1"/>
        <v>37.202380952380949</v>
      </c>
      <c r="K3" s="11">
        <f t="shared" si="1"/>
        <v>32.552083333333336</v>
      </c>
      <c r="L3" s="11">
        <f t="shared" si="1"/>
        <v>28.935185185185187</v>
      </c>
      <c r="M3" s="11">
        <f t="shared" si="1"/>
        <v>26.041666666666668</v>
      </c>
      <c r="O3" s="42" t="str">
        <f>IF(ISBLANK(spec_filament!A38),"",spec_filament!A38)</f>
        <v>PLA</v>
      </c>
      <c r="P3" s="13">
        <v>15</v>
      </c>
      <c r="Q3" s="13">
        <v>15</v>
      </c>
      <c r="R3" s="13">
        <v>22</v>
      </c>
      <c r="S3" s="13">
        <v>35</v>
      </c>
      <c r="T3" s="13">
        <f>IF(ISBLANK(Q3),"",Q3)</f>
        <v>15</v>
      </c>
      <c r="U3" s="3"/>
      <c r="V3" s="3"/>
      <c r="W3" s="3"/>
      <c r="X3" s="3"/>
      <c r="Y3" s="3"/>
      <c r="Z3" s="3"/>
    </row>
    <row r="4" spans="1:26" x14ac:dyDescent="0.25">
      <c r="A4" s="43" t="str">
        <f>IF(ISBLANK(spec_filament!A39),"",spec_filament!A39)</f>
        <v>PETG</v>
      </c>
      <c r="B4" s="4" t="str">
        <f t="shared" si="0"/>
        <v>8</v>
      </c>
      <c r="C4" s="12">
        <f t="shared" si="1"/>
        <v>92.592592592592609</v>
      </c>
      <c r="D4" s="12">
        <f t="shared" si="1"/>
        <v>55.555555555555557</v>
      </c>
      <c r="E4" s="12">
        <f t="shared" si="1"/>
        <v>46.296296296296305</v>
      </c>
      <c r="F4" s="12">
        <f t="shared" si="1"/>
        <v>39.682539682539684</v>
      </c>
      <c r="G4" s="12">
        <f t="shared" si="1"/>
        <v>34.722222222222221</v>
      </c>
      <c r="H4" s="12">
        <f t="shared" si="1"/>
        <v>27.777777777777779</v>
      </c>
      <c r="I4" s="12">
        <f t="shared" si="1"/>
        <v>23.148148148148152</v>
      </c>
      <c r="J4" s="12">
        <f t="shared" si="1"/>
        <v>19.841269841269842</v>
      </c>
      <c r="K4" s="12">
        <f t="shared" si="1"/>
        <v>17.361111111111111</v>
      </c>
      <c r="L4" s="12">
        <f t="shared" si="1"/>
        <v>15.4320987654321</v>
      </c>
      <c r="M4" s="12">
        <f t="shared" si="1"/>
        <v>13.888888888888889</v>
      </c>
      <c r="O4" s="43" t="str">
        <f>IF(ISBLANK(spec_filament!A39),"",spec_filament!A39)</f>
        <v>PETG</v>
      </c>
      <c r="P4" s="14">
        <v>8</v>
      </c>
      <c r="Q4" s="14">
        <v>8</v>
      </c>
      <c r="R4" s="14">
        <f>($Q4/$Q$3) * $R$3</f>
        <v>11.733333333333333</v>
      </c>
      <c r="S4" s="14">
        <f>($Q4/$Q$3) * $S$3</f>
        <v>18.666666666666668</v>
      </c>
      <c r="T4" s="14">
        <f t="shared" ref="T4:T17" si="2">IF(ISBLANK(Q4),"",Q4)</f>
        <v>8</v>
      </c>
      <c r="U4" s="4"/>
      <c r="V4" s="4"/>
      <c r="W4" s="4"/>
      <c r="X4" s="4"/>
      <c r="Y4" s="4"/>
      <c r="Z4" s="4"/>
    </row>
    <row r="5" spans="1:26" x14ac:dyDescent="0.25">
      <c r="A5" s="42" t="str">
        <f>IF(ISBLANK(spec_filament!A40),"",spec_filament!A40)</f>
        <v>ABS</v>
      </c>
      <c r="B5" s="3" t="str">
        <f t="shared" si="0"/>
        <v>11</v>
      </c>
      <c r="C5" s="11">
        <f t="shared" si="1"/>
        <v>127.31481481481482</v>
      </c>
      <c r="D5" s="11">
        <f t="shared" si="1"/>
        <v>76.3888888888889</v>
      </c>
      <c r="E5" s="11">
        <f t="shared" si="1"/>
        <v>63.657407407407412</v>
      </c>
      <c r="F5" s="11">
        <f t="shared" si="1"/>
        <v>54.563492063492063</v>
      </c>
      <c r="G5" s="11">
        <f t="shared" si="1"/>
        <v>47.743055555555557</v>
      </c>
      <c r="H5" s="11">
        <f t="shared" si="1"/>
        <v>38.19444444444445</v>
      </c>
      <c r="I5" s="11">
        <f t="shared" si="1"/>
        <v>31.828703703703706</v>
      </c>
      <c r="J5" s="11">
        <f t="shared" si="1"/>
        <v>27.281746031746032</v>
      </c>
      <c r="K5" s="11">
        <f t="shared" si="1"/>
        <v>23.871527777777779</v>
      </c>
      <c r="L5" s="11">
        <f t="shared" si="1"/>
        <v>21.219135802469136</v>
      </c>
      <c r="M5" s="11">
        <f t="shared" si="1"/>
        <v>19.097222222222225</v>
      </c>
      <c r="O5" s="42" t="str">
        <f>IF(ISBLANK(spec_filament!A40),"",spec_filament!A40)</f>
        <v>ABS</v>
      </c>
      <c r="P5" s="13">
        <v>11</v>
      </c>
      <c r="Q5" s="13">
        <v>11</v>
      </c>
      <c r="R5" s="13">
        <f t="shared" ref="R5:R12" si="3">($Q5/$Q$3) * $R$3</f>
        <v>16.133333333333333</v>
      </c>
      <c r="S5" s="13">
        <f t="shared" ref="S5:S12" si="4">($Q5/$Q$3) * $S$3</f>
        <v>25.666666666666664</v>
      </c>
      <c r="T5" s="13">
        <f t="shared" si="2"/>
        <v>11</v>
      </c>
      <c r="U5" s="3"/>
      <c r="V5" s="3"/>
      <c r="W5" s="3"/>
      <c r="X5" s="3"/>
      <c r="Y5" s="3"/>
      <c r="Z5" s="3"/>
    </row>
    <row r="6" spans="1:26" x14ac:dyDescent="0.25">
      <c r="A6" s="43" t="str">
        <f>IF(ISBLANK(spec_filament!A41),"",spec_filament!A41)</f>
        <v>Nylon</v>
      </c>
      <c r="B6" s="4" t="str">
        <f t="shared" si="0"/>
        <v>10</v>
      </c>
      <c r="C6" s="12">
        <f t="shared" si="1"/>
        <v>115.74074074074075</v>
      </c>
      <c r="D6" s="12">
        <f t="shared" si="1"/>
        <v>69.444444444444443</v>
      </c>
      <c r="E6" s="12">
        <f t="shared" si="1"/>
        <v>57.870370370370374</v>
      </c>
      <c r="F6" s="12">
        <f t="shared" si="1"/>
        <v>49.603174603174601</v>
      </c>
      <c r="G6" s="12">
        <f t="shared" si="1"/>
        <v>43.402777777777779</v>
      </c>
      <c r="H6" s="12">
        <f t="shared" si="1"/>
        <v>34.722222222222221</v>
      </c>
      <c r="I6" s="12">
        <f t="shared" si="1"/>
        <v>28.935185185185187</v>
      </c>
      <c r="J6" s="12">
        <f t="shared" si="1"/>
        <v>24.801587301587301</v>
      </c>
      <c r="K6" s="12">
        <f t="shared" si="1"/>
        <v>21.701388888888889</v>
      </c>
      <c r="L6" s="12">
        <f t="shared" si="1"/>
        <v>19.290123456790123</v>
      </c>
      <c r="M6" s="12">
        <f t="shared" si="1"/>
        <v>17.361111111111111</v>
      </c>
      <c r="O6" s="43" t="str">
        <f>IF(ISBLANK(spec_filament!A41),"",spec_filament!A41)</f>
        <v>Nylon</v>
      </c>
      <c r="P6" s="14">
        <v>10</v>
      </c>
      <c r="Q6" s="14">
        <v>10</v>
      </c>
      <c r="R6" s="14">
        <f t="shared" si="3"/>
        <v>14.666666666666666</v>
      </c>
      <c r="S6" s="14">
        <f t="shared" si="4"/>
        <v>23.333333333333332</v>
      </c>
      <c r="T6" s="14">
        <f t="shared" si="2"/>
        <v>10</v>
      </c>
      <c r="U6" s="4"/>
      <c r="V6" s="4"/>
      <c r="W6" s="4"/>
      <c r="X6" s="4"/>
      <c r="Y6" s="4"/>
      <c r="Z6" s="4"/>
    </row>
    <row r="7" spans="1:26" x14ac:dyDescent="0.25">
      <c r="A7" s="42" t="str">
        <f>IF(ISBLANK(spec_filament!A42),"",spec_filament!A42)</f>
        <v>TPU</v>
      </c>
      <c r="B7" s="3" t="str">
        <f t="shared" si="0"/>
        <v>1.35</v>
      </c>
      <c r="C7" s="11">
        <f t="shared" si="1"/>
        <v>15.625000000000004</v>
      </c>
      <c r="D7" s="11">
        <f t="shared" si="1"/>
        <v>9.3750000000000018</v>
      </c>
      <c r="E7" s="11">
        <f t="shared" si="1"/>
        <v>7.8125000000000018</v>
      </c>
      <c r="F7" s="11">
        <f t="shared" si="1"/>
        <v>6.6964285714285721</v>
      </c>
      <c r="G7" s="11">
        <f t="shared" si="1"/>
        <v>5.8593750000000009</v>
      </c>
      <c r="H7" s="11">
        <f t="shared" si="1"/>
        <v>4.6875000000000009</v>
      </c>
      <c r="I7" s="11">
        <f t="shared" si="1"/>
        <v>3.9062500000000009</v>
      </c>
      <c r="J7" s="11">
        <f t="shared" si="1"/>
        <v>3.348214285714286</v>
      </c>
      <c r="K7" s="11">
        <f t="shared" si="1"/>
        <v>2.9296875000000004</v>
      </c>
      <c r="L7" s="11">
        <f t="shared" si="1"/>
        <v>2.604166666666667</v>
      </c>
      <c r="M7" s="11">
        <f t="shared" si="1"/>
        <v>2.3437500000000004</v>
      </c>
      <c r="O7" s="42" t="str">
        <f>IF(ISBLANK(spec_filament!A42),"",spec_filament!A42)</f>
        <v>TPU</v>
      </c>
      <c r="P7" s="13">
        <v>1.35</v>
      </c>
      <c r="Q7" s="13">
        <v>1.35</v>
      </c>
      <c r="R7" s="13">
        <f t="shared" si="3"/>
        <v>1.9800000000000002</v>
      </c>
      <c r="S7" s="13">
        <f t="shared" si="4"/>
        <v>3.1500000000000004</v>
      </c>
      <c r="T7" s="13">
        <f t="shared" si="2"/>
        <v>1.35</v>
      </c>
      <c r="U7" s="3"/>
      <c r="V7" s="3"/>
      <c r="W7" s="3"/>
      <c r="X7" s="3"/>
      <c r="Y7" s="3"/>
      <c r="Z7" s="3"/>
    </row>
    <row r="8" spans="1:26" x14ac:dyDescent="0.25">
      <c r="A8" s="43" t="str">
        <f>IF(ISBLANK(spec_filament!A43),"",spec_filament!A43)</f>
        <v>HIPS</v>
      </c>
      <c r="B8" s="4" t="str">
        <f t="shared" si="0"/>
        <v>11</v>
      </c>
      <c r="C8" s="12">
        <f t="shared" si="1"/>
        <v>127.31481481481482</v>
      </c>
      <c r="D8" s="12">
        <f t="shared" si="1"/>
        <v>76.3888888888889</v>
      </c>
      <c r="E8" s="12">
        <f t="shared" si="1"/>
        <v>63.657407407407412</v>
      </c>
      <c r="F8" s="12">
        <f t="shared" si="1"/>
        <v>54.563492063492063</v>
      </c>
      <c r="G8" s="12">
        <f t="shared" si="1"/>
        <v>47.743055555555557</v>
      </c>
      <c r="H8" s="12">
        <f t="shared" si="1"/>
        <v>38.19444444444445</v>
      </c>
      <c r="I8" s="12">
        <f t="shared" si="1"/>
        <v>31.828703703703706</v>
      </c>
      <c r="J8" s="12">
        <f t="shared" si="1"/>
        <v>27.281746031746032</v>
      </c>
      <c r="K8" s="12">
        <f t="shared" si="1"/>
        <v>23.871527777777779</v>
      </c>
      <c r="L8" s="12">
        <f t="shared" si="1"/>
        <v>21.219135802469136</v>
      </c>
      <c r="M8" s="12">
        <f t="shared" si="1"/>
        <v>19.097222222222225</v>
      </c>
      <c r="O8" s="43" t="str">
        <f>IF(ISBLANK(spec_filament!A43),"",spec_filament!A43)</f>
        <v>HIPS</v>
      </c>
      <c r="P8" s="14">
        <v>11</v>
      </c>
      <c r="Q8" s="14">
        <v>11</v>
      </c>
      <c r="R8" s="14">
        <f t="shared" si="3"/>
        <v>16.133333333333333</v>
      </c>
      <c r="S8" s="14">
        <f t="shared" si="4"/>
        <v>25.666666666666664</v>
      </c>
      <c r="T8" s="14">
        <f t="shared" si="2"/>
        <v>11</v>
      </c>
      <c r="U8" s="4"/>
      <c r="V8" s="4"/>
      <c r="W8" s="4"/>
      <c r="X8" s="4"/>
      <c r="Y8" s="4"/>
      <c r="Z8" s="4"/>
    </row>
    <row r="9" spans="1:26" x14ac:dyDescent="0.25">
      <c r="A9" s="42" t="str">
        <f>IF(ISBLANK(spec_filament!A44),"",spec_filament!A44)</f>
        <v>ASA</v>
      </c>
      <c r="B9" s="3" t="str">
        <f t="shared" si="0"/>
        <v>11</v>
      </c>
      <c r="C9" s="11">
        <f t="shared" si="1"/>
        <v>127.31481481481482</v>
      </c>
      <c r="D9" s="11">
        <f t="shared" si="1"/>
        <v>76.3888888888889</v>
      </c>
      <c r="E9" s="11">
        <f t="shared" si="1"/>
        <v>63.657407407407412</v>
      </c>
      <c r="F9" s="11">
        <f t="shared" si="1"/>
        <v>54.563492063492063</v>
      </c>
      <c r="G9" s="11">
        <f t="shared" si="1"/>
        <v>47.743055555555557</v>
      </c>
      <c r="H9" s="11">
        <f t="shared" si="1"/>
        <v>38.19444444444445</v>
      </c>
      <c r="I9" s="11">
        <f t="shared" si="1"/>
        <v>31.828703703703706</v>
      </c>
      <c r="J9" s="11">
        <f t="shared" si="1"/>
        <v>27.281746031746032</v>
      </c>
      <c r="K9" s="11">
        <f t="shared" si="1"/>
        <v>23.871527777777779</v>
      </c>
      <c r="L9" s="11">
        <f t="shared" si="1"/>
        <v>21.219135802469136</v>
      </c>
      <c r="M9" s="11">
        <f t="shared" si="1"/>
        <v>19.097222222222225</v>
      </c>
      <c r="O9" s="42" t="str">
        <f>IF(ISBLANK(spec_filament!A44),"",spec_filament!A44)</f>
        <v>ASA</v>
      </c>
      <c r="P9" s="13">
        <v>11</v>
      </c>
      <c r="Q9" s="13">
        <v>11</v>
      </c>
      <c r="R9" s="13">
        <f t="shared" si="3"/>
        <v>16.133333333333333</v>
      </c>
      <c r="S9" s="13">
        <f t="shared" si="4"/>
        <v>25.666666666666664</v>
      </c>
      <c r="T9" s="13">
        <f t="shared" si="2"/>
        <v>11</v>
      </c>
      <c r="U9" s="3"/>
      <c r="V9" s="3"/>
      <c r="W9" s="3"/>
      <c r="X9" s="3"/>
      <c r="Y9" s="3"/>
      <c r="Z9" s="3"/>
    </row>
    <row r="10" spans="1:26" x14ac:dyDescent="0.25">
      <c r="A10" s="43" t="str">
        <f>IF(ISBLANK(spec_filament!A45),"",spec_filament!A45)</f>
        <v>PC</v>
      </c>
      <c r="B10" s="4" t="str">
        <f t="shared" si="0"/>
        <v>8</v>
      </c>
      <c r="C10" s="12">
        <f t="shared" si="1"/>
        <v>92.592592592592609</v>
      </c>
      <c r="D10" s="12">
        <f t="shared" si="1"/>
        <v>55.555555555555557</v>
      </c>
      <c r="E10" s="12">
        <f t="shared" si="1"/>
        <v>46.296296296296305</v>
      </c>
      <c r="F10" s="12">
        <f t="shared" si="1"/>
        <v>39.682539682539684</v>
      </c>
      <c r="G10" s="12">
        <f t="shared" si="1"/>
        <v>34.722222222222221</v>
      </c>
      <c r="H10" s="12">
        <f t="shared" si="1"/>
        <v>27.777777777777779</v>
      </c>
      <c r="I10" s="12">
        <f t="shared" si="1"/>
        <v>23.148148148148152</v>
      </c>
      <c r="J10" s="12">
        <f t="shared" si="1"/>
        <v>19.841269841269842</v>
      </c>
      <c r="K10" s="12">
        <f t="shared" si="1"/>
        <v>17.361111111111111</v>
      </c>
      <c r="L10" s="12">
        <f t="shared" si="1"/>
        <v>15.4320987654321</v>
      </c>
      <c r="M10" s="12">
        <f t="shared" si="1"/>
        <v>13.888888888888889</v>
      </c>
      <c r="O10" s="43" t="str">
        <f>IF(ISBLANK(spec_filament!A45),"",spec_filament!A45)</f>
        <v>PC</v>
      </c>
      <c r="P10" s="14">
        <v>8</v>
      </c>
      <c r="Q10" s="14">
        <v>8</v>
      </c>
      <c r="R10" s="14">
        <f t="shared" si="3"/>
        <v>11.733333333333333</v>
      </c>
      <c r="S10" s="14">
        <f t="shared" si="4"/>
        <v>18.666666666666668</v>
      </c>
      <c r="T10" s="14">
        <f t="shared" si="2"/>
        <v>8</v>
      </c>
      <c r="U10" s="4"/>
      <c r="V10" s="4"/>
      <c r="W10" s="4"/>
      <c r="X10" s="4"/>
      <c r="Y10" s="4"/>
      <c r="Z10" s="4"/>
    </row>
    <row r="11" spans="1:26" x14ac:dyDescent="0.25">
      <c r="A11" s="42" t="str">
        <f>IF(ISBLANK(spec_filament!A46),"",spec_filament!A46)</f>
        <v>ULTEM</v>
      </c>
      <c r="B11" s="3" t="str">
        <f t="shared" si="0"/>
        <v>8</v>
      </c>
      <c r="C11" s="11">
        <f t="shared" si="1"/>
        <v>92.592592592592609</v>
      </c>
      <c r="D11" s="11">
        <f t="shared" si="1"/>
        <v>55.555555555555557</v>
      </c>
      <c r="E11" s="11">
        <f t="shared" si="1"/>
        <v>46.296296296296305</v>
      </c>
      <c r="F11" s="11">
        <f t="shared" si="1"/>
        <v>39.682539682539684</v>
      </c>
      <c r="G11" s="11">
        <f t="shared" si="1"/>
        <v>34.722222222222221</v>
      </c>
      <c r="H11" s="11">
        <f t="shared" si="1"/>
        <v>27.777777777777779</v>
      </c>
      <c r="I11" s="11">
        <f t="shared" si="1"/>
        <v>23.148148148148152</v>
      </c>
      <c r="J11" s="11">
        <f t="shared" si="1"/>
        <v>19.841269841269842</v>
      </c>
      <c r="K11" s="11">
        <f t="shared" si="1"/>
        <v>17.361111111111111</v>
      </c>
      <c r="L11" s="11">
        <f t="shared" si="1"/>
        <v>15.4320987654321</v>
      </c>
      <c r="M11" s="11">
        <f t="shared" si="1"/>
        <v>13.888888888888889</v>
      </c>
      <c r="O11" s="42" t="str">
        <f>IF(ISBLANK(spec_filament!A46),"",spec_filament!A46)</f>
        <v>ULTEM</v>
      </c>
      <c r="P11" s="13">
        <v>8</v>
      </c>
      <c r="Q11" s="13">
        <v>8</v>
      </c>
      <c r="R11" s="13">
        <f t="shared" si="3"/>
        <v>11.733333333333333</v>
      </c>
      <c r="S11" s="13">
        <f t="shared" si="4"/>
        <v>18.666666666666668</v>
      </c>
      <c r="T11" s="13">
        <f t="shared" si="2"/>
        <v>8</v>
      </c>
      <c r="U11" s="3"/>
      <c r="V11" s="3"/>
      <c r="W11" s="3"/>
      <c r="X11" s="3"/>
      <c r="Y11" s="3"/>
      <c r="Z11" s="3"/>
    </row>
    <row r="12" spans="1:26" x14ac:dyDescent="0.25">
      <c r="A12" s="43" t="str">
        <f>IF(ISBLANK(spec_filament!A47),"",spec_filament!A47)</f>
        <v>PP</v>
      </c>
      <c r="B12" s="4" t="str">
        <f t="shared" si="0"/>
        <v>5</v>
      </c>
      <c r="C12" s="12">
        <f t="shared" si="1"/>
        <v>57.870370370370374</v>
      </c>
      <c r="D12" s="12">
        <f t="shared" si="1"/>
        <v>34.722222222222221</v>
      </c>
      <c r="E12" s="12">
        <f t="shared" si="1"/>
        <v>28.935185185185187</v>
      </c>
      <c r="F12" s="12">
        <f t="shared" si="1"/>
        <v>24.801587301587301</v>
      </c>
      <c r="G12" s="12">
        <f t="shared" si="1"/>
        <v>21.701388888888889</v>
      </c>
      <c r="H12" s="12">
        <f t="shared" si="1"/>
        <v>17.361111111111111</v>
      </c>
      <c r="I12" s="12">
        <f t="shared" si="1"/>
        <v>14.467592592592593</v>
      </c>
      <c r="J12" s="12">
        <f t="shared" si="1"/>
        <v>12.40079365079365</v>
      </c>
      <c r="K12" s="12">
        <f t="shared" si="1"/>
        <v>10.850694444444445</v>
      </c>
      <c r="L12" s="12">
        <f t="shared" si="1"/>
        <v>9.6450617283950617</v>
      </c>
      <c r="M12" s="12">
        <f t="shared" si="1"/>
        <v>8.6805555555555554</v>
      </c>
      <c r="O12" s="43" t="str">
        <f>IF(ISBLANK(spec_filament!A47),"",spec_filament!A47)</f>
        <v>PP</v>
      </c>
      <c r="P12" s="14">
        <v>5</v>
      </c>
      <c r="Q12" s="14">
        <v>5</v>
      </c>
      <c r="R12" s="14">
        <f t="shared" si="3"/>
        <v>7.333333333333333</v>
      </c>
      <c r="S12" s="14">
        <f t="shared" si="4"/>
        <v>11.666666666666666</v>
      </c>
      <c r="T12" s="14">
        <f t="shared" si="2"/>
        <v>5</v>
      </c>
      <c r="U12" s="4"/>
      <c r="V12" s="4"/>
      <c r="W12" s="4"/>
      <c r="X12" s="4"/>
      <c r="Y12" s="4"/>
      <c r="Z12" s="4"/>
    </row>
    <row r="13" spans="1:26" x14ac:dyDescent="0.25">
      <c r="A13" s="42" t="str">
        <f>IF(ISBLANK(spec_filament!A48),"",spec_filament!A48)</f>
        <v>TPE</v>
      </c>
      <c r="B13" s="3" t="str">
        <f t="shared" si="0"/>
        <v>1.5</v>
      </c>
      <c r="C13" s="11">
        <f t="shared" si="1"/>
        <v>17.361111111111114</v>
      </c>
      <c r="D13" s="11">
        <f t="shared" si="1"/>
        <v>10.416666666666668</v>
      </c>
      <c r="E13" s="11"/>
      <c r="F13" s="11"/>
      <c r="G13" s="11">
        <f t="shared" si="1"/>
        <v>6.510416666666667</v>
      </c>
      <c r="H13" s="11">
        <f t="shared" si="1"/>
        <v>5.2083333333333339</v>
      </c>
      <c r="I13" s="11">
        <f t="shared" si="1"/>
        <v>4.3402777777777786</v>
      </c>
      <c r="J13" s="11">
        <f t="shared" si="1"/>
        <v>3.7202380952380953</v>
      </c>
      <c r="K13" s="11">
        <f t="shared" si="1"/>
        <v>3.2552083333333335</v>
      </c>
      <c r="L13" s="11">
        <f t="shared" si="1"/>
        <v>2.8935185185185186</v>
      </c>
      <c r="M13" s="11">
        <f t="shared" si="1"/>
        <v>2.604166666666667</v>
      </c>
      <c r="O13" s="42" t="str">
        <f>IF(ISBLANK(spec_filament!A48),"",spec_filament!A48)</f>
        <v>TPE</v>
      </c>
      <c r="P13" s="3"/>
      <c r="Q13" s="3"/>
      <c r="R13" s="3"/>
      <c r="S13" s="3"/>
      <c r="T13" s="13" t="str">
        <f t="shared" si="2"/>
        <v/>
      </c>
      <c r="U13" s="3"/>
      <c r="V13" s="3"/>
      <c r="W13" s="3"/>
      <c r="X13" s="3"/>
      <c r="Y13" s="3"/>
      <c r="Z13" s="3"/>
    </row>
    <row r="14" spans="1:26" x14ac:dyDescent="0.25">
      <c r="A14" s="43" t="str">
        <f>IF(ISBLANK(spec_filament!A49),"",spec_filament!A49)</f>
        <v>PEEK</v>
      </c>
      <c r="B14" s="4" t="str">
        <f t="shared" si="0"/>
        <v>1.5</v>
      </c>
      <c r="C14" s="12">
        <f t="shared" si="1"/>
        <v>17.361111111111114</v>
      </c>
      <c r="D14" s="12">
        <f t="shared" si="1"/>
        <v>10.416666666666668</v>
      </c>
      <c r="E14" s="12"/>
      <c r="F14" s="12"/>
      <c r="G14" s="12">
        <f t="shared" si="1"/>
        <v>6.510416666666667</v>
      </c>
      <c r="H14" s="12">
        <f t="shared" si="1"/>
        <v>5.2083333333333339</v>
      </c>
      <c r="I14" s="12">
        <f t="shared" si="1"/>
        <v>4.3402777777777786</v>
      </c>
      <c r="J14" s="12">
        <f t="shared" si="1"/>
        <v>3.7202380952380953</v>
      </c>
      <c r="K14" s="12">
        <f t="shared" si="1"/>
        <v>3.2552083333333335</v>
      </c>
      <c r="L14" s="12">
        <f t="shared" si="1"/>
        <v>2.8935185185185186</v>
      </c>
      <c r="M14" s="12">
        <f t="shared" si="1"/>
        <v>2.604166666666667</v>
      </c>
      <c r="O14" s="43" t="str">
        <f>IF(ISBLANK(spec_filament!A49),"",spec_filament!A49)</f>
        <v>PEEK</v>
      </c>
      <c r="P14" s="4"/>
      <c r="Q14" s="4"/>
      <c r="R14" s="4"/>
      <c r="S14" s="4"/>
      <c r="T14" s="14" t="str">
        <f t="shared" si="2"/>
        <v/>
      </c>
      <c r="U14" s="4"/>
      <c r="V14" s="4"/>
      <c r="W14" s="4"/>
      <c r="X14" s="4"/>
      <c r="Y14" s="4"/>
      <c r="Z14" s="4"/>
    </row>
    <row r="15" spans="1:26" x14ac:dyDescent="0.25">
      <c r="A15" s="42" t="str">
        <f>IF(ISBLANK(spec_filament!A50),"",spec_filament!A50)</f>
        <v/>
      </c>
      <c r="B15" s="3" t="str">
        <f t="shared" si="0"/>
        <v>1.5</v>
      </c>
      <c r="C15" s="11">
        <f t="shared" si="1"/>
        <v>17.361111111111114</v>
      </c>
      <c r="D15" s="11">
        <f t="shared" si="1"/>
        <v>10.416666666666668</v>
      </c>
      <c r="E15" s="11"/>
      <c r="F15" s="11"/>
      <c r="G15" s="11">
        <f t="shared" si="1"/>
        <v>6.510416666666667</v>
      </c>
      <c r="H15" s="11">
        <f t="shared" si="1"/>
        <v>5.2083333333333339</v>
      </c>
      <c r="I15" s="11">
        <f t="shared" si="1"/>
        <v>4.3402777777777786</v>
      </c>
      <c r="J15" s="11">
        <f t="shared" si="1"/>
        <v>3.7202380952380953</v>
      </c>
      <c r="K15" s="11">
        <f t="shared" si="1"/>
        <v>3.2552083333333335</v>
      </c>
      <c r="L15" s="11">
        <f t="shared" si="1"/>
        <v>2.8935185185185186</v>
      </c>
      <c r="M15" s="11">
        <f t="shared" si="1"/>
        <v>2.604166666666667</v>
      </c>
      <c r="O15" s="42" t="str">
        <f>IF(ISBLANK(spec_filament!A50),"",spec_filament!A50)</f>
        <v/>
      </c>
      <c r="P15" s="3"/>
      <c r="Q15" s="3"/>
      <c r="R15" s="3"/>
      <c r="S15" s="3"/>
      <c r="T15" s="13" t="str">
        <f t="shared" si="2"/>
        <v/>
      </c>
      <c r="U15" s="3"/>
      <c r="V15" s="3"/>
      <c r="W15" s="3"/>
      <c r="X15" s="3"/>
      <c r="Y15" s="3"/>
      <c r="Z15" s="3"/>
    </row>
    <row r="16" spans="1:26" x14ac:dyDescent="0.25">
      <c r="A16" s="43" t="str">
        <f>IF(ISBLANK(spec_filament!A51),"",spec_filament!A51)</f>
        <v>CPE</v>
      </c>
      <c r="B16" s="4" t="str">
        <f t="shared" si="0"/>
        <v/>
      </c>
      <c r="C16" s="12" t="str">
        <f t="shared" si="1"/>
        <v/>
      </c>
      <c r="D16" s="12" t="str">
        <f t="shared" si="1"/>
        <v/>
      </c>
      <c r="E16" s="12"/>
      <c r="F16" s="12"/>
      <c r="G16" s="12" t="str">
        <f t="shared" si="1"/>
        <v/>
      </c>
      <c r="H16" s="12" t="str">
        <f t="shared" si="1"/>
        <v/>
      </c>
      <c r="I16" s="12" t="str">
        <f t="shared" si="1"/>
        <v/>
      </c>
      <c r="J16" s="12" t="str">
        <f t="shared" si="1"/>
        <v/>
      </c>
      <c r="K16" s="12" t="str">
        <f t="shared" si="1"/>
        <v/>
      </c>
      <c r="L16" s="12" t="str">
        <f t="shared" si="1"/>
        <v/>
      </c>
      <c r="M16" s="12" t="str">
        <f t="shared" si="1"/>
        <v/>
      </c>
      <c r="O16" s="43" t="str">
        <f>IF(ISBLANK(spec_filament!A51),"",spec_filament!A51)</f>
        <v>CPE</v>
      </c>
      <c r="P16" s="4"/>
      <c r="Q16" s="4"/>
      <c r="R16" s="4"/>
      <c r="S16" s="4"/>
      <c r="T16" s="14" t="str">
        <f t="shared" si="2"/>
        <v/>
      </c>
      <c r="U16" s="4"/>
      <c r="V16" s="4"/>
      <c r="W16" s="4"/>
      <c r="X16" s="4"/>
      <c r="Y16" s="4"/>
      <c r="Z16" s="4"/>
    </row>
    <row r="17" spans="1:26" x14ac:dyDescent="0.25">
      <c r="A17" s="42" t="str">
        <f>IF(ISBLANK(spec_filament!A52),"",spec_filament!A52)</f>
        <v>PPSU</v>
      </c>
      <c r="B17" s="3" t="str">
        <f t="shared" si="0"/>
        <v/>
      </c>
      <c r="C17" s="3"/>
      <c r="D17" s="3"/>
      <c r="E17" s="3"/>
      <c r="F17" s="3"/>
      <c r="G17" s="3"/>
      <c r="H17" s="3"/>
      <c r="I17" s="3"/>
      <c r="J17" s="3"/>
      <c r="K17" s="3"/>
      <c r="L17" s="3"/>
      <c r="M17" s="3"/>
      <c r="O17" s="42" t="str">
        <f>IF(ISBLANK(spec_filament!A52),"",spec_filament!A52)</f>
        <v>PPSU</v>
      </c>
      <c r="P17" s="3"/>
      <c r="Q17" s="3"/>
      <c r="R17" s="3"/>
      <c r="S17" s="3"/>
      <c r="T17" s="13" t="str">
        <f t="shared" si="2"/>
        <v/>
      </c>
      <c r="U17" s="3"/>
      <c r="V17" s="3"/>
      <c r="W17" s="3"/>
      <c r="X17" s="3"/>
      <c r="Y17" s="3"/>
      <c r="Z17" s="3"/>
    </row>
    <row r="18" spans="1:26" x14ac:dyDescent="0.25">
      <c r="D18" s="1"/>
      <c r="E18" s="1"/>
      <c r="F18" s="1"/>
    </row>
    <row r="20" spans="1:26" x14ac:dyDescent="0.25">
      <c r="A20" s="103" t="s">
        <v>1079</v>
      </c>
      <c r="B20" s="104"/>
      <c r="C20" s="104"/>
      <c r="D20" s="104"/>
      <c r="E20" s="104"/>
      <c r="F20" s="104"/>
      <c r="G20" s="104"/>
      <c r="H20" s="104"/>
      <c r="I20" s="104"/>
      <c r="J20" s="104"/>
      <c r="K20" s="104"/>
      <c r="L20" s="104"/>
      <c r="M20" s="104"/>
      <c r="O20" s="103" t="s">
        <v>300</v>
      </c>
      <c r="P20" s="104"/>
      <c r="Q20" s="104"/>
      <c r="S20" t="s">
        <v>1260</v>
      </c>
      <c r="T20" t="s">
        <v>1261</v>
      </c>
    </row>
    <row r="21" spans="1:26" x14ac:dyDescent="0.25">
      <c r="A21" s="10" t="s">
        <v>260</v>
      </c>
      <c r="B21" s="10" t="s">
        <v>296</v>
      </c>
      <c r="C21" s="10">
        <v>0.12</v>
      </c>
      <c r="D21" s="10">
        <v>0.2</v>
      </c>
      <c r="E21" s="10">
        <v>0.24</v>
      </c>
      <c r="F21" s="10">
        <v>0.28000000000000003</v>
      </c>
      <c r="G21" s="10">
        <v>0.32</v>
      </c>
      <c r="H21" s="10">
        <v>0.4</v>
      </c>
      <c r="I21" s="10">
        <v>0.48</v>
      </c>
      <c r="J21" s="10">
        <v>0.56000000000000005</v>
      </c>
      <c r="K21" s="10">
        <v>0.64</v>
      </c>
      <c r="L21" s="10">
        <v>0.72</v>
      </c>
      <c r="M21" s="10">
        <v>0.8</v>
      </c>
      <c r="O21" s="48" t="s">
        <v>299</v>
      </c>
      <c r="P21" s="10" t="s">
        <v>301</v>
      </c>
      <c r="Q21" s="10" t="s">
        <v>303</v>
      </c>
      <c r="S21" t="s">
        <v>142</v>
      </c>
      <c r="T21">
        <v>4.4999999999999998E-2</v>
      </c>
      <c r="U21">
        <v>0.14000000000000001</v>
      </c>
    </row>
    <row r="22" spans="1:26" x14ac:dyDescent="0.25">
      <c r="A22" s="3" t="s">
        <v>141</v>
      </c>
      <c r="B22" s="3">
        <v>11.5</v>
      </c>
      <c r="C22" s="11">
        <f t="shared" ref="C22:M27" si="5">$B22/((Nozzle_Diameter*1.2)*C$21)</f>
        <v>133.10185185185188</v>
      </c>
      <c r="D22" s="11">
        <f t="shared" si="5"/>
        <v>79.861111111111114</v>
      </c>
      <c r="E22" s="11">
        <f t="shared" si="5"/>
        <v>66.550925925925938</v>
      </c>
      <c r="F22" s="11">
        <f t="shared" si="5"/>
        <v>57.043650793650791</v>
      </c>
      <c r="G22" s="11">
        <f t="shared" si="5"/>
        <v>49.913194444444443</v>
      </c>
      <c r="H22" s="11">
        <f t="shared" si="5"/>
        <v>39.930555555555557</v>
      </c>
      <c r="I22" s="11">
        <f t="shared" si="5"/>
        <v>33.275462962962969</v>
      </c>
      <c r="J22" s="11">
        <f t="shared" si="5"/>
        <v>28.521825396825395</v>
      </c>
      <c r="K22" s="11">
        <f t="shared" si="5"/>
        <v>24.956597222222221</v>
      </c>
      <c r="L22" s="11">
        <f t="shared" si="5"/>
        <v>22.183641975308642</v>
      </c>
      <c r="M22" s="11">
        <f t="shared" si="5"/>
        <v>19.965277777777779</v>
      </c>
      <c r="O22" s="42" t="s">
        <v>141</v>
      </c>
      <c r="P22" s="13">
        <v>1.5</v>
      </c>
      <c r="Q22" s="13">
        <v>0.8</v>
      </c>
      <c r="S22" t="s">
        <v>1262</v>
      </c>
      <c r="T22">
        <v>0.03</v>
      </c>
      <c r="U22">
        <v>0.12</v>
      </c>
    </row>
    <row r="23" spans="1:26" x14ac:dyDescent="0.25">
      <c r="A23" s="4" t="s">
        <v>425</v>
      </c>
      <c r="B23" s="4">
        <v>8</v>
      </c>
      <c r="C23" s="12">
        <f t="shared" si="5"/>
        <v>92.592592592592609</v>
      </c>
      <c r="D23" s="12">
        <f t="shared" si="5"/>
        <v>55.555555555555557</v>
      </c>
      <c r="E23" s="12">
        <f t="shared" si="5"/>
        <v>46.296296296296305</v>
      </c>
      <c r="F23" s="12">
        <f t="shared" si="5"/>
        <v>39.682539682539684</v>
      </c>
      <c r="G23" s="12">
        <f t="shared" si="5"/>
        <v>34.722222222222221</v>
      </c>
      <c r="H23" s="12">
        <f t="shared" si="5"/>
        <v>27.777777777777779</v>
      </c>
      <c r="I23" s="12">
        <f t="shared" si="5"/>
        <v>23.148148148148152</v>
      </c>
      <c r="J23" s="12">
        <f t="shared" si="5"/>
        <v>19.841269841269842</v>
      </c>
      <c r="K23" s="12">
        <f t="shared" si="5"/>
        <v>17.361111111111111</v>
      </c>
      <c r="L23" s="12">
        <f t="shared" si="5"/>
        <v>15.4320987654321</v>
      </c>
      <c r="M23" s="12">
        <f t="shared" si="5"/>
        <v>13.888888888888889</v>
      </c>
      <c r="O23" s="43" t="s">
        <v>425</v>
      </c>
      <c r="P23" s="14">
        <v>1.5</v>
      </c>
      <c r="Q23" s="14">
        <v>0.8</v>
      </c>
      <c r="S23" t="s">
        <v>1263</v>
      </c>
      <c r="T23">
        <v>2.5000000000000001E-2</v>
      </c>
      <c r="U23">
        <v>0.5</v>
      </c>
    </row>
    <row r="24" spans="1:26" x14ac:dyDescent="0.25">
      <c r="A24" s="3" t="s">
        <v>142</v>
      </c>
      <c r="B24" s="3">
        <v>10</v>
      </c>
      <c r="C24" s="11">
        <f t="shared" si="5"/>
        <v>115.74074074074075</v>
      </c>
      <c r="D24" s="11">
        <f t="shared" si="5"/>
        <v>69.444444444444443</v>
      </c>
      <c r="E24" s="11">
        <f t="shared" si="5"/>
        <v>57.870370370370374</v>
      </c>
      <c r="F24" s="11">
        <f t="shared" si="5"/>
        <v>49.603174603174601</v>
      </c>
      <c r="G24" s="11">
        <f t="shared" si="5"/>
        <v>43.402777777777779</v>
      </c>
      <c r="H24" s="11">
        <f t="shared" si="5"/>
        <v>34.722222222222221</v>
      </c>
      <c r="I24" s="11">
        <f t="shared" si="5"/>
        <v>28.935185185185187</v>
      </c>
      <c r="J24" s="11">
        <f t="shared" si="5"/>
        <v>24.801587301587301</v>
      </c>
      <c r="K24" s="11">
        <f t="shared" si="5"/>
        <v>21.701388888888889</v>
      </c>
      <c r="L24" s="11">
        <f t="shared" si="5"/>
        <v>19.290123456790123</v>
      </c>
      <c r="M24" s="11">
        <f t="shared" si="5"/>
        <v>17.361111111111111</v>
      </c>
      <c r="O24" s="42" t="s">
        <v>142</v>
      </c>
      <c r="P24" s="13">
        <v>1.5</v>
      </c>
      <c r="Q24" s="13">
        <v>0.8</v>
      </c>
      <c r="S24" t="s">
        <v>1264</v>
      </c>
      <c r="T24">
        <v>0.03</v>
      </c>
      <c r="U24">
        <v>0.12</v>
      </c>
    </row>
    <row r="25" spans="1:26" x14ac:dyDescent="0.25">
      <c r="A25" s="4" t="s">
        <v>281</v>
      </c>
      <c r="B25" s="4">
        <v>6</v>
      </c>
      <c r="C25" s="12">
        <f t="shared" si="5"/>
        <v>69.444444444444457</v>
      </c>
      <c r="D25" s="12">
        <f t="shared" si="5"/>
        <v>41.666666666666671</v>
      </c>
      <c r="E25" s="12">
        <f t="shared" si="5"/>
        <v>34.722222222222229</v>
      </c>
      <c r="F25" s="12">
        <f t="shared" si="5"/>
        <v>29.761904761904763</v>
      </c>
      <c r="G25" s="12">
        <f t="shared" si="5"/>
        <v>26.041666666666668</v>
      </c>
      <c r="H25" s="12">
        <f t="shared" si="5"/>
        <v>20.833333333333336</v>
      </c>
      <c r="I25" s="12">
        <f t="shared" si="5"/>
        <v>17.361111111111114</v>
      </c>
      <c r="J25" s="12">
        <f t="shared" si="5"/>
        <v>14.880952380952381</v>
      </c>
      <c r="K25" s="12">
        <f t="shared" si="5"/>
        <v>13.020833333333334</v>
      </c>
      <c r="L25" s="12">
        <f t="shared" si="5"/>
        <v>11.574074074074074</v>
      </c>
      <c r="M25" s="12">
        <f t="shared" si="5"/>
        <v>10.416666666666668</v>
      </c>
      <c r="O25" s="43" t="s">
        <v>281</v>
      </c>
      <c r="P25" s="14">
        <v>1.5</v>
      </c>
      <c r="Q25" s="14">
        <v>0.8</v>
      </c>
      <c r="S25" t="s">
        <v>1265</v>
      </c>
      <c r="T25">
        <v>7.4999999999999997E-2</v>
      </c>
      <c r="U25">
        <v>1</v>
      </c>
    </row>
    <row r="26" spans="1:26" x14ac:dyDescent="0.25">
      <c r="A26" s="3" t="s">
        <v>283</v>
      </c>
      <c r="B26" s="3">
        <v>6</v>
      </c>
      <c r="C26" s="11">
        <f t="shared" si="5"/>
        <v>69.444444444444457</v>
      </c>
      <c r="D26" s="11">
        <f t="shared" si="5"/>
        <v>41.666666666666671</v>
      </c>
      <c r="E26" s="11">
        <f t="shared" si="5"/>
        <v>34.722222222222229</v>
      </c>
      <c r="F26" s="11">
        <f t="shared" si="5"/>
        <v>29.761904761904763</v>
      </c>
      <c r="G26" s="11">
        <f t="shared" si="5"/>
        <v>26.041666666666668</v>
      </c>
      <c r="H26" s="11">
        <f t="shared" si="5"/>
        <v>20.833333333333336</v>
      </c>
      <c r="I26" s="11">
        <f t="shared" si="5"/>
        <v>17.361111111111114</v>
      </c>
      <c r="J26" s="11">
        <f t="shared" si="5"/>
        <v>14.880952380952381</v>
      </c>
      <c r="K26" s="11">
        <f t="shared" si="5"/>
        <v>13.020833333333334</v>
      </c>
      <c r="L26" s="11">
        <f t="shared" si="5"/>
        <v>11.574074074074074</v>
      </c>
      <c r="M26" s="11">
        <f t="shared" si="5"/>
        <v>10.416666666666668</v>
      </c>
      <c r="O26" s="42" t="s">
        <v>283</v>
      </c>
      <c r="P26" s="13">
        <v>1.5</v>
      </c>
      <c r="Q26" s="13">
        <v>0.8</v>
      </c>
      <c r="S26" t="s">
        <v>281</v>
      </c>
      <c r="T26">
        <v>0.03</v>
      </c>
      <c r="U26">
        <v>0.115</v>
      </c>
    </row>
    <row r="27" spans="1:26" x14ac:dyDescent="0.25">
      <c r="A27" s="4" t="s">
        <v>143</v>
      </c>
      <c r="B27" s="4">
        <v>6</v>
      </c>
      <c r="C27" s="12">
        <f t="shared" si="5"/>
        <v>69.444444444444457</v>
      </c>
      <c r="D27" s="12">
        <f t="shared" si="5"/>
        <v>41.666666666666671</v>
      </c>
      <c r="E27" s="12">
        <f t="shared" si="5"/>
        <v>34.722222222222229</v>
      </c>
      <c r="F27" s="12">
        <f t="shared" si="5"/>
        <v>29.761904761904763</v>
      </c>
      <c r="G27" s="12">
        <f t="shared" si="5"/>
        <v>26.041666666666668</v>
      </c>
      <c r="H27" s="12">
        <f t="shared" si="5"/>
        <v>20.833333333333336</v>
      </c>
      <c r="I27" s="12">
        <f t="shared" si="5"/>
        <v>17.361111111111114</v>
      </c>
      <c r="J27" s="12">
        <f t="shared" si="5"/>
        <v>14.880952380952381</v>
      </c>
      <c r="K27" s="12">
        <f t="shared" si="5"/>
        <v>13.020833333333334</v>
      </c>
      <c r="L27" s="12">
        <f t="shared" si="5"/>
        <v>11.574074074074074</v>
      </c>
      <c r="M27" s="12">
        <f t="shared" si="5"/>
        <v>10.416666666666668</v>
      </c>
      <c r="O27" s="43" t="s">
        <v>143</v>
      </c>
      <c r="P27" s="14">
        <v>1.5</v>
      </c>
      <c r="Q27" s="14">
        <v>0.8</v>
      </c>
      <c r="S27" t="s">
        <v>1266</v>
      </c>
      <c r="T27">
        <v>0.04</v>
      </c>
      <c r="U27">
        <v>0.15</v>
      </c>
    </row>
    <row r="28" spans="1:26" x14ac:dyDescent="0.25">
      <c r="A28" s="3"/>
      <c r="B28" s="3"/>
      <c r="C28" s="11"/>
      <c r="D28" s="11"/>
      <c r="E28" s="11"/>
      <c r="F28" s="11"/>
      <c r="G28" s="11"/>
      <c r="H28" s="11"/>
      <c r="I28" s="11"/>
      <c r="J28" s="11"/>
      <c r="K28" s="11"/>
      <c r="L28" s="11"/>
      <c r="M28" s="11"/>
      <c r="O28" s="42"/>
      <c r="P28" s="3"/>
      <c r="Q28" s="3"/>
      <c r="S28" t="s">
        <v>1267</v>
      </c>
      <c r="T28">
        <v>2.5000000000000001E-2</v>
      </c>
      <c r="U28">
        <v>0.125</v>
      </c>
    </row>
    <row r="29" spans="1:26" x14ac:dyDescent="0.25">
      <c r="A29" s="4"/>
      <c r="B29" s="4"/>
      <c r="C29" s="12"/>
      <c r="D29" s="12"/>
      <c r="E29" s="12"/>
      <c r="F29" s="12"/>
      <c r="G29" s="12"/>
      <c r="H29" s="12"/>
      <c r="I29" s="12"/>
      <c r="J29" s="12"/>
      <c r="K29" s="12"/>
      <c r="L29" s="12"/>
      <c r="M29" s="12"/>
      <c r="O29" s="43"/>
      <c r="P29" s="4"/>
      <c r="Q29" s="4"/>
      <c r="S29" t="s">
        <v>1268</v>
      </c>
      <c r="T29">
        <v>0.03</v>
      </c>
      <c r="U29">
        <v>0.2</v>
      </c>
    </row>
    <row r="30" spans="1:26" x14ac:dyDescent="0.25">
      <c r="A30" s="3"/>
      <c r="B30" s="3"/>
      <c r="C30" s="11"/>
      <c r="D30" s="11"/>
      <c r="E30" s="11"/>
      <c r="F30" s="11"/>
      <c r="G30" s="11"/>
      <c r="H30" s="11"/>
      <c r="I30" s="11"/>
      <c r="J30" s="11"/>
      <c r="K30" s="11"/>
      <c r="L30" s="11"/>
      <c r="M30" s="11"/>
      <c r="O30" s="42"/>
      <c r="P30" s="3"/>
      <c r="Q30" s="3"/>
      <c r="S30" t="s">
        <v>1269</v>
      </c>
      <c r="T30">
        <v>0.02</v>
      </c>
      <c r="U30">
        <v>0.18</v>
      </c>
    </row>
    <row r="31" spans="1:26" x14ac:dyDescent="0.25">
      <c r="A31" s="4"/>
      <c r="B31" s="4"/>
      <c r="C31" s="12"/>
      <c r="D31" s="12"/>
      <c r="E31" s="12"/>
      <c r="F31" s="12"/>
      <c r="G31" s="12"/>
      <c r="H31" s="12"/>
      <c r="I31" s="12"/>
      <c r="J31" s="12"/>
      <c r="K31" s="12"/>
      <c r="L31" s="12"/>
      <c r="M31" s="12"/>
      <c r="O31" s="43"/>
      <c r="P31" s="4"/>
      <c r="Q31" s="4"/>
      <c r="S31" t="s">
        <v>1270</v>
      </c>
      <c r="T31">
        <v>2.5000000000000001E-2</v>
      </c>
      <c r="U31">
        <v>0.15</v>
      </c>
    </row>
    <row r="32" spans="1:26" x14ac:dyDescent="0.25">
      <c r="A32" s="3"/>
      <c r="B32" s="3"/>
      <c r="C32" s="11"/>
      <c r="D32" s="11"/>
      <c r="E32" s="11"/>
      <c r="F32" s="11"/>
      <c r="G32" s="11"/>
      <c r="H32" s="11"/>
      <c r="I32" s="11"/>
      <c r="J32" s="11"/>
      <c r="K32" s="11"/>
      <c r="L32" s="11"/>
      <c r="M32" s="11"/>
      <c r="O32" s="42"/>
      <c r="P32" s="3"/>
      <c r="Q32" s="3"/>
      <c r="S32" t="s">
        <v>1271</v>
      </c>
      <c r="T32">
        <v>3.5000000000000003E-2</v>
      </c>
      <c r="U32">
        <v>0.15</v>
      </c>
    </row>
    <row r="33" spans="1:21" x14ac:dyDescent="0.25">
      <c r="A33" s="4"/>
      <c r="B33" s="4"/>
      <c r="C33" s="12"/>
      <c r="D33" s="12"/>
      <c r="E33" s="12"/>
      <c r="F33" s="12"/>
      <c r="G33" s="12"/>
      <c r="H33" s="12"/>
      <c r="I33" s="12"/>
      <c r="J33" s="12"/>
      <c r="K33" s="12"/>
      <c r="L33" s="12"/>
      <c r="M33" s="12"/>
      <c r="S33" t="s">
        <v>1272</v>
      </c>
      <c r="T33">
        <v>0.08</v>
      </c>
      <c r="U33">
        <v>0.75</v>
      </c>
    </row>
    <row r="34" spans="1:21" x14ac:dyDescent="0.25">
      <c r="A34" s="3"/>
      <c r="B34" s="3"/>
      <c r="C34" s="11"/>
      <c r="D34" s="11"/>
      <c r="E34" s="11"/>
      <c r="F34" s="11"/>
      <c r="G34" s="11"/>
      <c r="H34" s="11"/>
      <c r="I34" s="11"/>
      <c r="J34" s="11"/>
      <c r="K34" s="11"/>
      <c r="L34" s="11"/>
      <c r="M34" s="11"/>
    </row>
    <row r="37" spans="1:21" ht="50.25" customHeight="1" x14ac:dyDescent="0.25">
      <c r="A37" s="49" t="s">
        <v>323</v>
      </c>
      <c r="B37" s="7" t="s">
        <v>330</v>
      </c>
      <c r="C37" s="7" t="s">
        <v>324</v>
      </c>
      <c r="D37" s="7" t="s">
        <v>325</v>
      </c>
      <c r="E37" s="49" t="s">
        <v>440</v>
      </c>
      <c r="F37" s="49" t="s">
        <v>441</v>
      </c>
      <c r="G37" s="7" t="s">
        <v>328</v>
      </c>
      <c r="H37" s="7" t="s">
        <v>263</v>
      </c>
      <c r="I37" s="7" t="s">
        <v>329</v>
      </c>
      <c r="J37" s="49" t="s">
        <v>331</v>
      </c>
      <c r="K37" s="7" t="s">
        <v>333</v>
      </c>
      <c r="L37" s="7" t="s">
        <v>442</v>
      </c>
      <c r="M37" s="7" t="s">
        <v>443</v>
      </c>
      <c r="N37" s="7" t="s">
        <v>338</v>
      </c>
      <c r="O37" s="7" t="s">
        <v>339</v>
      </c>
      <c r="P37" s="7" t="s">
        <v>337</v>
      </c>
      <c r="Q37" s="98" t="s">
        <v>1505</v>
      </c>
    </row>
    <row r="38" spans="1:21" ht="45" x14ac:dyDescent="0.25">
      <c r="A38" s="42" t="s">
        <v>141</v>
      </c>
      <c r="B38" s="3">
        <v>60</v>
      </c>
      <c r="C38" s="3">
        <v>205</v>
      </c>
      <c r="D38" s="3">
        <v>60</v>
      </c>
      <c r="E38" s="42" t="s">
        <v>444</v>
      </c>
      <c r="F38" s="42" t="s">
        <v>326</v>
      </c>
      <c r="G38" s="3">
        <v>40</v>
      </c>
      <c r="H38" s="3">
        <v>50</v>
      </c>
      <c r="I38" s="3">
        <v>2</v>
      </c>
      <c r="J38" s="42" t="s">
        <v>334</v>
      </c>
      <c r="K38" s="3"/>
      <c r="L38" s="3">
        <v>53</v>
      </c>
      <c r="M38" s="3">
        <v>63</v>
      </c>
      <c r="N38" s="3">
        <v>50</v>
      </c>
      <c r="O38" s="3">
        <v>122</v>
      </c>
      <c r="P38" s="3">
        <v>4</v>
      </c>
      <c r="Q38" s="99" t="s">
        <v>1506</v>
      </c>
    </row>
    <row r="39" spans="1:21" ht="30" x14ac:dyDescent="0.25">
      <c r="A39" s="43" t="s">
        <v>425</v>
      </c>
      <c r="B39" s="4">
        <v>40</v>
      </c>
      <c r="C39" s="4">
        <v>240</v>
      </c>
      <c r="D39" s="4">
        <v>70</v>
      </c>
      <c r="E39" s="43" t="s">
        <v>445</v>
      </c>
      <c r="F39" s="43" t="s">
        <v>326</v>
      </c>
      <c r="G39" s="4">
        <v>40</v>
      </c>
      <c r="H39" s="4">
        <v>30</v>
      </c>
      <c r="I39" s="4">
        <v>3</v>
      </c>
      <c r="J39" s="43" t="s">
        <v>336</v>
      </c>
      <c r="K39" s="4">
        <v>0.08</v>
      </c>
      <c r="L39" s="4">
        <v>73</v>
      </c>
      <c r="M39" s="4">
        <v>83</v>
      </c>
      <c r="N39" s="4">
        <v>70</v>
      </c>
      <c r="O39" s="4">
        <v>140</v>
      </c>
      <c r="P39" s="4">
        <v>3</v>
      </c>
      <c r="Q39" s="99" t="s">
        <v>1507</v>
      </c>
    </row>
    <row r="40" spans="1:21" ht="75" x14ac:dyDescent="0.25">
      <c r="A40" s="42" t="s">
        <v>142</v>
      </c>
      <c r="B40" s="3">
        <v>60</v>
      </c>
      <c r="C40" s="3">
        <v>240</v>
      </c>
      <c r="D40" s="3">
        <v>100</v>
      </c>
      <c r="E40" s="42" t="s">
        <v>445</v>
      </c>
      <c r="F40" s="42" t="s">
        <v>327</v>
      </c>
      <c r="G40" s="3">
        <v>60</v>
      </c>
      <c r="H40" s="3">
        <v>0</v>
      </c>
      <c r="I40" s="3">
        <v>0</v>
      </c>
      <c r="J40" s="42" t="s">
        <v>334</v>
      </c>
      <c r="K40" s="3"/>
      <c r="L40" s="3">
        <v>98</v>
      </c>
      <c r="M40" s="3">
        <v>108</v>
      </c>
      <c r="N40" s="3">
        <v>96</v>
      </c>
      <c r="O40" s="3">
        <v>158</v>
      </c>
      <c r="P40" s="3">
        <v>2</v>
      </c>
      <c r="Q40" s="99" t="s">
        <v>1511</v>
      </c>
    </row>
    <row r="41" spans="1:21" ht="75" x14ac:dyDescent="0.25">
      <c r="A41" s="43" t="s">
        <v>281</v>
      </c>
      <c r="B41" s="4">
        <v>60</v>
      </c>
      <c r="C41" s="4">
        <v>270</v>
      </c>
      <c r="D41" s="4">
        <v>70</v>
      </c>
      <c r="E41" s="43" t="s">
        <v>446</v>
      </c>
      <c r="F41" s="43" t="s">
        <v>327</v>
      </c>
      <c r="G41" s="4">
        <v>45</v>
      </c>
      <c r="H41" s="4">
        <v>0</v>
      </c>
      <c r="I41" s="4">
        <v>0</v>
      </c>
      <c r="J41" s="43" t="s">
        <v>332</v>
      </c>
      <c r="K41" s="4"/>
      <c r="L41" s="4">
        <v>90</v>
      </c>
      <c r="M41" s="4">
        <v>108</v>
      </c>
      <c r="N41" s="25">
        <v>85</v>
      </c>
      <c r="O41" s="4"/>
      <c r="P41" s="4">
        <v>1</v>
      </c>
      <c r="Q41" s="99" t="s">
        <v>1512</v>
      </c>
    </row>
    <row r="42" spans="1:21" x14ac:dyDescent="0.25">
      <c r="A42" s="42" t="s">
        <v>143</v>
      </c>
      <c r="B42" s="3">
        <v>25</v>
      </c>
      <c r="C42" s="3">
        <v>230</v>
      </c>
      <c r="D42" s="3">
        <v>60</v>
      </c>
      <c r="E42" s="42" t="s">
        <v>444</v>
      </c>
      <c r="F42" s="42" t="s">
        <v>326</v>
      </c>
      <c r="G42" s="3">
        <v>40</v>
      </c>
      <c r="H42" s="3">
        <v>30</v>
      </c>
      <c r="I42" s="3">
        <v>2</v>
      </c>
      <c r="J42" s="42" t="s">
        <v>334</v>
      </c>
      <c r="K42" s="3"/>
      <c r="L42" s="3">
        <v>38</v>
      </c>
      <c r="M42" s="3">
        <v>-42</v>
      </c>
      <c r="N42" s="3">
        <v>70</v>
      </c>
      <c r="O42" s="3"/>
      <c r="P42" s="3">
        <v>3</v>
      </c>
      <c r="Q42" s="100" t="s">
        <v>1508</v>
      </c>
    </row>
    <row r="43" spans="1:21" x14ac:dyDescent="0.25">
      <c r="A43" s="43" t="s">
        <v>322</v>
      </c>
      <c r="B43" s="4">
        <v>60</v>
      </c>
      <c r="C43" s="4">
        <v>240</v>
      </c>
      <c r="D43" s="4">
        <v>60</v>
      </c>
      <c r="E43" s="43" t="s">
        <v>445</v>
      </c>
      <c r="F43" s="43" t="s">
        <v>327</v>
      </c>
      <c r="G43" s="4">
        <v>60</v>
      </c>
      <c r="H43" s="4">
        <v>50</v>
      </c>
      <c r="I43" s="4">
        <v>2</v>
      </c>
      <c r="J43" s="43" t="s">
        <v>334</v>
      </c>
      <c r="K43" s="4"/>
      <c r="L43" s="4">
        <v>97</v>
      </c>
      <c r="M43" s="4">
        <v>108</v>
      </c>
      <c r="N43" s="4">
        <v>100</v>
      </c>
      <c r="O43" s="4"/>
      <c r="P43" s="4">
        <v>4</v>
      </c>
      <c r="Q43" s="99" t="s">
        <v>1509</v>
      </c>
    </row>
    <row r="44" spans="1:21" x14ac:dyDescent="0.25">
      <c r="A44" s="42" t="s">
        <v>306</v>
      </c>
      <c r="B44" s="3">
        <v>80</v>
      </c>
      <c r="C44" s="3">
        <v>260</v>
      </c>
      <c r="D44" s="3">
        <v>100</v>
      </c>
      <c r="E44" s="42" t="s">
        <v>445</v>
      </c>
      <c r="F44" s="42" t="s">
        <v>327</v>
      </c>
      <c r="G44" s="3">
        <v>60</v>
      </c>
      <c r="H44" s="3">
        <v>20</v>
      </c>
      <c r="I44" s="3">
        <v>2</v>
      </c>
      <c r="J44" s="42" t="s">
        <v>334</v>
      </c>
      <c r="K44" s="3"/>
      <c r="L44" s="3">
        <v>98</v>
      </c>
      <c r="M44" s="3">
        <v>108</v>
      </c>
      <c r="N44" s="3">
        <v>95</v>
      </c>
      <c r="O44" s="3"/>
      <c r="P44" s="3">
        <v>3</v>
      </c>
      <c r="Q44" s="99" t="s">
        <v>1509</v>
      </c>
    </row>
    <row r="45" spans="1:21" x14ac:dyDescent="0.25">
      <c r="A45" s="43" t="s">
        <v>447</v>
      </c>
      <c r="B45" s="4">
        <v>60</v>
      </c>
      <c r="C45" s="4">
        <v>310</v>
      </c>
      <c r="D45" s="4">
        <v>145</v>
      </c>
      <c r="E45" s="43" t="s">
        <v>445</v>
      </c>
      <c r="F45" s="43" t="s">
        <v>327</v>
      </c>
      <c r="G45" s="4">
        <v>60</v>
      </c>
      <c r="H45" s="4">
        <v>0</v>
      </c>
      <c r="I45" s="4">
        <v>0</v>
      </c>
      <c r="J45" s="43" t="s">
        <v>334</v>
      </c>
      <c r="K45" s="4"/>
      <c r="L45" s="4">
        <v>138</v>
      </c>
      <c r="M45" s="4">
        <v>161</v>
      </c>
      <c r="N45" s="4">
        <v>121</v>
      </c>
      <c r="O45" s="4"/>
      <c r="P45" s="4">
        <v>3</v>
      </c>
      <c r="Q45" s="99" t="s">
        <v>1510</v>
      </c>
    </row>
    <row r="46" spans="1:21" x14ac:dyDescent="0.25">
      <c r="A46" s="42" t="s">
        <v>448</v>
      </c>
      <c r="B46" s="3">
        <v>60</v>
      </c>
      <c r="C46" s="3">
        <v>380</v>
      </c>
      <c r="D46" s="3">
        <v>150</v>
      </c>
      <c r="E46" s="42" t="s">
        <v>445</v>
      </c>
      <c r="F46" s="42" t="s">
        <v>327</v>
      </c>
      <c r="G46" s="3">
        <v>60</v>
      </c>
      <c r="H46" s="3">
        <v>0</v>
      </c>
      <c r="I46" s="3">
        <v>0</v>
      </c>
      <c r="J46" s="42" t="s">
        <v>334</v>
      </c>
      <c r="K46" s="3"/>
      <c r="L46" s="3">
        <v>216</v>
      </c>
      <c r="M46" s="3">
        <v>215</v>
      </c>
      <c r="N46" s="3"/>
      <c r="O46" s="3"/>
      <c r="P46" s="3"/>
    </row>
    <row r="47" spans="1:21" x14ac:dyDescent="0.25">
      <c r="A47" s="43" t="s">
        <v>283</v>
      </c>
      <c r="B47" s="4">
        <v>60</v>
      </c>
      <c r="C47" s="4">
        <v>265</v>
      </c>
      <c r="D47" s="4">
        <v>120</v>
      </c>
      <c r="E47" s="43" t="s">
        <v>449</v>
      </c>
      <c r="F47" s="43" t="s">
        <v>327</v>
      </c>
      <c r="G47" s="4">
        <v>60</v>
      </c>
      <c r="H47" s="4">
        <v>0</v>
      </c>
      <c r="I47" s="4">
        <v>0</v>
      </c>
      <c r="J47" s="43" t="s">
        <v>334</v>
      </c>
      <c r="K47" s="4"/>
      <c r="L47" s="4">
        <v>50</v>
      </c>
      <c r="M47" s="4">
        <v>52</v>
      </c>
      <c r="N47" s="4">
        <v>100</v>
      </c>
      <c r="O47" s="4"/>
      <c r="P47" s="4">
        <v>1</v>
      </c>
    </row>
    <row r="48" spans="1:21" x14ac:dyDescent="0.25">
      <c r="A48" s="42" t="s">
        <v>335</v>
      </c>
      <c r="B48" s="3">
        <v>25</v>
      </c>
      <c r="C48" s="3">
        <v>230</v>
      </c>
      <c r="D48" s="3">
        <v>40</v>
      </c>
      <c r="E48" s="42" t="s">
        <v>444</v>
      </c>
      <c r="F48" s="42" t="s">
        <v>326</v>
      </c>
      <c r="G48" s="3">
        <v>40</v>
      </c>
      <c r="H48" s="3">
        <v>0</v>
      </c>
      <c r="I48" s="3">
        <v>0</v>
      </c>
      <c r="J48" s="42" t="s">
        <v>334</v>
      </c>
      <c r="K48" s="3"/>
      <c r="L48" s="3"/>
      <c r="M48" s="3"/>
      <c r="N48" s="3"/>
      <c r="O48" s="3"/>
      <c r="P48" s="3">
        <v>3</v>
      </c>
    </row>
    <row r="49" spans="1:16" x14ac:dyDescent="0.25">
      <c r="A49" s="43" t="s">
        <v>454</v>
      </c>
      <c r="B49" s="4">
        <v>60</v>
      </c>
      <c r="C49" s="4">
        <v>410</v>
      </c>
      <c r="D49" s="4">
        <v>150</v>
      </c>
      <c r="E49" s="43" t="s">
        <v>445</v>
      </c>
      <c r="F49" s="43" t="s">
        <v>327</v>
      </c>
      <c r="G49" s="4">
        <v>60</v>
      </c>
      <c r="H49" s="4">
        <v>0</v>
      </c>
      <c r="I49" s="4">
        <v>0</v>
      </c>
      <c r="J49" s="43" t="s">
        <v>334</v>
      </c>
      <c r="K49" s="4"/>
      <c r="L49" s="4"/>
      <c r="M49" s="4"/>
      <c r="N49" s="4"/>
      <c r="O49" s="4"/>
      <c r="P49" s="4"/>
    </row>
    <row r="50" spans="1:16" x14ac:dyDescent="0.25">
      <c r="A50" s="42"/>
      <c r="B50" s="3"/>
      <c r="C50" s="3"/>
      <c r="D50" s="3"/>
      <c r="E50" s="42"/>
      <c r="F50" s="42"/>
      <c r="G50" s="3"/>
      <c r="H50" s="3"/>
      <c r="I50" s="3"/>
      <c r="J50" s="42"/>
      <c r="K50" s="3"/>
      <c r="L50" s="3"/>
      <c r="M50" s="3"/>
      <c r="N50" s="3"/>
      <c r="O50" s="3"/>
      <c r="P50" s="3"/>
    </row>
    <row r="51" spans="1:16" x14ac:dyDescent="0.25">
      <c r="A51" s="43" t="s">
        <v>450</v>
      </c>
      <c r="B51" s="4">
        <v>40</v>
      </c>
      <c r="C51" s="4">
        <v>245</v>
      </c>
      <c r="D51" s="4">
        <v>80</v>
      </c>
      <c r="E51" s="43"/>
      <c r="F51" s="43" t="s">
        <v>326</v>
      </c>
      <c r="G51" s="4">
        <v>40</v>
      </c>
      <c r="H51" s="4">
        <v>30</v>
      </c>
      <c r="I51" s="4">
        <v>3</v>
      </c>
      <c r="J51" s="43" t="s">
        <v>336</v>
      </c>
      <c r="K51" s="4"/>
      <c r="L51" s="4"/>
      <c r="M51" s="4"/>
      <c r="N51" s="4"/>
      <c r="O51" s="4"/>
      <c r="P51" s="4">
        <v>1</v>
      </c>
    </row>
    <row r="52" spans="1:16" x14ac:dyDescent="0.25">
      <c r="A52" s="42" t="s">
        <v>451</v>
      </c>
      <c r="B52" s="3"/>
      <c r="C52" s="3"/>
      <c r="D52" s="3"/>
      <c r="E52" s="42"/>
      <c r="F52" s="42"/>
      <c r="G52" s="3"/>
      <c r="H52" s="3"/>
      <c r="I52" s="3"/>
      <c r="J52" s="42"/>
      <c r="K52" s="3"/>
      <c r="L52" s="3">
        <v>189</v>
      </c>
      <c r="M52" s="3">
        <v>230</v>
      </c>
      <c r="N52" s="3"/>
      <c r="O52" s="3"/>
      <c r="P52" s="3"/>
    </row>
  </sheetData>
  <mergeCells count="4">
    <mergeCell ref="A1:M1"/>
    <mergeCell ref="O1:Z1"/>
    <mergeCell ref="A20:M20"/>
    <mergeCell ref="O20:Q20"/>
  </mergeCells>
  <dataValidations count="4">
    <dataValidation type="list" allowBlank="1" showInputMessage="1" showErrorMessage="1" sqref="P38:P52" xr:uid="{9AA15FA4-D49E-4D69-8D73-7B47EFD91D95}">
      <formula1>"5,4,3,2,1"</formula1>
    </dataValidation>
    <dataValidation type="list" allowBlank="1" showInputMessage="1" showErrorMessage="1" sqref="J38:J52" xr:uid="{6EC31358-1DBA-4407-B72C-8AB98FACCDEE}">
      <formula1>"High Hygroscopic,Hygroscopic,Normal"</formula1>
    </dataValidation>
    <dataValidation type="list" allowBlank="1" showInputMessage="1" showErrorMessage="1" sqref="H38:H52" xr:uid="{63B10F33-DE10-4963-A402-3FAF5182766E}">
      <formula1>"0,100,70,50,30,20"</formula1>
    </dataValidation>
    <dataValidation type="list" allowBlank="1" showInputMessage="1" showErrorMessage="1" sqref="F38:F52" xr:uid="{8AC42914-82AE-4DA0-B2CC-31D66A4C348B}">
      <formula1>"Open, Enclosure "</formula1>
    </dataValidation>
  </dataValidations>
  <pageMargins left="0.7" right="0.7" top="0.75" bottom="0.75" header="0.3" footer="0.3"/>
  <pageSetup orientation="portrait" verticalDpi="0" r:id="rId1"/>
  <ignoredErrors>
    <ignoredError sqref="C13"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E158"/>
  <sheetViews>
    <sheetView workbookViewId="0">
      <pane ySplit="1" topLeftCell="A11" activePane="bottomLeft" state="frozen"/>
      <selection activeCell="B30" sqref="B30"/>
      <selection pane="bottomLeft" activeCell="E28" sqref="E28"/>
    </sheetView>
  </sheetViews>
  <sheetFormatPr defaultRowHeight="15" x14ac:dyDescent="0.25"/>
  <cols>
    <col min="1" max="1" width="13.7109375" style="46" bestFit="1" customWidth="1"/>
    <col min="2" max="2" width="13.7109375" style="46" customWidth="1"/>
    <col min="3" max="3" width="36.28515625" style="46" customWidth="1"/>
    <col min="4" max="4" width="34.42578125" style="36" bestFit="1" customWidth="1"/>
    <col min="5" max="5" width="118.7109375" bestFit="1" customWidth="1"/>
  </cols>
  <sheetData>
    <row r="1" spans="1:5" x14ac:dyDescent="0.25">
      <c r="A1" s="41" t="s">
        <v>217</v>
      </c>
      <c r="B1" s="41" t="s">
        <v>1335</v>
      </c>
      <c r="C1" s="41" t="s">
        <v>200</v>
      </c>
      <c r="D1" s="32" t="s">
        <v>203</v>
      </c>
      <c r="E1" s="2" t="s">
        <v>206</v>
      </c>
    </row>
    <row r="2" spans="1:5" x14ac:dyDescent="0.25">
      <c r="A2" s="44" t="s">
        <v>272</v>
      </c>
      <c r="B2" s="44"/>
      <c r="C2" s="44" t="s">
        <v>369</v>
      </c>
      <c r="D2" s="33"/>
      <c r="E2" s="5"/>
    </row>
    <row r="3" spans="1:5" x14ac:dyDescent="0.25">
      <c r="A3" s="44"/>
      <c r="B3" s="44"/>
      <c r="C3" s="44" t="s">
        <v>1421</v>
      </c>
      <c r="D3" s="33"/>
      <c r="E3" s="5"/>
    </row>
    <row r="4" spans="1:5" x14ac:dyDescent="0.25">
      <c r="A4" s="42"/>
      <c r="B4" s="42"/>
      <c r="C4" s="42" t="s">
        <v>363</v>
      </c>
      <c r="D4" s="22"/>
      <c r="E4" s="3"/>
    </row>
    <row r="5" spans="1:5" x14ac:dyDescent="0.25">
      <c r="A5" s="43"/>
      <c r="B5" s="43"/>
      <c r="C5" s="43" t="s">
        <v>364</v>
      </c>
      <c r="D5" s="25" t="s">
        <v>365</v>
      </c>
      <c r="E5" s="4"/>
    </row>
    <row r="6" spans="1:5" x14ac:dyDescent="0.25">
      <c r="A6" s="42"/>
      <c r="B6" s="42"/>
      <c r="C6" s="42" t="s">
        <v>144</v>
      </c>
      <c r="D6" s="22" t="str">
        <f>GetPrusaBedShape()</f>
        <v>-10x-10,260x-10,260x180,-10x180</v>
      </c>
      <c r="E6" s="3"/>
    </row>
    <row r="7" spans="1:5" x14ac:dyDescent="0.25">
      <c r="A7" s="43"/>
      <c r="B7" s="43"/>
      <c r="C7" s="43" t="s">
        <v>355</v>
      </c>
      <c r="D7" s="25"/>
      <c r="E7" s="4"/>
    </row>
    <row r="8" spans="1:5" x14ac:dyDescent="0.25">
      <c r="A8" s="42"/>
      <c r="B8" s="42"/>
      <c r="C8" s="42" t="s">
        <v>356</v>
      </c>
      <c r="D8" s="22"/>
      <c r="E8" s="3"/>
    </row>
    <row r="9" spans="1:5" x14ac:dyDescent="0.25">
      <c r="A9" s="43"/>
      <c r="B9" s="43"/>
      <c r="C9" s="43" t="s">
        <v>145</v>
      </c>
      <c r="D9" s="25" t="str">
        <f>Get_Machine_Spec("machine_max_z")</f>
        <v>200</v>
      </c>
      <c r="E9" s="4"/>
    </row>
    <row r="10" spans="1:5" x14ac:dyDescent="0.25">
      <c r="A10" s="42"/>
      <c r="B10" s="42"/>
      <c r="C10" s="42" t="s">
        <v>424</v>
      </c>
      <c r="D10" s="22"/>
      <c r="E10" s="3"/>
    </row>
    <row r="11" spans="1:5" x14ac:dyDescent="0.25">
      <c r="A11" s="43"/>
      <c r="B11" s="43" t="s">
        <v>1418</v>
      </c>
      <c r="C11" s="43" t="s">
        <v>1457</v>
      </c>
      <c r="D11" s="79">
        <v>0</v>
      </c>
      <c r="E11" s="4"/>
    </row>
    <row r="12" spans="1:5" x14ac:dyDescent="0.25">
      <c r="A12" s="44"/>
      <c r="B12" s="44"/>
      <c r="C12" s="44" t="s">
        <v>370</v>
      </c>
      <c r="D12" s="33"/>
      <c r="E12" s="5"/>
    </row>
    <row r="13" spans="1:5" x14ac:dyDescent="0.25">
      <c r="A13" s="45"/>
      <c r="B13" s="45"/>
      <c r="C13" s="45" t="s">
        <v>224</v>
      </c>
      <c r="D13" s="34">
        <v>1</v>
      </c>
      <c r="E13" s="6"/>
    </row>
    <row r="14" spans="1:5" x14ac:dyDescent="0.25">
      <c r="A14" s="42"/>
      <c r="B14" s="42"/>
      <c r="C14" s="42" t="s">
        <v>147</v>
      </c>
      <c r="D14" s="22">
        <v>0</v>
      </c>
      <c r="E14" s="3"/>
    </row>
    <row r="15" spans="1:5" x14ac:dyDescent="0.25">
      <c r="A15" s="43"/>
      <c r="B15" s="43" t="s">
        <v>1418</v>
      </c>
      <c r="C15" s="43" t="s">
        <v>1558</v>
      </c>
      <c r="D15" s="25"/>
      <c r="E15" s="4"/>
    </row>
    <row r="16" spans="1:5" x14ac:dyDescent="0.25">
      <c r="A16" s="44"/>
      <c r="B16" s="44"/>
      <c r="C16" s="44" t="s">
        <v>371</v>
      </c>
      <c r="D16" s="33"/>
      <c r="E16" s="5"/>
    </row>
    <row r="17" spans="1:5" x14ac:dyDescent="0.25">
      <c r="A17" s="42"/>
      <c r="B17" s="42"/>
      <c r="C17" s="42" t="s">
        <v>148</v>
      </c>
      <c r="D17" s="22"/>
      <c r="E17" s="3"/>
    </row>
    <row r="18" spans="1:5" x14ac:dyDescent="0.25">
      <c r="A18" s="43"/>
      <c r="B18" s="43"/>
      <c r="C18" s="43" t="s">
        <v>276</v>
      </c>
      <c r="D18" s="25"/>
      <c r="E18" s="4"/>
    </row>
    <row r="19" spans="1:5" x14ac:dyDescent="0.25">
      <c r="A19" s="42"/>
      <c r="B19" s="42"/>
      <c r="C19" s="42" t="s">
        <v>275</v>
      </c>
      <c r="D19" s="22"/>
      <c r="E19" s="3"/>
    </row>
    <row r="20" spans="1:5" x14ac:dyDescent="0.25">
      <c r="A20" s="44"/>
      <c r="B20" s="44"/>
      <c r="C20" s="44" t="s">
        <v>372</v>
      </c>
      <c r="D20" s="33"/>
      <c r="E20" s="5"/>
    </row>
    <row r="21" spans="1:5" x14ac:dyDescent="0.25">
      <c r="A21" s="42"/>
      <c r="B21" s="42"/>
      <c r="C21" s="42" t="s">
        <v>149</v>
      </c>
      <c r="D21" s="22" t="s">
        <v>150</v>
      </c>
      <c r="E21" s="3"/>
    </row>
    <row r="22" spans="1:5" x14ac:dyDescent="0.25">
      <c r="A22" s="43"/>
      <c r="B22" s="43"/>
      <c r="C22" s="43" t="s">
        <v>151</v>
      </c>
      <c r="D22" s="25">
        <v>0</v>
      </c>
      <c r="E22" s="4"/>
    </row>
    <row r="23" spans="1:5" x14ac:dyDescent="0.25">
      <c r="A23" s="42"/>
      <c r="B23" s="42"/>
      <c r="C23" s="42" t="s">
        <v>152</v>
      </c>
      <c r="D23" s="22">
        <v>0</v>
      </c>
      <c r="E23" s="3"/>
    </row>
    <row r="24" spans="1:5" x14ac:dyDescent="0.25">
      <c r="A24" s="43"/>
      <c r="B24" s="43" t="s">
        <v>1418</v>
      </c>
      <c r="C24" s="43" t="s">
        <v>1565</v>
      </c>
      <c r="D24" s="25">
        <v>5</v>
      </c>
      <c r="E24" s="4"/>
    </row>
    <row r="25" spans="1:5" x14ac:dyDescent="0.25">
      <c r="A25" s="42"/>
      <c r="B25" s="42" t="s">
        <v>1418</v>
      </c>
      <c r="C25" s="42" t="s">
        <v>1566</v>
      </c>
      <c r="D25" s="22">
        <v>3</v>
      </c>
      <c r="E25" s="3"/>
    </row>
    <row r="26" spans="1:5" x14ac:dyDescent="0.25">
      <c r="A26" s="44"/>
      <c r="B26" s="44"/>
      <c r="C26" s="44" t="s">
        <v>1579</v>
      </c>
      <c r="D26" s="33"/>
      <c r="E26" s="5"/>
    </row>
    <row r="27" spans="1:5" x14ac:dyDescent="0.25">
      <c r="A27" s="42"/>
      <c r="B27" s="42" t="s">
        <v>1418</v>
      </c>
      <c r="C27" s="42" t="s">
        <v>1441</v>
      </c>
      <c r="D27" s="40">
        <v>0</v>
      </c>
      <c r="E27" s="3"/>
    </row>
    <row r="28" spans="1:5" x14ac:dyDescent="0.25">
      <c r="A28" s="43"/>
      <c r="B28" s="43" t="s">
        <v>1418</v>
      </c>
      <c r="C28" s="43" t="s">
        <v>1562</v>
      </c>
      <c r="D28" s="25">
        <v>0</v>
      </c>
      <c r="E28" s="4"/>
    </row>
    <row r="29" spans="1:5" x14ac:dyDescent="0.25">
      <c r="A29" s="42"/>
      <c r="B29" s="42" t="s">
        <v>1418</v>
      </c>
      <c r="C29" s="42" t="s">
        <v>1563</v>
      </c>
      <c r="D29" s="22">
        <v>0</v>
      </c>
      <c r="E29" s="3"/>
    </row>
    <row r="30" spans="1:5" x14ac:dyDescent="0.25">
      <c r="A30" s="43"/>
      <c r="B30" s="43" t="s">
        <v>1418</v>
      </c>
      <c r="C30" s="43" t="s">
        <v>1564</v>
      </c>
      <c r="D30" s="25">
        <v>1</v>
      </c>
      <c r="E30" s="4"/>
    </row>
    <row r="31" spans="1:5" x14ac:dyDescent="0.25">
      <c r="A31" s="44"/>
      <c r="B31" s="44"/>
      <c r="C31" s="44" t="s">
        <v>1580</v>
      </c>
      <c r="D31" s="33"/>
      <c r="E31" s="5"/>
    </row>
    <row r="32" spans="1:5" x14ac:dyDescent="0.25">
      <c r="A32" s="42"/>
      <c r="B32" s="42"/>
      <c r="C32" s="42" t="s">
        <v>366</v>
      </c>
      <c r="D32" s="22" t="str">
        <f>Get_Machine_Spec(C32)</f>
        <v/>
      </c>
      <c r="E32" s="3"/>
    </row>
    <row r="33" spans="1:5" x14ac:dyDescent="0.25">
      <c r="A33" s="43"/>
      <c r="B33" s="43" t="s">
        <v>1418</v>
      </c>
      <c r="C33" s="43" t="s">
        <v>1574</v>
      </c>
      <c r="D33" s="25" t="s">
        <v>1575</v>
      </c>
      <c r="E33" s="4"/>
    </row>
    <row r="34" spans="1:5" x14ac:dyDescent="0.25">
      <c r="A34" s="42"/>
      <c r="B34" s="42" t="s">
        <v>1418</v>
      </c>
      <c r="C34" s="42" t="s">
        <v>1576</v>
      </c>
      <c r="D34" s="22">
        <v>0</v>
      </c>
      <c r="E34" s="3"/>
    </row>
    <row r="35" spans="1:5" x14ac:dyDescent="0.25">
      <c r="A35" s="43"/>
      <c r="B35" s="43" t="s">
        <v>1418</v>
      </c>
      <c r="C35" s="43" t="s">
        <v>1577</v>
      </c>
      <c r="D35" s="25">
        <v>1</v>
      </c>
      <c r="E35" s="4"/>
    </row>
    <row r="36" spans="1:5" x14ac:dyDescent="0.25">
      <c r="A36" s="44"/>
      <c r="B36" s="44"/>
      <c r="C36" s="44" t="s">
        <v>373</v>
      </c>
      <c r="D36" s="33"/>
      <c r="E36" s="5"/>
    </row>
    <row r="37" spans="1:5" x14ac:dyDescent="0.25">
      <c r="A37" s="42"/>
      <c r="B37" s="42"/>
      <c r="C37" s="42" t="s">
        <v>153</v>
      </c>
      <c r="D37" s="22">
        <v>1</v>
      </c>
      <c r="E37" s="3"/>
    </row>
    <row r="38" spans="1:5" x14ac:dyDescent="0.25">
      <c r="A38" s="43"/>
      <c r="B38" s="43"/>
      <c r="C38" s="43" t="s">
        <v>154</v>
      </c>
      <c r="D38" s="25">
        <v>0</v>
      </c>
      <c r="E38" s="4"/>
    </row>
    <row r="39" spans="1:5" x14ac:dyDescent="0.25">
      <c r="A39" s="42"/>
      <c r="B39" s="42"/>
      <c r="C39" s="42" t="s">
        <v>155</v>
      </c>
      <c r="D39" s="22">
        <v>0</v>
      </c>
      <c r="E39" s="3"/>
    </row>
    <row r="40" spans="1:5" x14ac:dyDescent="0.25">
      <c r="A40" s="43"/>
      <c r="B40" s="43" t="s">
        <v>1418</v>
      </c>
      <c r="C40" s="43" t="s">
        <v>1448</v>
      </c>
      <c r="D40" s="79">
        <v>3.5000000000000003E-2</v>
      </c>
      <c r="E40" s="4"/>
    </row>
    <row r="41" spans="1:5" x14ac:dyDescent="0.25">
      <c r="A41" s="42"/>
      <c r="B41" s="42"/>
      <c r="C41" s="42" t="s">
        <v>156</v>
      </c>
      <c r="D41" s="22">
        <v>1</v>
      </c>
      <c r="E41" s="3"/>
    </row>
    <row r="42" spans="1:5" x14ac:dyDescent="0.25">
      <c r="A42" s="45"/>
      <c r="B42" s="45"/>
      <c r="C42" s="45" t="s">
        <v>354</v>
      </c>
      <c r="D42" s="34"/>
      <c r="E42" s="6" t="str">
        <f>"=Matchfill(INDEX(filament!$A$1:$K$96,MATCH(B26,filament!$B$1:$B$96,0),MATCH(FILAMENT_NAME,filament!$A$1:$K$1,0)),filament!$C$1)"</f>
        <v>=Matchfill(INDEX(filament!$A$1:$K$96,MATCH(B26,filament!$B$1:$B$96,0),MATCH(FILAMENT_NAME,filament!$A$1:$K$1,0)),filament!$C$1)</v>
      </c>
    </row>
    <row r="43" spans="1:5" x14ac:dyDescent="0.25">
      <c r="A43" s="44" t="s">
        <v>273</v>
      </c>
      <c r="B43" s="44"/>
      <c r="C43" s="44" t="s">
        <v>1582</v>
      </c>
      <c r="D43" s="33"/>
      <c r="E43" s="5"/>
    </row>
    <row r="44" spans="1:5" x14ac:dyDescent="0.25">
      <c r="A44" s="42"/>
      <c r="B44" s="42" t="s">
        <v>1418</v>
      </c>
      <c r="C44" s="42" t="s">
        <v>1451</v>
      </c>
      <c r="D44" s="35">
        <v>1</v>
      </c>
      <c r="E44" s="3"/>
    </row>
    <row r="45" spans="1:5" x14ac:dyDescent="0.25">
      <c r="A45" s="44"/>
      <c r="B45" s="44"/>
      <c r="C45" s="44" t="s">
        <v>1583</v>
      </c>
      <c r="D45" s="102"/>
      <c r="E45" s="5"/>
    </row>
    <row r="46" spans="1:5" x14ac:dyDescent="0.25">
      <c r="A46" s="42"/>
      <c r="B46" s="42" t="s">
        <v>1418</v>
      </c>
      <c r="C46" s="42" t="s">
        <v>1567</v>
      </c>
      <c r="D46" s="22" t="s">
        <v>1584</v>
      </c>
      <c r="E46" s="3"/>
    </row>
    <row r="47" spans="1:5" x14ac:dyDescent="0.25">
      <c r="A47" s="44"/>
      <c r="B47" s="44"/>
      <c r="C47" s="44" t="s">
        <v>374</v>
      </c>
      <c r="D47" s="33"/>
      <c r="E47" s="5"/>
    </row>
    <row r="48" spans="1:5" x14ac:dyDescent="0.25">
      <c r="A48" s="42"/>
      <c r="B48" s="42"/>
      <c r="C48" s="42" t="s">
        <v>162</v>
      </c>
      <c r="D48" s="22" t="str">
        <f>Get_Machine_Spec(C48)</f>
        <v>150</v>
      </c>
      <c r="E48" s="3"/>
    </row>
    <row r="49" spans="1:5" x14ac:dyDescent="0.25">
      <c r="A49" s="43"/>
      <c r="B49" s="43"/>
      <c r="C49" s="43" t="s">
        <v>163</v>
      </c>
      <c r="D49" s="25" t="str">
        <f t="shared" ref="D49:D63" si="0">Get_Machine_Spec(C49)</f>
        <v>150</v>
      </c>
      <c r="E49" s="4"/>
    </row>
    <row r="50" spans="1:5" x14ac:dyDescent="0.25">
      <c r="A50" s="42"/>
      <c r="B50" s="42"/>
      <c r="C50" s="42" t="s">
        <v>164</v>
      </c>
      <c r="D50" s="22" t="str">
        <f>Get_Machine_Spec(C50)</f>
        <v>10</v>
      </c>
      <c r="E50" s="3"/>
    </row>
    <row r="51" spans="1:5" x14ac:dyDescent="0.25">
      <c r="A51" s="43"/>
      <c r="B51" s="43"/>
      <c r="C51" s="43" t="s">
        <v>165</v>
      </c>
      <c r="D51" s="25" t="str">
        <f t="shared" si="0"/>
        <v>120</v>
      </c>
      <c r="E51" s="4"/>
    </row>
    <row r="52" spans="1:5" x14ac:dyDescent="0.25">
      <c r="A52" s="44"/>
      <c r="B52" s="44"/>
      <c r="C52" s="44" t="s">
        <v>375</v>
      </c>
      <c r="D52" s="33"/>
      <c r="E52" s="5"/>
    </row>
    <row r="53" spans="1:5" x14ac:dyDescent="0.25">
      <c r="A53" s="42"/>
      <c r="B53" s="42"/>
      <c r="C53" s="42" t="s">
        <v>166</v>
      </c>
      <c r="D53" s="22" t="str">
        <f>Get_Machine_Spec(C53)</f>
        <v>1000</v>
      </c>
      <c r="E53" s="3"/>
    </row>
    <row r="54" spans="1:5" x14ac:dyDescent="0.25">
      <c r="A54" s="43"/>
      <c r="B54" s="43"/>
      <c r="C54" s="43" t="s">
        <v>167</v>
      </c>
      <c r="D54" s="25" t="str">
        <f t="shared" si="0"/>
        <v>1000</v>
      </c>
      <c r="E54" s="4"/>
    </row>
    <row r="55" spans="1:5" x14ac:dyDescent="0.25">
      <c r="A55" s="42"/>
      <c r="B55" s="42"/>
      <c r="C55" s="42" t="s">
        <v>168</v>
      </c>
      <c r="D55" s="22" t="str">
        <f t="shared" si="0"/>
        <v>200</v>
      </c>
      <c r="E55" s="3"/>
    </row>
    <row r="56" spans="1:5" x14ac:dyDescent="0.25">
      <c r="A56" s="43"/>
      <c r="B56" s="43"/>
      <c r="C56" s="43" t="s">
        <v>169</v>
      </c>
      <c r="D56" s="25" t="str">
        <f t="shared" si="0"/>
        <v>5000</v>
      </c>
      <c r="E56" s="4"/>
    </row>
    <row r="57" spans="1:5" x14ac:dyDescent="0.25">
      <c r="A57" s="42"/>
      <c r="B57" s="42"/>
      <c r="C57" s="42" t="s">
        <v>170</v>
      </c>
      <c r="D57" s="22" t="str">
        <f>Get_Machine_Spec(C57)</f>
        <v>1000</v>
      </c>
      <c r="E57" s="3"/>
    </row>
    <row r="58" spans="1:5" x14ac:dyDescent="0.25">
      <c r="A58" s="43"/>
      <c r="B58" s="43"/>
      <c r="C58" s="43" t="s">
        <v>171</v>
      </c>
      <c r="D58" s="25" t="str">
        <f t="shared" si="0"/>
        <v>1000</v>
      </c>
      <c r="E58" s="4"/>
    </row>
    <row r="59" spans="1:5" x14ac:dyDescent="0.25">
      <c r="A59" s="44"/>
      <c r="B59" s="44"/>
      <c r="C59" s="44" t="s">
        <v>376</v>
      </c>
      <c r="D59" s="33"/>
      <c r="E59" s="5"/>
    </row>
    <row r="60" spans="1:5" x14ac:dyDescent="0.25">
      <c r="A60" s="42"/>
      <c r="B60" s="42"/>
      <c r="C60" s="42" t="s">
        <v>172</v>
      </c>
      <c r="D60" s="22" t="str">
        <f t="shared" si="0"/>
        <v>8</v>
      </c>
      <c r="E60" s="3"/>
    </row>
    <row r="61" spans="1:5" x14ac:dyDescent="0.25">
      <c r="A61" s="43"/>
      <c r="B61" s="43"/>
      <c r="C61" s="43" t="s">
        <v>173</v>
      </c>
      <c r="D61" s="25" t="str">
        <f t="shared" si="0"/>
        <v>8</v>
      </c>
      <c r="E61" s="4"/>
    </row>
    <row r="62" spans="1:5" x14ac:dyDescent="0.25">
      <c r="A62" s="42"/>
      <c r="B62" s="42"/>
      <c r="C62" s="42" t="s">
        <v>174</v>
      </c>
      <c r="D62" s="22" t="str">
        <f t="shared" si="0"/>
        <v>0.4</v>
      </c>
      <c r="E62" s="3"/>
    </row>
    <row r="63" spans="1:5" x14ac:dyDescent="0.25">
      <c r="A63" s="43"/>
      <c r="B63" s="43"/>
      <c r="C63" s="43" t="s">
        <v>175</v>
      </c>
      <c r="D63" s="25" t="str">
        <f t="shared" si="0"/>
        <v>10</v>
      </c>
      <c r="E63" s="4"/>
    </row>
    <row r="64" spans="1:5" x14ac:dyDescent="0.25">
      <c r="A64" s="45"/>
      <c r="B64" s="45"/>
      <c r="C64" s="45" t="s">
        <v>367</v>
      </c>
      <c r="D64" s="34" t="str">
        <f>Get_Machine_Spec("machine_junction_deviation")</f>
        <v>0.08</v>
      </c>
      <c r="E64" s="6"/>
    </row>
    <row r="65" spans="1:5" x14ac:dyDescent="0.25">
      <c r="A65" s="44"/>
      <c r="B65" s="44"/>
      <c r="C65" s="44" t="s">
        <v>377</v>
      </c>
      <c r="D65" s="33"/>
      <c r="E65" s="5"/>
    </row>
    <row r="66" spans="1:5" x14ac:dyDescent="0.25">
      <c r="A66" s="42"/>
      <c r="B66" s="42"/>
      <c r="C66" s="42" t="s">
        <v>176</v>
      </c>
      <c r="D66" s="22"/>
      <c r="E66" s="3"/>
    </row>
    <row r="67" spans="1:5" x14ac:dyDescent="0.25">
      <c r="A67" s="43"/>
      <c r="B67" s="43"/>
      <c r="C67" s="43" t="s">
        <v>177</v>
      </c>
      <c r="D67" s="25"/>
      <c r="E67" s="4"/>
    </row>
    <row r="68" spans="1:5" x14ac:dyDescent="0.25">
      <c r="A68" s="44" t="s">
        <v>274</v>
      </c>
      <c r="B68" s="44"/>
      <c r="C68" s="44" t="s">
        <v>378</v>
      </c>
      <c r="D68" s="33"/>
      <c r="E68" s="5"/>
    </row>
    <row r="69" spans="1:5" x14ac:dyDescent="0.25">
      <c r="A69" s="42"/>
      <c r="B69" s="42"/>
      <c r="C69" s="42" t="s">
        <v>146</v>
      </c>
      <c r="D69" s="22">
        <f>Nozzle_Diameter</f>
        <v>0.6</v>
      </c>
      <c r="E69" s="3"/>
    </row>
    <row r="70" spans="1:5" x14ac:dyDescent="0.25">
      <c r="A70" s="44"/>
      <c r="B70" s="44"/>
      <c r="C70" s="44" t="s">
        <v>379</v>
      </c>
      <c r="D70" s="33"/>
      <c r="E70" s="5"/>
    </row>
    <row r="71" spans="1:5" x14ac:dyDescent="0.25">
      <c r="A71" s="42"/>
      <c r="B71" s="42"/>
      <c r="C71" s="42" t="s">
        <v>178</v>
      </c>
      <c r="D71" s="22">
        <f>Min_Layer_Height</f>
        <v>0.12</v>
      </c>
      <c r="E71" s="3"/>
    </row>
    <row r="72" spans="1:5" x14ac:dyDescent="0.25">
      <c r="A72" s="43"/>
      <c r="B72" s="43"/>
      <c r="C72" s="43" t="s">
        <v>179</v>
      </c>
      <c r="D72" s="25">
        <f>Max_Layer_Height</f>
        <v>0.48</v>
      </c>
      <c r="E72" s="4"/>
    </row>
    <row r="73" spans="1:5" x14ac:dyDescent="0.25">
      <c r="A73" s="44"/>
      <c r="B73" s="44"/>
      <c r="C73" s="44" t="s">
        <v>380</v>
      </c>
      <c r="D73" s="33"/>
      <c r="E73" s="5"/>
    </row>
    <row r="74" spans="1:5" x14ac:dyDescent="0.25">
      <c r="A74" s="42"/>
      <c r="B74" s="42"/>
      <c r="C74" s="42" t="s">
        <v>180</v>
      </c>
      <c r="D74" s="22"/>
      <c r="E74" s="3"/>
    </row>
    <row r="75" spans="1:5" x14ac:dyDescent="0.25">
      <c r="A75" s="44"/>
      <c r="B75" s="44"/>
      <c r="C75" s="44" t="s">
        <v>381</v>
      </c>
      <c r="D75" s="33"/>
      <c r="E75" s="5"/>
    </row>
    <row r="76" spans="1:5" x14ac:dyDescent="0.25">
      <c r="A76" s="42"/>
      <c r="B76" s="42"/>
      <c r="C76" s="42" t="s">
        <v>181</v>
      </c>
      <c r="D76" s="22">
        <v>0.4</v>
      </c>
      <c r="E76" s="3"/>
    </row>
    <row r="77" spans="1:5" x14ac:dyDescent="0.25">
      <c r="A77" s="43"/>
      <c r="B77" s="43"/>
      <c r="C77" s="43" t="s">
        <v>182</v>
      </c>
      <c r="D77" s="25">
        <v>0.6</v>
      </c>
      <c r="E77" s="4"/>
    </row>
    <row r="78" spans="1:5" x14ac:dyDescent="0.25">
      <c r="A78" s="42"/>
      <c r="B78" s="42"/>
      <c r="C78" s="42" t="s">
        <v>183</v>
      </c>
      <c r="D78" s="22">
        <v>0</v>
      </c>
      <c r="E78" s="3"/>
    </row>
    <row r="79" spans="1:5" x14ac:dyDescent="0.25">
      <c r="A79" s="43"/>
      <c r="B79" s="43"/>
      <c r="C79" s="43" t="s">
        <v>184</v>
      </c>
      <c r="D79" s="25" t="str">
        <f>Get_Machine_Spec("machine_max_z")</f>
        <v>200</v>
      </c>
      <c r="E79" s="4"/>
    </row>
    <row r="80" spans="1:5" x14ac:dyDescent="0.25">
      <c r="A80" s="42"/>
      <c r="B80" s="42"/>
      <c r="C80" s="42" t="s">
        <v>185</v>
      </c>
      <c r="D80" s="22">
        <v>35</v>
      </c>
      <c r="E80" s="3"/>
    </row>
    <row r="81" spans="1:5" x14ac:dyDescent="0.25">
      <c r="A81" s="43"/>
      <c r="B81" s="43"/>
      <c r="C81" s="43" t="s">
        <v>186</v>
      </c>
      <c r="D81" s="25">
        <v>25</v>
      </c>
      <c r="E81" s="4"/>
    </row>
    <row r="82" spans="1:5" x14ac:dyDescent="0.25">
      <c r="A82" s="42"/>
      <c r="B82" s="42"/>
      <c r="C82" s="42" t="s">
        <v>187</v>
      </c>
      <c r="D82" s="22">
        <v>0</v>
      </c>
      <c r="E82" s="3"/>
    </row>
    <row r="83" spans="1:5" x14ac:dyDescent="0.25">
      <c r="A83" s="43"/>
      <c r="B83" s="43"/>
      <c r="C83" s="43" t="s">
        <v>188</v>
      </c>
      <c r="D83" s="25">
        <v>3</v>
      </c>
      <c r="E83" s="4" t="str">
        <f>IFERROR(Matchfill(INDEX(filament!$A$1:$N$108,MATCH("filament_" &amp; $C83,filament!$C$1:$C$108,0),MATCH(FILAMENT_NAME,filament!$A$1:$N$1,0)),filament!$D$1),"")</f>
        <v/>
      </c>
    </row>
    <row r="84" spans="1:5" x14ac:dyDescent="0.25">
      <c r="A84" s="42"/>
      <c r="B84" s="42"/>
      <c r="C84" s="42" t="s">
        <v>189</v>
      </c>
      <c r="D84" s="22">
        <v>1</v>
      </c>
      <c r="E84" s="3"/>
    </row>
    <row r="85" spans="1:5" x14ac:dyDescent="0.25">
      <c r="A85" s="43"/>
      <c r="B85" s="43"/>
      <c r="C85" s="43" t="s">
        <v>190</v>
      </c>
      <c r="D85" s="25">
        <v>1</v>
      </c>
      <c r="E85" s="4"/>
    </row>
    <row r="86" spans="1:5" x14ac:dyDescent="0.25">
      <c r="A86" s="45"/>
      <c r="B86" s="45"/>
      <c r="C86" s="45" t="s">
        <v>456</v>
      </c>
      <c r="D86" s="34"/>
      <c r="E86" s="6"/>
    </row>
    <row r="87" spans="1:5" x14ac:dyDescent="0.25">
      <c r="A87" s="45"/>
      <c r="B87" s="45"/>
      <c r="C87" s="45" t="s">
        <v>457</v>
      </c>
      <c r="D87" s="34"/>
      <c r="E87" s="6"/>
    </row>
    <row r="88" spans="1:5" x14ac:dyDescent="0.25">
      <c r="A88" s="42"/>
      <c r="B88" s="42"/>
      <c r="C88" s="42" t="s">
        <v>191</v>
      </c>
      <c r="D88" s="22">
        <v>0</v>
      </c>
      <c r="E88" s="3"/>
    </row>
    <row r="89" spans="1:5" x14ac:dyDescent="0.25">
      <c r="A89" s="44"/>
      <c r="B89" s="44"/>
      <c r="C89" s="44" t="s">
        <v>382</v>
      </c>
      <c r="D89" s="33"/>
      <c r="E89" s="5"/>
    </row>
    <row r="90" spans="1:5" x14ac:dyDescent="0.25">
      <c r="A90" s="42"/>
      <c r="B90" s="42"/>
      <c r="C90" s="42" t="s">
        <v>192</v>
      </c>
      <c r="D90" s="22"/>
      <c r="E90" s="3"/>
    </row>
    <row r="91" spans="1:5" x14ac:dyDescent="0.25">
      <c r="A91" s="43"/>
      <c r="B91" s="43"/>
      <c r="C91" s="43" t="s">
        <v>193</v>
      </c>
      <c r="D91" s="25"/>
      <c r="E91" s="4"/>
    </row>
    <row r="92" spans="1:5" x14ac:dyDescent="0.25">
      <c r="A92" s="44"/>
      <c r="B92" s="44"/>
      <c r="C92" s="44" t="s">
        <v>383</v>
      </c>
      <c r="D92" s="33"/>
      <c r="E92" s="5"/>
    </row>
    <row r="93" spans="1:5" x14ac:dyDescent="0.25">
      <c r="A93" s="42"/>
      <c r="B93" s="42"/>
      <c r="C93" s="42" t="s">
        <v>194</v>
      </c>
      <c r="D93" s="22" t="s">
        <v>195</v>
      </c>
      <c r="E93" s="3"/>
    </row>
    <row r="94" spans="1:5" x14ac:dyDescent="0.25">
      <c r="A94" s="44" t="s">
        <v>226</v>
      </c>
      <c r="B94" s="44"/>
      <c r="C94" s="44" t="s">
        <v>384</v>
      </c>
      <c r="D94" s="33"/>
      <c r="E94" s="5"/>
    </row>
    <row r="95" spans="1:5" ht="45" x14ac:dyDescent="0.25">
      <c r="A95" s="42"/>
      <c r="B95" s="42"/>
      <c r="C95" s="42" t="s">
        <v>205</v>
      </c>
      <c r="D95" s="22"/>
      <c r="E95" s="9" t="s">
        <v>350</v>
      </c>
    </row>
    <row r="96" spans="1:5" x14ac:dyDescent="0.25">
      <c r="A96" s="43"/>
      <c r="B96" s="43"/>
      <c r="C96" s="43" t="s">
        <v>357</v>
      </c>
      <c r="D96" s="25"/>
      <c r="E96" s="4"/>
    </row>
    <row r="97" spans="1:5" x14ac:dyDescent="0.25">
      <c r="A97" s="42"/>
      <c r="B97" s="42"/>
      <c r="C97" s="42" t="s">
        <v>358</v>
      </c>
      <c r="D97" s="22"/>
      <c r="E97" s="3"/>
    </row>
    <row r="98" spans="1:5" x14ac:dyDescent="0.25">
      <c r="A98" s="43"/>
      <c r="B98" s="43"/>
      <c r="C98" s="43" t="s">
        <v>359</v>
      </c>
      <c r="D98" s="25"/>
      <c r="E98" s="4"/>
    </row>
    <row r="99" spans="1:5" x14ac:dyDescent="0.25">
      <c r="A99" s="42"/>
      <c r="B99" s="42"/>
      <c r="C99" s="42" t="s">
        <v>360</v>
      </c>
      <c r="D99" s="22"/>
      <c r="E99" s="3"/>
    </row>
    <row r="100" spans="1:5" x14ac:dyDescent="0.25">
      <c r="A100" s="43"/>
      <c r="B100" s="43"/>
      <c r="C100" s="43" t="s">
        <v>361</v>
      </c>
      <c r="D100" s="25"/>
      <c r="E100" s="4"/>
    </row>
    <row r="101" spans="1:5" x14ac:dyDescent="0.25">
      <c r="A101" s="42"/>
      <c r="B101" s="42"/>
      <c r="C101" s="42" t="s">
        <v>362</v>
      </c>
      <c r="D101" s="22"/>
      <c r="E101" s="3"/>
    </row>
    <row r="102" spans="1:5" x14ac:dyDescent="0.25">
      <c r="A102" s="44" t="s">
        <v>227</v>
      </c>
      <c r="B102" s="44"/>
      <c r="C102" s="44" t="s">
        <v>385</v>
      </c>
      <c r="D102" s="33"/>
      <c r="E102" s="5"/>
    </row>
    <row r="103" spans="1:5" x14ac:dyDescent="0.25">
      <c r="A103" s="42"/>
      <c r="B103" s="42"/>
      <c r="C103" s="42" t="s">
        <v>199</v>
      </c>
      <c r="D103" s="22"/>
      <c r="E103" s="3"/>
    </row>
    <row r="104" spans="1:5" x14ac:dyDescent="0.25">
      <c r="A104" s="43"/>
      <c r="B104" s="43"/>
      <c r="C104" s="43" t="s">
        <v>198</v>
      </c>
      <c r="D104" s="25"/>
      <c r="E104" s="4"/>
    </row>
    <row r="105" spans="1:5" x14ac:dyDescent="0.25">
      <c r="A105" s="42"/>
      <c r="B105" s="42"/>
      <c r="C105" s="42" t="s">
        <v>197</v>
      </c>
      <c r="D105" s="22">
        <f>D69</f>
        <v>0.6</v>
      </c>
      <c r="E105" s="3"/>
    </row>
    <row r="106" spans="1:5" x14ac:dyDescent="0.25">
      <c r="A106" s="43"/>
      <c r="B106" s="43"/>
      <c r="C106" s="43" t="s">
        <v>277</v>
      </c>
      <c r="D106" s="25" t="str">
        <f>Get_Machine_Spec("printer_vendor")</f>
        <v>Anycubic</v>
      </c>
      <c r="E106" s="4"/>
    </row>
    <row r="107" spans="1:5" x14ac:dyDescent="0.25">
      <c r="A107" s="42"/>
      <c r="B107" s="42"/>
      <c r="C107" s="42" t="s">
        <v>196</v>
      </c>
      <c r="D107" s="22"/>
      <c r="E107" s="3"/>
    </row>
    <row r="108" spans="1:5" x14ac:dyDescent="0.25">
      <c r="A108" s="43"/>
      <c r="B108" s="43"/>
      <c r="C108" s="43" t="s">
        <v>278</v>
      </c>
      <c r="D108" s="25"/>
      <c r="E108" s="4"/>
    </row>
    <row r="109" spans="1:5" x14ac:dyDescent="0.25">
      <c r="A109" s="42"/>
      <c r="B109" s="42"/>
      <c r="C109" s="42" t="s">
        <v>279</v>
      </c>
      <c r="D109" s="22"/>
      <c r="E109" s="3"/>
    </row>
    <row r="110" spans="1:5" x14ac:dyDescent="0.25">
      <c r="A110" s="43"/>
      <c r="B110" s="43"/>
      <c r="C110" s="43" t="s">
        <v>280</v>
      </c>
      <c r="D110" s="25"/>
      <c r="E110" s="4"/>
    </row>
    <row r="111" spans="1:5" x14ac:dyDescent="0.25">
      <c r="A111" s="44" t="s">
        <v>271</v>
      </c>
      <c r="B111" s="44"/>
      <c r="C111" s="44" t="s">
        <v>386</v>
      </c>
      <c r="D111" s="33"/>
      <c r="E111" s="5"/>
    </row>
    <row r="112" spans="1:5" x14ac:dyDescent="0.25">
      <c r="A112" s="42"/>
      <c r="B112" s="42"/>
      <c r="C112" s="42" t="s">
        <v>157</v>
      </c>
      <c r="D112" s="37" t="s">
        <v>674</v>
      </c>
      <c r="E112" s="3" t="s">
        <v>423</v>
      </c>
    </row>
    <row r="113" spans="1:5" x14ac:dyDescent="0.25">
      <c r="A113" s="43"/>
      <c r="B113" s="43"/>
      <c r="C113" s="43" t="s">
        <v>158</v>
      </c>
      <c r="D113" s="38" t="s">
        <v>673</v>
      </c>
      <c r="E113" s="4" t="s">
        <v>423</v>
      </c>
    </row>
    <row r="114" spans="1:5" x14ac:dyDescent="0.25">
      <c r="A114" s="42"/>
      <c r="B114" s="42"/>
      <c r="C114" s="42" t="s">
        <v>159</v>
      </c>
      <c r="D114" s="22" t="s">
        <v>670</v>
      </c>
      <c r="E114" s="3" t="s">
        <v>423</v>
      </c>
    </row>
    <row r="115" spans="1:5" x14ac:dyDescent="0.25">
      <c r="A115" s="43"/>
      <c r="B115" s="43"/>
      <c r="C115" s="43" t="s">
        <v>160</v>
      </c>
      <c r="D115" s="25" t="s">
        <v>669</v>
      </c>
      <c r="E115" s="4" t="s">
        <v>423</v>
      </c>
    </row>
    <row r="116" spans="1:5" x14ac:dyDescent="0.25">
      <c r="A116" s="42"/>
      <c r="B116" s="42"/>
      <c r="C116" s="42" t="s">
        <v>161</v>
      </c>
      <c r="D116" s="22"/>
      <c r="E116" s="3" t="s">
        <v>423</v>
      </c>
    </row>
    <row r="117" spans="1:5" x14ac:dyDescent="0.25">
      <c r="A117" s="43"/>
      <c r="B117" s="43"/>
      <c r="C117" s="43" t="s">
        <v>201</v>
      </c>
      <c r="D117" s="25"/>
      <c r="E117" s="4" t="s">
        <v>423</v>
      </c>
    </row>
    <row r="118" spans="1:5" x14ac:dyDescent="0.25">
      <c r="A118" s="44"/>
      <c r="B118" s="44"/>
      <c r="C118" s="44" t="s">
        <v>1420</v>
      </c>
      <c r="D118" s="33"/>
      <c r="E118" s="5"/>
    </row>
    <row r="119" spans="1:5" x14ac:dyDescent="0.25">
      <c r="A119" s="44" t="s">
        <v>1419</v>
      </c>
      <c r="B119" s="44"/>
      <c r="C119" s="44" t="s">
        <v>1417</v>
      </c>
      <c r="D119" s="33"/>
      <c r="E119" s="5"/>
    </row>
    <row r="120" spans="1:5" x14ac:dyDescent="0.25">
      <c r="A120" s="42"/>
      <c r="B120" s="42" t="s">
        <v>1418</v>
      </c>
      <c r="C120" s="42" t="s">
        <v>1442</v>
      </c>
      <c r="D120" s="40"/>
      <c r="E120" s="3"/>
    </row>
    <row r="121" spans="1:5" x14ac:dyDescent="0.25">
      <c r="A121" s="43"/>
      <c r="B121" s="43" t="s">
        <v>1418</v>
      </c>
      <c r="C121" s="43" t="s">
        <v>1443</v>
      </c>
      <c r="D121" s="79" t="str">
        <f>Get_Machine_Spec("machine_max_acceleration_travel")</f>
        <v>1000</v>
      </c>
      <c r="E121" s="4"/>
    </row>
    <row r="122" spans="1:5" x14ac:dyDescent="0.25">
      <c r="A122" s="42"/>
      <c r="B122" s="42" t="s">
        <v>1418</v>
      </c>
      <c r="C122" s="42" t="s">
        <v>1444</v>
      </c>
      <c r="D122" s="40"/>
      <c r="E122" s="3"/>
    </row>
    <row r="123" spans="1:5" x14ac:dyDescent="0.25">
      <c r="A123" s="43"/>
      <c r="B123" s="43" t="s">
        <v>1418</v>
      </c>
      <c r="C123" s="43" t="s">
        <v>1445</v>
      </c>
      <c r="D123" s="81"/>
      <c r="E123" s="4"/>
    </row>
    <row r="124" spans="1:5" x14ac:dyDescent="0.25">
      <c r="A124" s="42"/>
      <c r="B124" s="42" t="s">
        <v>1418</v>
      </c>
      <c r="C124" s="42" t="s">
        <v>1446</v>
      </c>
      <c r="D124" s="94"/>
      <c r="E124" s="3"/>
    </row>
    <row r="125" spans="1:5" x14ac:dyDescent="0.25">
      <c r="A125" s="43"/>
      <c r="B125" s="43" t="s">
        <v>1418</v>
      </c>
      <c r="C125" s="43" t="s">
        <v>1447</v>
      </c>
      <c r="D125" s="79"/>
      <c r="E125" s="4"/>
    </row>
    <row r="126" spans="1:5" x14ac:dyDescent="0.25">
      <c r="A126" s="42"/>
      <c r="B126" s="42" t="s">
        <v>1418</v>
      </c>
      <c r="C126" s="42" t="s">
        <v>1449</v>
      </c>
      <c r="D126" s="40"/>
      <c r="E126" s="3"/>
    </row>
    <row r="127" spans="1:5" ht="17.25" customHeight="1" x14ac:dyDescent="0.25">
      <c r="A127" s="43"/>
      <c r="B127" s="43" t="s">
        <v>1418</v>
      </c>
      <c r="C127" s="43" t="s">
        <v>1450</v>
      </c>
      <c r="D127" s="79"/>
      <c r="E127" s="4"/>
    </row>
    <row r="128" spans="1:5" x14ac:dyDescent="0.25">
      <c r="A128" s="42"/>
      <c r="B128" s="42" t="s">
        <v>1418</v>
      </c>
      <c r="C128" s="42" t="s">
        <v>1452</v>
      </c>
      <c r="D128" s="22"/>
      <c r="E128" s="3"/>
    </row>
    <row r="129" spans="1:5" x14ac:dyDescent="0.25">
      <c r="A129" s="43"/>
      <c r="B129" s="43" t="s">
        <v>1418</v>
      </c>
      <c r="C129" s="43" t="s">
        <v>1453</v>
      </c>
      <c r="D129" s="81"/>
      <c r="E129" s="4"/>
    </row>
    <row r="130" spans="1:5" x14ac:dyDescent="0.25">
      <c r="A130" s="42"/>
      <c r="B130" s="42" t="s">
        <v>1418</v>
      </c>
      <c r="C130" s="42" t="s">
        <v>1454</v>
      </c>
      <c r="D130" s="40"/>
      <c r="E130" s="3"/>
    </row>
    <row r="131" spans="1:5" x14ac:dyDescent="0.25">
      <c r="A131" s="43"/>
      <c r="B131" s="43" t="s">
        <v>1418</v>
      </c>
      <c r="C131" s="43" t="s">
        <v>1455</v>
      </c>
      <c r="D131" s="79"/>
      <c r="E131" s="4"/>
    </row>
    <row r="132" spans="1:5" x14ac:dyDescent="0.25">
      <c r="A132" s="42"/>
      <c r="B132" s="42" t="s">
        <v>1418</v>
      </c>
      <c r="C132" s="42" t="s">
        <v>1456</v>
      </c>
      <c r="D132" s="40"/>
      <c r="E132" s="3"/>
    </row>
    <row r="133" spans="1:5" x14ac:dyDescent="0.25">
      <c r="A133" s="43"/>
      <c r="B133" s="43" t="s">
        <v>1418</v>
      </c>
      <c r="C133" s="43" t="s">
        <v>1559</v>
      </c>
      <c r="D133" s="25"/>
      <c r="E133" s="4"/>
    </row>
    <row r="134" spans="1:5" x14ac:dyDescent="0.25">
      <c r="A134" s="42"/>
      <c r="B134" s="42" t="s">
        <v>1418</v>
      </c>
      <c r="C134" s="42" t="s">
        <v>1560</v>
      </c>
      <c r="D134" s="35"/>
      <c r="E134" s="3"/>
    </row>
    <row r="135" spans="1:5" x14ac:dyDescent="0.25">
      <c r="A135" s="43"/>
      <c r="B135" s="43" t="s">
        <v>1418</v>
      </c>
      <c r="C135" s="43" t="s">
        <v>1561</v>
      </c>
      <c r="D135" s="25"/>
      <c r="E135" s="4"/>
    </row>
    <row r="136" spans="1:5" x14ac:dyDescent="0.25">
      <c r="A136" s="42"/>
      <c r="B136" s="42" t="s">
        <v>1418</v>
      </c>
      <c r="C136" s="42" t="s">
        <v>1568</v>
      </c>
      <c r="D136" s="22"/>
      <c r="E136" s="3"/>
    </row>
    <row r="137" spans="1:5" x14ac:dyDescent="0.25">
      <c r="A137" s="43"/>
      <c r="B137" s="43" t="s">
        <v>1418</v>
      </c>
      <c r="C137" s="43" t="s">
        <v>1569</v>
      </c>
      <c r="D137" s="25"/>
      <c r="E137" s="4"/>
    </row>
    <row r="138" spans="1:5" x14ac:dyDescent="0.25">
      <c r="A138" s="42"/>
      <c r="B138" s="42" t="s">
        <v>1418</v>
      </c>
      <c r="C138" s="42" t="s">
        <v>1570</v>
      </c>
      <c r="D138" s="22"/>
      <c r="E138" s="3"/>
    </row>
    <row r="139" spans="1:5" x14ac:dyDescent="0.25">
      <c r="A139" s="43"/>
      <c r="B139" s="43" t="s">
        <v>1418</v>
      </c>
      <c r="C139" s="43" t="s">
        <v>1571</v>
      </c>
      <c r="D139" s="25"/>
      <c r="E139" s="4"/>
    </row>
    <row r="140" spans="1:5" x14ac:dyDescent="0.25">
      <c r="A140" s="42"/>
      <c r="B140" s="42" t="s">
        <v>1418</v>
      </c>
      <c r="C140" s="42" t="s">
        <v>1572</v>
      </c>
      <c r="D140" s="22"/>
      <c r="E140" s="3"/>
    </row>
    <row r="141" spans="1:5" x14ac:dyDescent="0.25">
      <c r="A141" s="43"/>
      <c r="B141" s="43" t="s">
        <v>1418</v>
      </c>
      <c r="C141" s="43" t="s">
        <v>1573</v>
      </c>
      <c r="D141" s="25"/>
      <c r="E141" s="4"/>
    </row>
    <row r="142" spans="1:5" x14ac:dyDescent="0.25">
      <c r="A142" s="42"/>
      <c r="B142" s="42" t="s">
        <v>1418</v>
      </c>
      <c r="C142" s="42" t="s">
        <v>1578</v>
      </c>
      <c r="D142" s="22"/>
      <c r="E142" s="3"/>
    </row>
    <row r="143" spans="1:5" x14ac:dyDescent="0.25">
      <c r="A143" s="44"/>
      <c r="B143" s="44"/>
      <c r="C143" s="44" t="s">
        <v>1416</v>
      </c>
      <c r="D143" s="33"/>
      <c r="E143" s="5"/>
    </row>
    <row r="144" spans="1:5" x14ac:dyDescent="0.25">
      <c r="A144" s="42"/>
      <c r="B144" s="42"/>
      <c r="C144" s="42"/>
      <c r="D144" s="22"/>
      <c r="E144" s="3"/>
    </row>
    <row r="145" spans="1:5" x14ac:dyDescent="0.25">
      <c r="A145" s="43"/>
      <c r="B145" s="43"/>
      <c r="C145" s="43"/>
      <c r="D145" s="25"/>
      <c r="E145" s="4"/>
    </row>
    <row r="146" spans="1:5" x14ac:dyDescent="0.25">
      <c r="A146" s="42"/>
      <c r="B146" s="42"/>
      <c r="C146" s="42"/>
      <c r="D146" s="22"/>
      <c r="E146" s="3"/>
    </row>
    <row r="147" spans="1:5" x14ac:dyDescent="0.25">
      <c r="A147" s="43"/>
      <c r="B147" s="43"/>
      <c r="C147" s="43"/>
      <c r="D147" s="25"/>
      <c r="E147" s="4"/>
    </row>
    <row r="148" spans="1:5" x14ac:dyDescent="0.25">
      <c r="A148" s="42"/>
      <c r="B148" s="42"/>
      <c r="C148" s="42"/>
      <c r="D148" s="22"/>
      <c r="E148" s="3"/>
    </row>
    <row r="149" spans="1:5" x14ac:dyDescent="0.25">
      <c r="A149" s="43"/>
      <c r="B149" s="43"/>
      <c r="C149" s="43"/>
      <c r="D149" s="25"/>
      <c r="E149" s="4"/>
    </row>
    <row r="150" spans="1:5" x14ac:dyDescent="0.25">
      <c r="A150" s="42"/>
      <c r="B150" s="42"/>
      <c r="C150" s="42"/>
      <c r="D150" s="22"/>
      <c r="E150" s="3"/>
    </row>
    <row r="151" spans="1:5" x14ac:dyDescent="0.25">
      <c r="A151" s="43"/>
      <c r="B151" s="43"/>
      <c r="C151" s="43"/>
      <c r="D151" s="25"/>
      <c r="E151" s="4"/>
    </row>
    <row r="152" spans="1:5" x14ac:dyDescent="0.25">
      <c r="A152" s="42"/>
      <c r="B152" s="42"/>
      <c r="C152" s="42"/>
      <c r="D152" s="22"/>
      <c r="E152" s="3"/>
    </row>
    <row r="153" spans="1:5" x14ac:dyDescent="0.25">
      <c r="A153" s="43"/>
      <c r="B153" s="43"/>
      <c r="C153" s="43"/>
      <c r="D153" s="25"/>
      <c r="E153" s="4"/>
    </row>
    <row r="154" spans="1:5" x14ac:dyDescent="0.25">
      <c r="A154" s="42"/>
      <c r="B154" s="42"/>
      <c r="C154" s="42"/>
      <c r="D154" s="22"/>
      <c r="E154" s="3"/>
    </row>
    <row r="155" spans="1:5" x14ac:dyDescent="0.25">
      <c r="A155" s="43"/>
      <c r="B155" s="43"/>
      <c r="C155" s="43"/>
      <c r="D155" s="25"/>
      <c r="E155" s="4"/>
    </row>
    <row r="156" spans="1:5" x14ac:dyDescent="0.25">
      <c r="A156" s="42"/>
      <c r="B156" s="42"/>
      <c r="C156" s="42"/>
      <c r="D156" s="22"/>
      <c r="E156" s="3"/>
    </row>
    <row r="157" spans="1:5" x14ac:dyDescent="0.25">
      <c r="A157" s="43"/>
      <c r="B157" s="43"/>
      <c r="C157" s="43"/>
      <c r="D157" s="25"/>
      <c r="E157" s="4"/>
    </row>
    <row r="158" spans="1:5" x14ac:dyDescent="0.25">
      <c r="A158" s="42"/>
      <c r="B158" s="42"/>
      <c r="C158" s="42"/>
      <c r="D158" s="22"/>
      <c r="E158" s="3"/>
    </row>
  </sheetData>
  <dataValidations count="4">
    <dataValidation type="list" allowBlank="1" showInputMessage="1" showErrorMessage="1" sqref="D17" xr:uid="{DBA48198-24E8-4186-BA5E-F544F397903E}">
      <formula1>"octoprint,duet,flashair,astrobox"</formula1>
    </dataValidation>
    <dataValidation type="list" allowBlank="1" showInputMessage="1" showErrorMessage="1" sqref="D21" xr:uid="{4BA02800-4BB4-4E84-9FD9-6B5DC0F82ECF}">
      <formula1>"reprap,repetier,teacup,makerware,marlin,klipper,sailfish,smoothie,mach3,machinekit,no-extrusion"</formula1>
    </dataValidation>
    <dataValidation type="list" allowBlank="1" showInputMessage="1" showErrorMessage="1" sqref="D129" xr:uid="{3D84F772-2327-40E3-9428-EDB684A60D23}">
      <formula1>"linear,quadra,expo"</formula1>
    </dataValidation>
    <dataValidation type="list" allowBlank="1" showInputMessage="1" showErrorMessage="1" sqref="D46" xr:uid="{7FA3F4CE-5744-4EA1-A15D-F0E6EF82B722}">
      <formula1>"emit_to_gcode,time_estimate_only,limits,ignore"</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1FF9B-4D63-48BF-AAA1-18C374BC5F9A}">
  <sheetPr codeName="Sheet5"/>
  <dimension ref="A1:N502"/>
  <sheetViews>
    <sheetView workbookViewId="0">
      <pane ySplit="1" topLeftCell="A53" activePane="bottomLeft" state="frozen"/>
      <selection activeCell="B30" sqref="B30"/>
      <selection pane="bottomLeft" activeCell="D73" sqref="D73"/>
    </sheetView>
  </sheetViews>
  <sheetFormatPr defaultRowHeight="15" x14ac:dyDescent="0.25"/>
  <cols>
    <col min="1" max="2" width="16.7109375" style="46" customWidth="1"/>
    <col min="3" max="3" width="35.28515625" style="46" bestFit="1" customWidth="1"/>
    <col min="4" max="4" width="9.140625" customWidth="1"/>
    <col min="5" max="5" width="8.140625" customWidth="1"/>
    <col min="11" max="11" width="8.5703125" customWidth="1"/>
    <col min="12" max="12" width="8.28515625" customWidth="1"/>
    <col min="13" max="13" width="8.140625" customWidth="1"/>
    <col min="14" max="14" width="76.85546875" customWidth="1"/>
  </cols>
  <sheetData>
    <row r="1" spans="1:14" x14ac:dyDescent="0.25">
      <c r="A1" s="41" t="s">
        <v>217</v>
      </c>
      <c r="B1" s="41" t="s">
        <v>1335</v>
      </c>
      <c r="C1" s="41" t="s">
        <v>200</v>
      </c>
      <c r="D1" s="2" t="s">
        <v>100</v>
      </c>
      <c r="E1" s="2" t="s">
        <v>141</v>
      </c>
      <c r="F1" s="2" t="s">
        <v>425</v>
      </c>
      <c r="G1" s="2" t="s">
        <v>142</v>
      </c>
      <c r="H1" s="2" t="s">
        <v>306</v>
      </c>
      <c r="I1" s="2" t="s">
        <v>281</v>
      </c>
      <c r="J1" s="2" t="s">
        <v>283</v>
      </c>
      <c r="K1" s="2" t="s">
        <v>143</v>
      </c>
      <c r="L1" s="2" t="s">
        <v>322</v>
      </c>
      <c r="M1" s="2" t="s">
        <v>447</v>
      </c>
      <c r="N1" s="2" t="s">
        <v>206</v>
      </c>
    </row>
    <row r="2" spans="1:14" x14ac:dyDescent="0.25">
      <c r="A2" s="5" t="str">
        <f>Fill_Value(filament!A2)</f>
        <v>Filament</v>
      </c>
      <c r="B2" s="5" t="str">
        <f>Fill_Value(filament!B2)</f>
        <v/>
      </c>
      <c r="C2" s="5" t="str">
        <f>Fill_Value(filament!C2)</f>
        <v>##Filament</v>
      </c>
      <c r="D2" s="5"/>
      <c r="E2" s="5"/>
      <c r="F2" s="5"/>
      <c r="G2" s="5"/>
      <c r="H2" s="5"/>
      <c r="I2" s="5"/>
      <c r="J2" s="5"/>
      <c r="K2" s="5"/>
      <c r="L2" s="5"/>
      <c r="M2" s="5"/>
      <c r="N2" s="5"/>
    </row>
    <row r="3" spans="1:14" x14ac:dyDescent="0.25">
      <c r="A3" s="5" t="str">
        <f>Fill_Value(filament!A3)</f>
        <v/>
      </c>
      <c r="B3" s="76" t="str">
        <f>Fill_Value(filament!B3)</f>
        <v/>
      </c>
      <c r="C3" s="76" t="str">
        <f>Fill_Value(filament!C3)</f>
        <v>##Prusa Slicer Settings Start</v>
      </c>
      <c r="D3" s="5"/>
      <c r="E3" s="5"/>
      <c r="F3" s="5"/>
      <c r="G3" s="5"/>
      <c r="H3" s="5"/>
      <c r="I3" s="5"/>
      <c r="J3" s="5"/>
      <c r="K3" s="5"/>
      <c r="L3" s="5"/>
      <c r="M3" s="5"/>
      <c r="N3" s="5"/>
    </row>
    <row r="4" spans="1:14" x14ac:dyDescent="0.25">
      <c r="A4" s="3" t="str">
        <f>Fill_Value(filament!A4)</f>
        <v/>
      </c>
      <c r="B4" s="3" t="str">
        <f>Fill_Value(filament!B4)</f>
        <v/>
      </c>
      <c r="C4" s="3" t="str">
        <f>Fill_Value(filament!C4)</f>
        <v>filament_colour</v>
      </c>
      <c r="D4" s="3"/>
      <c r="E4" s="3"/>
      <c r="F4" s="3"/>
      <c r="G4" s="3"/>
      <c r="H4" s="3"/>
      <c r="I4" s="3"/>
      <c r="J4" s="3"/>
      <c r="K4" s="3"/>
      <c r="L4" s="3"/>
      <c r="M4" s="3"/>
      <c r="N4" s="3"/>
    </row>
    <row r="5" spans="1:14" x14ac:dyDescent="0.25">
      <c r="A5" s="4" t="str">
        <f>Fill_Value(filament!A5)</f>
        <v/>
      </c>
      <c r="B5" s="59" t="str">
        <f>Fill_Value(filament!B5)</f>
        <v/>
      </c>
      <c r="C5" s="59" t="str">
        <f>Fill_Value(filament!C5)</f>
        <v>filament_diameter</v>
      </c>
      <c r="D5" s="4"/>
      <c r="E5" s="4"/>
      <c r="F5" s="4"/>
      <c r="G5" s="4"/>
      <c r="H5" s="4"/>
      <c r="I5" s="4"/>
      <c r="J5" s="4"/>
      <c r="K5" s="4"/>
      <c r="L5" s="4"/>
      <c r="M5" s="4"/>
      <c r="N5" s="4"/>
    </row>
    <row r="6" spans="1:14" x14ac:dyDescent="0.25">
      <c r="A6" s="3" t="str">
        <f>Fill_Value(filament!A6)</f>
        <v/>
      </c>
      <c r="B6" s="47" t="str">
        <f>Fill_Value(filament!B6)</f>
        <v/>
      </c>
      <c r="C6" s="47" t="str">
        <f>Fill_Value(filament!C6)</f>
        <v>extrusion_multiplier</v>
      </c>
      <c r="D6" s="3"/>
      <c r="E6" s="3"/>
      <c r="F6" s="3"/>
      <c r="G6" s="3"/>
      <c r="H6" s="3"/>
      <c r="I6" s="3"/>
      <c r="J6" s="3"/>
      <c r="K6" s="3"/>
      <c r="L6" s="3"/>
      <c r="M6" s="3"/>
      <c r="N6" s="3"/>
    </row>
    <row r="7" spans="1:14" x14ac:dyDescent="0.25">
      <c r="A7" s="4" t="str">
        <f>Fill_Value(filament!A7)</f>
        <v/>
      </c>
      <c r="B7" s="59" t="str">
        <f>Fill_Value(filament!B7)</f>
        <v/>
      </c>
      <c r="C7" s="59" t="str">
        <f>Fill_Value(filament!C7)</f>
        <v>filament_density</v>
      </c>
      <c r="D7" s="4"/>
      <c r="E7" s="4"/>
      <c r="F7" s="4"/>
      <c r="G7" s="4"/>
      <c r="H7" s="4"/>
      <c r="I7" s="4"/>
      <c r="J7" s="4"/>
      <c r="K7" s="4"/>
      <c r="L7" s="4"/>
      <c r="M7" s="4"/>
      <c r="N7" s="4"/>
    </row>
    <row r="8" spans="1:14" x14ac:dyDescent="0.25">
      <c r="A8" s="3" t="str">
        <f>Fill_Value(filament!A8)</f>
        <v/>
      </c>
      <c r="B8" s="47" t="str">
        <f>Fill_Value(filament!B8)</f>
        <v/>
      </c>
      <c r="C8" s="47" t="str">
        <f>Fill_Value(filament!C8)</f>
        <v>filament_cost</v>
      </c>
      <c r="D8" s="3"/>
      <c r="E8" s="3"/>
      <c r="F8" s="3"/>
      <c r="G8" s="3"/>
      <c r="H8" s="3"/>
      <c r="I8" s="3"/>
      <c r="J8" s="3"/>
      <c r="K8" s="3"/>
      <c r="L8" s="3"/>
      <c r="M8" s="3"/>
      <c r="N8" s="3"/>
    </row>
    <row r="9" spans="1:14" x14ac:dyDescent="0.25">
      <c r="A9" s="4" t="str">
        <f>Fill_Value(filament!A9)</f>
        <v/>
      </c>
      <c r="B9" s="4" t="str">
        <f>Fill_Value(filament!B9)</f>
        <v/>
      </c>
      <c r="C9" s="4" t="str">
        <f>Fill_Value(filament!C9)</f>
        <v>filament_spool_weight</v>
      </c>
      <c r="D9" s="4"/>
      <c r="E9" s="4"/>
      <c r="F9" s="4"/>
      <c r="G9" s="4"/>
      <c r="H9" s="4"/>
      <c r="I9" s="4"/>
      <c r="J9" s="4"/>
      <c r="K9" s="4"/>
      <c r="L9" s="4"/>
      <c r="M9" s="4"/>
      <c r="N9" s="4"/>
    </row>
    <row r="10" spans="1:14" x14ac:dyDescent="0.25">
      <c r="A10" s="5" t="str">
        <f>Fill_Value(filament!A10)</f>
        <v/>
      </c>
      <c r="B10" s="76" t="str">
        <f>Fill_Value(filament!B10)</f>
        <v/>
      </c>
      <c r="C10" s="76" t="str">
        <f>Fill_Value(filament!C10)</f>
        <v>##Temperature C</v>
      </c>
      <c r="D10" s="5"/>
      <c r="E10" s="5"/>
      <c r="F10" s="5"/>
      <c r="G10" s="5"/>
      <c r="H10" s="5"/>
      <c r="I10" s="5"/>
      <c r="J10" s="5"/>
      <c r="K10" s="5"/>
      <c r="L10" s="5"/>
      <c r="M10" s="5"/>
      <c r="N10" s="5"/>
    </row>
    <row r="11" spans="1:14" x14ac:dyDescent="0.25">
      <c r="A11" s="3" t="str">
        <f>Fill_Value(filament!A11)</f>
        <v/>
      </c>
      <c r="B11" s="47" t="str">
        <f>Fill_Value(filament!B11)</f>
        <v/>
      </c>
      <c r="C11" s="47" t="str">
        <f>Fill_Value(filament!C11)</f>
        <v>first_layer_temperature</v>
      </c>
      <c r="D11" s="3"/>
      <c r="E11" s="3">
        <v>200</v>
      </c>
      <c r="F11" s="3"/>
      <c r="G11" s="3"/>
      <c r="H11" s="3"/>
      <c r="I11" s="3"/>
      <c r="J11" s="3"/>
      <c r="K11" s="3"/>
      <c r="L11" s="3"/>
      <c r="M11" s="3"/>
      <c r="N11" s="3"/>
    </row>
    <row r="12" spans="1:14" x14ac:dyDescent="0.25">
      <c r="A12" s="4" t="str">
        <f>Fill_Value(filament!A12)</f>
        <v/>
      </c>
      <c r="B12" s="59" t="str">
        <f>Fill_Value(filament!B12)</f>
        <v/>
      </c>
      <c r="C12" s="59" t="str">
        <f>Fill_Value(filament!C12)</f>
        <v>temperature</v>
      </c>
      <c r="D12" s="4"/>
      <c r="E12" s="4">
        <v>200</v>
      </c>
      <c r="F12" s="4"/>
      <c r="G12" s="4"/>
      <c r="H12" s="4"/>
      <c r="I12" s="4"/>
      <c r="J12" s="4"/>
      <c r="K12" s="4"/>
      <c r="L12" s="4"/>
      <c r="M12" s="4"/>
      <c r="N12" s="4"/>
    </row>
    <row r="13" spans="1:14" x14ac:dyDescent="0.25">
      <c r="A13" s="3" t="str">
        <f>Fill_Value(filament!A13)</f>
        <v/>
      </c>
      <c r="B13" s="47" t="str">
        <f>Fill_Value(filament!B13)</f>
        <v/>
      </c>
      <c r="C13" s="47" t="str">
        <f>Fill_Value(filament!C13)</f>
        <v>first_layer_bed_temperature</v>
      </c>
      <c r="D13" s="3"/>
      <c r="E13" s="3"/>
      <c r="F13" s="3"/>
      <c r="G13" s="3"/>
      <c r="H13" s="3"/>
      <c r="I13" s="3"/>
      <c r="J13" s="3"/>
      <c r="K13" s="3"/>
      <c r="L13" s="3"/>
      <c r="M13" s="3"/>
      <c r="N13" s="3"/>
    </row>
    <row r="14" spans="1:14" x14ac:dyDescent="0.25">
      <c r="A14" s="4" t="str">
        <f>Fill_Value(filament!A14)</f>
        <v/>
      </c>
      <c r="B14" s="59" t="str">
        <f>Fill_Value(filament!B14)</f>
        <v/>
      </c>
      <c r="C14" s="59" t="str">
        <f>Fill_Value(filament!C14)</f>
        <v>bed_temperature</v>
      </c>
      <c r="D14" s="4"/>
      <c r="E14" s="4"/>
      <c r="F14" s="4"/>
      <c r="G14" s="4"/>
      <c r="H14" s="4"/>
      <c r="I14" s="4"/>
      <c r="J14" s="4"/>
      <c r="K14" s="4"/>
      <c r="L14" s="4"/>
      <c r="M14" s="4"/>
      <c r="N14" s="4"/>
    </row>
    <row r="15" spans="1:14" x14ac:dyDescent="0.25">
      <c r="A15" s="3" t="str">
        <f>Fill_Value(filament!A15)</f>
        <v/>
      </c>
      <c r="B15" s="3" t="str">
        <f>Fill_Value(filament!B15)</f>
        <v>super</v>
      </c>
      <c r="C15" s="3" t="str">
        <f>Fill_Value(filament!C15)</f>
        <v>chamber_temperature</v>
      </c>
      <c r="D15" s="3"/>
      <c r="E15" s="3"/>
      <c r="F15" s="3"/>
      <c r="G15" s="3"/>
      <c r="H15" s="3"/>
      <c r="I15" s="3"/>
      <c r="J15" s="3"/>
      <c r="K15" s="3"/>
      <c r="L15" s="3"/>
      <c r="M15" s="3"/>
      <c r="N15" s="3"/>
    </row>
    <row r="16" spans="1:14" x14ac:dyDescent="0.25">
      <c r="A16" s="5" t="str">
        <f>Fill_Value(filament!A16)</f>
        <v/>
      </c>
      <c r="B16" s="5" t="str">
        <f>Fill_Value(filament!B16)</f>
        <v/>
      </c>
      <c r="C16" s="5" t="str">
        <f>Fill_Value(filament!C16)</f>
        <v>##Filament Properties</v>
      </c>
      <c r="D16" s="5"/>
      <c r="E16" s="5"/>
      <c r="F16" s="5"/>
      <c r="G16" s="5"/>
      <c r="H16" s="5"/>
      <c r="I16" s="5"/>
      <c r="J16" s="5"/>
      <c r="K16" s="5"/>
      <c r="L16" s="5"/>
      <c r="M16" s="5"/>
      <c r="N16" s="5"/>
    </row>
    <row r="17" spans="1:14" x14ac:dyDescent="0.25">
      <c r="A17" s="3" t="str">
        <f>Fill_Value(filament!A17)</f>
        <v/>
      </c>
      <c r="B17" s="3" t="str">
        <f>Fill_Value(filament!B17)</f>
        <v/>
      </c>
      <c r="C17" s="3" t="str">
        <f>Fill_Value(filament!C17)</f>
        <v>filament_type</v>
      </c>
      <c r="D17" s="3"/>
      <c r="E17" s="3"/>
      <c r="F17" s="3"/>
      <c r="G17" s="3"/>
      <c r="H17" s="3"/>
      <c r="I17" s="3"/>
      <c r="J17" s="3"/>
      <c r="K17" s="3"/>
      <c r="L17" s="3"/>
      <c r="M17" s="3"/>
      <c r="N17" s="3"/>
    </row>
    <row r="18" spans="1:14" x14ac:dyDescent="0.25">
      <c r="A18" s="4" t="str">
        <f>Fill_Value(filament!A18)</f>
        <v/>
      </c>
      <c r="B18" s="4" t="str">
        <f>Fill_Value(filament!B18)</f>
        <v/>
      </c>
      <c r="C18" s="4" t="str">
        <f>Fill_Value(filament!C18)</f>
        <v>filament_soluble</v>
      </c>
      <c r="D18" s="4"/>
      <c r="E18" s="4"/>
      <c r="F18" s="4"/>
      <c r="G18" s="4"/>
      <c r="H18" s="4"/>
      <c r="I18" s="4"/>
      <c r="J18" s="4"/>
      <c r="K18" s="4"/>
      <c r="L18" s="4"/>
      <c r="M18" s="4"/>
      <c r="N18" s="4"/>
    </row>
    <row r="19" spans="1:14" x14ac:dyDescent="0.25">
      <c r="A19" s="3" t="str">
        <f>Fill_Value(filament!A19)</f>
        <v/>
      </c>
      <c r="B19" s="3" t="str">
        <f>Fill_Value(filament!B19)</f>
        <v>super</v>
      </c>
      <c r="C19" s="3" t="str">
        <f>Fill_Value(filament!C19)</f>
        <v>filament_shrink</v>
      </c>
      <c r="D19" s="3"/>
      <c r="E19" s="3"/>
      <c r="F19" s="3"/>
      <c r="G19" s="3"/>
      <c r="H19" s="3"/>
      <c r="I19" s="3"/>
      <c r="J19" s="3"/>
      <c r="K19" s="3"/>
      <c r="L19" s="3"/>
      <c r="M19" s="3"/>
      <c r="N19" s="3"/>
    </row>
    <row r="20" spans="1:14" x14ac:dyDescent="0.25">
      <c r="A20" s="5" t="str">
        <f>Fill_Value(filament!A20)</f>
        <v/>
      </c>
      <c r="B20" s="5" t="str">
        <f>Fill_Value(filament!B20)</f>
        <v/>
      </c>
      <c r="C20" s="5" t="str">
        <f>Fill_Value(filament!C20)</f>
        <v>##Print Speed Override</v>
      </c>
      <c r="D20" s="5"/>
      <c r="E20" s="5"/>
      <c r="F20" s="5"/>
      <c r="G20" s="5"/>
      <c r="H20" s="5"/>
      <c r="I20" s="5"/>
      <c r="J20" s="5"/>
      <c r="K20" s="5"/>
      <c r="L20" s="5"/>
      <c r="M20" s="5"/>
      <c r="N20" s="5"/>
    </row>
    <row r="21" spans="1:14" x14ac:dyDescent="0.25">
      <c r="A21" s="3" t="str">
        <f>Fill_Value(filament!A21)</f>
        <v/>
      </c>
      <c r="B21" s="3" t="str">
        <f>Fill_Value(filament!B21)</f>
        <v/>
      </c>
      <c r="C21" s="3" t="str">
        <f>Fill_Value(filament!C21)</f>
        <v>filament_max_speed</v>
      </c>
      <c r="D21" s="3"/>
      <c r="E21" s="3"/>
      <c r="F21" s="3"/>
      <c r="G21" s="3"/>
      <c r="H21" s="3"/>
      <c r="I21" s="3"/>
      <c r="J21" s="3"/>
      <c r="K21" s="3"/>
      <c r="L21" s="3"/>
      <c r="M21" s="3"/>
      <c r="N21" s="3"/>
    </row>
    <row r="22" spans="1:14" x14ac:dyDescent="0.25">
      <c r="A22" s="4" t="str">
        <f>Fill_Value(filament!A22)</f>
        <v/>
      </c>
      <c r="B22" s="4" t="str">
        <f>Fill_Value(filament!B22)</f>
        <v/>
      </c>
      <c r="C22" s="4" t="str">
        <f>Fill_Value(filament!C22)</f>
        <v>filament_max_volumetric_speed</v>
      </c>
      <c r="D22" s="4"/>
      <c r="E22" s="4"/>
      <c r="F22" s="4"/>
      <c r="G22" s="4"/>
      <c r="H22" s="4"/>
      <c r="I22" s="4"/>
      <c r="J22" s="4"/>
      <c r="K22" s="4"/>
      <c r="L22" s="4"/>
      <c r="M22" s="4"/>
      <c r="N22" s="4"/>
    </row>
    <row r="23" spans="1:14" x14ac:dyDescent="0.25">
      <c r="A23" s="5" t="str">
        <f>Fill_Value(filament!A23)</f>
        <v>Cooling</v>
      </c>
      <c r="B23" s="76" t="str">
        <f>Fill_Value(filament!B23)</f>
        <v/>
      </c>
      <c r="C23" s="76" t="str">
        <f>Fill_Value(filament!C23)</f>
        <v>##Enable</v>
      </c>
      <c r="D23" s="5"/>
      <c r="E23" s="5"/>
      <c r="F23" s="5"/>
      <c r="G23" s="5"/>
      <c r="H23" s="5"/>
      <c r="I23" s="5"/>
      <c r="J23" s="5"/>
      <c r="K23" s="5"/>
      <c r="L23" s="5"/>
      <c r="M23" s="5"/>
      <c r="N23" s="5"/>
    </row>
    <row r="24" spans="1:14" x14ac:dyDescent="0.25">
      <c r="A24" s="3" t="str">
        <f>Fill_Value(filament!A24)</f>
        <v/>
      </c>
      <c r="B24" s="47" t="str">
        <f>Fill_Value(filament!B24)</f>
        <v/>
      </c>
      <c r="C24" s="47" t="str">
        <f>Fill_Value(filament!C24)</f>
        <v>fan_always_on</v>
      </c>
      <c r="D24" s="3"/>
      <c r="E24" s="3"/>
      <c r="F24" s="3"/>
      <c r="G24" s="3"/>
      <c r="H24" s="3"/>
      <c r="I24" s="3"/>
      <c r="J24" s="3"/>
      <c r="K24" s="3"/>
      <c r="L24" s="3"/>
      <c r="M24" s="3"/>
      <c r="N24" s="3"/>
    </row>
    <row r="25" spans="1:14" x14ac:dyDescent="0.25">
      <c r="A25" s="4" t="str">
        <f>Fill_Value(filament!A25)</f>
        <v/>
      </c>
      <c r="B25" s="59" t="str">
        <f>Fill_Value(filament!B25)</f>
        <v/>
      </c>
      <c r="C25" s="59" t="str">
        <f>Fill_Value(filament!C25)</f>
        <v>cooling</v>
      </c>
      <c r="D25" s="4"/>
      <c r="E25" s="4"/>
      <c r="F25" s="4"/>
      <c r="G25" s="4"/>
      <c r="H25" s="4"/>
      <c r="I25" s="4"/>
      <c r="J25" s="4"/>
      <c r="K25" s="4"/>
      <c r="L25" s="4"/>
      <c r="M25" s="4"/>
      <c r="N25" s="4"/>
    </row>
    <row r="26" spans="1:14" x14ac:dyDescent="0.25">
      <c r="A26" s="5" t="str">
        <f>Fill_Value(filament!A26)</f>
        <v/>
      </c>
      <c r="B26" s="76" t="str">
        <f>Fill_Value(filament!B26)</f>
        <v/>
      </c>
      <c r="C26" s="76" t="str">
        <f>Fill_Value(filament!C26)</f>
        <v>##Fan Settings</v>
      </c>
      <c r="D26" s="5"/>
      <c r="E26" s="5"/>
      <c r="F26" s="5"/>
      <c r="G26" s="5"/>
      <c r="H26" s="5"/>
      <c r="I26" s="5"/>
      <c r="J26" s="5"/>
      <c r="K26" s="5"/>
      <c r="L26" s="5"/>
      <c r="M26" s="5"/>
      <c r="N26" s="5"/>
    </row>
    <row r="27" spans="1:14" x14ac:dyDescent="0.25">
      <c r="A27" s="3" t="str">
        <f>Fill_Value(filament!A27)</f>
        <v/>
      </c>
      <c r="B27" s="47" t="str">
        <f>Fill_Value(filament!B27)</f>
        <v/>
      </c>
      <c r="C27" s="47" t="str">
        <f>Fill_Value(filament!C27)</f>
        <v>min_fan_speed</v>
      </c>
      <c r="D27" s="39"/>
      <c r="E27" s="39"/>
      <c r="F27" s="39"/>
      <c r="G27" s="39"/>
      <c r="H27" s="39"/>
      <c r="I27" s="39"/>
      <c r="J27" s="39"/>
      <c r="K27" s="39"/>
      <c r="L27" s="39"/>
      <c r="M27" s="39"/>
      <c r="N27" s="3" t="s">
        <v>455</v>
      </c>
    </row>
    <row r="28" spans="1:14" x14ac:dyDescent="0.25">
      <c r="A28" s="4" t="str">
        <f>Fill_Value(filament!A28)</f>
        <v/>
      </c>
      <c r="B28" s="59" t="str">
        <f>Fill_Value(filament!B28)</f>
        <v/>
      </c>
      <c r="C28" s="59" t="str">
        <f>Fill_Value(filament!C28)</f>
        <v>max_fan_speed</v>
      </c>
      <c r="D28" s="57"/>
      <c r="E28" s="57"/>
      <c r="F28" s="57"/>
      <c r="G28" s="57"/>
      <c r="H28" s="57"/>
      <c r="I28" s="57"/>
      <c r="J28" s="57"/>
      <c r="K28" s="57"/>
      <c r="L28" s="57"/>
      <c r="M28" s="57"/>
      <c r="N28" s="4"/>
    </row>
    <row r="29" spans="1:14" x14ac:dyDescent="0.25">
      <c r="A29" s="3" t="str">
        <f>Fill_Value(filament!A29)</f>
        <v/>
      </c>
      <c r="B29" s="47" t="str">
        <f>Fill_Value(filament!B29)</f>
        <v/>
      </c>
      <c r="C29" s="47" t="str">
        <f>Fill_Value(filament!C29)</f>
        <v>bridge_fan_speed</v>
      </c>
      <c r="D29" s="39"/>
      <c r="E29" s="39"/>
      <c r="F29" s="39"/>
      <c r="G29" s="39"/>
      <c r="H29" s="39"/>
      <c r="I29" s="39"/>
      <c r="J29" s="39"/>
      <c r="K29" s="39"/>
      <c r="L29" s="39"/>
      <c r="M29" s="39"/>
      <c r="N29" s="3"/>
    </row>
    <row r="30" spans="1:14" x14ac:dyDescent="0.25">
      <c r="A30" s="4" t="str">
        <f>Fill_Value(filament!A30)</f>
        <v/>
      </c>
      <c r="B30" s="59" t="str">
        <f>Fill_Value(filament!B30)</f>
        <v>super</v>
      </c>
      <c r="C30" s="59" t="str">
        <f>Fill_Value(filament!C30)</f>
        <v>top_fan_speed</v>
      </c>
      <c r="D30" s="4"/>
      <c r="E30" s="4"/>
      <c r="F30" s="4"/>
      <c r="G30" s="4"/>
      <c r="H30" s="4"/>
      <c r="I30" s="4"/>
      <c r="J30" s="4"/>
      <c r="K30" s="4"/>
      <c r="L30" s="4"/>
      <c r="M30" s="4"/>
      <c r="N30" s="4"/>
    </row>
    <row r="31" spans="1:14" x14ac:dyDescent="0.25">
      <c r="A31" s="3" t="str">
        <f>Fill_Value(filament!A31)</f>
        <v/>
      </c>
      <c r="B31" s="3" t="str">
        <f>Fill_Value(filament!B31)</f>
        <v>super</v>
      </c>
      <c r="C31" s="3" t="str">
        <f>Fill_Value(filament!C31)</f>
        <v>external_perimeter_fan_speed</v>
      </c>
      <c r="D31" s="3"/>
      <c r="E31" s="3"/>
      <c r="F31" s="3"/>
      <c r="G31" s="3"/>
      <c r="H31" s="3"/>
      <c r="I31" s="3"/>
      <c r="J31" s="3"/>
      <c r="K31" s="3"/>
      <c r="L31" s="3"/>
      <c r="M31" s="3"/>
      <c r="N31" s="3"/>
    </row>
    <row r="32" spans="1:14" x14ac:dyDescent="0.25">
      <c r="A32" s="4" t="str">
        <f>Fill_Value(filament!A32)</f>
        <v/>
      </c>
      <c r="B32" s="4" t="str">
        <f>Fill_Value(filament!B32)</f>
        <v/>
      </c>
      <c r="C32" s="4" t="str">
        <f>Fill_Value(filament!C32)</f>
        <v>disable_fan_first_layers</v>
      </c>
      <c r="D32" s="4"/>
      <c r="E32" s="4"/>
      <c r="F32" s="4"/>
      <c r="G32" s="4"/>
      <c r="H32" s="4"/>
      <c r="I32" s="4"/>
      <c r="J32" s="4"/>
      <c r="K32" s="4"/>
      <c r="L32" s="4"/>
      <c r="M32" s="4"/>
      <c r="N32" s="4"/>
    </row>
    <row r="33" spans="1:14" x14ac:dyDescent="0.25">
      <c r="A33" s="3" t="str">
        <f>Fill_Value(filament!A33)</f>
        <v/>
      </c>
      <c r="B33" s="3" t="str">
        <f>Fill_Value(filament!B33)</f>
        <v/>
      </c>
      <c r="C33" s="3" t="str">
        <f>Fill_Value(filament!C33)</f>
        <v>full_fan_speed_layer</v>
      </c>
      <c r="D33" s="3"/>
      <c r="E33" s="3"/>
      <c r="F33" s="3"/>
      <c r="G33" s="3"/>
      <c r="H33" s="3"/>
      <c r="I33" s="3"/>
      <c r="J33" s="3"/>
      <c r="K33" s="3"/>
      <c r="L33" s="3"/>
      <c r="M33" s="3"/>
      <c r="N33" s="3"/>
    </row>
    <row r="34" spans="1:14" x14ac:dyDescent="0.25">
      <c r="A34" s="5" t="str">
        <f>Fill_Value(filament!A34)</f>
        <v/>
      </c>
      <c r="B34" s="76" t="str">
        <f>Fill_Value(filament!B34)</f>
        <v/>
      </c>
      <c r="C34" s="76" t="str">
        <f>Fill_Value(filament!C34)</f>
        <v>##Cooling thresholds</v>
      </c>
      <c r="D34" s="5"/>
      <c r="E34" s="5"/>
      <c r="F34" s="5"/>
      <c r="G34" s="5"/>
      <c r="H34" s="5"/>
      <c r="I34" s="5"/>
      <c r="J34" s="5"/>
      <c r="K34" s="5"/>
      <c r="L34" s="5"/>
      <c r="M34" s="5"/>
      <c r="N34" s="5"/>
    </row>
    <row r="35" spans="1:14" x14ac:dyDescent="0.25">
      <c r="A35" s="3" t="str">
        <f>Fill_Value(filament!A35)</f>
        <v/>
      </c>
      <c r="B35" s="47" t="str">
        <f>Fill_Value(filament!B35)</f>
        <v/>
      </c>
      <c r="C35" s="47" t="str">
        <f>Fill_Value(filament!C35)</f>
        <v>fan_below_layer_time</v>
      </c>
      <c r="D35" s="3"/>
      <c r="E35" s="3"/>
      <c r="F35" s="3"/>
      <c r="G35" s="3"/>
      <c r="H35" s="3"/>
      <c r="I35" s="3"/>
      <c r="J35" s="3"/>
      <c r="K35" s="3"/>
      <c r="L35" s="3"/>
      <c r="M35" s="3"/>
      <c r="N35" s="3" t="s">
        <v>261</v>
      </c>
    </row>
    <row r="36" spans="1:14" x14ac:dyDescent="0.25">
      <c r="A36" s="4" t="str">
        <f>Fill_Value(filament!A36)</f>
        <v/>
      </c>
      <c r="B36" s="59" t="str">
        <f>Fill_Value(filament!B36)</f>
        <v/>
      </c>
      <c r="C36" s="59" t="str">
        <f>Fill_Value(filament!C36)</f>
        <v>slowdown_below_layer_time</v>
      </c>
      <c r="D36" s="4"/>
      <c r="E36" s="4"/>
      <c r="F36" s="4"/>
      <c r="G36" s="4"/>
      <c r="H36" s="4"/>
      <c r="I36" s="4"/>
      <c r="J36" s="4"/>
      <c r="K36" s="4"/>
      <c r="L36" s="4"/>
      <c r="M36" s="4"/>
      <c r="N36" s="4" t="s">
        <v>264</v>
      </c>
    </row>
    <row r="37" spans="1:14" x14ac:dyDescent="0.25">
      <c r="A37" s="3" t="str">
        <f>Fill_Value(filament!A37)</f>
        <v/>
      </c>
      <c r="B37" s="47" t="str">
        <f>Fill_Value(filament!B37)</f>
        <v>super</v>
      </c>
      <c r="C37" s="47" t="str">
        <f>Fill_Value(filament!C37)</f>
        <v>max_speed_reduction</v>
      </c>
      <c r="D37" s="3"/>
      <c r="E37" s="3"/>
      <c r="F37" s="3"/>
      <c r="G37" s="3"/>
      <c r="H37" s="3"/>
      <c r="I37" s="3"/>
      <c r="J37" s="3"/>
      <c r="K37" s="3"/>
      <c r="L37" s="3"/>
      <c r="M37" s="3"/>
      <c r="N37" s="3"/>
    </row>
    <row r="38" spans="1:14" x14ac:dyDescent="0.25">
      <c r="A38" s="4" t="str">
        <f>Fill_Value(filament!A38)</f>
        <v/>
      </c>
      <c r="B38" s="4" t="str">
        <f>Fill_Value(filament!B38)</f>
        <v/>
      </c>
      <c r="C38" s="4" t="str">
        <f>Fill_Value(filament!C38)</f>
        <v>min_print_speed</v>
      </c>
      <c r="D38" s="4"/>
      <c r="E38" s="4"/>
      <c r="F38" s="4"/>
      <c r="G38" s="4"/>
      <c r="H38" s="4"/>
      <c r="I38" s="4"/>
      <c r="J38" s="4"/>
      <c r="K38" s="4"/>
      <c r="L38" s="4"/>
      <c r="M38" s="4"/>
      <c r="N38" s="4"/>
    </row>
    <row r="39" spans="1:14" x14ac:dyDescent="0.25">
      <c r="A39" s="5" t="str">
        <f>Fill_Value(filament!A39)</f>
        <v/>
      </c>
      <c r="B39" s="76" t="str">
        <f>Fill_Value(filament!B39)</f>
        <v/>
      </c>
      <c r="C39" s="76" t="str">
        <f>Fill_Value(filament!C39)</f>
        <v>##Toolchange parameters</v>
      </c>
      <c r="D39" s="5"/>
      <c r="E39" s="5"/>
      <c r="F39" s="5"/>
      <c r="G39" s="5"/>
      <c r="H39" s="5"/>
      <c r="I39" s="5"/>
      <c r="J39" s="5"/>
      <c r="K39" s="5"/>
      <c r="L39" s="5"/>
      <c r="M39" s="5"/>
      <c r="N39" s="5"/>
    </row>
    <row r="40" spans="1:14" x14ac:dyDescent="0.25">
      <c r="A40" s="3" t="str">
        <f>Fill_Value(filament!A40)</f>
        <v/>
      </c>
      <c r="B40" s="47" t="str">
        <f>Fill_Value(filament!B40)</f>
        <v/>
      </c>
      <c r="C40" s="47" t="str">
        <f>Fill_Value(filament!C40)</f>
        <v>filament_loading_speed_start</v>
      </c>
      <c r="D40" s="3"/>
      <c r="E40" s="3"/>
      <c r="F40" s="3"/>
      <c r="G40" s="3"/>
      <c r="H40" s="3"/>
      <c r="I40" s="3"/>
      <c r="J40" s="3"/>
      <c r="K40" s="3"/>
      <c r="L40" s="3"/>
      <c r="M40" s="3"/>
      <c r="N40" s="3"/>
    </row>
    <row r="41" spans="1:14" x14ac:dyDescent="0.25">
      <c r="A41" s="4" t="str">
        <f>Fill_Value(filament!A41)</f>
        <v/>
      </c>
      <c r="B41" s="59" t="str">
        <f>Fill_Value(filament!B41)</f>
        <v/>
      </c>
      <c r="C41" s="59" t="str">
        <f>Fill_Value(filament!C41)</f>
        <v>filament_loading_speed</v>
      </c>
      <c r="D41" s="4"/>
      <c r="E41" s="4"/>
      <c r="F41" s="4"/>
      <c r="G41" s="4"/>
      <c r="H41" s="4"/>
      <c r="I41" s="4"/>
      <c r="J41" s="4"/>
      <c r="K41" s="4"/>
      <c r="L41" s="4"/>
      <c r="M41" s="4"/>
      <c r="N41" s="4"/>
    </row>
    <row r="42" spans="1:14" x14ac:dyDescent="0.25">
      <c r="A42" s="3" t="str">
        <f>Fill_Value(filament!A42)</f>
        <v/>
      </c>
      <c r="B42" s="47" t="str">
        <f>Fill_Value(filament!B42)</f>
        <v/>
      </c>
      <c r="C42" s="47" t="str">
        <f>Fill_Value(filament!C42)</f>
        <v>filament_unloading_speed_start</v>
      </c>
      <c r="D42" s="3"/>
      <c r="E42" s="3"/>
      <c r="F42" s="3"/>
      <c r="G42" s="3"/>
      <c r="H42" s="3"/>
      <c r="I42" s="3"/>
      <c r="J42" s="3"/>
      <c r="K42" s="3"/>
      <c r="L42" s="3"/>
      <c r="M42" s="3"/>
      <c r="N42" s="3"/>
    </row>
    <row r="43" spans="1:14" x14ac:dyDescent="0.25">
      <c r="A43" s="4" t="str">
        <f>Fill_Value(filament!A43)</f>
        <v/>
      </c>
      <c r="B43" s="59" t="str">
        <f>Fill_Value(filament!B43)</f>
        <v/>
      </c>
      <c r="C43" s="59" t="str">
        <f>Fill_Value(filament!C43)</f>
        <v>filament_unloading_speed</v>
      </c>
      <c r="D43" s="4"/>
      <c r="E43" s="4"/>
      <c r="F43" s="4"/>
      <c r="G43" s="4"/>
      <c r="H43" s="4"/>
      <c r="I43" s="4"/>
      <c r="J43" s="4"/>
      <c r="K43" s="4"/>
      <c r="L43" s="4"/>
      <c r="M43" s="4"/>
      <c r="N43" s="4"/>
    </row>
    <row r="44" spans="1:14" x14ac:dyDescent="0.25">
      <c r="A44" s="3" t="str">
        <f>Fill_Value(filament!A44)</f>
        <v/>
      </c>
      <c r="B44" s="47" t="str">
        <f>Fill_Value(filament!B44)</f>
        <v/>
      </c>
      <c r="C44" s="47" t="str">
        <f>Fill_Value(filament!C44)</f>
        <v>filament_load_time</v>
      </c>
      <c r="D44" s="3"/>
      <c r="E44" s="3"/>
      <c r="F44" s="3"/>
      <c r="G44" s="3"/>
      <c r="H44" s="3"/>
      <c r="I44" s="3"/>
      <c r="J44" s="3"/>
      <c r="K44" s="3"/>
      <c r="L44" s="3"/>
      <c r="M44" s="3"/>
      <c r="N44" s="3"/>
    </row>
    <row r="45" spans="1:14" x14ac:dyDescent="0.25">
      <c r="A45" s="4" t="str">
        <f>Fill_Value(filament!A45)</f>
        <v/>
      </c>
      <c r="B45" s="59" t="str">
        <f>Fill_Value(filament!B45)</f>
        <v/>
      </c>
      <c r="C45" s="59" t="str">
        <f>Fill_Value(filament!C45)</f>
        <v>filament_unload_time</v>
      </c>
      <c r="D45" s="4"/>
      <c r="E45" s="4"/>
      <c r="F45" s="4"/>
      <c r="G45" s="4"/>
      <c r="H45" s="4"/>
      <c r="I45" s="4"/>
      <c r="J45" s="4"/>
      <c r="K45" s="4"/>
      <c r="L45" s="4"/>
      <c r="M45" s="4"/>
      <c r="N45" s="4"/>
    </row>
    <row r="46" spans="1:14" x14ac:dyDescent="0.25">
      <c r="A46" s="3" t="str">
        <f>Fill_Value(filament!A46)</f>
        <v/>
      </c>
      <c r="B46" s="47" t="str">
        <f>Fill_Value(filament!B46)</f>
        <v/>
      </c>
      <c r="C46" s="47" t="str">
        <f>Fill_Value(filament!C46)</f>
        <v>filament_toolchange_delay</v>
      </c>
      <c r="D46" s="3"/>
      <c r="E46" s="3"/>
      <c r="F46" s="3"/>
      <c r="G46" s="3"/>
      <c r="H46" s="3"/>
      <c r="I46" s="3"/>
      <c r="J46" s="3"/>
      <c r="K46" s="3"/>
      <c r="L46" s="3"/>
      <c r="M46" s="3"/>
      <c r="N46" s="3" t="s">
        <v>262</v>
      </c>
    </row>
    <row r="47" spans="1:14" x14ac:dyDescent="0.25">
      <c r="A47" s="4" t="str">
        <f>Fill_Value(filament!A47)</f>
        <v/>
      </c>
      <c r="B47" s="59" t="str">
        <f>Fill_Value(filament!B47)</f>
        <v/>
      </c>
      <c r="C47" s="59" t="str">
        <f>Fill_Value(filament!C47)</f>
        <v>filament_cooling_moves</v>
      </c>
      <c r="D47" s="4"/>
      <c r="E47" s="4"/>
      <c r="F47" s="4"/>
      <c r="G47" s="4"/>
      <c r="H47" s="4"/>
      <c r="I47" s="4"/>
      <c r="J47" s="4"/>
      <c r="K47" s="4"/>
      <c r="L47" s="4"/>
      <c r="M47" s="4"/>
      <c r="N47" s="4" t="s">
        <v>266</v>
      </c>
    </row>
    <row r="48" spans="1:14" x14ac:dyDescent="0.25">
      <c r="A48" s="3" t="str">
        <f>Fill_Value(filament!A48)</f>
        <v/>
      </c>
      <c r="B48" s="47" t="str">
        <f>Fill_Value(filament!B48)</f>
        <v/>
      </c>
      <c r="C48" s="47" t="str">
        <f>Fill_Value(filament!C48)</f>
        <v>filament_cooling_initial_speed</v>
      </c>
      <c r="D48" s="3"/>
      <c r="E48" s="3"/>
      <c r="F48" s="3"/>
      <c r="G48" s="3"/>
      <c r="H48" s="3"/>
      <c r="I48" s="3"/>
      <c r="J48" s="3"/>
      <c r="K48" s="3"/>
      <c r="L48" s="3"/>
      <c r="M48" s="3"/>
      <c r="N48" s="3" t="s">
        <v>267</v>
      </c>
    </row>
    <row r="49" spans="1:14" x14ac:dyDescent="0.25">
      <c r="A49" s="4" t="str">
        <f>Fill_Value(filament!A49)</f>
        <v/>
      </c>
      <c r="B49" s="59" t="str">
        <f>Fill_Value(filament!B49)</f>
        <v/>
      </c>
      <c r="C49" s="59" t="str">
        <f>Fill_Value(filament!C49)</f>
        <v>filament_cooling_final_speed</v>
      </c>
      <c r="D49" s="4"/>
      <c r="E49" s="4"/>
      <c r="F49" s="4"/>
      <c r="G49" s="4"/>
      <c r="H49" s="4"/>
      <c r="I49" s="4"/>
      <c r="J49" s="4"/>
      <c r="K49" s="4"/>
      <c r="L49" s="4"/>
      <c r="M49" s="4"/>
      <c r="N49" s="4" t="s">
        <v>268</v>
      </c>
    </row>
    <row r="50" spans="1:14" x14ac:dyDescent="0.25">
      <c r="A50" s="3" t="str">
        <f>Fill_Value(filament!A50)</f>
        <v/>
      </c>
      <c r="B50" s="47" t="str">
        <f>Fill_Value(filament!B50)</f>
        <v/>
      </c>
      <c r="C50" s="47" t="str">
        <f>Fill_Value(filament!C50)</f>
        <v>filament_minimal_purge_on_wipe_tower</v>
      </c>
      <c r="D50" s="3"/>
      <c r="E50" s="3"/>
      <c r="F50" s="3"/>
      <c r="G50" s="3"/>
      <c r="H50" s="3"/>
      <c r="I50" s="3"/>
      <c r="J50" s="3"/>
      <c r="K50" s="3"/>
      <c r="L50" s="3"/>
      <c r="M50" s="3"/>
      <c r="N50" s="3" t="s">
        <v>269</v>
      </c>
    </row>
    <row r="51" spans="1:14" x14ac:dyDescent="0.25">
      <c r="A51" s="4" t="str">
        <f>Fill_Value(filament!A51)</f>
        <v/>
      </c>
      <c r="B51" s="59" t="str">
        <f>Fill_Value(filament!B51)</f>
        <v/>
      </c>
      <c r="C51" s="59" t="str">
        <f>Fill_Value(filament!C51)</f>
        <v>filament_ramming_parameters</v>
      </c>
      <c r="D51" s="4"/>
      <c r="E51" s="4"/>
      <c r="F51" s="4"/>
      <c r="G51" s="4"/>
      <c r="H51" s="4"/>
      <c r="I51" s="4"/>
      <c r="J51" s="4"/>
      <c r="K51" s="4"/>
      <c r="L51" s="4"/>
      <c r="M51" s="4"/>
      <c r="N51" s="4" t="s">
        <v>270</v>
      </c>
    </row>
    <row r="52" spans="1:14" x14ac:dyDescent="0.25">
      <c r="A52" s="5" t="str">
        <f>Fill_Value(filament!A52)</f>
        <v>Notes</v>
      </c>
      <c r="B52" s="76" t="str">
        <f>Fill_Value(filament!B52)</f>
        <v/>
      </c>
      <c r="C52" s="76" t="str">
        <f>Fill_Value(filament!C52)</f>
        <v>##notes</v>
      </c>
      <c r="D52" s="5"/>
      <c r="E52" s="5"/>
      <c r="F52" s="5"/>
      <c r="G52" s="5"/>
      <c r="H52" s="5"/>
      <c r="I52" s="5"/>
      <c r="J52" s="5"/>
      <c r="K52" s="5"/>
      <c r="L52" s="5"/>
      <c r="M52" s="5"/>
      <c r="N52" s="5"/>
    </row>
    <row r="53" spans="1:14" x14ac:dyDescent="0.25">
      <c r="A53" s="3" t="str">
        <f>Fill_Value(filament!A53)</f>
        <v/>
      </c>
      <c r="B53" s="47" t="str">
        <f>Fill_Value(filament!B53)</f>
        <v/>
      </c>
      <c r="C53" s="47" t="str">
        <f>Fill_Value(filament!C53)</f>
        <v>filament_notes</v>
      </c>
      <c r="D53" s="3"/>
      <c r="E53" s="3"/>
      <c r="F53" s="3"/>
      <c r="G53" s="3"/>
      <c r="H53" s="3"/>
      <c r="I53" s="3"/>
      <c r="J53" s="3"/>
      <c r="K53" s="3"/>
      <c r="L53" s="3"/>
      <c r="M53" s="3"/>
      <c r="N53" s="3"/>
    </row>
    <row r="54" spans="1:14" x14ac:dyDescent="0.25">
      <c r="A54" s="5" t="str">
        <f>Fill_Value(filament!A54)</f>
        <v>Dependencies</v>
      </c>
      <c r="B54" s="76" t="str">
        <f>Fill_Value(filament!B54)</f>
        <v/>
      </c>
      <c r="C54" s="76" t="str">
        <f>Fill_Value(filament!C54)</f>
        <v>##dependencies</v>
      </c>
      <c r="D54" s="5"/>
      <c r="E54" s="5"/>
      <c r="F54" s="5"/>
      <c r="G54" s="5"/>
      <c r="H54" s="5"/>
      <c r="I54" s="5"/>
      <c r="J54" s="5"/>
      <c r="K54" s="5"/>
      <c r="L54" s="5"/>
      <c r="M54" s="5"/>
      <c r="N54" s="5"/>
    </row>
    <row r="55" spans="1:14" x14ac:dyDescent="0.25">
      <c r="A55" s="3" t="str">
        <f>Fill_Value(filament!A55)</f>
        <v/>
      </c>
      <c r="B55" s="47" t="str">
        <f>Fill_Value(filament!B55)</f>
        <v/>
      </c>
      <c r="C55" s="47" t="str">
        <f>Fill_Value(filament!C55)</f>
        <v>filament_settings_id</v>
      </c>
      <c r="D55" s="3"/>
      <c r="E55" s="3"/>
      <c r="F55" s="3"/>
      <c r="G55" s="3"/>
      <c r="H55" s="3"/>
      <c r="I55" s="3"/>
      <c r="J55" s="3"/>
      <c r="K55" s="3"/>
      <c r="L55" s="3"/>
      <c r="M55" s="3"/>
      <c r="N55" s="3"/>
    </row>
    <row r="56" spans="1:14" x14ac:dyDescent="0.25">
      <c r="A56" s="4" t="str">
        <f>Fill_Value(filament!A56)</f>
        <v/>
      </c>
      <c r="B56" s="59" t="str">
        <f>Fill_Value(filament!B56)</f>
        <v/>
      </c>
      <c r="C56" s="59" t="str">
        <f>Fill_Value(filament!C56)</f>
        <v>compatible_printers</v>
      </c>
      <c r="D56" s="4"/>
      <c r="E56" s="4"/>
      <c r="F56" s="4"/>
      <c r="G56" s="4"/>
      <c r="H56" s="4"/>
      <c r="I56" s="4"/>
      <c r="J56" s="4"/>
      <c r="K56" s="4"/>
      <c r="L56" s="4"/>
      <c r="M56" s="4"/>
      <c r="N56" s="4"/>
    </row>
    <row r="57" spans="1:14" x14ac:dyDescent="0.25">
      <c r="A57" s="3" t="str">
        <f>Fill_Value(filament!A57)</f>
        <v/>
      </c>
      <c r="B57" s="47" t="str">
        <f>Fill_Value(filament!B57)</f>
        <v/>
      </c>
      <c r="C57" s="47" t="str">
        <f>Fill_Value(filament!C57)</f>
        <v>compatible_printers_condition</v>
      </c>
      <c r="D57" s="3"/>
      <c r="E57" s="3"/>
      <c r="F57" s="3"/>
      <c r="G57" s="3"/>
      <c r="H57" s="3"/>
      <c r="I57" s="3"/>
      <c r="J57" s="3"/>
      <c r="K57" s="3"/>
      <c r="L57" s="3"/>
      <c r="M57" s="3"/>
      <c r="N57" s="3"/>
    </row>
    <row r="58" spans="1:14" x14ac:dyDescent="0.25">
      <c r="A58" s="4" t="str">
        <f>Fill_Value(filament!A58)</f>
        <v/>
      </c>
      <c r="B58" s="59" t="str">
        <f>Fill_Value(filament!B58)</f>
        <v/>
      </c>
      <c r="C58" s="59" t="str">
        <f>Fill_Value(filament!C58)</f>
        <v>compatible_prints</v>
      </c>
      <c r="D58" s="4"/>
      <c r="E58" s="4"/>
      <c r="F58" s="4"/>
      <c r="G58" s="4"/>
      <c r="H58" s="4"/>
      <c r="I58" s="4"/>
      <c r="J58" s="4"/>
      <c r="K58" s="4"/>
      <c r="L58" s="4"/>
      <c r="M58" s="4"/>
      <c r="N58" s="4"/>
    </row>
    <row r="59" spans="1:14" x14ac:dyDescent="0.25">
      <c r="A59" s="3" t="str">
        <f>Fill_Value(filament!A59)</f>
        <v/>
      </c>
      <c r="B59" s="47" t="str">
        <f>Fill_Value(filament!B59)</f>
        <v/>
      </c>
      <c r="C59" s="47" t="str">
        <f>Fill_Value(filament!C59)</f>
        <v>compatible_prints_condition</v>
      </c>
      <c r="D59" s="3"/>
      <c r="E59" s="3"/>
      <c r="F59" s="3"/>
      <c r="G59" s="3"/>
      <c r="H59" s="3"/>
      <c r="I59" s="3"/>
      <c r="J59" s="3"/>
      <c r="K59" s="3"/>
      <c r="L59" s="3"/>
      <c r="M59" s="3"/>
      <c r="N59" s="3"/>
    </row>
    <row r="60" spans="1:14" x14ac:dyDescent="0.25">
      <c r="A60" s="5" t="str">
        <f>Fill_Value(filament!A60)</f>
        <v>Overrides</v>
      </c>
      <c r="B60" s="76" t="str">
        <f>Fill_Value(filament!B60)</f>
        <v/>
      </c>
      <c r="C60" s="76" t="str">
        <f>Fill_Value(filament!C60)</f>
        <v>##Overrides</v>
      </c>
      <c r="D60" s="5"/>
      <c r="E60" s="5"/>
      <c r="F60" s="5"/>
      <c r="G60" s="5"/>
      <c r="H60" s="5"/>
      <c r="I60" s="5"/>
      <c r="J60" s="5"/>
      <c r="K60" s="5"/>
      <c r="L60" s="5"/>
      <c r="M60" s="5"/>
      <c r="N60" s="5"/>
    </row>
    <row r="61" spans="1:14" x14ac:dyDescent="0.25">
      <c r="A61" s="6" t="str">
        <f>Fill_Value(filament!A61)</f>
        <v/>
      </c>
      <c r="B61" s="77" t="str">
        <f>Fill_Value(filament!B61)</f>
        <v/>
      </c>
      <c r="C61" s="77" t="str">
        <f>Fill_Value(filament!C61)</f>
        <v>#filament_pressure_advance</v>
      </c>
      <c r="D61" s="6">
        <v>0</v>
      </c>
      <c r="E61" s="6">
        <v>0.05</v>
      </c>
      <c r="F61" s="6">
        <v>0.08</v>
      </c>
      <c r="G61" s="6">
        <v>0.05</v>
      </c>
      <c r="H61" s="6"/>
      <c r="I61" s="6"/>
      <c r="J61" s="6"/>
      <c r="K61" s="6"/>
      <c r="L61" s="6"/>
      <c r="M61" s="6"/>
      <c r="N61" s="6" t="s">
        <v>1315</v>
      </c>
    </row>
    <row r="62" spans="1:14" x14ac:dyDescent="0.25">
      <c r="A62" s="6" t="str">
        <f>Fill_Value(filament!A62)</f>
        <v/>
      </c>
      <c r="B62" s="77" t="str">
        <f>Fill_Value(filament!B62)</f>
        <v/>
      </c>
      <c r="C62" s="77" t="str">
        <f>Fill_Value(filament!C62)</f>
        <v>#filament_z_offset</v>
      </c>
      <c r="D62" s="6">
        <v>0</v>
      </c>
      <c r="E62" s="6">
        <v>0</v>
      </c>
      <c r="F62" s="6">
        <v>0.08</v>
      </c>
      <c r="G62" s="6">
        <v>0</v>
      </c>
      <c r="H62" s="6">
        <v>0</v>
      </c>
      <c r="I62" s="6"/>
      <c r="J62" s="6"/>
      <c r="K62" s="6"/>
      <c r="L62" s="6"/>
      <c r="M62" s="6"/>
      <c r="N62" s="97" t="s">
        <v>1503</v>
      </c>
    </row>
    <row r="63" spans="1:14" x14ac:dyDescent="0.25">
      <c r="A63" s="6" t="str">
        <f>Fill_Value(filament!A63)</f>
        <v/>
      </c>
      <c r="B63" s="77" t="str">
        <f>Fill_Value(filament!B63)</f>
        <v/>
      </c>
      <c r="C63" s="77" t="str">
        <f>Fill_Value(filament!C63)</f>
        <v>#filament_bridge_flow</v>
      </c>
      <c r="D63" s="6">
        <v>0.8</v>
      </c>
      <c r="E63" s="6"/>
      <c r="F63" s="6"/>
      <c r="G63" s="6"/>
      <c r="H63" s="6"/>
      <c r="I63" s="6"/>
      <c r="J63" s="6"/>
      <c r="K63" s="6"/>
      <c r="L63" s="6"/>
      <c r="M63" s="6"/>
      <c r="N63" s="6"/>
    </row>
    <row r="64" spans="1:14" x14ac:dyDescent="0.25">
      <c r="A64" s="6" t="str">
        <f>Fill_Value(filament!A64)</f>
        <v/>
      </c>
      <c r="B64" s="77" t="str">
        <f>Fill_Value(filament!B64)</f>
        <v/>
      </c>
      <c r="C64" s="77" t="str">
        <f>Fill_Value(filament!C64)</f>
        <v>#filament_coasting_enable</v>
      </c>
      <c r="D64" s="6">
        <v>0</v>
      </c>
      <c r="E64" s="6"/>
      <c r="F64" s="6"/>
      <c r="G64" s="6"/>
      <c r="H64" s="6"/>
      <c r="I64" s="6"/>
      <c r="J64" s="6"/>
      <c r="K64" s="6"/>
      <c r="L64" s="6"/>
      <c r="M64" s="6"/>
      <c r="N64" s="6" t="s">
        <v>1296</v>
      </c>
    </row>
    <row r="65" spans="1:14" x14ac:dyDescent="0.25">
      <c r="A65" s="6" t="str">
        <f>Fill_Value(filament!A65)</f>
        <v/>
      </c>
      <c r="B65" s="77" t="str">
        <f>Fill_Value(filament!B65)</f>
        <v/>
      </c>
      <c r="C65" s="77" t="str">
        <f>Fill_Value(filament!C65)</f>
        <v>#filament_coasting_distance</v>
      </c>
      <c r="D65" s="6">
        <v>0.2</v>
      </c>
      <c r="E65" s="6"/>
      <c r="F65" s="6"/>
      <c r="G65" s="6"/>
      <c r="H65" s="6"/>
      <c r="I65" s="6"/>
      <c r="J65" s="6"/>
      <c r="K65" s="6"/>
      <c r="L65" s="6"/>
      <c r="M65" s="6"/>
      <c r="N65" s="6"/>
    </row>
    <row r="66" spans="1:14" x14ac:dyDescent="0.25">
      <c r="A66" s="6" t="str">
        <f>Fill_Value(filament!A66)</f>
        <v/>
      </c>
      <c r="B66" s="77" t="str">
        <f>Fill_Value(filament!B66)</f>
        <v/>
      </c>
      <c r="C66" s="77" t="str">
        <f>Fill_Value(filament!C66)</f>
        <v>#filament_combingmode</v>
      </c>
      <c r="D66" s="34" t="s">
        <v>1289</v>
      </c>
      <c r="E66" s="34"/>
      <c r="F66" s="34"/>
      <c r="G66" s="34"/>
      <c r="H66" s="34"/>
      <c r="I66" s="34"/>
      <c r="J66" s="34"/>
      <c r="K66" s="34"/>
      <c r="L66" s="34"/>
      <c r="M66" s="34"/>
      <c r="N66" s="6"/>
    </row>
    <row r="67" spans="1:14" x14ac:dyDescent="0.25">
      <c r="A67" s="6" t="str">
        <f>Fill_Value(filament!A67)</f>
        <v/>
      </c>
      <c r="B67" s="77" t="str">
        <f>Fill_Value(filament!B67)</f>
        <v/>
      </c>
      <c r="C67" s="77" t="str">
        <f>Fill_Value(filament!C67)</f>
        <v>#filament_retract_length</v>
      </c>
      <c r="D67" s="34">
        <f>D68</f>
        <v>0.6</v>
      </c>
      <c r="E67" s="34"/>
      <c r="F67" s="34"/>
      <c r="G67" s="34"/>
      <c r="H67" s="34"/>
      <c r="I67" s="34"/>
      <c r="J67" s="34"/>
      <c r="K67" s="34"/>
      <c r="L67" s="34"/>
      <c r="M67" s="34"/>
      <c r="N67" s="6"/>
    </row>
    <row r="68" spans="1:14" x14ac:dyDescent="0.25">
      <c r="A68" s="3" t="str">
        <f>Fill_Value(filament!A68)</f>
        <v/>
      </c>
      <c r="B68" s="47" t="str">
        <f>Fill_Value(filament!B68)</f>
        <v/>
      </c>
      <c r="C68" s="47" t="str">
        <f>Fill_Value(filament!C68)</f>
        <v>filament_retract_length</v>
      </c>
      <c r="D68" s="3">
        <v>0.6</v>
      </c>
      <c r="E68" s="3" t="str">
        <f>IF(E67*2 &gt; 0, E67*2,"")</f>
        <v/>
      </c>
      <c r="F68" s="3" t="str">
        <f>IF(F67*2 &gt; 0, F67*2,"")</f>
        <v/>
      </c>
      <c r="G68" s="3" t="str">
        <f t="shared" ref="G68:M68" si="0">IF(G67*2 &gt; 0, G67*2,"")</f>
        <v/>
      </c>
      <c r="H68" s="3" t="str">
        <f t="shared" si="0"/>
        <v/>
      </c>
      <c r="I68" s="3" t="str">
        <f t="shared" si="0"/>
        <v/>
      </c>
      <c r="J68" s="3" t="str">
        <f t="shared" si="0"/>
        <v/>
      </c>
      <c r="K68" s="3" t="str">
        <f t="shared" si="0"/>
        <v/>
      </c>
      <c r="L68" s="3" t="str">
        <f t="shared" si="0"/>
        <v/>
      </c>
      <c r="M68" s="3" t="str">
        <f t="shared" si="0"/>
        <v/>
      </c>
      <c r="N68" s="3"/>
    </row>
    <row r="69" spans="1:14" x14ac:dyDescent="0.25">
      <c r="A69" s="4" t="str">
        <f>Fill_Value(filament!A69)</f>
        <v/>
      </c>
      <c r="B69" s="59" t="str">
        <f>Fill_Value(filament!B69)</f>
        <v/>
      </c>
      <c r="C69" s="59" t="str">
        <f>Fill_Value(filament!C69)</f>
        <v>filament_retract_lift</v>
      </c>
      <c r="D69" s="4">
        <v>0</v>
      </c>
      <c r="E69" s="4"/>
      <c r="F69" s="4">
        <v>0.6</v>
      </c>
      <c r="G69" s="4"/>
      <c r="H69" s="4"/>
      <c r="I69" s="4"/>
      <c r="J69" s="4"/>
      <c r="K69" s="4"/>
      <c r="L69" s="4"/>
      <c r="M69" s="4"/>
      <c r="N69" s="4"/>
    </row>
    <row r="70" spans="1:14" x14ac:dyDescent="0.25">
      <c r="A70" s="3" t="str">
        <f>Fill_Value(filament!A70)</f>
        <v/>
      </c>
      <c r="B70" s="47" t="str">
        <f>Fill_Value(filament!B70)</f>
        <v/>
      </c>
      <c r="C70" s="47" t="str">
        <f>Fill_Value(filament!C70)</f>
        <v>filament_retract_lift_above</v>
      </c>
      <c r="D70" s="3"/>
      <c r="E70" s="3"/>
      <c r="F70" s="3"/>
      <c r="G70" s="3"/>
      <c r="H70" s="3"/>
      <c r="I70" s="3"/>
      <c r="J70" s="3"/>
      <c r="K70" s="3"/>
      <c r="L70" s="3"/>
      <c r="M70" s="3"/>
      <c r="N70" s="3"/>
    </row>
    <row r="71" spans="1:14" x14ac:dyDescent="0.25">
      <c r="A71" s="4" t="str">
        <f>Fill_Value(filament!A71)</f>
        <v/>
      </c>
      <c r="B71" s="59" t="str">
        <f>Fill_Value(filament!B71)</f>
        <v/>
      </c>
      <c r="C71" s="59" t="str">
        <f>Fill_Value(filament!C71)</f>
        <v>filament_retract_lift_below</v>
      </c>
      <c r="D71" s="4"/>
      <c r="E71" s="4"/>
      <c r="F71" s="4"/>
      <c r="G71" s="4"/>
      <c r="H71" s="4"/>
      <c r="I71" s="4"/>
      <c r="J71" s="4"/>
      <c r="K71" s="4"/>
      <c r="L71" s="4"/>
      <c r="M71" s="4"/>
      <c r="N71" s="4"/>
    </row>
    <row r="72" spans="1:14" x14ac:dyDescent="0.25">
      <c r="A72" s="3" t="str">
        <f>Fill_Value(filament!A72)</f>
        <v/>
      </c>
      <c r="B72" s="47" t="str">
        <f>Fill_Value(filament!B72)</f>
        <v/>
      </c>
      <c r="C72" s="47" t="str">
        <f>Fill_Value(filament!C72)</f>
        <v>filament_retract_speed</v>
      </c>
      <c r="D72" s="3">
        <v>35</v>
      </c>
      <c r="E72" s="3"/>
      <c r="F72" s="3"/>
      <c r="G72" s="3"/>
      <c r="H72" s="3"/>
      <c r="I72" s="3"/>
      <c r="J72" s="3"/>
      <c r="K72" s="3"/>
      <c r="L72" s="3"/>
      <c r="M72" s="3"/>
      <c r="N72" s="3"/>
    </row>
    <row r="73" spans="1:14" x14ac:dyDescent="0.25">
      <c r="A73" s="4" t="str">
        <f>Fill_Value(filament!A73)</f>
        <v/>
      </c>
      <c r="B73" s="59" t="str">
        <f>Fill_Value(filament!B73)</f>
        <v/>
      </c>
      <c r="C73" s="59" t="str">
        <f>Fill_Value(filament!C73)</f>
        <v>filament_deretract_speed</v>
      </c>
      <c r="D73" s="4">
        <v>25</v>
      </c>
      <c r="E73" s="4"/>
      <c r="F73" s="4"/>
      <c r="G73" s="4"/>
      <c r="H73" s="4"/>
      <c r="I73" s="4"/>
      <c r="J73" s="4"/>
      <c r="K73" s="4"/>
      <c r="L73" s="4"/>
      <c r="M73" s="4"/>
      <c r="N73" s="4"/>
    </row>
    <row r="74" spans="1:14" x14ac:dyDescent="0.25">
      <c r="A74" s="3" t="str">
        <f>Fill_Value(filament!A74)</f>
        <v/>
      </c>
      <c r="B74" s="47" t="str">
        <f>Fill_Value(filament!B74)</f>
        <v/>
      </c>
      <c r="C74" s="47" t="str">
        <f>Fill_Value(filament!C74)</f>
        <v>filament_retract_restart_extra</v>
      </c>
      <c r="D74" s="3">
        <v>0</v>
      </c>
      <c r="E74" s="3"/>
      <c r="F74" s="3"/>
      <c r="G74" s="3"/>
      <c r="H74" s="3"/>
      <c r="I74" s="3"/>
      <c r="J74" s="3"/>
      <c r="K74" s="3"/>
      <c r="L74" s="3"/>
      <c r="M74" s="3"/>
      <c r="N74" s="3"/>
    </row>
    <row r="75" spans="1:14" x14ac:dyDescent="0.25">
      <c r="A75" s="4" t="str">
        <f>Fill_Value(filament!A75)</f>
        <v/>
      </c>
      <c r="B75" s="59" t="str">
        <f>Fill_Value(filament!B75)</f>
        <v/>
      </c>
      <c r="C75" s="59" t="str">
        <f>Fill_Value(filament!C75)</f>
        <v>filament_retract_before_travel</v>
      </c>
      <c r="D75" s="4">
        <v>3</v>
      </c>
      <c r="E75" s="4"/>
      <c r="F75" s="4"/>
      <c r="G75" s="4"/>
      <c r="H75" s="4"/>
      <c r="I75" s="4"/>
      <c r="J75" s="4"/>
      <c r="K75" s="4"/>
      <c r="L75" s="4"/>
      <c r="M75" s="4"/>
      <c r="N75" s="4"/>
    </row>
    <row r="76" spans="1:14" x14ac:dyDescent="0.25">
      <c r="A76" s="3" t="str">
        <f>Fill_Value(filament!A76)</f>
        <v/>
      </c>
      <c r="B76" s="47" t="str">
        <f>Fill_Value(filament!B76)</f>
        <v/>
      </c>
      <c r="C76" s="47" t="str">
        <f>Fill_Value(filament!C76)</f>
        <v>filament_retract_layer_change</v>
      </c>
      <c r="D76" s="3">
        <v>1</v>
      </c>
      <c r="E76" s="3"/>
      <c r="F76" s="3"/>
      <c r="G76" s="3"/>
      <c r="H76" s="3"/>
      <c r="I76" s="3"/>
      <c r="J76" s="3"/>
      <c r="K76" s="3"/>
      <c r="L76" s="3"/>
      <c r="M76" s="3"/>
      <c r="N76" s="3"/>
    </row>
    <row r="77" spans="1:14" x14ac:dyDescent="0.25">
      <c r="A77" s="4" t="str">
        <f>Fill_Value(filament!A77)</f>
        <v/>
      </c>
      <c r="B77" s="59" t="str">
        <f>Fill_Value(filament!B77)</f>
        <v/>
      </c>
      <c r="C77" s="59" t="str">
        <f>Fill_Value(filament!C77)</f>
        <v>filament_wipe</v>
      </c>
      <c r="D77" s="4">
        <v>1</v>
      </c>
      <c r="E77" s="4"/>
      <c r="F77" s="4"/>
      <c r="G77" s="4"/>
      <c r="H77" s="4"/>
      <c r="I77" s="4"/>
      <c r="J77" s="4"/>
      <c r="K77" s="4"/>
      <c r="L77" s="4"/>
      <c r="M77" s="4"/>
      <c r="N77" s="4"/>
    </row>
    <row r="78" spans="1:14" x14ac:dyDescent="0.25">
      <c r="A78" s="6" t="str">
        <f>Fill_Value(filament!A78)</f>
        <v/>
      </c>
      <c r="B78" s="77" t="str">
        <f>Fill_Value(filament!B78)</f>
        <v/>
      </c>
      <c r="C78" s="77" t="str">
        <f>Fill_Value(filament!C78)</f>
        <v>#filament_wipe_distance</v>
      </c>
      <c r="D78" s="6">
        <f>D68/2</f>
        <v>0.3</v>
      </c>
      <c r="E78" s="6"/>
      <c r="F78" s="6"/>
      <c r="G78" s="6"/>
      <c r="H78" s="6"/>
      <c r="I78" s="6"/>
      <c r="J78" s="6"/>
      <c r="K78" s="6"/>
      <c r="L78" s="6"/>
      <c r="M78" s="6"/>
      <c r="N78" s="6"/>
    </row>
    <row r="79" spans="1:14" x14ac:dyDescent="0.25">
      <c r="A79" s="3" t="str">
        <f>Fill_Value(filament!A79)</f>
        <v/>
      </c>
      <c r="B79" s="47" t="str">
        <f>Fill_Value(filament!B79)</f>
        <v/>
      </c>
      <c r="C79" s="47" t="str">
        <f>Fill_Value(filament!C79)</f>
        <v>filament_retract_before_wipe</v>
      </c>
      <c r="D79" s="39">
        <v>0</v>
      </c>
      <c r="E79" s="39"/>
      <c r="F79" s="39"/>
      <c r="G79" s="39"/>
      <c r="H79" s="39"/>
      <c r="I79" s="39"/>
      <c r="J79" s="39"/>
      <c r="K79" s="39"/>
      <c r="L79" s="39"/>
      <c r="M79" s="39"/>
      <c r="N79" s="3" t="s">
        <v>1304</v>
      </c>
    </row>
    <row r="80" spans="1:14" x14ac:dyDescent="0.25">
      <c r="A80" s="5" t="str">
        <f>Fill_Value(filament!A80)</f>
        <v>Custom G-code</v>
      </c>
      <c r="B80" s="76" t="str">
        <f>Fill_Value(filament!B80)</f>
        <v/>
      </c>
      <c r="C80" s="76" t="str">
        <f>Fill_Value(filament!C80)</f>
        <v>##Custom g-code</v>
      </c>
      <c r="D80" s="5"/>
      <c r="E80" s="5"/>
      <c r="F80" s="5"/>
      <c r="G80" s="5"/>
      <c r="H80" s="5"/>
      <c r="I80" s="5"/>
      <c r="J80" s="5"/>
      <c r="K80" s="5"/>
      <c r="L80" s="5"/>
      <c r="M80" s="5"/>
      <c r="N80" s="5"/>
    </row>
    <row r="81" spans="1:14" x14ac:dyDescent="0.25">
      <c r="A81" s="3" t="str">
        <f>Fill_Value(filament!A81)</f>
        <v/>
      </c>
      <c r="B81" s="47" t="str">
        <f>Fill_Value(filament!B81)</f>
        <v/>
      </c>
      <c r="C81" s="47" t="str">
        <f>Fill_Value(filament!C81)</f>
        <v>start_filament_gcode</v>
      </c>
      <c r="D81" s="3"/>
      <c r="E81" s="3"/>
      <c r="F81" s="3"/>
      <c r="G81" s="3"/>
      <c r="H81" s="3"/>
      <c r="I81" s="3"/>
      <c r="J81" s="3"/>
      <c r="K81" s="3"/>
      <c r="L81" s="3"/>
      <c r="M81" s="3"/>
      <c r="N81" s="3"/>
    </row>
    <row r="82" spans="1:14" x14ac:dyDescent="0.25">
      <c r="A82" s="4" t="str">
        <f>Fill_Value(filament!A82)</f>
        <v/>
      </c>
      <c r="B82" s="59" t="str">
        <f>Fill_Value(filament!B82)</f>
        <v/>
      </c>
      <c r="C82" s="59" t="str">
        <f>Fill_Value(filament!C82)</f>
        <v>end_filament_gcode</v>
      </c>
      <c r="D82" s="4"/>
      <c r="E82" s="4"/>
      <c r="F82" s="4"/>
      <c r="G82" s="4"/>
      <c r="H82" s="4"/>
      <c r="I82" s="4"/>
      <c r="J82" s="4"/>
      <c r="K82" s="4"/>
      <c r="L82" s="4"/>
      <c r="M82" s="4"/>
      <c r="N82" s="4"/>
    </row>
    <row r="83" spans="1:14" x14ac:dyDescent="0.25">
      <c r="A83" s="3" t="str">
        <f>Fill_Value(filament!A83)</f>
        <v/>
      </c>
      <c r="B83" s="47" t="str">
        <f>Fill_Value(filament!B83)</f>
        <v/>
      </c>
      <c r="C83" s="47" t="str">
        <f>Fill_Value(filament!C83)</f>
        <v>filament_vendor</v>
      </c>
      <c r="D83" s="3"/>
      <c r="E83" s="3"/>
      <c r="F83" s="3"/>
      <c r="G83" s="3"/>
      <c r="H83" s="3"/>
      <c r="I83" s="3"/>
      <c r="J83" s="3"/>
      <c r="K83" s="3"/>
      <c r="L83" s="3"/>
      <c r="M83" s="3"/>
      <c r="N83" s="3"/>
    </row>
    <row r="84" spans="1:14" x14ac:dyDescent="0.25">
      <c r="A84" s="4" t="str">
        <f>Fill_Value(filament!A84)</f>
        <v/>
      </c>
      <c r="B84" s="59" t="str">
        <f>Fill_Value(filament!B84)</f>
        <v/>
      </c>
      <c r="C84" s="59" t="str">
        <f>Fill_Value(filament!C84)</f>
        <v>inherits</v>
      </c>
      <c r="D84" s="4"/>
      <c r="E84" s="4"/>
      <c r="F84" s="4"/>
      <c r="G84" s="4"/>
      <c r="H84" s="4"/>
      <c r="I84" s="4"/>
      <c r="J84" s="4"/>
      <c r="K84" s="4"/>
      <c r="L84" s="4"/>
      <c r="M84" s="4"/>
      <c r="N84" s="4"/>
    </row>
    <row r="85" spans="1:14" x14ac:dyDescent="0.25">
      <c r="A85" s="5" t="str">
        <f>Fill_Value(filament!A85)</f>
        <v/>
      </c>
      <c r="B85" s="76" t="str">
        <f>Fill_Value(filament!B85)</f>
        <v/>
      </c>
      <c r="C85" s="76" t="str">
        <f>Fill_Value(filament!C85)</f>
        <v>##Prusa Slicer Settings End</v>
      </c>
      <c r="D85" s="5"/>
      <c r="E85" s="5"/>
      <c r="F85" s="5"/>
      <c r="G85" s="5"/>
      <c r="H85" s="5"/>
      <c r="I85" s="5"/>
      <c r="J85" s="5"/>
      <c r="K85" s="5"/>
      <c r="L85" s="5"/>
      <c r="M85" s="5"/>
      <c r="N85" s="5"/>
    </row>
    <row r="86" spans="1:14" x14ac:dyDescent="0.25">
      <c r="A86" s="5" t="str">
        <f>Fill_Value(filament!A86)</f>
        <v>Super Slicer</v>
      </c>
      <c r="B86" s="76" t="str">
        <f>Fill_Value(filament!B86)</f>
        <v/>
      </c>
      <c r="C86" s="76" t="str">
        <f>Fill_Value(filament!C86)</f>
        <v>##Super Slicer Settings Start</v>
      </c>
      <c r="D86" s="5"/>
      <c r="E86" s="5"/>
      <c r="F86" s="5"/>
      <c r="G86" s="5"/>
      <c r="H86" s="5"/>
      <c r="I86" s="5"/>
      <c r="J86" s="5"/>
      <c r="K86" s="5"/>
      <c r="L86" s="5"/>
      <c r="M86" s="5"/>
      <c r="N86" s="5"/>
    </row>
    <row r="87" spans="1:14" x14ac:dyDescent="0.25">
      <c r="A87" s="3" t="str">
        <f>Fill_Value(filament!A87)</f>
        <v/>
      </c>
      <c r="B87" s="47" t="str">
        <f>Fill_Value(filament!B87)</f>
        <v>super</v>
      </c>
      <c r="C87" s="47" t="str">
        <f>Fill_Value(filament!C87)</f>
        <v>filament_cooling_zone_pause</v>
      </c>
      <c r="D87" s="3"/>
      <c r="E87" s="3"/>
      <c r="F87" s="3"/>
      <c r="G87" s="3"/>
      <c r="H87" s="3"/>
      <c r="I87" s="3"/>
      <c r="J87" s="3"/>
      <c r="K87" s="3"/>
      <c r="L87" s="3"/>
      <c r="M87" s="3"/>
      <c r="N87" s="3"/>
    </row>
    <row r="88" spans="1:14" x14ac:dyDescent="0.25">
      <c r="A88" s="4" t="str">
        <f>Fill_Value(filament!A88)</f>
        <v/>
      </c>
      <c r="B88" s="59" t="str">
        <f>Fill_Value(filament!B88)</f>
        <v>super</v>
      </c>
      <c r="C88" s="59" t="str">
        <f>Fill_Value(filament!C88)</f>
        <v>filament_dip_extraction_speed</v>
      </c>
      <c r="D88" s="4"/>
      <c r="E88" s="4"/>
      <c r="F88" s="4"/>
      <c r="G88" s="4"/>
      <c r="H88" s="4"/>
      <c r="I88" s="4"/>
      <c r="J88" s="4"/>
      <c r="K88" s="4"/>
      <c r="L88" s="4"/>
      <c r="M88" s="4"/>
      <c r="N88" s="4"/>
    </row>
    <row r="89" spans="1:14" x14ac:dyDescent="0.25">
      <c r="A89" s="3" t="str">
        <f>Fill_Value(filament!A89)</f>
        <v/>
      </c>
      <c r="B89" s="47" t="str">
        <f>Fill_Value(filament!B89)</f>
        <v>super</v>
      </c>
      <c r="C89" s="47" t="str">
        <f>Fill_Value(filament!C89)</f>
        <v>filament_dip_insertion_speed</v>
      </c>
      <c r="D89" s="3"/>
      <c r="E89" s="3"/>
      <c r="F89" s="3"/>
      <c r="G89" s="3"/>
      <c r="H89" s="3"/>
      <c r="I89" s="3"/>
      <c r="J89" s="3"/>
      <c r="K89" s="3"/>
      <c r="L89" s="3"/>
      <c r="M89" s="3"/>
      <c r="N89" s="3"/>
    </row>
    <row r="90" spans="1:14" x14ac:dyDescent="0.25">
      <c r="A90" s="4" t="str">
        <f>Fill_Value(filament!A90)</f>
        <v/>
      </c>
      <c r="B90" s="59" t="str">
        <f>Fill_Value(filament!B90)</f>
        <v>super</v>
      </c>
      <c r="C90" s="59" t="str">
        <f>Fill_Value(filament!C90)</f>
        <v>filament_enable_toolchange_part_fan</v>
      </c>
      <c r="D90" s="4"/>
      <c r="E90" s="4"/>
      <c r="F90" s="4"/>
      <c r="G90" s="4"/>
      <c r="H90" s="4"/>
      <c r="I90" s="4"/>
      <c r="J90" s="4"/>
      <c r="K90" s="4"/>
      <c r="L90" s="4"/>
      <c r="M90" s="4"/>
      <c r="N90" s="4"/>
    </row>
    <row r="91" spans="1:14" x14ac:dyDescent="0.25">
      <c r="A91" s="3" t="str">
        <f>Fill_Value(filament!A91)</f>
        <v/>
      </c>
      <c r="B91" s="47" t="str">
        <f>Fill_Value(filament!B91)</f>
        <v>super</v>
      </c>
      <c r="C91" s="47" t="str">
        <f>Fill_Value(filament!C91)</f>
        <v>filament_enable_toolchange_temp</v>
      </c>
      <c r="D91" s="3"/>
      <c r="E91" s="3"/>
      <c r="F91" s="3"/>
      <c r="G91" s="3"/>
      <c r="H91" s="3"/>
      <c r="I91" s="3"/>
      <c r="J91" s="3"/>
      <c r="K91" s="3"/>
      <c r="L91" s="3"/>
      <c r="M91" s="3"/>
      <c r="N91" s="3"/>
    </row>
    <row r="92" spans="1:14" x14ac:dyDescent="0.25">
      <c r="A92" s="4" t="str">
        <f>Fill_Value(filament!A92)</f>
        <v/>
      </c>
      <c r="B92" s="59" t="str">
        <f>Fill_Value(filament!B92)</f>
        <v>super</v>
      </c>
      <c r="C92" s="59" t="str">
        <f>Fill_Value(filament!C92)</f>
        <v>filament_max_wipe_tower_speed</v>
      </c>
      <c r="D92" s="4"/>
      <c r="E92" s="4"/>
      <c r="F92" s="4"/>
      <c r="G92" s="4"/>
      <c r="H92" s="4"/>
      <c r="I92" s="4"/>
      <c r="J92" s="4"/>
      <c r="K92" s="4"/>
      <c r="L92" s="4"/>
      <c r="M92" s="4"/>
      <c r="N92" s="4"/>
    </row>
    <row r="93" spans="1:14" x14ac:dyDescent="0.25">
      <c r="A93" s="3" t="str">
        <f>Fill_Value(filament!A93)</f>
        <v/>
      </c>
      <c r="B93" s="47" t="str">
        <f>Fill_Value(filament!B93)</f>
        <v>super</v>
      </c>
      <c r="C93" s="47" t="str">
        <f>Fill_Value(filament!C93)</f>
        <v>filament_melt_zone_pause</v>
      </c>
      <c r="D93" s="3"/>
      <c r="E93" s="3"/>
      <c r="F93" s="3"/>
      <c r="G93" s="3"/>
      <c r="H93" s="3"/>
      <c r="I93" s="3"/>
      <c r="J93" s="3"/>
      <c r="K93" s="3"/>
      <c r="L93" s="3"/>
      <c r="M93" s="3"/>
      <c r="N93" s="3"/>
    </row>
    <row r="94" spans="1:14" x14ac:dyDescent="0.25">
      <c r="A94" s="4" t="str">
        <f>Fill_Value(filament!A94)</f>
        <v/>
      </c>
      <c r="B94" s="59" t="str">
        <f>Fill_Value(filament!B94)</f>
        <v>super</v>
      </c>
      <c r="C94" s="59" t="str">
        <f>Fill_Value(filament!C94)</f>
        <v>filament_skinnydip_distance</v>
      </c>
      <c r="D94" s="4"/>
      <c r="E94" s="4"/>
      <c r="F94" s="4"/>
      <c r="G94" s="4"/>
      <c r="H94" s="4"/>
      <c r="I94" s="4"/>
      <c r="J94" s="4"/>
      <c r="K94" s="4"/>
      <c r="L94" s="4"/>
      <c r="M94" s="4"/>
      <c r="N94" s="4"/>
    </row>
    <row r="95" spans="1:14" x14ac:dyDescent="0.25">
      <c r="A95" s="3" t="str">
        <f>Fill_Value(filament!A95)</f>
        <v/>
      </c>
      <c r="B95" s="47" t="str">
        <f>Fill_Value(filament!B95)</f>
        <v>super</v>
      </c>
      <c r="C95" s="47" t="str">
        <f>Fill_Value(filament!C95)</f>
        <v>filament_toolchange_part_fan_speed</v>
      </c>
      <c r="D95" s="3"/>
      <c r="E95" s="3"/>
      <c r="F95" s="3"/>
      <c r="G95" s="3"/>
      <c r="H95" s="3"/>
      <c r="I95" s="3"/>
      <c r="J95" s="3"/>
      <c r="K95" s="3"/>
      <c r="L95" s="3"/>
      <c r="M95" s="3"/>
      <c r="N95" s="3"/>
    </row>
    <row r="96" spans="1:14" x14ac:dyDescent="0.25">
      <c r="A96" s="4" t="str">
        <f>Fill_Value(filament!A96)</f>
        <v/>
      </c>
      <c r="B96" s="59" t="str">
        <f>Fill_Value(filament!B96)</f>
        <v>super</v>
      </c>
      <c r="C96" s="59" t="str">
        <f>Fill_Value(filament!C96)</f>
        <v>filament_toolchange_temp</v>
      </c>
      <c r="D96" s="4"/>
      <c r="E96" s="4"/>
      <c r="F96" s="4"/>
      <c r="G96" s="4"/>
      <c r="H96" s="4"/>
      <c r="I96" s="4"/>
      <c r="J96" s="4"/>
      <c r="K96" s="4"/>
      <c r="L96" s="4"/>
      <c r="M96" s="4"/>
      <c r="N96" s="4"/>
    </row>
    <row r="97" spans="1:14" x14ac:dyDescent="0.25">
      <c r="A97" s="3" t="str">
        <f>Fill_Value(filament!A97)</f>
        <v/>
      </c>
      <c r="B97" s="47" t="str">
        <f>Fill_Value(filament!B97)</f>
        <v>super</v>
      </c>
      <c r="C97" s="47" t="str">
        <f>Fill_Value(filament!C97)</f>
        <v>filament_use_fast_skinnydip</v>
      </c>
      <c r="D97" s="3"/>
      <c r="E97" s="3"/>
      <c r="F97" s="3"/>
      <c r="G97" s="3"/>
      <c r="H97" s="3"/>
      <c r="I97" s="3"/>
      <c r="J97" s="3"/>
      <c r="K97" s="3"/>
      <c r="L97" s="3"/>
      <c r="M97" s="3"/>
      <c r="N97" s="3"/>
    </row>
    <row r="98" spans="1:14" x14ac:dyDescent="0.25">
      <c r="A98" s="4" t="str">
        <f>Fill_Value(filament!A98)</f>
        <v/>
      </c>
      <c r="B98" s="59" t="str">
        <f>Fill_Value(filament!B98)</f>
        <v>super</v>
      </c>
      <c r="C98" s="59" t="str">
        <f>Fill_Value(filament!C98)</f>
        <v>filament_use_skinnydip</v>
      </c>
      <c r="D98" s="4"/>
      <c r="E98" s="4"/>
      <c r="F98" s="4"/>
      <c r="G98" s="4"/>
      <c r="H98" s="4"/>
      <c r="I98" s="4"/>
      <c r="J98" s="4"/>
      <c r="K98" s="4"/>
      <c r="L98" s="4"/>
      <c r="M98" s="4"/>
      <c r="N98" s="4"/>
    </row>
    <row r="99" spans="1:14" x14ac:dyDescent="0.25">
      <c r="A99" s="3" t="str">
        <f>Fill_Value(filament!A99)</f>
        <v/>
      </c>
      <c r="B99" s="47" t="str">
        <f>Fill_Value(filament!B99)</f>
        <v>super</v>
      </c>
      <c r="C99" s="47" t="str">
        <f>Fill_Value(filament!C99)</f>
        <v>filament_wipe_advanced_pigment</v>
      </c>
      <c r="D99" s="3"/>
      <c r="E99" s="3"/>
      <c r="F99" s="3"/>
      <c r="G99" s="3"/>
      <c r="H99" s="3"/>
      <c r="I99" s="3"/>
      <c r="J99" s="3"/>
      <c r="K99" s="3"/>
      <c r="L99" s="3"/>
      <c r="M99" s="3"/>
      <c r="N99" s="3"/>
    </row>
    <row r="100" spans="1:14" x14ac:dyDescent="0.25">
      <c r="A100" s="4" t="str">
        <f>Fill_Value(filament!A100)</f>
        <v/>
      </c>
      <c r="B100" s="59" t="str">
        <f>Fill_Value(filament!B100)</f>
        <v>super</v>
      </c>
      <c r="C100" s="59" t="str">
        <f>Fill_Value(filament!C100)</f>
        <v>filament_wipe_extra_perimeter</v>
      </c>
      <c r="D100" s="4"/>
      <c r="E100" s="4"/>
      <c r="F100" s="4"/>
      <c r="G100" s="4"/>
      <c r="H100" s="4"/>
      <c r="I100" s="4"/>
      <c r="J100" s="4"/>
      <c r="K100" s="4"/>
      <c r="L100" s="4"/>
      <c r="M100" s="4"/>
      <c r="N100" s="4"/>
    </row>
    <row r="101" spans="1:14" x14ac:dyDescent="0.25">
      <c r="A101" s="5" t="str">
        <f>Fill_Value(filament!A101)</f>
        <v/>
      </c>
      <c r="B101" s="76" t="str">
        <f>Fill_Value(filament!B101)</f>
        <v/>
      </c>
      <c r="C101" s="76" t="str">
        <f>Fill_Value(filament!C101)</f>
        <v>##Super Slicer Settings End</v>
      </c>
      <c r="D101" s="5"/>
      <c r="E101" s="5"/>
      <c r="F101" s="5"/>
      <c r="G101" s="5"/>
      <c r="H101" s="5"/>
      <c r="I101" s="5"/>
      <c r="J101" s="5"/>
      <c r="K101" s="5"/>
      <c r="L101" s="5"/>
      <c r="M101" s="5"/>
      <c r="N101" s="5"/>
    </row>
    <row r="102" spans="1:14" x14ac:dyDescent="0.25">
      <c r="A102" s="3" t="str">
        <f>Fill_Value(filament!A102)</f>
        <v/>
      </c>
      <c r="B102" s="47" t="str">
        <f>Fill_Value(filament!B102)</f>
        <v/>
      </c>
      <c r="C102" s="47" t="str">
        <f>Fill_Value(filament!C102)</f>
        <v/>
      </c>
      <c r="D102" s="3"/>
      <c r="E102" s="3"/>
      <c r="F102" s="3"/>
      <c r="G102" s="3"/>
      <c r="H102" s="3"/>
      <c r="I102" s="3"/>
      <c r="J102" s="3"/>
      <c r="K102" s="3"/>
      <c r="L102" s="3"/>
      <c r="M102" s="3"/>
      <c r="N102" s="3"/>
    </row>
    <row r="103" spans="1:14" x14ac:dyDescent="0.25">
      <c r="A103" s="4" t="str">
        <f>Fill_Value(filament!A103)</f>
        <v/>
      </c>
      <c r="B103" s="59" t="str">
        <f>Fill_Value(filament!B103)</f>
        <v/>
      </c>
      <c r="C103" s="59" t="str">
        <f>Fill_Value(filament!C103)</f>
        <v/>
      </c>
      <c r="D103" s="4"/>
      <c r="E103" s="4"/>
      <c r="F103" s="4"/>
      <c r="G103" s="4"/>
      <c r="H103" s="4"/>
      <c r="I103" s="4"/>
      <c r="J103" s="4"/>
      <c r="K103" s="4"/>
      <c r="L103" s="4"/>
      <c r="M103" s="4"/>
      <c r="N103" s="4"/>
    </row>
    <row r="104" spans="1:14" x14ac:dyDescent="0.25">
      <c r="A104" s="3" t="str">
        <f>Fill_Value(filament!A104)</f>
        <v/>
      </c>
      <c r="B104" s="47" t="str">
        <f>Fill_Value(filament!B104)</f>
        <v/>
      </c>
      <c r="C104" s="47" t="str">
        <f>Fill_Value(filament!C104)</f>
        <v/>
      </c>
      <c r="D104" s="3"/>
      <c r="E104" s="3"/>
      <c r="F104" s="3"/>
      <c r="G104" s="3"/>
      <c r="H104" s="3"/>
      <c r="I104" s="3"/>
      <c r="J104" s="3"/>
      <c r="K104" s="3"/>
      <c r="L104" s="3"/>
      <c r="M104" s="3"/>
      <c r="N104" s="3"/>
    </row>
    <row r="105" spans="1:14" x14ac:dyDescent="0.25">
      <c r="A105" s="4" t="str">
        <f>Fill_Value(filament!A105)</f>
        <v/>
      </c>
      <c r="B105" s="59" t="str">
        <f>Fill_Value(filament!B105)</f>
        <v/>
      </c>
      <c r="C105" s="59" t="str">
        <f>Fill_Value(filament!C105)</f>
        <v/>
      </c>
      <c r="D105" s="4"/>
      <c r="E105" s="4"/>
      <c r="F105" s="4"/>
      <c r="G105" s="4"/>
      <c r="H105" s="4"/>
      <c r="I105" s="4"/>
      <c r="J105" s="4"/>
      <c r="K105" s="4"/>
      <c r="L105" s="4"/>
      <c r="M105" s="4"/>
      <c r="N105" s="4"/>
    </row>
    <row r="106" spans="1:14" x14ac:dyDescent="0.25">
      <c r="A106" s="3" t="str">
        <f>Fill_Value(filament!A106)</f>
        <v/>
      </c>
      <c r="B106" s="47" t="str">
        <f>Fill_Value(filament!B106)</f>
        <v/>
      </c>
      <c r="C106" s="47" t="str">
        <f>Fill_Value(filament!C106)</f>
        <v/>
      </c>
      <c r="D106" s="3"/>
      <c r="E106" s="3"/>
      <c r="F106" s="3"/>
      <c r="G106" s="3"/>
      <c r="H106" s="3"/>
      <c r="I106" s="3"/>
      <c r="J106" s="3"/>
      <c r="K106" s="3"/>
      <c r="L106" s="3"/>
      <c r="M106" s="3"/>
      <c r="N106" s="3"/>
    </row>
    <row r="107" spans="1:14" x14ac:dyDescent="0.25">
      <c r="A107" s="4" t="str">
        <f>Fill_Value(filament!A107)</f>
        <v/>
      </c>
      <c r="B107" s="59" t="str">
        <f>Fill_Value(filament!B107)</f>
        <v/>
      </c>
      <c r="C107" s="59" t="str">
        <f>Fill_Value(filament!C107)</f>
        <v/>
      </c>
      <c r="D107" s="4"/>
      <c r="E107" s="4"/>
      <c r="F107" s="4"/>
      <c r="G107" s="4"/>
      <c r="H107" s="4"/>
      <c r="I107" s="4"/>
      <c r="J107" s="4"/>
      <c r="K107" s="4"/>
      <c r="L107" s="4"/>
      <c r="M107" s="4"/>
      <c r="N107" s="4"/>
    </row>
    <row r="108" spans="1:14" x14ac:dyDescent="0.25">
      <c r="A108" s="3" t="str">
        <f>Fill_Value(filament!A108)</f>
        <v/>
      </c>
      <c r="B108" s="47" t="str">
        <f>Fill_Value(filament!B108)</f>
        <v/>
      </c>
      <c r="C108" s="47" t="str">
        <f>Fill_Value(filament!C108)</f>
        <v/>
      </c>
      <c r="D108" s="3"/>
      <c r="E108" s="3"/>
      <c r="F108" s="3"/>
      <c r="G108" s="3"/>
      <c r="H108" s="3"/>
      <c r="I108" s="3"/>
      <c r="J108" s="3"/>
      <c r="K108" s="3"/>
      <c r="L108" s="3"/>
      <c r="M108" s="3"/>
      <c r="N108" s="3"/>
    </row>
    <row r="109" spans="1:14" x14ac:dyDescent="0.25">
      <c r="A109" s="4" t="str">
        <f>Fill_Value(filament!A109)</f>
        <v/>
      </c>
      <c r="B109" s="59" t="str">
        <f>Fill_Value(filament!B109)</f>
        <v/>
      </c>
      <c r="C109" s="59" t="str">
        <f>Fill_Value(filament!C109)</f>
        <v/>
      </c>
      <c r="D109" s="4"/>
      <c r="E109" s="4"/>
      <c r="F109" s="4"/>
      <c r="G109" s="4"/>
      <c r="H109" s="4"/>
      <c r="I109" s="4"/>
      <c r="J109" s="4"/>
      <c r="K109" s="4"/>
      <c r="L109" s="4"/>
      <c r="M109" s="4"/>
      <c r="N109" s="4"/>
    </row>
    <row r="110" spans="1:14" x14ac:dyDescent="0.25">
      <c r="A110" s="3" t="str">
        <f>Fill_Value(filament!A110)</f>
        <v/>
      </c>
      <c r="B110" s="47" t="str">
        <f>Fill_Value(filament!B110)</f>
        <v/>
      </c>
      <c r="C110" s="47" t="str">
        <f>Fill_Value(filament!C110)</f>
        <v/>
      </c>
      <c r="D110" s="3"/>
      <c r="E110" s="3"/>
      <c r="F110" s="3"/>
      <c r="G110" s="3"/>
      <c r="H110" s="3"/>
      <c r="I110" s="3"/>
      <c r="J110" s="3"/>
      <c r="K110" s="3"/>
      <c r="L110" s="3"/>
      <c r="M110" s="3"/>
      <c r="N110" s="3"/>
    </row>
    <row r="111" spans="1:14" x14ac:dyDescent="0.25">
      <c r="A111" s="4" t="str">
        <f>Fill_Value(filament!A111)</f>
        <v/>
      </c>
      <c r="B111" s="59" t="str">
        <f>Fill_Value(filament!B111)</f>
        <v/>
      </c>
      <c r="C111" s="59" t="str">
        <f>Fill_Value(filament!C111)</f>
        <v/>
      </c>
      <c r="D111" s="4"/>
      <c r="E111" s="4"/>
      <c r="F111" s="4"/>
      <c r="G111" s="4"/>
      <c r="H111" s="4"/>
      <c r="I111" s="4"/>
      <c r="J111" s="4"/>
      <c r="K111" s="4"/>
      <c r="L111" s="4"/>
      <c r="M111" s="4"/>
      <c r="N111" s="4"/>
    </row>
    <row r="112" spans="1:14" x14ac:dyDescent="0.25">
      <c r="A112" s="3" t="str">
        <f>Fill_Value(filament!A112)</f>
        <v/>
      </c>
      <c r="B112" s="47" t="str">
        <f>Fill_Value(filament!B112)</f>
        <v/>
      </c>
      <c r="C112" s="47" t="str">
        <f>Fill_Value(filament!C112)</f>
        <v/>
      </c>
      <c r="D112" s="3"/>
      <c r="E112" s="3"/>
      <c r="F112" s="3"/>
      <c r="G112" s="3"/>
      <c r="H112" s="3"/>
      <c r="I112" s="3"/>
      <c r="J112" s="3"/>
      <c r="K112" s="3"/>
      <c r="L112" s="3"/>
      <c r="M112" s="3"/>
      <c r="N112" s="3"/>
    </row>
    <row r="113" spans="1:14" x14ac:dyDescent="0.25">
      <c r="A113" s="4" t="str">
        <f>Fill_Value(filament!A113)</f>
        <v/>
      </c>
      <c r="B113" s="59" t="str">
        <f>Fill_Value(filament!B113)</f>
        <v/>
      </c>
      <c r="C113" s="59" t="str">
        <f>Fill_Value(filament!C113)</f>
        <v/>
      </c>
      <c r="D113" s="4"/>
      <c r="E113" s="4"/>
      <c r="F113" s="4"/>
      <c r="G113" s="4"/>
      <c r="H113" s="4"/>
      <c r="I113" s="4"/>
      <c r="J113" s="4"/>
      <c r="K113" s="4"/>
      <c r="L113" s="4"/>
      <c r="M113" s="4"/>
      <c r="N113" s="4"/>
    </row>
    <row r="114" spans="1:14" x14ac:dyDescent="0.25">
      <c r="A114" s="3" t="str">
        <f>Fill_Value(filament!A114)</f>
        <v/>
      </c>
      <c r="B114" s="47" t="str">
        <f>Fill_Value(filament!B114)</f>
        <v/>
      </c>
      <c r="C114" s="47" t="str">
        <f>Fill_Value(filament!C114)</f>
        <v/>
      </c>
      <c r="D114" s="3"/>
      <c r="E114" s="3"/>
      <c r="F114" s="3"/>
      <c r="G114" s="3"/>
      <c r="H114" s="3"/>
      <c r="I114" s="3"/>
      <c r="J114" s="3"/>
      <c r="K114" s="3"/>
      <c r="L114" s="3"/>
      <c r="M114" s="3"/>
      <c r="N114" s="3"/>
    </row>
    <row r="115" spans="1:14" x14ac:dyDescent="0.25">
      <c r="A115" s="4" t="str">
        <f>Fill_Value(filament!A115)</f>
        <v/>
      </c>
      <c r="B115" s="59" t="str">
        <f>Fill_Value(filament!B115)</f>
        <v/>
      </c>
      <c r="C115" s="59" t="str">
        <f>Fill_Value(filament!C115)</f>
        <v/>
      </c>
      <c r="D115" s="4"/>
      <c r="E115" s="4"/>
      <c r="F115" s="4"/>
      <c r="G115" s="4"/>
      <c r="H115" s="4"/>
      <c r="I115" s="4"/>
      <c r="J115" s="4"/>
      <c r="K115" s="4"/>
      <c r="L115" s="4"/>
      <c r="M115" s="4"/>
      <c r="N115" s="4"/>
    </row>
    <row r="116" spans="1:14" x14ac:dyDescent="0.25">
      <c r="A116" s="3" t="str">
        <f>Fill_Value(filament!A116)</f>
        <v/>
      </c>
      <c r="B116" s="47" t="str">
        <f>Fill_Value(filament!B116)</f>
        <v/>
      </c>
      <c r="C116" s="47" t="str">
        <f>Fill_Value(filament!C116)</f>
        <v/>
      </c>
      <c r="D116" s="3"/>
      <c r="E116" s="3"/>
      <c r="F116" s="3"/>
      <c r="G116" s="3"/>
      <c r="H116" s="3"/>
      <c r="I116" s="3"/>
      <c r="J116" s="3"/>
      <c r="K116" s="3"/>
      <c r="L116" s="3"/>
      <c r="M116" s="3"/>
      <c r="N116" s="3"/>
    </row>
    <row r="117" spans="1:14" x14ac:dyDescent="0.25">
      <c r="A117" s="4" t="str">
        <f>Fill_Value(filament!A117)</f>
        <v/>
      </c>
      <c r="B117" s="59" t="str">
        <f>Fill_Value(filament!B117)</f>
        <v/>
      </c>
      <c r="C117" s="59" t="str">
        <f>Fill_Value(filament!C117)</f>
        <v/>
      </c>
      <c r="D117" s="4"/>
      <c r="E117" s="4"/>
      <c r="F117" s="4"/>
      <c r="G117" s="4"/>
      <c r="H117" s="4"/>
      <c r="I117" s="4"/>
      <c r="J117" s="4"/>
      <c r="K117" s="4"/>
      <c r="L117" s="4"/>
      <c r="M117" s="4"/>
      <c r="N117" s="4"/>
    </row>
    <row r="118" spans="1:14" x14ac:dyDescent="0.25">
      <c r="A118" s="3" t="str">
        <f>Fill_Value(filament!A118)</f>
        <v/>
      </c>
      <c r="B118" s="47" t="str">
        <f>Fill_Value(filament!B118)</f>
        <v/>
      </c>
      <c r="C118" s="47" t="str">
        <f>Fill_Value(filament!C118)</f>
        <v/>
      </c>
      <c r="D118" s="3"/>
      <c r="E118" s="3"/>
      <c r="F118" s="3"/>
      <c r="G118" s="3"/>
      <c r="H118" s="3"/>
      <c r="I118" s="3"/>
      <c r="J118" s="3"/>
      <c r="K118" s="3"/>
      <c r="L118" s="3"/>
      <c r="M118" s="3"/>
      <c r="N118" s="3"/>
    </row>
    <row r="119" spans="1:14" x14ac:dyDescent="0.25">
      <c r="A119" s="4" t="str">
        <f>Fill_Value(filament!A119)</f>
        <v/>
      </c>
      <c r="B119" s="59" t="str">
        <f>Fill_Value(filament!B119)</f>
        <v/>
      </c>
      <c r="C119" s="59" t="str">
        <f>Fill_Value(filament!C119)</f>
        <v/>
      </c>
      <c r="D119" s="4"/>
      <c r="E119" s="4"/>
      <c r="F119" s="4"/>
      <c r="G119" s="4"/>
      <c r="H119" s="4"/>
      <c r="I119" s="4"/>
      <c r="J119" s="4"/>
      <c r="K119" s="4"/>
      <c r="L119" s="4"/>
      <c r="M119" s="4"/>
      <c r="N119" s="4"/>
    </row>
    <row r="120" spans="1:14" x14ac:dyDescent="0.25">
      <c r="A120" s="3" t="str">
        <f>Fill_Value(filament!A120)</f>
        <v/>
      </c>
      <c r="B120" s="47" t="str">
        <f>Fill_Value(filament!B120)</f>
        <v/>
      </c>
      <c r="C120" s="47" t="str">
        <f>Fill_Value(filament!C120)</f>
        <v/>
      </c>
      <c r="D120" s="3"/>
      <c r="E120" s="3"/>
      <c r="F120" s="3"/>
      <c r="G120" s="3"/>
      <c r="H120" s="3"/>
      <c r="I120" s="3"/>
      <c r="J120" s="3"/>
      <c r="K120" s="3"/>
      <c r="L120" s="3"/>
      <c r="M120" s="3"/>
      <c r="N120" s="3"/>
    </row>
    <row r="121" spans="1:14" x14ac:dyDescent="0.25">
      <c r="A121" s="4" t="str">
        <f>Fill_Value(filament!A121)</f>
        <v/>
      </c>
      <c r="B121" s="59" t="str">
        <f>Fill_Value(filament!B121)</f>
        <v/>
      </c>
      <c r="C121" s="59" t="str">
        <f>Fill_Value(filament!C121)</f>
        <v/>
      </c>
      <c r="D121" s="4"/>
      <c r="E121" s="4"/>
      <c r="F121" s="4"/>
      <c r="G121" s="4"/>
      <c r="H121" s="4"/>
      <c r="I121" s="4"/>
      <c r="J121" s="4"/>
      <c r="K121" s="4"/>
      <c r="L121" s="4"/>
      <c r="M121" s="4"/>
      <c r="N121" s="4"/>
    </row>
    <row r="122" spans="1:14" x14ac:dyDescent="0.25">
      <c r="A122" s="3" t="str">
        <f>Fill_Value(filament!A122)</f>
        <v/>
      </c>
      <c r="B122" s="47" t="str">
        <f>Fill_Value(filament!B122)</f>
        <v/>
      </c>
      <c r="C122" s="47" t="str">
        <f>Fill_Value(filament!C122)</f>
        <v/>
      </c>
      <c r="D122" s="3"/>
      <c r="E122" s="3"/>
      <c r="F122" s="3"/>
      <c r="G122" s="3"/>
      <c r="H122" s="3"/>
      <c r="I122" s="3"/>
      <c r="J122" s="3"/>
      <c r="K122" s="3"/>
      <c r="L122" s="3"/>
      <c r="M122" s="3"/>
      <c r="N122" s="3"/>
    </row>
    <row r="123" spans="1:14" x14ac:dyDescent="0.25">
      <c r="A123" s="4" t="str">
        <f>Fill_Value(filament!A123)</f>
        <v/>
      </c>
      <c r="B123" s="59" t="str">
        <f>Fill_Value(filament!B123)</f>
        <v/>
      </c>
      <c r="C123" s="59" t="str">
        <f>Fill_Value(filament!C123)</f>
        <v/>
      </c>
      <c r="D123" s="4"/>
      <c r="E123" s="4"/>
      <c r="F123" s="4"/>
      <c r="G123" s="4"/>
      <c r="H123" s="4"/>
      <c r="I123" s="4"/>
      <c r="J123" s="4"/>
      <c r="K123" s="4"/>
      <c r="L123" s="4"/>
      <c r="M123" s="4"/>
      <c r="N123" s="4"/>
    </row>
    <row r="124" spans="1:14" x14ac:dyDescent="0.25">
      <c r="A124" s="3" t="str">
        <f>Fill_Value(filament!A124)</f>
        <v/>
      </c>
      <c r="B124" s="47" t="str">
        <f>Fill_Value(filament!B124)</f>
        <v/>
      </c>
      <c r="C124" s="47" t="str">
        <f>Fill_Value(filament!C124)</f>
        <v/>
      </c>
      <c r="D124" s="3"/>
      <c r="E124" s="3"/>
      <c r="F124" s="3"/>
      <c r="G124" s="3"/>
      <c r="H124" s="3"/>
      <c r="I124" s="3"/>
      <c r="J124" s="3"/>
      <c r="K124" s="3"/>
      <c r="L124" s="3"/>
      <c r="M124" s="3"/>
      <c r="N124" s="3"/>
    </row>
    <row r="125" spans="1:14" x14ac:dyDescent="0.25">
      <c r="A125" s="4" t="str">
        <f>Fill_Value(filament!A125)</f>
        <v/>
      </c>
      <c r="B125" s="59" t="str">
        <f>Fill_Value(filament!B125)</f>
        <v/>
      </c>
      <c r="C125" s="59" t="str">
        <f>Fill_Value(filament!C125)</f>
        <v/>
      </c>
      <c r="D125" s="4"/>
      <c r="E125" s="4"/>
      <c r="F125" s="4"/>
      <c r="G125" s="4"/>
      <c r="H125" s="4"/>
      <c r="I125" s="4"/>
      <c r="J125" s="4"/>
      <c r="K125" s="4"/>
      <c r="L125" s="4"/>
      <c r="M125" s="4"/>
      <c r="N125" s="4"/>
    </row>
    <row r="126" spans="1:14" x14ac:dyDescent="0.25">
      <c r="A126" s="3" t="str">
        <f>Fill_Value(filament!A126)</f>
        <v/>
      </c>
      <c r="B126" s="47" t="str">
        <f>Fill_Value(filament!B126)</f>
        <v/>
      </c>
      <c r="C126" s="47" t="str">
        <f>Fill_Value(filament!C126)</f>
        <v/>
      </c>
      <c r="D126" s="3"/>
      <c r="E126" s="3"/>
      <c r="F126" s="3"/>
      <c r="G126" s="3"/>
      <c r="H126" s="3"/>
      <c r="I126" s="3"/>
      <c r="J126" s="3"/>
      <c r="K126" s="3"/>
      <c r="L126" s="3"/>
      <c r="M126" s="3"/>
      <c r="N126" s="3"/>
    </row>
    <row r="127" spans="1:14" x14ac:dyDescent="0.25">
      <c r="A127" s="4" t="str">
        <f>Fill_Value(filament!A127)</f>
        <v/>
      </c>
      <c r="B127" s="59" t="str">
        <f>Fill_Value(filament!B127)</f>
        <v/>
      </c>
      <c r="C127" s="59" t="str">
        <f>Fill_Value(filament!C127)</f>
        <v/>
      </c>
      <c r="D127" s="4"/>
      <c r="E127" s="4"/>
      <c r="F127" s="4"/>
      <c r="G127" s="4"/>
      <c r="H127" s="4"/>
      <c r="I127" s="4"/>
      <c r="J127" s="4"/>
      <c r="K127" s="4"/>
      <c r="L127" s="4"/>
      <c r="M127" s="4"/>
      <c r="N127" s="4"/>
    </row>
    <row r="128" spans="1:14" x14ac:dyDescent="0.25">
      <c r="A128" s="3" t="str">
        <f>Fill_Value(filament!A128)</f>
        <v/>
      </c>
      <c r="B128" s="47" t="str">
        <f>Fill_Value(filament!B128)</f>
        <v/>
      </c>
      <c r="C128" s="47" t="str">
        <f>Fill_Value(filament!C128)</f>
        <v/>
      </c>
      <c r="D128" s="3"/>
      <c r="E128" s="3"/>
      <c r="F128" s="3"/>
      <c r="G128" s="3"/>
      <c r="H128" s="3"/>
      <c r="I128" s="3"/>
      <c r="J128" s="3"/>
      <c r="K128" s="3"/>
      <c r="L128" s="3"/>
      <c r="M128" s="3"/>
      <c r="N128" s="3"/>
    </row>
    <row r="129" spans="1:14" x14ac:dyDescent="0.25">
      <c r="A129" s="4" t="str">
        <f>Fill_Value(filament!A129)</f>
        <v/>
      </c>
      <c r="B129" s="59" t="str">
        <f>Fill_Value(filament!B129)</f>
        <v/>
      </c>
      <c r="C129" s="59" t="str">
        <f>Fill_Value(filament!C129)</f>
        <v/>
      </c>
      <c r="D129" s="4"/>
      <c r="E129" s="4"/>
      <c r="F129" s="4"/>
      <c r="G129" s="4"/>
      <c r="H129" s="4"/>
      <c r="I129" s="4"/>
      <c r="J129" s="4"/>
      <c r="K129" s="4"/>
      <c r="L129" s="4"/>
      <c r="M129" s="4"/>
      <c r="N129" s="4"/>
    </row>
    <row r="130" spans="1:14" x14ac:dyDescent="0.25">
      <c r="A130" s="3" t="str">
        <f>Fill_Value(filament!A130)</f>
        <v/>
      </c>
      <c r="B130" s="47" t="str">
        <f>Fill_Value(filament!B130)</f>
        <v/>
      </c>
      <c r="C130" s="47" t="str">
        <f>Fill_Value(filament!C130)</f>
        <v/>
      </c>
      <c r="D130" s="3"/>
      <c r="E130" s="3"/>
      <c r="F130" s="3"/>
      <c r="G130" s="3"/>
      <c r="H130" s="3"/>
      <c r="I130" s="3"/>
      <c r="J130" s="3"/>
      <c r="K130" s="3"/>
      <c r="L130" s="3"/>
      <c r="M130" s="3"/>
      <c r="N130" s="3"/>
    </row>
    <row r="131" spans="1:14" x14ac:dyDescent="0.25">
      <c r="A131" s="4" t="str">
        <f>Fill_Value(filament!A131)</f>
        <v/>
      </c>
      <c r="B131" s="59" t="str">
        <f>Fill_Value(filament!B131)</f>
        <v/>
      </c>
      <c r="C131" s="59" t="str">
        <f>Fill_Value(filament!C131)</f>
        <v/>
      </c>
      <c r="D131" s="4"/>
      <c r="E131" s="4"/>
      <c r="F131" s="4"/>
      <c r="G131" s="4"/>
      <c r="H131" s="4"/>
      <c r="I131" s="4"/>
      <c r="J131" s="4"/>
      <c r="K131" s="4"/>
      <c r="L131" s="4"/>
      <c r="M131" s="4"/>
      <c r="N131" s="4"/>
    </row>
    <row r="132" spans="1:14" x14ac:dyDescent="0.25">
      <c r="A132" s="3" t="str">
        <f>Fill_Value(filament!A132)</f>
        <v/>
      </c>
      <c r="B132" s="47" t="str">
        <f>Fill_Value(filament!B132)</f>
        <v/>
      </c>
      <c r="C132" s="47" t="str">
        <f>Fill_Value(filament!C132)</f>
        <v/>
      </c>
      <c r="D132" s="3"/>
      <c r="E132" s="3"/>
      <c r="F132" s="3"/>
      <c r="G132" s="3"/>
      <c r="H132" s="3"/>
      <c r="I132" s="3"/>
      <c r="J132" s="3"/>
      <c r="K132" s="3"/>
      <c r="L132" s="3"/>
      <c r="M132" s="3"/>
      <c r="N132" s="3"/>
    </row>
    <row r="133" spans="1:14" x14ac:dyDescent="0.25">
      <c r="A133" s="4" t="str">
        <f>Fill_Value(filament!A133)</f>
        <v/>
      </c>
      <c r="B133" s="59" t="str">
        <f>Fill_Value(filament!B133)</f>
        <v/>
      </c>
      <c r="C133" s="59" t="str">
        <f>Fill_Value(filament!C133)</f>
        <v/>
      </c>
      <c r="D133" s="4"/>
      <c r="E133" s="4"/>
      <c r="F133" s="4"/>
      <c r="G133" s="4"/>
      <c r="H133" s="4"/>
      <c r="I133" s="4"/>
      <c r="J133" s="4"/>
      <c r="K133" s="4"/>
      <c r="L133" s="4"/>
      <c r="M133" s="4"/>
      <c r="N133" s="4"/>
    </row>
    <row r="134" spans="1:14" x14ac:dyDescent="0.25">
      <c r="A134" s="3" t="str">
        <f>Fill_Value(filament!A134)</f>
        <v/>
      </c>
      <c r="B134" s="47" t="str">
        <f>Fill_Value(filament!B134)</f>
        <v/>
      </c>
      <c r="C134" s="47" t="str">
        <f>Fill_Value(filament!C134)</f>
        <v/>
      </c>
      <c r="D134" s="3"/>
      <c r="E134" s="3"/>
      <c r="F134" s="3"/>
      <c r="G134" s="3"/>
      <c r="H134" s="3"/>
      <c r="I134" s="3"/>
      <c r="J134" s="3"/>
      <c r="K134" s="3"/>
      <c r="L134" s="3"/>
      <c r="M134" s="3"/>
      <c r="N134" s="3"/>
    </row>
    <row r="135" spans="1:14" x14ac:dyDescent="0.25">
      <c r="A135" s="4" t="str">
        <f>Fill_Value(filament!A135)</f>
        <v/>
      </c>
      <c r="B135" s="59" t="str">
        <f>Fill_Value(filament!B135)</f>
        <v/>
      </c>
      <c r="C135" s="59" t="str">
        <f>Fill_Value(filament!C135)</f>
        <v/>
      </c>
      <c r="D135" s="4"/>
      <c r="E135" s="4"/>
      <c r="F135" s="4"/>
      <c r="G135" s="4"/>
      <c r="H135" s="4"/>
      <c r="I135" s="4"/>
      <c r="J135" s="4"/>
      <c r="K135" s="4"/>
      <c r="L135" s="4"/>
      <c r="M135" s="4"/>
      <c r="N135" s="4"/>
    </row>
    <row r="136" spans="1:14" x14ac:dyDescent="0.25">
      <c r="A136" s="3" t="str">
        <f>Fill_Value(filament!A136)</f>
        <v/>
      </c>
      <c r="B136" s="47" t="str">
        <f>Fill_Value(filament!B136)</f>
        <v/>
      </c>
      <c r="C136" s="47" t="str">
        <f>Fill_Value(filament!C136)</f>
        <v/>
      </c>
      <c r="D136" s="3"/>
      <c r="E136" s="3"/>
      <c r="F136" s="3"/>
      <c r="G136" s="3"/>
      <c r="H136" s="3"/>
      <c r="I136" s="3"/>
      <c r="J136" s="3"/>
      <c r="K136" s="3"/>
      <c r="L136" s="3"/>
      <c r="M136" s="3"/>
      <c r="N136" s="3"/>
    </row>
    <row r="137" spans="1:14" x14ac:dyDescent="0.25">
      <c r="A137" s="4" t="str">
        <f>Fill_Value(filament!A137)</f>
        <v/>
      </c>
      <c r="B137" s="59" t="str">
        <f>Fill_Value(filament!B137)</f>
        <v/>
      </c>
      <c r="C137" s="59" t="str">
        <f>Fill_Value(filament!C137)</f>
        <v/>
      </c>
      <c r="D137" s="4"/>
      <c r="E137" s="4"/>
      <c r="F137" s="4"/>
      <c r="G137" s="4"/>
      <c r="H137" s="4"/>
      <c r="I137" s="4"/>
      <c r="J137" s="4"/>
      <c r="K137" s="4"/>
      <c r="L137" s="4"/>
      <c r="M137" s="4"/>
      <c r="N137" s="4"/>
    </row>
    <row r="138" spans="1:14" x14ac:dyDescent="0.25">
      <c r="A138" s="3" t="str">
        <f>Fill_Value(filament!A138)</f>
        <v/>
      </c>
      <c r="B138" s="47" t="str">
        <f>Fill_Value(filament!B138)</f>
        <v/>
      </c>
      <c r="C138" s="47" t="str">
        <f>Fill_Value(filament!C138)</f>
        <v/>
      </c>
      <c r="D138" s="3"/>
      <c r="E138" s="3"/>
      <c r="F138" s="3"/>
      <c r="G138" s="3"/>
      <c r="H138" s="3"/>
      <c r="I138" s="3"/>
      <c r="J138" s="3"/>
      <c r="K138" s="3"/>
      <c r="L138" s="3"/>
      <c r="M138" s="3"/>
      <c r="N138" s="3"/>
    </row>
    <row r="139" spans="1:14" x14ac:dyDescent="0.25">
      <c r="A139" s="4" t="str">
        <f>Fill_Value(filament!A139)</f>
        <v/>
      </c>
      <c r="B139" s="59" t="str">
        <f>Fill_Value(filament!B139)</f>
        <v/>
      </c>
      <c r="C139" s="59" t="str">
        <f>Fill_Value(filament!C139)</f>
        <v/>
      </c>
      <c r="D139" s="4"/>
      <c r="E139" s="4"/>
      <c r="F139" s="4"/>
      <c r="G139" s="4"/>
      <c r="H139" s="4"/>
      <c r="I139" s="4"/>
      <c r="J139" s="4"/>
      <c r="K139" s="4"/>
      <c r="L139" s="4"/>
      <c r="M139" s="4"/>
      <c r="N139" s="4"/>
    </row>
    <row r="140" spans="1:14" x14ac:dyDescent="0.25">
      <c r="A140" s="3" t="str">
        <f>Fill_Value(filament!A140)</f>
        <v/>
      </c>
      <c r="B140" s="47" t="str">
        <f>Fill_Value(filament!B140)</f>
        <v/>
      </c>
      <c r="C140" s="47" t="str">
        <f>Fill_Value(filament!C140)</f>
        <v/>
      </c>
      <c r="D140" s="3"/>
      <c r="E140" s="3"/>
      <c r="F140" s="3"/>
      <c r="G140" s="3"/>
      <c r="H140" s="3"/>
      <c r="I140" s="3"/>
      <c r="J140" s="3"/>
      <c r="K140" s="3"/>
      <c r="L140" s="3"/>
      <c r="M140" s="3"/>
      <c r="N140" s="3"/>
    </row>
    <row r="141" spans="1:14" x14ac:dyDescent="0.25">
      <c r="A141" s="4" t="str">
        <f>Fill_Value(filament!A141)</f>
        <v/>
      </c>
      <c r="B141" s="59" t="str">
        <f>Fill_Value(filament!B141)</f>
        <v/>
      </c>
      <c r="C141" s="59" t="str">
        <f>Fill_Value(filament!C141)</f>
        <v/>
      </c>
      <c r="D141" s="4"/>
      <c r="E141" s="4"/>
      <c r="F141" s="4"/>
      <c r="G141" s="4"/>
      <c r="H141" s="4"/>
      <c r="I141" s="4"/>
      <c r="J141" s="4"/>
      <c r="K141" s="4"/>
      <c r="L141" s="4"/>
      <c r="M141" s="4"/>
      <c r="N141" s="4"/>
    </row>
    <row r="142" spans="1:14" x14ac:dyDescent="0.25">
      <c r="A142" s="3" t="str">
        <f>Fill_Value(filament!A142)</f>
        <v/>
      </c>
      <c r="B142" s="47" t="str">
        <f>Fill_Value(filament!B142)</f>
        <v/>
      </c>
      <c r="C142" s="47" t="str">
        <f>Fill_Value(filament!C142)</f>
        <v/>
      </c>
      <c r="D142" s="3"/>
      <c r="E142" s="3"/>
      <c r="F142" s="3"/>
      <c r="G142" s="3"/>
      <c r="H142" s="3"/>
      <c r="I142" s="3"/>
      <c r="J142" s="3"/>
      <c r="K142" s="3"/>
      <c r="L142" s="3"/>
      <c r="M142" s="3"/>
      <c r="N142" s="3"/>
    </row>
    <row r="143" spans="1:14" x14ac:dyDescent="0.25">
      <c r="A143" s="4" t="str">
        <f>Fill_Value(filament!A143)</f>
        <v/>
      </c>
      <c r="B143" s="59" t="str">
        <f>Fill_Value(filament!B143)</f>
        <v/>
      </c>
      <c r="C143" s="59" t="str">
        <f>Fill_Value(filament!C143)</f>
        <v/>
      </c>
      <c r="D143" s="4"/>
      <c r="E143" s="4"/>
      <c r="F143" s="4"/>
      <c r="G143" s="4"/>
      <c r="H143" s="4"/>
      <c r="I143" s="4"/>
      <c r="J143" s="4"/>
      <c r="K143" s="4"/>
      <c r="L143" s="4"/>
      <c r="M143" s="4"/>
      <c r="N143" s="4"/>
    </row>
    <row r="144" spans="1:14" x14ac:dyDescent="0.25">
      <c r="A144" s="3" t="str">
        <f>Fill_Value(filament!A144)</f>
        <v/>
      </c>
      <c r="B144" s="47" t="str">
        <f>Fill_Value(filament!B144)</f>
        <v/>
      </c>
      <c r="C144" s="47" t="str">
        <f>Fill_Value(filament!C144)</f>
        <v/>
      </c>
      <c r="D144" s="3"/>
      <c r="E144" s="3"/>
      <c r="F144" s="3"/>
      <c r="G144" s="3"/>
      <c r="H144" s="3"/>
      <c r="I144" s="3"/>
      <c r="J144" s="3"/>
      <c r="K144" s="3"/>
      <c r="L144" s="3"/>
      <c r="M144" s="3"/>
      <c r="N144" s="3"/>
    </row>
    <row r="145" spans="1:14" x14ac:dyDescent="0.25">
      <c r="A145" s="4" t="str">
        <f>Fill_Value(filament!A145)</f>
        <v/>
      </c>
      <c r="B145" s="59" t="str">
        <f>Fill_Value(filament!B145)</f>
        <v/>
      </c>
      <c r="C145" s="59" t="str">
        <f>Fill_Value(filament!C145)</f>
        <v/>
      </c>
      <c r="D145" s="4"/>
      <c r="E145" s="4"/>
      <c r="F145" s="4"/>
      <c r="G145" s="4"/>
      <c r="H145" s="4"/>
      <c r="I145" s="4"/>
      <c r="J145" s="4"/>
      <c r="K145" s="4"/>
      <c r="L145" s="4"/>
      <c r="M145" s="4"/>
      <c r="N145" s="4"/>
    </row>
    <row r="146" spans="1:14" x14ac:dyDescent="0.25">
      <c r="A146" s="3" t="str">
        <f>Fill_Value(filament!A146)</f>
        <v/>
      </c>
      <c r="B146" s="47" t="str">
        <f>Fill_Value(filament!B146)</f>
        <v/>
      </c>
      <c r="C146" s="47" t="str">
        <f>Fill_Value(filament!C146)</f>
        <v/>
      </c>
      <c r="D146" s="3"/>
      <c r="E146" s="3"/>
      <c r="F146" s="3"/>
      <c r="G146" s="3"/>
      <c r="H146" s="3"/>
      <c r="I146" s="3"/>
      <c r="J146" s="3"/>
      <c r="K146" s="3"/>
      <c r="L146" s="3"/>
      <c r="M146" s="3"/>
      <c r="N146" s="3"/>
    </row>
    <row r="147" spans="1:14" x14ac:dyDescent="0.25">
      <c r="A147" s="4" t="str">
        <f>Fill_Value(filament!A147)</f>
        <v/>
      </c>
      <c r="B147" s="59" t="str">
        <f>Fill_Value(filament!B147)</f>
        <v/>
      </c>
      <c r="C147" s="59" t="str">
        <f>Fill_Value(filament!C147)</f>
        <v/>
      </c>
      <c r="D147" s="4"/>
      <c r="E147" s="4"/>
      <c r="F147" s="4"/>
      <c r="G147" s="4"/>
      <c r="H147" s="4"/>
      <c r="I147" s="4"/>
      <c r="J147" s="4"/>
      <c r="K147" s="4"/>
      <c r="L147" s="4"/>
      <c r="M147" s="4"/>
      <c r="N147" s="4"/>
    </row>
    <row r="148" spans="1:14" x14ac:dyDescent="0.25">
      <c r="A148" s="3" t="str">
        <f>Fill_Value(filament!A148)</f>
        <v/>
      </c>
      <c r="B148" s="47" t="str">
        <f>Fill_Value(filament!B148)</f>
        <v/>
      </c>
      <c r="C148" s="47" t="str">
        <f>Fill_Value(filament!C148)</f>
        <v/>
      </c>
      <c r="D148" s="3"/>
      <c r="E148" s="3"/>
      <c r="F148" s="3"/>
      <c r="G148" s="3"/>
      <c r="H148" s="3"/>
      <c r="I148" s="3"/>
      <c r="J148" s="3"/>
      <c r="K148" s="3"/>
      <c r="L148" s="3"/>
      <c r="M148" s="3"/>
      <c r="N148" s="3"/>
    </row>
    <row r="149" spans="1:14" x14ac:dyDescent="0.25">
      <c r="A149" s="4" t="str">
        <f>Fill_Value(filament!A149)</f>
        <v/>
      </c>
      <c r="B149" s="59" t="str">
        <f>Fill_Value(filament!B149)</f>
        <v/>
      </c>
      <c r="C149" s="59" t="str">
        <f>Fill_Value(filament!C149)</f>
        <v/>
      </c>
      <c r="D149" s="4"/>
      <c r="E149" s="4"/>
      <c r="F149" s="4"/>
      <c r="G149" s="4"/>
      <c r="H149" s="4"/>
      <c r="I149" s="4"/>
      <c r="J149" s="4"/>
      <c r="K149" s="4"/>
      <c r="L149" s="4"/>
      <c r="M149" s="4"/>
      <c r="N149" s="4"/>
    </row>
    <row r="150" spans="1:14" x14ac:dyDescent="0.25">
      <c r="A150" s="3" t="str">
        <f>Fill_Value(filament!A150)</f>
        <v/>
      </c>
      <c r="B150" s="47" t="str">
        <f>Fill_Value(filament!B150)</f>
        <v/>
      </c>
      <c r="C150" s="47" t="str">
        <f>Fill_Value(filament!C150)</f>
        <v/>
      </c>
      <c r="D150" s="3"/>
      <c r="E150" s="3"/>
      <c r="F150" s="3"/>
      <c r="G150" s="3"/>
      <c r="H150" s="3"/>
      <c r="I150" s="3"/>
      <c r="J150" s="3"/>
      <c r="K150" s="3"/>
      <c r="L150" s="3"/>
      <c r="M150" s="3"/>
      <c r="N150" s="3"/>
    </row>
    <row r="151" spans="1:14" x14ac:dyDescent="0.25">
      <c r="A151" s="4" t="str">
        <f>Fill_Value(filament!A151)</f>
        <v/>
      </c>
      <c r="B151" s="59" t="str">
        <f>Fill_Value(filament!B151)</f>
        <v/>
      </c>
      <c r="C151" s="59" t="str">
        <f>Fill_Value(filament!C151)</f>
        <v/>
      </c>
      <c r="D151" s="4"/>
      <c r="E151" s="4"/>
      <c r="F151" s="4"/>
      <c r="G151" s="4"/>
      <c r="H151" s="4"/>
      <c r="I151" s="4"/>
      <c r="J151" s="4"/>
      <c r="K151" s="4"/>
      <c r="L151" s="4"/>
      <c r="M151" s="4"/>
      <c r="N151" s="4"/>
    </row>
    <row r="152" spans="1:14" x14ac:dyDescent="0.25">
      <c r="A152" s="3" t="str">
        <f>Fill_Value(filament!A152)</f>
        <v/>
      </c>
      <c r="B152" s="47" t="str">
        <f>Fill_Value(filament!B152)</f>
        <v/>
      </c>
      <c r="C152" s="47" t="str">
        <f>Fill_Value(filament!C152)</f>
        <v/>
      </c>
      <c r="D152" s="3"/>
      <c r="E152" s="3"/>
      <c r="F152" s="3"/>
      <c r="G152" s="3"/>
      <c r="H152" s="3"/>
      <c r="I152" s="3"/>
      <c r="J152" s="3"/>
      <c r="K152" s="3"/>
      <c r="L152" s="3"/>
      <c r="M152" s="3"/>
      <c r="N152" s="3"/>
    </row>
    <row r="153" spans="1:14" x14ac:dyDescent="0.25">
      <c r="A153" s="4" t="str">
        <f>Fill_Value(filament!A153)</f>
        <v/>
      </c>
      <c r="B153" s="59" t="str">
        <f>Fill_Value(filament!B153)</f>
        <v/>
      </c>
      <c r="C153" s="59" t="str">
        <f>Fill_Value(filament!C153)</f>
        <v/>
      </c>
      <c r="D153" s="4"/>
      <c r="E153" s="4"/>
      <c r="F153" s="4"/>
      <c r="G153" s="4"/>
      <c r="H153" s="4"/>
      <c r="I153" s="4"/>
      <c r="J153" s="4"/>
      <c r="K153" s="4"/>
      <c r="L153" s="4"/>
      <c r="M153" s="4"/>
      <c r="N153" s="4"/>
    </row>
    <row r="154" spans="1:14" x14ac:dyDescent="0.25">
      <c r="A154" s="3" t="str">
        <f>Fill_Value(filament!A154)</f>
        <v/>
      </c>
      <c r="B154" s="47" t="str">
        <f>Fill_Value(filament!B154)</f>
        <v/>
      </c>
      <c r="C154" s="47" t="str">
        <f>Fill_Value(filament!C154)</f>
        <v/>
      </c>
      <c r="D154" s="3"/>
      <c r="E154" s="3"/>
      <c r="F154" s="3"/>
      <c r="G154" s="3"/>
      <c r="H154" s="3"/>
      <c r="I154" s="3"/>
      <c r="J154" s="3"/>
      <c r="K154" s="3"/>
      <c r="L154" s="3"/>
      <c r="M154" s="3"/>
      <c r="N154" s="3"/>
    </row>
    <row r="155" spans="1:14" x14ac:dyDescent="0.25">
      <c r="A155" s="4" t="str">
        <f>Fill_Value(filament!A155)</f>
        <v/>
      </c>
      <c r="B155" s="59" t="str">
        <f>Fill_Value(filament!B155)</f>
        <v/>
      </c>
      <c r="C155" s="59" t="str">
        <f>Fill_Value(filament!C155)</f>
        <v/>
      </c>
      <c r="D155" s="4"/>
      <c r="E155" s="4"/>
      <c r="F155" s="4"/>
      <c r="G155" s="4"/>
      <c r="H155" s="4"/>
      <c r="I155" s="4"/>
      <c r="J155" s="4"/>
      <c r="K155" s="4"/>
      <c r="L155" s="4"/>
      <c r="M155" s="4"/>
      <c r="N155" s="4"/>
    </row>
    <row r="156" spans="1:14" x14ac:dyDescent="0.25">
      <c r="A156" s="3" t="str">
        <f>Fill_Value(filament!A156)</f>
        <v/>
      </c>
      <c r="B156" s="47" t="str">
        <f>Fill_Value(filament!B156)</f>
        <v/>
      </c>
      <c r="C156" s="47" t="str">
        <f>Fill_Value(filament!C156)</f>
        <v/>
      </c>
      <c r="D156" s="3"/>
      <c r="E156" s="3"/>
      <c r="F156" s="3"/>
      <c r="G156" s="3"/>
      <c r="H156" s="3"/>
      <c r="I156" s="3"/>
      <c r="J156" s="3"/>
      <c r="K156" s="3"/>
      <c r="L156" s="3"/>
      <c r="M156" s="3"/>
      <c r="N156" s="3"/>
    </row>
    <row r="157" spans="1:14" x14ac:dyDescent="0.25">
      <c r="A157" s="4" t="str">
        <f>Fill_Value(filament!A157)</f>
        <v/>
      </c>
      <c r="B157" s="59" t="str">
        <f>Fill_Value(filament!B157)</f>
        <v/>
      </c>
      <c r="C157" s="59" t="str">
        <f>Fill_Value(filament!C157)</f>
        <v/>
      </c>
      <c r="D157" s="4"/>
      <c r="E157" s="4"/>
      <c r="F157" s="4"/>
      <c r="G157" s="4"/>
      <c r="H157" s="4"/>
      <c r="I157" s="4"/>
      <c r="J157" s="4"/>
      <c r="K157" s="4"/>
      <c r="L157" s="4"/>
      <c r="M157" s="4"/>
      <c r="N157" s="4"/>
    </row>
    <row r="158" spans="1:14" x14ac:dyDescent="0.25">
      <c r="A158" s="3" t="str">
        <f>Fill_Value(filament!A158)</f>
        <v/>
      </c>
      <c r="B158" s="47" t="str">
        <f>Fill_Value(filament!B158)</f>
        <v/>
      </c>
      <c r="C158" s="47" t="str">
        <f>Fill_Value(filament!C158)</f>
        <v/>
      </c>
      <c r="D158" s="3"/>
      <c r="E158" s="3"/>
      <c r="F158" s="3"/>
      <c r="G158" s="3"/>
      <c r="H158" s="3"/>
      <c r="I158" s="3"/>
      <c r="J158" s="3"/>
      <c r="K158" s="3"/>
      <c r="L158" s="3"/>
      <c r="M158" s="3"/>
      <c r="N158" s="3"/>
    </row>
    <row r="159" spans="1:14" x14ac:dyDescent="0.25">
      <c r="A159" s="4" t="str">
        <f>Fill_Value(filament!A159)</f>
        <v/>
      </c>
      <c r="B159" s="59" t="str">
        <f>Fill_Value(filament!B159)</f>
        <v/>
      </c>
      <c r="C159" s="59" t="str">
        <f>Fill_Value(filament!C159)</f>
        <v/>
      </c>
      <c r="D159" s="4"/>
      <c r="E159" s="4"/>
      <c r="F159" s="4"/>
      <c r="G159" s="4"/>
      <c r="H159" s="4"/>
      <c r="I159" s="4"/>
      <c r="J159" s="4"/>
      <c r="K159" s="4"/>
      <c r="L159" s="4"/>
      <c r="M159" s="4"/>
      <c r="N159" s="4"/>
    </row>
    <row r="160" spans="1:14" x14ac:dyDescent="0.25">
      <c r="A160" s="3" t="str">
        <f>Fill_Value(filament!A160)</f>
        <v/>
      </c>
      <c r="B160" s="47" t="str">
        <f>Fill_Value(filament!B160)</f>
        <v/>
      </c>
      <c r="C160" s="47" t="str">
        <f>Fill_Value(filament!C160)</f>
        <v/>
      </c>
      <c r="D160" s="3"/>
      <c r="E160" s="3"/>
      <c r="F160" s="3"/>
      <c r="G160" s="3"/>
      <c r="H160" s="3"/>
      <c r="I160" s="3"/>
      <c r="J160" s="3"/>
      <c r="K160" s="3"/>
      <c r="L160" s="3"/>
      <c r="M160" s="3"/>
      <c r="N160" s="3"/>
    </row>
    <row r="161" spans="1:14" x14ac:dyDescent="0.25">
      <c r="A161" s="4" t="str">
        <f>Fill_Value(filament!A161)</f>
        <v/>
      </c>
      <c r="B161" s="59" t="str">
        <f>Fill_Value(filament!B161)</f>
        <v/>
      </c>
      <c r="C161" s="59" t="str">
        <f>Fill_Value(filament!C161)</f>
        <v/>
      </c>
      <c r="D161" s="4"/>
      <c r="E161" s="4"/>
      <c r="F161" s="4"/>
      <c r="G161" s="4"/>
      <c r="H161" s="4"/>
      <c r="I161" s="4"/>
      <c r="J161" s="4"/>
      <c r="K161" s="4"/>
      <c r="L161" s="4"/>
      <c r="M161" s="4"/>
      <c r="N161" s="4"/>
    </row>
    <row r="162" spans="1:14" x14ac:dyDescent="0.25">
      <c r="A162" s="3" t="str">
        <f>Fill_Value(filament!A162)</f>
        <v/>
      </c>
      <c r="B162" s="47" t="str">
        <f>Fill_Value(filament!B162)</f>
        <v/>
      </c>
      <c r="C162" s="47" t="str">
        <f>Fill_Value(filament!C162)</f>
        <v/>
      </c>
      <c r="D162" s="3"/>
      <c r="E162" s="3"/>
      <c r="F162" s="3"/>
      <c r="G162" s="3"/>
      <c r="H162" s="3"/>
      <c r="I162" s="3"/>
      <c r="J162" s="3"/>
      <c r="K162" s="3"/>
      <c r="L162" s="3"/>
      <c r="M162" s="3"/>
      <c r="N162" s="3"/>
    </row>
    <row r="163" spans="1:14" x14ac:dyDescent="0.25">
      <c r="A163" s="4" t="str">
        <f>Fill_Value(filament!A163)</f>
        <v/>
      </c>
      <c r="B163" s="59" t="str">
        <f>Fill_Value(filament!B163)</f>
        <v/>
      </c>
      <c r="C163" s="59" t="str">
        <f>Fill_Value(filament!C163)</f>
        <v/>
      </c>
      <c r="D163" s="4"/>
      <c r="E163" s="4"/>
      <c r="F163" s="4"/>
      <c r="G163" s="4"/>
      <c r="H163" s="4"/>
      <c r="I163" s="4"/>
      <c r="J163" s="4"/>
      <c r="K163" s="4"/>
      <c r="L163" s="4"/>
      <c r="M163" s="4"/>
      <c r="N163" s="4"/>
    </row>
    <row r="164" spans="1:14" x14ac:dyDescent="0.25">
      <c r="A164" s="3" t="str">
        <f>Fill_Value(filament!A164)</f>
        <v/>
      </c>
      <c r="B164" s="47" t="str">
        <f>Fill_Value(filament!B164)</f>
        <v/>
      </c>
      <c r="C164" s="47" t="str">
        <f>Fill_Value(filament!C164)</f>
        <v/>
      </c>
      <c r="D164" s="3"/>
      <c r="E164" s="3"/>
      <c r="F164" s="3"/>
      <c r="G164" s="3"/>
      <c r="H164" s="3"/>
      <c r="I164" s="3"/>
      <c r="J164" s="3"/>
      <c r="K164" s="3"/>
      <c r="L164" s="3"/>
      <c r="M164" s="3"/>
      <c r="N164" s="3"/>
    </row>
    <row r="165" spans="1:14" x14ac:dyDescent="0.25">
      <c r="A165" s="4" t="str">
        <f>Fill_Value(filament!A165)</f>
        <v/>
      </c>
      <c r="B165" s="59" t="str">
        <f>Fill_Value(filament!B165)</f>
        <v/>
      </c>
      <c r="C165" s="59" t="str">
        <f>Fill_Value(filament!C165)</f>
        <v/>
      </c>
      <c r="D165" s="4"/>
      <c r="E165" s="4"/>
      <c r="F165" s="4"/>
      <c r="G165" s="4"/>
      <c r="H165" s="4"/>
      <c r="I165" s="4"/>
      <c r="J165" s="4"/>
      <c r="K165" s="4"/>
      <c r="L165" s="4"/>
      <c r="M165" s="4"/>
      <c r="N165" s="4"/>
    </row>
    <row r="166" spans="1:14" x14ac:dyDescent="0.25">
      <c r="A166" s="3" t="str">
        <f>Fill_Value(filament!A166)</f>
        <v/>
      </c>
      <c r="B166" s="47" t="str">
        <f>Fill_Value(filament!B166)</f>
        <v/>
      </c>
      <c r="C166" s="47" t="str">
        <f>Fill_Value(filament!C166)</f>
        <v/>
      </c>
      <c r="D166" s="3"/>
      <c r="E166" s="3"/>
      <c r="F166" s="3"/>
      <c r="G166" s="3"/>
      <c r="H166" s="3"/>
      <c r="I166" s="3"/>
      <c r="J166" s="3"/>
      <c r="K166" s="3"/>
      <c r="L166" s="3"/>
      <c r="M166" s="3"/>
      <c r="N166" s="3"/>
    </row>
    <row r="167" spans="1:14" x14ac:dyDescent="0.25">
      <c r="A167" s="4" t="str">
        <f>Fill_Value(filament!A167)</f>
        <v/>
      </c>
      <c r="B167" s="59" t="str">
        <f>Fill_Value(filament!B167)</f>
        <v/>
      </c>
      <c r="C167" s="59" t="str">
        <f>Fill_Value(filament!C167)</f>
        <v/>
      </c>
      <c r="D167" s="4"/>
      <c r="E167" s="4"/>
      <c r="F167" s="4"/>
      <c r="G167" s="4"/>
      <c r="H167" s="4"/>
      <c r="I167" s="4"/>
      <c r="J167" s="4"/>
      <c r="K167" s="4"/>
      <c r="L167" s="4"/>
      <c r="M167" s="4"/>
      <c r="N167" s="4"/>
    </row>
    <row r="168" spans="1:14" x14ac:dyDescent="0.25">
      <c r="A168" s="3" t="str">
        <f>Fill_Value(filament!A168)</f>
        <v/>
      </c>
      <c r="B168" s="47" t="str">
        <f>Fill_Value(filament!B168)</f>
        <v/>
      </c>
      <c r="C168" s="47" t="str">
        <f>Fill_Value(filament!C168)</f>
        <v/>
      </c>
      <c r="D168" s="3"/>
      <c r="E168" s="3"/>
      <c r="F168" s="3"/>
      <c r="G168" s="3"/>
      <c r="H168" s="3"/>
      <c r="I168" s="3"/>
      <c r="J168" s="3"/>
      <c r="K168" s="3"/>
      <c r="L168" s="3"/>
      <c r="M168" s="3"/>
      <c r="N168" s="3"/>
    </row>
    <row r="169" spans="1:14" x14ac:dyDescent="0.25">
      <c r="A169" s="4" t="str">
        <f>Fill_Value(filament!A169)</f>
        <v/>
      </c>
      <c r="B169" s="59" t="str">
        <f>Fill_Value(filament!B169)</f>
        <v/>
      </c>
      <c r="C169" s="59" t="str">
        <f>Fill_Value(filament!C169)</f>
        <v/>
      </c>
      <c r="D169" s="4"/>
      <c r="E169" s="4"/>
      <c r="F169" s="4"/>
      <c r="G169" s="4"/>
      <c r="H169" s="4"/>
      <c r="I169" s="4"/>
      <c r="J169" s="4"/>
      <c r="K169" s="4"/>
      <c r="L169" s="4"/>
      <c r="M169" s="4"/>
      <c r="N169" s="4"/>
    </row>
    <row r="170" spans="1:14" x14ac:dyDescent="0.25">
      <c r="A170" s="3" t="str">
        <f>Fill_Value(filament!A170)</f>
        <v/>
      </c>
      <c r="B170" s="47" t="str">
        <f>Fill_Value(filament!B170)</f>
        <v/>
      </c>
      <c r="C170" s="47" t="str">
        <f>Fill_Value(filament!C170)</f>
        <v/>
      </c>
      <c r="D170" s="3"/>
      <c r="E170" s="3"/>
      <c r="F170" s="3"/>
      <c r="G170" s="3"/>
      <c r="H170" s="3"/>
      <c r="I170" s="3"/>
      <c r="J170" s="3"/>
      <c r="K170" s="3"/>
      <c r="L170" s="3"/>
      <c r="M170" s="3"/>
      <c r="N170" s="3"/>
    </row>
    <row r="171" spans="1:14" x14ac:dyDescent="0.25">
      <c r="A171" s="4" t="str">
        <f>Fill_Value(filament!A171)</f>
        <v/>
      </c>
      <c r="B171" s="59" t="str">
        <f>Fill_Value(filament!B171)</f>
        <v/>
      </c>
      <c r="C171" s="59" t="str">
        <f>Fill_Value(filament!C171)</f>
        <v/>
      </c>
      <c r="D171" s="4"/>
      <c r="E171" s="4"/>
      <c r="F171" s="4"/>
      <c r="G171" s="4"/>
      <c r="H171" s="4"/>
      <c r="I171" s="4"/>
      <c r="J171" s="4"/>
      <c r="K171" s="4"/>
      <c r="L171" s="4"/>
      <c r="M171" s="4"/>
      <c r="N171" s="4"/>
    </row>
    <row r="172" spans="1:14" x14ac:dyDescent="0.25">
      <c r="A172" s="3" t="str">
        <f>Fill_Value(filament!A172)</f>
        <v/>
      </c>
      <c r="B172" s="47" t="str">
        <f>Fill_Value(filament!B172)</f>
        <v/>
      </c>
      <c r="C172" s="47" t="str">
        <f>Fill_Value(filament!C172)</f>
        <v/>
      </c>
      <c r="D172" s="3"/>
      <c r="E172" s="3"/>
      <c r="F172" s="3"/>
      <c r="G172" s="3"/>
      <c r="H172" s="3"/>
      <c r="I172" s="3"/>
      <c r="J172" s="3"/>
      <c r="K172" s="3"/>
      <c r="L172" s="3"/>
      <c r="M172" s="3"/>
      <c r="N172" s="3"/>
    </row>
    <row r="173" spans="1:14" x14ac:dyDescent="0.25">
      <c r="A173" s="4" t="str">
        <f>Fill_Value(filament!A173)</f>
        <v/>
      </c>
      <c r="B173" s="59" t="str">
        <f>Fill_Value(filament!B173)</f>
        <v/>
      </c>
      <c r="C173" s="59" t="str">
        <f>Fill_Value(filament!C173)</f>
        <v/>
      </c>
      <c r="D173" s="4"/>
      <c r="E173" s="4"/>
      <c r="F173" s="4"/>
      <c r="G173" s="4"/>
      <c r="H173" s="4"/>
      <c r="I173" s="4"/>
      <c r="J173" s="4"/>
      <c r="K173" s="4"/>
      <c r="L173" s="4"/>
      <c r="M173" s="4"/>
      <c r="N173" s="4"/>
    </row>
    <row r="174" spans="1:14" x14ac:dyDescent="0.25">
      <c r="A174" s="3" t="str">
        <f>Fill_Value(filament!A174)</f>
        <v/>
      </c>
      <c r="B174" s="47" t="str">
        <f>Fill_Value(filament!B174)</f>
        <v/>
      </c>
      <c r="C174" s="47" t="str">
        <f>Fill_Value(filament!C174)</f>
        <v/>
      </c>
      <c r="D174" s="3"/>
      <c r="E174" s="3"/>
      <c r="F174" s="3"/>
      <c r="G174" s="3"/>
      <c r="H174" s="3"/>
      <c r="I174" s="3"/>
      <c r="J174" s="3"/>
      <c r="K174" s="3"/>
      <c r="L174" s="3"/>
      <c r="M174" s="3"/>
      <c r="N174" s="3"/>
    </row>
    <row r="175" spans="1:14" x14ac:dyDescent="0.25">
      <c r="A175" s="4" t="str">
        <f>Fill_Value(filament!A175)</f>
        <v/>
      </c>
      <c r="B175" s="59" t="str">
        <f>Fill_Value(filament!B175)</f>
        <v/>
      </c>
      <c r="C175" s="59" t="str">
        <f>Fill_Value(filament!C175)</f>
        <v/>
      </c>
      <c r="D175" s="4"/>
      <c r="E175" s="4"/>
      <c r="F175" s="4"/>
      <c r="G175" s="4"/>
      <c r="H175" s="4"/>
      <c r="I175" s="4"/>
      <c r="J175" s="4"/>
      <c r="K175" s="4"/>
      <c r="L175" s="4"/>
      <c r="M175" s="4"/>
      <c r="N175" s="4"/>
    </row>
    <row r="176" spans="1:14" x14ac:dyDescent="0.25">
      <c r="A176" s="3" t="str">
        <f>Fill_Value(filament!A176)</f>
        <v/>
      </c>
      <c r="B176" s="47" t="str">
        <f>Fill_Value(filament!B176)</f>
        <v/>
      </c>
      <c r="C176" s="47" t="str">
        <f>Fill_Value(filament!C176)</f>
        <v/>
      </c>
      <c r="D176" s="3"/>
      <c r="E176" s="3"/>
      <c r="F176" s="3"/>
      <c r="G176" s="3"/>
      <c r="H176" s="3"/>
      <c r="I176" s="3"/>
      <c r="J176" s="3"/>
      <c r="K176" s="3"/>
      <c r="L176" s="3"/>
      <c r="M176" s="3"/>
      <c r="N176" s="3"/>
    </row>
    <row r="177" spans="1:14" x14ac:dyDescent="0.25">
      <c r="A177" s="4" t="str">
        <f>Fill_Value(filament!A177)</f>
        <v/>
      </c>
      <c r="B177" s="59" t="str">
        <f>Fill_Value(filament!B177)</f>
        <v/>
      </c>
      <c r="C177" s="59" t="str">
        <f>Fill_Value(filament!C177)</f>
        <v/>
      </c>
      <c r="D177" s="4"/>
      <c r="E177" s="4"/>
      <c r="F177" s="4"/>
      <c r="G177" s="4"/>
      <c r="H177" s="4"/>
      <c r="I177" s="4"/>
      <c r="J177" s="4"/>
      <c r="K177" s="4"/>
      <c r="L177" s="4"/>
      <c r="M177" s="4"/>
      <c r="N177" s="4"/>
    </row>
    <row r="178" spans="1:14" x14ac:dyDescent="0.25">
      <c r="A178" s="3" t="str">
        <f>Fill_Value(filament!A178)</f>
        <v/>
      </c>
      <c r="B178" s="47" t="str">
        <f>Fill_Value(filament!B178)</f>
        <v/>
      </c>
      <c r="C178" s="47" t="str">
        <f>Fill_Value(filament!C178)</f>
        <v/>
      </c>
      <c r="D178" s="3"/>
      <c r="E178" s="3"/>
      <c r="F178" s="3"/>
      <c r="G178" s="3"/>
      <c r="H178" s="3"/>
      <c r="I178" s="3"/>
      <c r="J178" s="3"/>
      <c r="K178" s="3"/>
      <c r="L178" s="3"/>
      <c r="M178" s="3"/>
      <c r="N178" s="3"/>
    </row>
    <row r="179" spans="1:14" x14ac:dyDescent="0.25">
      <c r="A179" s="4" t="str">
        <f>Fill_Value(filament!A179)</f>
        <v/>
      </c>
      <c r="B179" s="59" t="str">
        <f>Fill_Value(filament!B179)</f>
        <v/>
      </c>
      <c r="C179" s="59" t="str">
        <f>Fill_Value(filament!C179)</f>
        <v/>
      </c>
      <c r="D179" s="4"/>
      <c r="E179" s="4"/>
      <c r="F179" s="4"/>
      <c r="G179" s="4"/>
      <c r="H179" s="4"/>
      <c r="I179" s="4"/>
      <c r="J179" s="4"/>
      <c r="K179" s="4"/>
      <c r="L179" s="4"/>
      <c r="M179" s="4"/>
      <c r="N179" s="4"/>
    </row>
    <row r="180" spans="1:14" x14ac:dyDescent="0.25">
      <c r="A180" s="3" t="str">
        <f>Fill_Value(filament!A180)</f>
        <v/>
      </c>
      <c r="B180" s="47" t="str">
        <f>Fill_Value(filament!B180)</f>
        <v/>
      </c>
      <c r="C180" s="47" t="str">
        <f>Fill_Value(filament!C180)</f>
        <v/>
      </c>
      <c r="D180" s="3"/>
      <c r="E180" s="3"/>
      <c r="F180" s="3"/>
      <c r="G180" s="3"/>
      <c r="H180" s="3"/>
      <c r="I180" s="3"/>
      <c r="J180" s="3"/>
      <c r="K180" s="3"/>
      <c r="L180" s="3"/>
      <c r="M180" s="3"/>
      <c r="N180" s="3"/>
    </row>
    <row r="181" spans="1:14" x14ac:dyDescent="0.25">
      <c r="A181" s="4" t="str">
        <f>Fill_Value(filament!A181)</f>
        <v/>
      </c>
      <c r="B181" s="59" t="str">
        <f>Fill_Value(filament!B181)</f>
        <v/>
      </c>
      <c r="C181" s="59" t="str">
        <f>Fill_Value(filament!C181)</f>
        <v/>
      </c>
      <c r="D181" s="4"/>
      <c r="E181" s="4"/>
      <c r="F181" s="4"/>
      <c r="G181" s="4"/>
      <c r="H181" s="4"/>
      <c r="I181" s="4"/>
      <c r="J181" s="4"/>
      <c r="K181" s="4"/>
      <c r="L181" s="4"/>
      <c r="M181" s="4"/>
      <c r="N181" s="4"/>
    </row>
    <row r="182" spans="1:14" x14ac:dyDescent="0.25">
      <c r="A182" s="3" t="str">
        <f>Fill_Value(filament!A182)</f>
        <v/>
      </c>
      <c r="B182" s="47" t="str">
        <f>Fill_Value(filament!B182)</f>
        <v/>
      </c>
      <c r="C182" s="47" t="str">
        <f>Fill_Value(filament!C182)</f>
        <v/>
      </c>
      <c r="D182" s="3"/>
      <c r="E182" s="3"/>
      <c r="F182" s="3"/>
      <c r="G182" s="3"/>
      <c r="H182" s="3"/>
      <c r="I182" s="3"/>
      <c r="J182" s="3"/>
      <c r="K182" s="3"/>
      <c r="L182" s="3"/>
      <c r="M182" s="3"/>
      <c r="N182" s="3"/>
    </row>
    <row r="183" spans="1:14" x14ac:dyDescent="0.25">
      <c r="A183" s="4" t="str">
        <f>Fill_Value(filament!A183)</f>
        <v/>
      </c>
      <c r="B183" s="59" t="str">
        <f>Fill_Value(filament!B183)</f>
        <v/>
      </c>
      <c r="C183" s="59" t="str">
        <f>Fill_Value(filament!C183)</f>
        <v/>
      </c>
      <c r="D183" s="4"/>
      <c r="E183" s="4"/>
      <c r="F183" s="4"/>
      <c r="G183" s="4"/>
      <c r="H183" s="4"/>
      <c r="I183" s="4"/>
      <c r="J183" s="4"/>
      <c r="K183" s="4"/>
      <c r="L183" s="4"/>
      <c r="M183" s="4"/>
      <c r="N183" s="4"/>
    </row>
    <row r="184" spans="1:14" x14ac:dyDescent="0.25">
      <c r="A184" s="3" t="str">
        <f>Fill_Value(filament!A184)</f>
        <v/>
      </c>
      <c r="B184" s="47" t="str">
        <f>Fill_Value(filament!B184)</f>
        <v/>
      </c>
      <c r="C184" s="47" t="str">
        <f>Fill_Value(filament!C184)</f>
        <v/>
      </c>
      <c r="D184" s="3"/>
      <c r="E184" s="3"/>
      <c r="F184" s="3"/>
      <c r="G184" s="3"/>
      <c r="H184" s="3"/>
      <c r="I184" s="3"/>
      <c r="J184" s="3"/>
      <c r="K184" s="3"/>
      <c r="L184" s="3"/>
      <c r="M184" s="3"/>
      <c r="N184" s="3"/>
    </row>
    <row r="185" spans="1:14" x14ac:dyDescent="0.25">
      <c r="A185" s="4" t="str">
        <f>Fill_Value(filament!A185)</f>
        <v/>
      </c>
      <c r="B185" s="59" t="str">
        <f>Fill_Value(filament!B185)</f>
        <v/>
      </c>
      <c r="C185" s="59" t="str">
        <f>Fill_Value(filament!C185)</f>
        <v/>
      </c>
      <c r="D185" s="4"/>
      <c r="E185" s="4"/>
      <c r="F185" s="4"/>
      <c r="G185" s="4"/>
      <c r="H185" s="4"/>
      <c r="I185" s="4"/>
      <c r="J185" s="4"/>
      <c r="K185" s="4"/>
      <c r="L185" s="4"/>
      <c r="M185" s="4"/>
      <c r="N185" s="4"/>
    </row>
    <row r="186" spans="1:14" x14ac:dyDescent="0.25">
      <c r="A186" s="3" t="str">
        <f>Fill_Value(filament!A186)</f>
        <v/>
      </c>
      <c r="B186" s="47" t="str">
        <f>Fill_Value(filament!B186)</f>
        <v/>
      </c>
      <c r="C186" s="47" t="str">
        <f>Fill_Value(filament!C186)</f>
        <v/>
      </c>
      <c r="D186" s="3"/>
      <c r="E186" s="3"/>
      <c r="F186" s="3"/>
      <c r="G186" s="3"/>
      <c r="H186" s="3"/>
      <c r="I186" s="3"/>
      <c r="J186" s="3"/>
      <c r="K186" s="3"/>
      <c r="L186" s="3"/>
      <c r="M186" s="3"/>
      <c r="N186" s="3"/>
    </row>
    <row r="187" spans="1:14" x14ac:dyDescent="0.25">
      <c r="A187" s="4" t="str">
        <f>Fill_Value(filament!A187)</f>
        <v/>
      </c>
      <c r="B187" s="59" t="str">
        <f>Fill_Value(filament!B187)</f>
        <v/>
      </c>
      <c r="C187" s="59" t="str">
        <f>Fill_Value(filament!C187)</f>
        <v/>
      </c>
      <c r="D187" s="4"/>
      <c r="E187" s="4"/>
      <c r="F187" s="4"/>
      <c r="G187" s="4"/>
      <c r="H187" s="4"/>
      <c r="I187" s="4"/>
      <c r="J187" s="4"/>
      <c r="K187" s="4"/>
      <c r="L187" s="4"/>
      <c r="M187" s="4"/>
      <c r="N187" s="4"/>
    </row>
    <row r="188" spans="1:14" x14ac:dyDescent="0.25">
      <c r="A188" s="3" t="str">
        <f>Fill_Value(filament!A188)</f>
        <v/>
      </c>
      <c r="B188" s="47" t="str">
        <f>Fill_Value(filament!B188)</f>
        <v/>
      </c>
      <c r="C188" s="47" t="str">
        <f>Fill_Value(filament!C188)</f>
        <v/>
      </c>
      <c r="D188" s="3"/>
      <c r="E188" s="3"/>
      <c r="F188" s="3"/>
      <c r="G188" s="3"/>
      <c r="H188" s="3"/>
      <c r="I188" s="3"/>
      <c r="J188" s="3"/>
      <c r="K188" s="3"/>
      <c r="L188" s="3"/>
      <c r="M188" s="3"/>
      <c r="N188" s="3"/>
    </row>
    <row r="189" spans="1:14" x14ac:dyDescent="0.25">
      <c r="A189" s="4" t="str">
        <f>Fill_Value(filament!A189)</f>
        <v/>
      </c>
      <c r="B189" s="59" t="str">
        <f>Fill_Value(filament!B189)</f>
        <v/>
      </c>
      <c r="C189" s="59" t="str">
        <f>Fill_Value(filament!C189)</f>
        <v/>
      </c>
      <c r="D189" s="4"/>
      <c r="E189" s="4"/>
      <c r="F189" s="4"/>
      <c r="G189" s="4"/>
      <c r="H189" s="4"/>
      <c r="I189" s="4"/>
      <c r="J189" s="4"/>
      <c r="K189" s="4"/>
      <c r="L189" s="4"/>
      <c r="M189" s="4"/>
      <c r="N189" s="4"/>
    </row>
    <row r="190" spans="1:14" x14ac:dyDescent="0.25">
      <c r="A190" s="3" t="str">
        <f>Fill_Value(filament!A190)</f>
        <v/>
      </c>
      <c r="B190" s="47" t="str">
        <f>Fill_Value(filament!B190)</f>
        <v/>
      </c>
      <c r="C190" s="47" t="str">
        <f>Fill_Value(filament!C190)</f>
        <v/>
      </c>
      <c r="D190" s="3"/>
      <c r="E190" s="3"/>
      <c r="F190" s="3"/>
      <c r="G190" s="3"/>
      <c r="H190" s="3"/>
      <c r="I190" s="3"/>
      <c r="J190" s="3"/>
      <c r="K190" s="3"/>
      <c r="L190" s="3"/>
      <c r="M190" s="3"/>
      <c r="N190" s="3"/>
    </row>
    <row r="191" spans="1:14" x14ac:dyDescent="0.25">
      <c r="A191" s="4" t="str">
        <f>Fill_Value(filament!A191)</f>
        <v/>
      </c>
      <c r="B191" s="59" t="str">
        <f>Fill_Value(filament!B191)</f>
        <v/>
      </c>
      <c r="C191" s="59" t="str">
        <f>Fill_Value(filament!C191)</f>
        <v/>
      </c>
      <c r="D191" s="4"/>
      <c r="E191" s="4"/>
      <c r="F191" s="4"/>
      <c r="G191" s="4"/>
      <c r="H191" s="4"/>
      <c r="I191" s="4"/>
      <c r="J191" s="4"/>
      <c r="K191" s="4"/>
      <c r="L191" s="4"/>
      <c r="M191" s="4"/>
      <c r="N191" s="4"/>
    </row>
    <row r="192" spans="1:14" x14ac:dyDescent="0.25">
      <c r="A192" s="3" t="str">
        <f>Fill_Value(filament!A192)</f>
        <v/>
      </c>
      <c r="B192" s="47" t="str">
        <f>Fill_Value(filament!B192)</f>
        <v/>
      </c>
      <c r="C192" s="47" t="str">
        <f>Fill_Value(filament!C192)</f>
        <v/>
      </c>
      <c r="D192" s="3"/>
      <c r="E192" s="3"/>
      <c r="F192" s="3"/>
      <c r="G192" s="3"/>
      <c r="H192" s="3"/>
      <c r="I192" s="3"/>
      <c r="J192" s="3"/>
      <c r="K192" s="3"/>
      <c r="L192" s="3"/>
      <c r="M192" s="3"/>
      <c r="N192" s="3"/>
    </row>
    <row r="193" spans="1:14" x14ac:dyDescent="0.25">
      <c r="A193" s="4" t="str">
        <f>Fill_Value(filament!A193)</f>
        <v/>
      </c>
      <c r="B193" s="59" t="str">
        <f>Fill_Value(filament!B193)</f>
        <v/>
      </c>
      <c r="C193" s="59" t="str">
        <f>Fill_Value(filament!C193)</f>
        <v/>
      </c>
      <c r="D193" s="4"/>
      <c r="E193" s="4"/>
      <c r="F193" s="4"/>
      <c r="G193" s="4"/>
      <c r="H193" s="4"/>
      <c r="I193" s="4"/>
      <c r="J193" s="4"/>
      <c r="K193" s="4"/>
      <c r="L193" s="4"/>
      <c r="M193" s="4"/>
      <c r="N193" s="4"/>
    </row>
    <row r="194" spans="1:14" x14ac:dyDescent="0.25">
      <c r="A194" s="3" t="str">
        <f>Fill_Value(filament!A194)</f>
        <v/>
      </c>
      <c r="B194" s="47" t="str">
        <f>Fill_Value(filament!B194)</f>
        <v/>
      </c>
      <c r="C194" s="47" t="str">
        <f>Fill_Value(filament!C194)</f>
        <v/>
      </c>
      <c r="D194" s="3"/>
      <c r="E194" s="3"/>
      <c r="F194" s="3"/>
      <c r="G194" s="3"/>
      <c r="H194" s="3"/>
      <c r="I194" s="3"/>
      <c r="J194" s="3"/>
      <c r="K194" s="3"/>
      <c r="L194" s="3"/>
      <c r="M194" s="3"/>
      <c r="N194" s="3"/>
    </row>
    <row r="195" spans="1:14" x14ac:dyDescent="0.25">
      <c r="A195" s="4" t="str">
        <f>Fill_Value(filament!A195)</f>
        <v/>
      </c>
      <c r="B195" s="59" t="str">
        <f>Fill_Value(filament!B195)</f>
        <v/>
      </c>
      <c r="C195" s="59" t="str">
        <f>Fill_Value(filament!C195)</f>
        <v/>
      </c>
      <c r="D195" s="4"/>
      <c r="E195" s="4"/>
      <c r="F195" s="4"/>
      <c r="G195" s="4"/>
      <c r="H195" s="4"/>
      <c r="I195" s="4"/>
      <c r="J195" s="4"/>
      <c r="K195" s="4"/>
      <c r="L195" s="4"/>
      <c r="M195" s="4"/>
      <c r="N195" s="4"/>
    </row>
    <row r="196" spans="1:14" x14ac:dyDescent="0.25">
      <c r="A196" s="3" t="str">
        <f>Fill_Value(filament!A196)</f>
        <v/>
      </c>
      <c r="B196" s="47" t="str">
        <f>Fill_Value(filament!B196)</f>
        <v/>
      </c>
      <c r="C196" s="47" t="str">
        <f>Fill_Value(filament!C196)</f>
        <v/>
      </c>
      <c r="D196" s="3"/>
      <c r="E196" s="3"/>
      <c r="F196" s="3"/>
      <c r="G196" s="3"/>
      <c r="H196" s="3"/>
      <c r="I196" s="3"/>
      <c r="J196" s="3"/>
      <c r="K196" s="3"/>
      <c r="L196" s="3"/>
      <c r="M196" s="3"/>
      <c r="N196" s="3"/>
    </row>
    <row r="197" spans="1:14" x14ac:dyDescent="0.25">
      <c r="A197" s="4" t="str">
        <f>Fill_Value(filament!A197)</f>
        <v/>
      </c>
      <c r="B197" s="59" t="str">
        <f>Fill_Value(filament!B197)</f>
        <v/>
      </c>
      <c r="C197" s="59" t="str">
        <f>Fill_Value(filament!C197)</f>
        <v/>
      </c>
      <c r="D197" s="4"/>
      <c r="E197" s="4"/>
      <c r="F197" s="4"/>
      <c r="G197" s="4"/>
      <c r="H197" s="4"/>
      <c r="I197" s="4"/>
      <c r="J197" s="4"/>
      <c r="K197" s="4"/>
      <c r="L197" s="4"/>
      <c r="M197" s="4"/>
      <c r="N197" s="4"/>
    </row>
    <row r="198" spans="1:14" x14ac:dyDescent="0.25">
      <c r="A198" s="3" t="str">
        <f>Fill_Value(filament!A198)</f>
        <v/>
      </c>
      <c r="B198" s="47" t="str">
        <f>Fill_Value(filament!B198)</f>
        <v/>
      </c>
      <c r="C198" s="47" t="str">
        <f>Fill_Value(filament!C198)</f>
        <v/>
      </c>
      <c r="D198" s="3"/>
      <c r="E198" s="3"/>
      <c r="F198" s="3"/>
      <c r="G198" s="3"/>
      <c r="H198" s="3"/>
      <c r="I198" s="3"/>
      <c r="J198" s="3"/>
      <c r="K198" s="3"/>
      <c r="L198" s="3"/>
      <c r="M198" s="3"/>
      <c r="N198" s="3"/>
    </row>
    <row r="199" spans="1:14" x14ac:dyDescent="0.25">
      <c r="A199" s="4" t="str">
        <f>Fill_Value(filament!A199)</f>
        <v/>
      </c>
      <c r="B199" s="59" t="str">
        <f>Fill_Value(filament!B199)</f>
        <v/>
      </c>
      <c r="C199" s="59" t="str">
        <f>Fill_Value(filament!C199)</f>
        <v/>
      </c>
      <c r="D199" s="4"/>
      <c r="E199" s="4"/>
      <c r="F199" s="4"/>
      <c r="G199" s="4"/>
      <c r="H199" s="4"/>
      <c r="I199" s="4"/>
      <c r="J199" s="4"/>
      <c r="K199" s="4"/>
      <c r="L199" s="4"/>
      <c r="M199" s="4"/>
      <c r="N199" s="4"/>
    </row>
    <row r="200" spans="1:14" x14ac:dyDescent="0.25">
      <c r="A200" s="3" t="str">
        <f>Fill_Value(filament!A200)</f>
        <v/>
      </c>
      <c r="B200" s="47" t="str">
        <f>Fill_Value(filament!B200)</f>
        <v/>
      </c>
      <c r="C200" s="47" t="str">
        <f>Fill_Value(filament!C200)</f>
        <v/>
      </c>
      <c r="D200" s="3"/>
      <c r="E200" s="3"/>
      <c r="F200" s="3"/>
      <c r="G200" s="3"/>
      <c r="H200" s="3"/>
      <c r="I200" s="3"/>
      <c r="J200" s="3"/>
      <c r="K200" s="3"/>
      <c r="L200" s="3"/>
      <c r="M200" s="3"/>
      <c r="N200" s="3"/>
    </row>
    <row r="201" spans="1:14" x14ac:dyDescent="0.25">
      <c r="A201" s="4" t="str">
        <f>Fill_Value(filament!A201)</f>
        <v/>
      </c>
      <c r="B201" s="59" t="str">
        <f>Fill_Value(filament!B201)</f>
        <v/>
      </c>
      <c r="C201" s="59" t="str">
        <f>Fill_Value(filament!C201)</f>
        <v/>
      </c>
      <c r="D201" s="4"/>
      <c r="E201" s="4"/>
      <c r="F201" s="4"/>
      <c r="G201" s="4"/>
      <c r="H201" s="4"/>
      <c r="I201" s="4"/>
      <c r="J201" s="4"/>
      <c r="K201" s="4"/>
      <c r="L201" s="4"/>
      <c r="M201" s="4"/>
      <c r="N201" s="4"/>
    </row>
    <row r="202" spans="1:14" x14ac:dyDescent="0.25">
      <c r="A202" s="3" t="str">
        <f>Fill_Value(filament!A202)</f>
        <v/>
      </c>
      <c r="B202" s="47" t="str">
        <f>Fill_Value(filament!B202)</f>
        <v/>
      </c>
      <c r="C202" s="47" t="str">
        <f>Fill_Value(filament!C202)</f>
        <v/>
      </c>
      <c r="D202" s="3"/>
      <c r="E202" s="3"/>
      <c r="F202" s="3"/>
      <c r="G202" s="3"/>
      <c r="H202" s="3"/>
      <c r="I202" s="3"/>
      <c r="J202" s="3"/>
      <c r="K202" s="3"/>
      <c r="L202" s="3"/>
      <c r="M202" s="3"/>
      <c r="N202" s="3"/>
    </row>
    <row r="203" spans="1:14" x14ac:dyDescent="0.25">
      <c r="A203" s="4" t="str">
        <f>Fill_Value(filament!A203)</f>
        <v/>
      </c>
      <c r="B203" s="59" t="str">
        <f>Fill_Value(filament!B203)</f>
        <v/>
      </c>
      <c r="C203" s="59" t="str">
        <f>Fill_Value(filament!C203)</f>
        <v/>
      </c>
      <c r="D203" s="4"/>
      <c r="E203" s="4"/>
      <c r="F203" s="4"/>
      <c r="G203" s="4"/>
      <c r="H203" s="4"/>
      <c r="I203" s="4"/>
      <c r="J203" s="4"/>
      <c r="K203" s="4"/>
      <c r="L203" s="4"/>
      <c r="M203" s="4"/>
      <c r="N203" s="4"/>
    </row>
    <row r="204" spans="1:14" x14ac:dyDescent="0.25">
      <c r="A204" s="3" t="str">
        <f>Fill_Value(filament!A204)</f>
        <v/>
      </c>
      <c r="B204" s="47" t="str">
        <f>Fill_Value(filament!B204)</f>
        <v/>
      </c>
      <c r="C204" s="47" t="str">
        <f>Fill_Value(filament!C204)</f>
        <v/>
      </c>
      <c r="D204" s="3"/>
      <c r="E204" s="3"/>
      <c r="F204" s="3"/>
      <c r="G204" s="3"/>
      <c r="H204" s="3"/>
      <c r="I204" s="3"/>
      <c r="J204" s="3"/>
      <c r="K204" s="3"/>
      <c r="L204" s="3"/>
      <c r="M204" s="3"/>
      <c r="N204" s="3"/>
    </row>
    <row r="205" spans="1:14" x14ac:dyDescent="0.25">
      <c r="A205" s="4" t="str">
        <f>Fill_Value(filament!A205)</f>
        <v/>
      </c>
      <c r="B205" s="59" t="str">
        <f>Fill_Value(filament!B205)</f>
        <v/>
      </c>
      <c r="C205" s="59" t="str">
        <f>Fill_Value(filament!C205)</f>
        <v/>
      </c>
      <c r="D205" s="4"/>
      <c r="E205" s="4"/>
      <c r="F205" s="4"/>
      <c r="G205" s="4"/>
      <c r="H205" s="4"/>
      <c r="I205" s="4"/>
      <c r="J205" s="4"/>
      <c r="K205" s="4"/>
      <c r="L205" s="4"/>
      <c r="M205" s="4"/>
      <c r="N205" s="4"/>
    </row>
    <row r="206" spans="1:14" x14ac:dyDescent="0.25">
      <c r="A206" s="3" t="str">
        <f>Fill_Value(filament!A206)</f>
        <v/>
      </c>
      <c r="B206" s="47" t="str">
        <f>Fill_Value(filament!B206)</f>
        <v/>
      </c>
      <c r="C206" s="47" t="str">
        <f>Fill_Value(filament!C206)</f>
        <v/>
      </c>
      <c r="D206" s="3"/>
      <c r="E206" s="3"/>
      <c r="F206" s="3"/>
      <c r="G206" s="3"/>
      <c r="H206" s="3"/>
      <c r="I206" s="3"/>
      <c r="J206" s="3"/>
      <c r="K206" s="3"/>
      <c r="L206" s="3"/>
      <c r="M206" s="3"/>
      <c r="N206" s="3"/>
    </row>
    <row r="207" spans="1:14" x14ac:dyDescent="0.25">
      <c r="A207" s="4" t="str">
        <f>Fill_Value(filament!A207)</f>
        <v/>
      </c>
      <c r="B207" s="59" t="str">
        <f>Fill_Value(filament!B207)</f>
        <v/>
      </c>
      <c r="C207" s="59" t="str">
        <f>Fill_Value(filament!C207)</f>
        <v/>
      </c>
      <c r="D207" s="4"/>
      <c r="E207" s="4"/>
      <c r="F207" s="4"/>
      <c r="G207" s="4"/>
      <c r="H207" s="4"/>
      <c r="I207" s="4"/>
      <c r="J207" s="4"/>
      <c r="K207" s="4"/>
      <c r="L207" s="4"/>
      <c r="M207" s="4"/>
      <c r="N207" s="4"/>
    </row>
    <row r="208" spans="1:14" x14ac:dyDescent="0.25">
      <c r="A208" s="3" t="str">
        <f>Fill_Value(filament!A208)</f>
        <v/>
      </c>
      <c r="B208" s="47" t="str">
        <f>Fill_Value(filament!B208)</f>
        <v/>
      </c>
      <c r="C208" s="47" t="str">
        <f>Fill_Value(filament!C208)</f>
        <v/>
      </c>
      <c r="D208" s="3"/>
      <c r="E208" s="3"/>
      <c r="F208" s="3"/>
      <c r="G208" s="3"/>
      <c r="H208" s="3"/>
      <c r="I208" s="3"/>
      <c r="J208" s="3"/>
      <c r="K208" s="3"/>
      <c r="L208" s="3"/>
      <c r="M208" s="3"/>
      <c r="N208" s="3"/>
    </row>
    <row r="209" spans="1:14" x14ac:dyDescent="0.25">
      <c r="A209" s="4" t="str">
        <f>Fill_Value(filament!A209)</f>
        <v/>
      </c>
      <c r="B209" s="59" t="str">
        <f>Fill_Value(filament!B209)</f>
        <v/>
      </c>
      <c r="C209" s="59" t="str">
        <f>Fill_Value(filament!C209)</f>
        <v/>
      </c>
      <c r="D209" s="4"/>
      <c r="E209" s="4"/>
      <c r="F209" s="4"/>
      <c r="G209" s="4"/>
      <c r="H209" s="4"/>
      <c r="I209" s="4"/>
      <c r="J209" s="4"/>
      <c r="K209" s="4"/>
      <c r="L209" s="4"/>
      <c r="M209" s="4"/>
      <c r="N209" s="4"/>
    </row>
    <row r="210" spans="1:14" x14ac:dyDescent="0.25">
      <c r="A210" s="3" t="str">
        <f>Fill_Value(filament!A210)</f>
        <v/>
      </c>
      <c r="B210" s="47" t="str">
        <f>Fill_Value(filament!B210)</f>
        <v/>
      </c>
      <c r="C210" s="47" t="str">
        <f>Fill_Value(filament!C210)</f>
        <v/>
      </c>
      <c r="D210" s="3"/>
      <c r="E210" s="3"/>
      <c r="F210" s="3"/>
      <c r="G210" s="3"/>
      <c r="H210" s="3"/>
      <c r="I210" s="3"/>
      <c r="J210" s="3"/>
      <c r="K210" s="3"/>
      <c r="L210" s="3"/>
      <c r="M210" s="3"/>
      <c r="N210" s="3"/>
    </row>
    <row r="211" spans="1:14" x14ac:dyDescent="0.25">
      <c r="A211" s="4" t="str">
        <f>Fill_Value(filament!A211)</f>
        <v/>
      </c>
      <c r="B211" s="59" t="str">
        <f>Fill_Value(filament!B211)</f>
        <v/>
      </c>
      <c r="C211" s="59" t="str">
        <f>Fill_Value(filament!C211)</f>
        <v/>
      </c>
      <c r="D211" s="4"/>
      <c r="E211" s="4"/>
      <c r="F211" s="4"/>
      <c r="G211" s="4"/>
      <c r="H211" s="4"/>
      <c r="I211" s="4"/>
      <c r="J211" s="4"/>
      <c r="K211" s="4"/>
      <c r="L211" s="4"/>
      <c r="M211" s="4"/>
      <c r="N211" s="4"/>
    </row>
    <row r="212" spans="1:14" x14ac:dyDescent="0.25">
      <c r="A212" s="3" t="str">
        <f>Fill_Value(filament!A212)</f>
        <v/>
      </c>
      <c r="B212" s="47" t="str">
        <f>Fill_Value(filament!B212)</f>
        <v/>
      </c>
      <c r="C212" s="47" t="str">
        <f>Fill_Value(filament!C212)</f>
        <v/>
      </c>
      <c r="D212" s="3"/>
      <c r="E212" s="3"/>
      <c r="F212" s="3"/>
      <c r="G212" s="3"/>
      <c r="H212" s="3"/>
      <c r="I212" s="3"/>
      <c r="J212" s="3"/>
      <c r="K212" s="3"/>
      <c r="L212" s="3"/>
      <c r="M212" s="3"/>
      <c r="N212" s="3"/>
    </row>
    <row r="213" spans="1:14" x14ac:dyDescent="0.25">
      <c r="A213" s="4" t="str">
        <f>Fill_Value(filament!A213)</f>
        <v/>
      </c>
      <c r="B213" s="59" t="str">
        <f>Fill_Value(filament!B213)</f>
        <v/>
      </c>
      <c r="C213" s="59" t="str">
        <f>Fill_Value(filament!C213)</f>
        <v/>
      </c>
      <c r="D213" s="4"/>
      <c r="E213" s="4"/>
      <c r="F213" s="4"/>
      <c r="G213" s="4"/>
      <c r="H213" s="4"/>
      <c r="I213" s="4"/>
      <c r="J213" s="4"/>
      <c r="K213" s="4"/>
      <c r="L213" s="4"/>
      <c r="M213" s="4"/>
      <c r="N213" s="4"/>
    </row>
    <row r="214" spans="1:14" x14ac:dyDescent="0.25">
      <c r="A214" s="3" t="str">
        <f>Fill_Value(filament!A214)</f>
        <v/>
      </c>
      <c r="B214" s="47" t="str">
        <f>Fill_Value(filament!B214)</f>
        <v/>
      </c>
      <c r="C214" s="47" t="str">
        <f>Fill_Value(filament!C214)</f>
        <v/>
      </c>
      <c r="D214" s="3"/>
      <c r="E214" s="3"/>
      <c r="F214" s="3"/>
      <c r="G214" s="3"/>
      <c r="H214" s="3"/>
      <c r="I214" s="3"/>
      <c r="J214" s="3"/>
      <c r="K214" s="3"/>
      <c r="L214" s="3"/>
      <c r="M214" s="3"/>
      <c r="N214" s="3"/>
    </row>
    <row r="215" spans="1:14" x14ac:dyDescent="0.25">
      <c r="A215" s="4" t="str">
        <f>Fill_Value(filament!A215)</f>
        <v/>
      </c>
      <c r="B215" s="59" t="str">
        <f>Fill_Value(filament!B215)</f>
        <v/>
      </c>
      <c r="C215" s="59" t="str">
        <f>Fill_Value(filament!C215)</f>
        <v/>
      </c>
      <c r="D215" s="4"/>
      <c r="E215" s="4"/>
      <c r="F215" s="4"/>
      <c r="G215" s="4"/>
      <c r="H215" s="4"/>
      <c r="I215" s="4"/>
      <c r="J215" s="4"/>
      <c r="K215" s="4"/>
      <c r="L215" s="4"/>
      <c r="M215" s="4"/>
      <c r="N215" s="4"/>
    </row>
    <row r="216" spans="1:14" x14ac:dyDescent="0.25">
      <c r="A216" s="3" t="str">
        <f>Fill_Value(filament!A216)</f>
        <v/>
      </c>
      <c r="B216" s="47" t="str">
        <f>Fill_Value(filament!B216)</f>
        <v/>
      </c>
      <c r="C216" s="47" t="str">
        <f>Fill_Value(filament!C216)</f>
        <v/>
      </c>
      <c r="D216" s="3"/>
      <c r="E216" s="3"/>
      <c r="F216" s="3"/>
      <c r="G216" s="3"/>
      <c r="H216" s="3"/>
      <c r="I216" s="3"/>
      <c r="J216" s="3"/>
      <c r="K216" s="3"/>
      <c r="L216" s="3"/>
      <c r="M216" s="3"/>
      <c r="N216" s="3"/>
    </row>
    <row r="217" spans="1:14" x14ac:dyDescent="0.25">
      <c r="A217" s="4" t="str">
        <f>Fill_Value(filament!A217)</f>
        <v/>
      </c>
      <c r="B217" s="59" t="str">
        <f>Fill_Value(filament!B217)</f>
        <v/>
      </c>
      <c r="C217" s="59" t="str">
        <f>Fill_Value(filament!C217)</f>
        <v/>
      </c>
      <c r="D217" s="4"/>
      <c r="E217" s="4"/>
      <c r="F217" s="4"/>
      <c r="G217" s="4"/>
      <c r="H217" s="4"/>
      <c r="I217" s="4"/>
      <c r="J217" s="4"/>
      <c r="K217" s="4"/>
      <c r="L217" s="4"/>
      <c r="M217" s="4"/>
      <c r="N217" s="4"/>
    </row>
    <row r="218" spans="1:14" x14ac:dyDescent="0.25">
      <c r="A218" s="3" t="str">
        <f>Fill_Value(filament!A218)</f>
        <v/>
      </c>
      <c r="B218" s="47" t="str">
        <f>Fill_Value(filament!B218)</f>
        <v/>
      </c>
      <c r="C218" s="47" t="str">
        <f>Fill_Value(filament!C218)</f>
        <v/>
      </c>
      <c r="D218" s="3"/>
      <c r="E218" s="3"/>
      <c r="F218" s="3"/>
      <c r="G218" s="3"/>
      <c r="H218" s="3"/>
      <c r="I218" s="3"/>
      <c r="J218" s="3"/>
      <c r="K218" s="3"/>
      <c r="L218" s="3"/>
      <c r="M218" s="3"/>
      <c r="N218" s="3"/>
    </row>
    <row r="219" spans="1:14" x14ac:dyDescent="0.25">
      <c r="A219" s="4" t="str">
        <f>Fill_Value(filament!A219)</f>
        <v/>
      </c>
      <c r="B219" s="59" t="str">
        <f>Fill_Value(filament!B219)</f>
        <v/>
      </c>
      <c r="C219" s="59" t="str">
        <f>Fill_Value(filament!C219)</f>
        <v/>
      </c>
      <c r="D219" s="4"/>
      <c r="E219" s="4"/>
      <c r="F219" s="4"/>
      <c r="G219" s="4"/>
      <c r="H219" s="4"/>
      <c r="I219" s="4"/>
      <c r="J219" s="4"/>
      <c r="K219" s="4"/>
      <c r="L219" s="4"/>
      <c r="M219" s="4"/>
      <c r="N219" s="4"/>
    </row>
    <row r="220" spans="1:14" x14ac:dyDescent="0.25">
      <c r="A220" s="3" t="str">
        <f>Fill_Value(filament!A220)</f>
        <v/>
      </c>
      <c r="B220" s="47" t="str">
        <f>Fill_Value(filament!B220)</f>
        <v/>
      </c>
      <c r="C220" s="47" t="str">
        <f>Fill_Value(filament!C220)</f>
        <v/>
      </c>
      <c r="D220" s="3"/>
      <c r="E220" s="3"/>
      <c r="F220" s="3"/>
      <c r="G220" s="3"/>
      <c r="H220" s="3"/>
      <c r="I220" s="3"/>
      <c r="J220" s="3"/>
      <c r="K220" s="3"/>
      <c r="L220" s="3"/>
      <c r="M220" s="3"/>
      <c r="N220" s="3"/>
    </row>
    <row r="221" spans="1:14" x14ac:dyDescent="0.25">
      <c r="A221" s="4" t="str">
        <f>Fill_Value(filament!A221)</f>
        <v/>
      </c>
      <c r="B221" s="59" t="str">
        <f>Fill_Value(filament!B221)</f>
        <v/>
      </c>
      <c r="C221" s="59" t="str">
        <f>Fill_Value(filament!C221)</f>
        <v/>
      </c>
      <c r="D221" s="4"/>
      <c r="E221" s="4"/>
      <c r="F221" s="4"/>
      <c r="G221" s="4"/>
      <c r="H221" s="4"/>
      <c r="I221" s="4"/>
      <c r="J221" s="4"/>
      <c r="K221" s="4"/>
      <c r="L221" s="4"/>
      <c r="M221" s="4"/>
      <c r="N221" s="4"/>
    </row>
    <row r="222" spans="1:14" x14ac:dyDescent="0.25">
      <c r="A222" s="3" t="str">
        <f>Fill_Value(filament!A222)</f>
        <v/>
      </c>
      <c r="B222" s="47" t="str">
        <f>Fill_Value(filament!B222)</f>
        <v/>
      </c>
      <c r="C222" s="47" t="str">
        <f>Fill_Value(filament!C222)</f>
        <v/>
      </c>
      <c r="D222" s="3"/>
      <c r="E222" s="3"/>
      <c r="F222" s="3"/>
      <c r="G222" s="3"/>
      <c r="H222" s="3"/>
      <c r="I222" s="3"/>
      <c r="J222" s="3"/>
      <c r="K222" s="3"/>
      <c r="L222" s="3"/>
      <c r="M222" s="3"/>
      <c r="N222" s="3"/>
    </row>
    <row r="223" spans="1:14" x14ac:dyDescent="0.25">
      <c r="A223" s="4" t="str">
        <f>Fill_Value(filament!A223)</f>
        <v/>
      </c>
      <c r="B223" s="59" t="str">
        <f>Fill_Value(filament!B223)</f>
        <v/>
      </c>
      <c r="C223" s="59" t="str">
        <f>Fill_Value(filament!C223)</f>
        <v/>
      </c>
      <c r="D223" s="4"/>
      <c r="E223" s="4"/>
      <c r="F223" s="4"/>
      <c r="G223" s="4"/>
      <c r="H223" s="4"/>
      <c r="I223" s="4"/>
      <c r="J223" s="4"/>
      <c r="K223" s="4"/>
      <c r="L223" s="4"/>
      <c r="M223" s="4"/>
      <c r="N223" s="4"/>
    </row>
    <row r="224" spans="1:14" x14ac:dyDescent="0.25">
      <c r="A224" s="3" t="str">
        <f>Fill_Value(filament!A224)</f>
        <v/>
      </c>
      <c r="B224" s="47" t="str">
        <f>Fill_Value(filament!B224)</f>
        <v/>
      </c>
      <c r="C224" s="47" t="str">
        <f>Fill_Value(filament!C224)</f>
        <v/>
      </c>
      <c r="D224" s="3"/>
      <c r="E224" s="3"/>
      <c r="F224" s="3"/>
      <c r="G224" s="3"/>
      <c r="H224" s="3"/>
      <c r="I224" s="3"/>
      <c r="J224" s="3"/>
      <c r="K224" s="3"/>
      <c r="L224" s="3"/>
      <c r="M224" s="3"/>
      <c r="N224" s="3"/>
    </row>
    <row r="225" spans="1:14" x14ac:dyDescent="0.25">
      <c r="A225" s="4" t="str">
        <f>Fill_Value(filament!A225)</f>
        <v/>
      </c>
      <c r="B225" s="59" t="str">
        <f>Fill_Value(filament!B225)</f>
        <v/>
      </c>
      <c r="C225" s="59" t="str">
        <f>Fill_Value(filament!C225)</f>
        <v/>
      </c>
      <c r="D225" s="4"/>
      <c r="E225" s="4"/>
      <c r="F225" s="4"/>
      <c r="G225" s="4"/>
      <c r="H225" s="4"/>
      <c r="I225" s="4"/>
      <c r="J225" s="4"/>
      <c r="K225" s="4"/>
      <c r="L225" s="4"/>
      <c r="M225" s="4"/>
      <c r="N225" s="4"/>
    </row>
    <row r="226" spans="1:14" x14ac:dyDescent="0.25">
      <c r="A226" s="3" t="str">
        <f>Fill_Value(filament!A226)</f>
        <v/>
      </c>
      <c r="B226" s="47" t="str">
        <f>Fill_Value(filament!B226)</f>
        <v/>
      </c>
      <c r="C226" s="47" t="str">
        <f>Fill_Value(filament!C226)</f>
        <v/>
      </c>
      <c r="D226" s="3"/>
      <c r="E226" s="3"/>
      <c r="F226" s="3"/>
      <c r="G226" s="3"/>
      <c r="H226" s="3"/>
      <c r="I226" s="3"/>
      <c r="J226" s="3"/>
      <c r="K226" s="3"/>
      <c r="L226" s="3"/>
      <c r="M226" s="3"/>
      <c r="N226" s="3"/>
    </row>
    <row r="227" spans="1:14" x14ac:dyDescent="0.25">
      <c r="A227" s="4" t="str">
        <f>Fill_Value(filament!A227)</f>
        <v/>
      </c>
      <c r="B227" s="59" t="str">
        <f>Fill_Value(filament!B227)</f>
        <v/>
      </c>
      <c r="C227" s="59" t="str">
        <f>Fill_Value(filament!C227)</f>
        <v/>
      </c>
      <c r="D227" s="4"/>
      <c r="E227" s="4"/>
      <c r="F227" s="4"/>
      <c r="G227" s="4"/>
      <c r="H227" s="4"/>
      <c r="I227" s="4"/>
      <c r="J227" s="4"/>
      <c r="K227" s="4"/>
      <c r="L227" s="4"/>
      <c r="M227" s="4"/>
      <c r="N227" s="4"/>
    </row>
    <row r="228" spans="1:14" x14ac:dyDescent="0.25">
      <c r="A228" s="3" t="str">
        <f>Fill_Value(filament!A228)</f>
        <v/>
      </c>
      <c r="B228" s="47" t="str">
        <f>Fill_Value(filament!B228)</f>
        <v/>
      </c>
      <c r="C228" s="47" t="str">
        <f>Fill_Value(filament!C228)</f>
        <v/>
      </c>
      <c r="D228" s="3"/>
      <c r="E228" s="3"/>
      <c r="F228" s="3"/>
      <c r="G228" s="3"/>
      <c r="H228" s="3"/>
      <c r="I228" s="3"/>
      <c r="J228" s="3"/>
      <c r="K228" s="3"/>
      <c r="L228" s="3"/>
      <c r="M228" s="3"/>
      <c r="N228" s="3"/>
    </row>
    <row r="229" spans="1:14" x14ac:dyDescent="0.25">
      <c r="A229" s="4" t="str">
        <f>Fill_Value(filament!A229)</f>
        <v/>
      </c>
      <c r="B229" s="59" t="str">
        <f>Fill_Value(filament!B229)</f>
        <v/>
      </c>
      <c r="C229" s="59" t="str">
        <f>Fill_Value(filament!C229)</f>
        <v/>
      </c>
      <c r="D229" s="4"/>
      <c r="E229" s="4"/>
      <c r="F229" s="4"/>
      <c r="G229" s="4"/>
      <c r="H229" s="4"/>
      <c r="I229" s="4"/>
      <c r="J229" s="4"/>
      <c r="K229" s="4"/>
      <c r="L229" s="4"/>
      <c r="M229" s="4"/>
      <c r="N229" s="4"/>
    </row>
    <row r="230" spans="1:14" x14ac:dyDescent="0.25">
      <c r="A230" s="3" t="str">
        <f>Fill_Value(filament!A230)</f>
        <v/>
      </c>
      <c r="B230" s="47" t="str">
        <f>Fill_Value(filament!B230)</f>
        <v/>
      </c>
      <c r="C230" s="47" t="str">
        <f>Fill_Value(filament!C230)</f>
        <v/>
      </c>
      <c r="D230" s="3"/>
      <c r="E230" s="3"/>
      <c r="F230" s="3"/>
      <c r="G230" s="3"/>
      <c r="H230" s="3"/>
      <c r="I230" s="3"/>
      <c r="J230" s="3"/>
      <c r="K230" s="3"/>
      <c r="L230" s="3"/>
      <c r="M230" s="3"/>
      <c r="N230" s="3"/>
    </row>
    <row r="231" spans="1:14" x14ac:dyDescent="0.25">
      <c r="A231" s="4" t="str">
        <f>Fill_Value(filament!A231)</f>
        <v/>
      </c>
      <c r="B231" s="59" t="str">
        <f>Fill_Value(filament!B231)</f>
        <v/>
      </c>
      <c r="C231" s="59" t="str">
        <f>Fill_Value(filament!C231)</f>
        <v/>
      </c>
      <c r="D231" s="4"/>
      <c r="E231" s="4"/>
      <c r="F231" s="4"/>
      <c r="G231" s="4"/>
      <c r="H231" s="4"/>
      <c r="I231" s="4"/>
      <c r="J231" s="4"/>
      <c r="K231" s="4"/>
      <c r="L231" s="4"/>
      <c r="M231" s="4"/>
      <c r="N231" s="4"/>
    </row>
    <row r="232" spans="1:14" x14ac:dyDescent="0.25">
      <c r="A232" s="3" t="str">
        <f>Fill_Value(filament!A232)</f>
        <v/>
      </c>
      <c r="B232" s="47" t="str">
        <f>Fill_Value(filament!B232)</f>
        <v/>
      </c>
      <c r="C232" s="47" t="str">
        <f>Fill_Value(filament!C232)</f>
        <v/>
      </c>
      <c r="D232" s="3"/>
      <c r="E232" s="3"/>
      <c r="F232" s="3"/>
      <c r="G232" s="3"/>
      <c r="H232" s="3"/>
      <c r="I232" s="3"/>
      <c r="J232" s="3"/>
      <c r="K232" s="3"/>
      <c r="L232" s="3"/>
      <c r="M232" s="3"/>
      <c r="N232" s="3"/>
    </row>
    <row r="233" spans="1:14" x14ac:dyDescent="0.25">
      <c r="A233" s="4" t="str">
        <f>Fill_Value(filament!A233)</f>
        <v/>
      </c>
      <c r="B233" s="59" t="str">
        <f>Fill_Value(filament!B233)</f>
        <v/>
      </c>
      <c r="C233" s="59" t="str">
        <f>Fill_Value(filament!C233)</f>
        <v/>
      </c>
      <c r="D233" s="4"/>
      <c r="E233" s="4"/>
      <c r="F233" s="4"/>
      <c r="G233" s="4"/>
      <c r="H233" s="4"/>
      <c r="I233" s="4"/>
      <c r="J233" s="4"/>
      <c r="K233" s="4"/>
      <c r="L233" s="4"/>
      <c r="M233" s="4"/>
      <c r="N233" s="4"/>
    </row>
    <row r="234" spans="1:14" x14ac:dyDescent="0.25">
      <c r="A234" s="3" t="str">
        <f>Fill_Value(filament!A234)</f>
        <v/>
      </c>
      <c r="B234" s="47" t="str">
        <f>Fill_Value(filament!B234)</f>
        <v/>
      </c>
      <c r="C234" s="47" t="str">
        <f>Fill_Value(filament!C234)</f>
        <v/>
      </c>
      <c r="D234" s="3"/>
      <c r="E234" s="3"/>
      <c r="F234" s="3"/>
      <c r="G234" s="3"/>
      <c r="H234" s="3"/>
      <c r="I234" s="3"/>
      <c r="J234" s="3"/>
      <c r="K234" s="3"/>
      <c r="L234" s="3"/>
      <c r="M234" s="3"/>
      <c r="N234" s="3"/>
    </row>
    <row r="235" spans="1:14" x14ac:dyDescent="0.25">
      <c r="A235" s="4" t="str">
        <f>Fill_Value(filament!A235)</f>
        <v/>
      </c>
      <c r="B235" s="59" t="str">
        <f>Fill_Value(filament!B235)</f>
        <v/>
      </c>
      <c r="C235" s="59" t="str">
        <f>Fill_Value(filament!C235)</f>
        <v/>
      </c>
      <c r="D235" s="4"/>
      <c r="E235" s="4"/>
      <c r="F235" s="4"/>
      <c r="G235" s="4"/>
      <c r="H235" s="4"/>
      <c r="I235" s="4"/>
      <c r="J235" s="4"/>
      <c r="K235" s="4"/>
      <c r="L235" s="4"/>
      <c r="M235" s="4"/>
      <c r="N235" s="4"/>
    </row>
    <row r="236" spans="1:14" x14ac:dyDescent="0.25">
      <c r="A236" s="3" t="str">
        <f>Fill_Value(filament!A236)</f>
        <v/>
      </c>
      <c r="B236" s="47" t="str">
        <f>Fill_Value(filament!B236)</f>
        <v/>
      </c>
      <c r="C236" s="47" t="str">
        <f>Fill_Value(filament!C236)</f>
        <v/>
      </c>
      <c r="D236" s="3"/>
      <c r="E236" s="3"/>
      <c r="F236" s="3"/>
      <c r="G236" s="3"/>
      <c r="H236" s="3"/>
      <c r="I236" s="3"/>
      <c r="J236" s="3"/>
      <c r="K236" s="3"/>
      <c r="L236" s="3"/>
      <c r="M236" s="3"/>
      <c r="N236" s="3"/>
    </row>
    <row r="237" spans="1:14" x14ac:dyDescent="0.25">
      <c r="A237" s="4" t="str">
        <f>Fill_Value(filament!A237)</f>
        <v/>
      </c>
      <c r="B237" s="59" t="str">
        <f>Fill_Value(filament!B237)</f>
        <v/>
      </c>
      <c r="C237" s="59" t="str">
        <f>Fill_Value(filament!C237)</f>
        <v/>
      </c>
      <c r="D237" s="4"/>
      <c r="E237" s="4"/>
      <c r="F237" s="4"/>
      <c r="G237" s="4"/>
      <c r="H237" s="4"/>
      <c r="I237" s="4"/>
      <c r="J237" s="4"/>
      <c r="K237" s="4"/>
      <c r="L237" s="4"/>
      <c r="M237" s="4"/>
      <c r="N237" s="4"/>
    </row>
    <row r="238" spans="1:14" x14ac:dyDescent="0.25">
      <c r="A238" s="3" t="str">
        <f>Fill_Value(filament!A238)</f>
        <v/>
      </c>
      <c r="B238" s="47" t="str">
        <f>Fill_Value(filament!B238)</f>
        <v/>
      </c>
      <c r="C238" s="47" t="str">
        <f>Fill_Value(filament!C238)</f>
        <v/>
      </c>
      <c r="D238" s="3"/>
      <c r="E238" s="3"/>
      <c r="F238" s="3"/>
      <c r="G238" s="3"/>
      <c r="H238" s="3"/>
      <c r="I238" s="3"/>
      <c r="J238" s="3"/>
      <c r="K238" s="3"/>
      <c r="L238" s="3"/>
      <c r="M238" s="3"/>
      <c r="N238" s="3"/>
    </row>
    <row r="239" spans="1:14" x14ac:dyDescent="0.25">
      <c r="A239" s="4" t="str">
        <f>Fill_Value(filament!A239)</f>
        <v/>
      </c>
      <c r="B239" s="59" t="str">
        <f>Fill_Value(filament!B239)</f>
        <v/>
      </c>
      <c r="C239" s="59" t="str">
        <f>Fill_Value(filament!C239)</f>
        <v/>
      </c>
      <c r="D239" s="4"/>
      <c r="E239" s="4"/>
      <c r="F239" s="4"/>
      <c r="G239" s="4"/>
      <c r="H239" s="4"/>
      <c r="I239" s="4"/>
      <c r="J239" s="4"/>
      <c r="K239" s="4"/>
      <c r="L239" s="4"/>
      <c r="M239" s="4"/>
      <c r="N239" s="4"/>
    </row>
    <row r="240" spans="1:14" x14ac:dyDescent="0.25">
      <c r="A240" s="3" t="str">
        <f>Fill_Value(filament!A240)</f>
        <v/>
      </c>
      <c r="B240" s="47" t="str">
        <f>Fill_Value(filament!B240)</f>
        <v/>
      </c>
      <c r="C240" s="47" t="str">
        <f>Fill_Value(filament!C240)</f>
        <v/>
      </c>
      <c r="D240" s="3"/>
      <c r="E240" s="3"/>
      <c r="F240" s="3"/>
      <c r="G240" s="3"/>
      <c r="H240" s="3"/>
      <c r="I240" s="3"/>
      <c r="J240" s="3"/>
      <c r="K240" s="3"/>
      <c r="L240" s="3"/>
      <c r="M240" s="3"/>
      <c r="N240" s="3"/>
    </row>
    <row r="241" spans="1:14" x14ac:dyDescent="0.25">
      <c r="A241" s="4" t="str">
        <f>Fill_Value(filament!A241)</f>
        <v/>
      </c>
      <c r="B241" s="59" t="str">
        <f>Fill_Value(filament!B241)</f>
        <v/>
      </c>
      <c r="C241" s="59" t="str">
        <f>Fill_Value(filament!C241)</f>
        <v/>
      </c>
      <c r="D241" s="4"/>
      <c r="E241" s="4"/>
      <c r="F241" s="4"/>
      <c r="G241" s="4"/>
      <c r="H241" s="4"/>
      <c r="I241" s="4"/>
      <c r="J241" s="4"/>
      <c r="K241" s="4"/>
      <c r="L241" s="4"/>
      <c r="M241" s="4"/>
      <c r="N241" s="4"/>
    </row>
    <row r="242" spans="1:14" x14ac:dyDescent="0.25">
      <c r="A242" s="3" t="str">
        <f>Fill_Value(filament!A242)</f>
        <v/>
      </c>
      <c r="B242" s="47" t="str">
        <f>Fill_Value(filament!B242)</f>
        <v/>
      </c>
      <c r="C242" s="47" t="str">
        <f>Fill_Value(filament!C242)</f>
        <v/>
      </c>
      <c r="D242" s="3"/>
      <c r="E242" s="3"/>
      <c r="F242" s="3"/>
      <c r="G242" s="3"/>
      <c r="H242" s="3"/>
      <c r="I242" s="3"/>
      <c r="J242" s="3"/>
      <c r="K242" s="3"/>
      <c r="L242" s="3"/>
      <c r="M242" s="3"/>
      <c r="N242" s="3"/>
    </row>
    <row r="243" spans="1:14" x14ac:dyDescent="0.25">
      <c r="A243" s="4" t="str">
        <f>Fill_Value(filament!A243)</f>
        <v/>
      </c>
      <c r="B243" s="59" t="str">
        <f>Fill_Value(filament!B243)</f>
        <v/>
      </c>
      <c r="C243" s="59" t="str">
        <f>Fill_Value(filament!C243)</f>
        <v/>
      </c>
      <c r="D243" s="4"/>
      <c r="E243" s="4"/>
      <c r="F243" s="4"/>
      <c r="G243" s="4"/>
      <c r="H243" s="4"/>
      <c r="I243" s="4"/>
      <c r="J243" s="4"/>
      <c r="K243" s="4"/>
      <c r="L243" s="4"/>
      <c r="M243" s="4"/>
      <c r="N243" s="4"/>
    </row>
    <row r="244" spans="1:14" x14ac:dyDescent="0.25">
      <c r="A244" s="3" t="str">
        <f>Fill_Value(filament!A244)</f>
        <v/>
      </c>
      <c r="B244" s="47" t="str">
        <f>Fill_Value(filament!B244)</f>
        <v/>
      </c>
      <c r="C244" s="47" t="str">
        <f>Fill_Value(filament!C244)</f>
        <v/>
      </c>
      <c r="D244" s="3"/>
      <c r="E244" s="3"/>
      <c r="F244" s="3"/>
      <c r="G244" s="3"/>
      <c r="H244" s="3"/>
      <c r="I244" s="3"/>
      <c r="J244" s="3"/>
      <c r="K244" s="3"/>
      <c r="L244" s="3"/>
      <c r="M244" s="3"/>
      <c r="N244" s="3"/>
    </row>
    <row r="245" spans="1:14" x14ac:dyDescent="0.25">
      <c r="A245" s="4" t="str">
        <f>Fill_Value(filament!A245)</f>
        <v/>
      </c>
      <c r="B245" s="59" t="str">
        <f>Fill_Value(filament!B245)</f>
        <v/>
      </c>
      <c r="C245" s="59" t="str">
        <f>Fill_Value(filament!C245)</f>
        <v/>
      </c>
      <c r="D245" s="4"/>
      <c r="E245" s="4"/>
      <c r="F245" s="4"/>
      <c r="G245" s="4"/>
      <c r="H245" s="4"/>
      <c r="I245" s="4"/>
      <c r="J245" s="4"/>
      <c r="K245" s="4"/>
      <c r="L245" s="4"/>
      <c r="M245" s="4"/>
      <c r="N245" s="4"/>
    </row>
    <row r="246" spans="1:14" x14ac:dyDescent="0.25">
      <c r="A246" s="3" t="str">
        <f>Fill_Value(filament!A246)</f>
        <v/>
      </c>
      <c r="B246" s="47" t="str">
        <f>Fill_Value(filament!B246)</f>
        <v/>
      </c>
      <c r="C246" s="47" t="str">
        <f>Fill_Value(filament!C246)</f>
        <v/>
      </c>
      <c r="D246" s="3"/>
      <c r="E246" s="3"/>
      <c r="F246" s="3"/>
      <c r="G246" s="3"/>
      <c r="H246" s="3"/>
      <c r="I246" s="3"/>
      <c r="J246" s="3"/>
      <c r="K246" s="3"/>
      <c r="L246" s="3"/>
      <c r="M246" s="3"/>
      <c r="N246" s="3"/>
    </row>
    <row r="247" spans="1:14" x14ac:dyDescent="0.25">
      <c r="A247" s="4" t="str">
        <f>Fill_Value(filament!A247)</f>
        <v/>
      </c>
      <c r="B247" s="59" t="str">
        <f>Fill_Value(filament!B247)</f>
        <v/>
      </c>
      <c r="C247" s="59" t="str">
        <f>Fill_Value(filament!C247)</f>
        <v/>
      </c>
      <c r="D247" s="4"/>
      <c r="E247" s="4"/>
      <c r="F247" s="4"/>
      <c r="G247" s="4"/>
      <c r="H247" s="4"/>
      <c r="I247" s="4"/>
      <c r="J247" s="4"/>
      <c r="K247" s="4"/>
      <c r="L247" s="4"/>
      <c r="M247" s="4"/>
      <c r="N247" s="4"/>
    </row>
    <row r="248" spans="1:14" x14ac:dyDescent="0.25">
      <c r="A248" s="3" t="str">
        <f>Fill_Value(filament!A248)</f>
        <v/>
      </c>
      <c r="B248" s="47" t="str">
        <f>Fill_Value(filament!B248)</f>
        <v/>
      </c>
      <c r="C248" s="47" t="str">
        <f>Fill_Value(filament!C248)</f>
        <v/>
      </c>
      <c r="D248" s="3"/>
      <c r="E248" s="3"/>
      <c r="F248" s="3"/>
      <c r="G248" s="3"/>
      <c r="H248" s="3"/>
      <c r="I248" s="3"/>
      <c r="J248" s="3"/>
      <c r="K248" s="3"/>
      <c r="L248" s="3"/>
      <c r="M248" s="3"/>
      <c r="N248" s="3"/>
    </row>
    <row r="249" spans="1:14" x14ac:dyDescent="0.25">
      <c r="A249" s="4" t="str">
        <f>Fill_Value(filament!A249)</f>
        <v/>
      </c>
      <c r="B249" s="59" t="str">
        <f>Fill_Value(filament!B249)</f>
        <v/>
      </c>
      <c r="C249" s="59" t="str">
        <f>Fill_Value(filament!C249)</f>
        <v/>
      </c>
      <c r="D249" s="4"/>
      <c r="E249" s="4"/>
      <c r="F249" s="4"/>
      <c r="G249" s="4"/>
      <c r="H249" s="4"/>
      <c r="I249" s="4"/>
      <c r="J249" s="4"/>
      <c r="K249" s="4"/>
      <c r="L249" s="4"/>
      <c r="M249" s="4"/>
      <c r="N249" s="4"/>
    </row>
    <row r="250" spans="1:14" x14ac:dyDescent="0.25">
      <c r="A250" s="3" t="str">
        <f>Fill_Value(filament!A250)</f>
        <v/>
      </c>
      <c r="B250" s="47" t="str">
        <f>Fill_Value(filament!B250)</f>
        <v/>
      </c>
      <c r="C250" s="47" t="str">
        <f>Fill_Value(filament!C250)</f>
        <v/>
      </c>
      <c r="D250" s="3"/>
      <c r="E250" s="3"/>
      <c r="F250" s="3"/>
      <c r="G250" s="3"/>
      <c r="H250" s="3"/>
      <c r="I250" s="3"/>
      <c r="J250" s="3"/>
      <c r="K250" s="3"/>
      <c r="L250" s="3"/>
      <c r="M250" s="3"/>
      <c r="N250" s="3"/>
    </row>
    <row r="251" spans="1:14" x14ac:dyDescent="0.25">
      <c r="A251" s="4" t="str">
        <f>Fill_Value(filament!A251)</f>
        <v/>
      </c>
      <c r="B251" s="59" t="str">
        <f>Fill_Value(filament!B251)</f>
        <v/>
      </c>
      <c r="C251" s="59" t="str">
        <f>Fill_Value(filament!C251)</f>
        <v/>
      </c>
      <c r="D251" s="4"/>
      <c r="E251" s="4"/>
      <c r="F251" s="4"/>
      <c r="G251" s="4"/>
      <c r="H251" s="4"/>
      <c r="I251" s="4"/>
      <c r="J251" s="4"/>
      <c r="K251" s="4"/>
      <c r="L251" s="4"/>
      <c r="M251" s="4"/>
      <c r="N251" s="4"/>
    </row>
    <row r="252" spans="1:14" x14ac:dyDescent="0.25">
      <c r="A252" s="3" t="str">
        <f>Fill_Value(filament!A252)</f>
        <v/>
      </c>
      <c r="B252" s="47" t="str">
        <f>Fill_Value(filament!B252)</f>
        <v/>
      </c>
      <c r="C252" s="47" t="str">
        <f>Fill_Value(filament!C252)</f>
        <v/>
      </c>
      <c r="D252" s="3"/>
      <c r="E252" s="3"/>
      <c r="F252" s="3"/>
      <c r="G252" s="3"/>
      <c r="H252" s="3"/>
      <c r="I252" s="3"/>
      <c r="J252" s="3"/>
      <c r="K252" s="3"/>
      <c r="L252" s="3"/>
      <c r="M252" s="3"/>
      <c r="N252" s="3"/>
    </row>
    <row r="253" spans="1:14" x14ac:dyDescent="0.25">
      <c r="A253" s="4" t="str">
        <f>Fill_Value(filament!A253)</f>
        <v/>
      </c>
      <c r="B253" s="59" t="str">
        <f>Fill_Value(filament!B253)</f>
        <v/>
      </c>
      <c r="C253" s="59" t="str">
        <f>Fill_Value(filament!C253)</f>
        <v/>
      </c>
      <c r="D253" s="4"/>
      <c r="E253" s="4"/>
      <c r="F253" s="4"/>
      <c r="G253" s="4"/>
      <c r="H253" s="4"/>
      <c r="I253" s="4"/>
      <c r="J253" s="4"/>
      <c r="K253" s="4"/>
      <c r="L253" s="4"/>
      <c r="M253" s="4"/>
      <c r="N253" s="4"/>
    </row>
    <row r="254" spans="1:14" x14ac:dyDescent="0.25">
      <c r="A254" s="3" t="str">
        <f>Fill_Value(filament!A254)</f>
        <v/>
      </c>
      <c r="B254" s="47" t="str">
        <f>Fill_Value(filament!B254)</f>
        <v/>
      </c>
      <c r="C254" s="47" t="str">
        <f>Fill_Value(filament!C254)</f>
        <v/>
      </c>
      <c r="D254" s="3"/>
      <c r="E254" s="3"/>
      <c r="F254" s="3"/>
      <c r="G254" s="3"/>
      <c r="H254" s="3"/>
      <c r="I254" s="3"/>
      <c r="J254" s="3"/>
      <c r="K254" s="3"/>
      <c r="L254" s="3"/>
      <c r="M254" s="3"/>
      <c r="N254" s="3"/>
    </row>
    <row r="255" spans="1:14" x14ac:dyDescent="0.25">
      <c r="A255" s="4" t="str">
        <f>Fill_Value(filament!A255)</f>
        <v/>
      </c>
      <c r="B255" s="59" t="str">
        <f>Fill_Value(filament!B255)</f>
        <v/>
      </c>
      <c r="C255" s="59" t="str">
        <f>Fill_Value(filament!C255)</f>
        <v/>
      </c>
      <c r="D255" s="4"/>
      <c r="E255" s="4"/>
      <c r="F255" s="4"/>
      <c r="G255" s="4"/>
      <c r="H255" s="4"/>
      <c r="I255" s="4"/>
      <c r="J255" s="4"/>
      <c r="K255" s="4"/>
      <c r="L255" s="4"/>
      <c r="M255" s="4"/>
      <c r="N255" s="4"/>
    </row>
    <row r="256" spans="1:14" x14ac:dyDescent="0.25">
      <c r="A256" s="3" t="str">
        <f>Fill_Value(filament!A256)</f>
        <v/>
      </c>
      <c r="B256" s="47" t="str">
        <f>Fill_Value(filament!B256)</f>
        <v/>
      </c>
      <c r="C256" s="47" t="str">
        <f>Fill_Value(filament!C256)</f>
        <v/>
      </c>
      <c r="D256" s="3"/>
      <c r="E256" s="3"/>
      <c r="F256" s="3"/>
      <c r="G256" s="3"/>
      <c r="H256" s="3"/>
      <c r="I256" s="3"/>
      <c r="J256" s="3"/>
      <c r="K256" s="3"/>
      <c r="L256" s="3"/>
      <c r="M256" s="3"/>
      <c r="N256" s="3"/>
    </row>
    <row r="257" spans="1:14" x14ac:dyDescent="0.25">
      <c r="A257" s="4" t="str">
        <f>Fill_Value(filament!A257)</f>
        <v/>
      </c>
      <c r="B257" s="59" t="str">
        <f>Fill_Value(filament!B257)</f>
        <v/>
      </c>
      <c r="C257" s="59" t="str">
        <f>Fill_Value(filament!C257)</f>
        <v/>
      </c>
      <c r="D257" s="4"/>
      <c r="E257" s="4"/>
      <c r="F257" s="4"/>
      <c r="G257" s="4"/>
      <c r="H257" s="4"/>
      <c r="I257" s="4"/>
      <c r="J257" s="4"/>
      <c r="K257" s="4"/>
      <c r="L257" s="4"/>
      <c r="M257" s="4"/>
      <c r="N257" s="4"/>
    </row>
    <row r="258" spans="1:14" x14ac:dyDescent="0.25">
      <c r="A258" s="3" t="str">
        <f>Fill_Value(filament!A258)</f>
        <v/>
      </c>
      <c r="B258" s="47" t="str">
        <f>Fill_Value(filament!B258)</f>
        <v/>
      </c>
      <c r="C258" s="47" t="str">
        <f>Fill_Value(filament!C258)</f>
        <v/>
      </c>
      <c r="D258" s="3"/>
      <c r="E258" s="3"/>
      <c r="F258" s="3"/>
      <c r="G258" s="3"/>
      <c r="H258" s="3"/>
      <c r="I258" s="3"/>
      <c r="J258" s="3"/>
      <c r="K258" s="3"/>
      <c r="L258" s="3"/>
      <c r="M258" s="3"/>
      <c r="N258" s="3"/>
    </row>
    <row r="259" spans="1:14" x14ac:dyDescent="0.25">
      <c r="A259" s="4" t="str">
        <f>Fill_Value(filament!A259)</f>
        <v/>
      </c>
      <c r="B259" s="59" t="str">
        <f>Fill_Value(filament!B259)</f>
        <v/>
      </c>
      <c r="C259" s="59" t="str">
        <f>Fill_Value(filament!C259)</f>
        <v/>
      </c>
      <c r="D259" s="4"/>
      <c r="E259" s="4"/>
      <c r="F259" s="4"/>
      <c r="G259" s="4"/>
      <c r="H259" s="4"/>
      <c r="I259" s="4"/>
      <c r="J259" s="4"/>
      <c r="K259" s="4"/>
      <c r="L259" s="4"/>
      <c r="M259" s="4"/>
      <c r="N259" s="4"/>
    </row>
    <row r="260" spans="1:14" x14ac:dyDescent="0.25">
      <c r="A260" s="3" t="str">
        <f>Fill_Value(filament!A260)</f>
        <v/>
      </c>
      <c r="B260" s="47" t="str">
        <f>Fill_Value(filament!B260)</f>
        <v/>
      </c>
      <c r="C260" s="47" t="str">
        <f>Fill_Value(filament!C260)</f>
        <v/>
      </c>
      <c r="D260" s="3"/>
      <c r="E260" s="3"/>
      <c r="F260" s="3"/>
      <c r="G260" s="3"/>
      <c r="H260" s="3"/>
      <c r="I260" s="3"/>
      <c r="J260" s="3"/>
      <c r="K260" s="3"/>
      <c r="L260" s="3"/>
      <c r="M260" s="3"/>
      <c r="N260" s="3"/>
    </row>
    <row r="261" spans="1:14" x14ac:dyDescent="0.25">
      <c r="A261" s="4" t="str">
        <f>Fill_Value(filament!A261)</f>
        <v/>
      </c>
      <c r="B261" s="59" t="str">
        <f>Fill_Value(filament!B261)</f>
        <v/>
      </c>
      <c r="C261" s="59" t="str">
        <f>Fill_Value(filament!C261)</f>
        <v/>
      </c>
      <c r="D261" s="4"/>
      <c r="E261" s="4"/>
      <c r="F261" s="4"/>
      <c r="G261" s="4"/>
      <c r="H261" s="4"/>
      <c r="I261" s="4"/>
      <c r="J261" s="4"/>
      <c r="K261" s="4"/>
      <c r="L261" s="4"/>
      <c r="M261" s="4"/>
      <c r="N261" s="4"/>
    </row>
    <row r="262" spans="1:14" x14ac:dyDescent="0.25">
      <c r="A262" s="3" t="str">
        <f>Fill_Value(filament!A262)</f>
        <v/>
      </c>
      <c r="B262" s="47" t="str">
        <f>Fill_Value(filament!B262)</f>
        <v/>
      </c>
      <c r="C262" s="47" t="str">
        <f>Fill_Value(filament!C262)</f>
        <v/>
      </c>
      <c r="D262" s="3"/>
      <c r="E262" s="3"/>
      <c r="F262" s="3"/>
      <c r="G262" s="3"/>
      <c r="H262" s="3"/>
      <c r="I262" s="3"/>
      <c r="J262" s="3"/>
      <c r="K262" s="3"/>
      <c r="L262" s="3"/>
      <c r="M262" s="3"/>
      <c r="N262" s="3"/>
    </row>
    <row r="263" spans="1:14" x14ac:dyDescent="0.25">
      <c r="A263" s="4" t="str">
        <f>Fill_Value(filament!A263)</f>
        <v/>
      </c>
      <c r="B263" s="59" t="str">
        <f>Fill_Value(filament!B263)</f>
        <v/>
      </c>
      <c r="C263" s="59" t="str">
        <f>Fill_Value(filament!C263)</f>
        <v/>
      </c>
      <c r="D263" s="4"/>
      <c r="E263" s="4"/>
      <c r="F263" s="4"/>
      <c r="G263" s="4"/>
      <c r="H263" s="4"/>
      <c r="I263" s="4"/>
      <c r="J263" s="4"/>
      <c r="K263" s="4"/>
      <c r="L263" s="4"/>
      <c r="M263" s="4"/>
      <c r="N263" s="4"/>
    </row>
    <row r="264" spans="1:14" x14ac:dyDescent="0.25">
      <c r="A264" s="3" t="str">
        <f>Fill_Value(filament!A264)</f>
        <v/>
      </c>
      <c r="B264" s="47" t="str">
        <f>Fill_Value(filament!B264)</f>
        <v/>
      </c>
      <c r="C264" s="47" t="str">
        <f>Fill_Value(filament!C264)</f>
        <v/>
      </c>
      <c r="D264" s="3"/>
      <c r="E264" s="3"/>
      <c r="F264" s="3"/>
      <c r="G264" s="3"/>
      <c r="H264" s="3"/>
      <c r="I264" s="3"/>
      <c r="J264" s="3"/>
      <c r="K264" s="3"/>
      <c r="L264" s="3"/>
      <c r="M264" s="3"/>
      <c r="N264" s="3"/>
    </row>
    <row r="265" spans="1:14" x14ac:dyDescent="0.25">
      <c r="A265" s="4" t="str">
        <f>Fill_Value(filament!A265)</f>
        <v/>
      </c>
      <c r="B265" s="59" t="str">
        <f>Fill_Value(filament!B265)</f>
        <v/>
      </c>
      <c r="C265" s="59" t="str">
        <f>Fill_Value(filament!C265)</f>
        <v/>
      </c>
      <c r="D265" s="4"/>
      <c r="E265" s="4"/>
      <c r="F265" s="4"/>
      <c r="G265" s="4"/>
      <c r="H265" s="4"/>
      <c r="I265" s="4"/>
      <c r="J265" s="4"/>
      <c r="K265" s="4"/>
      <c r="L265" s="4"/>
      <c r="M265" s="4"/>
      <c r="N265" s="4"/>
    </row>
    <row r="266" spans="1:14" x14ac:dyDescent="0.25">
      <c r="A266" s="3" t="str">
        <f>Fill_Value(filament!A266)</f>
        <v/>
      </c>
      <c r="B266" s="47" t="str">
        <f>Fill_Value(filament!B266)</f>
        <v/>
      </c>
      <c r="C266" s="47" t="str">
        <f>Fill_Value(filament!C266)</f>
        <v/>
      </c>
      <c r="D266" s="3"/>
      <c r="E266" s="3"/>
      <c r="F266" s="3"/>
      <c r="G266" s="3"/>
      <c r="H266" s="3"/>
      <c r="I266" s="3"/>
      <c r="J266" s="3"/>
      <c r="K266" s="3"/>
      <c r="L266" s="3"/>
      <c r="M266" s="3"/>
      <c r="N266" s="3"/>
    </row>
    <row r="267" spans="1:14" x14ac:dyDescent="0.25">
      <c r="A267" s="4" t="str">
        <f>Fill_Value(filament!A267)</f>
        <v/>
      </c>
      <c r="B267" s="59" t="str">
        <f>Fill_Value(filament!B267)</f>
        <v/>
      </c>
      <c r="C267" s="59" t="str">
        <f>Fill_Value(filament!C267)</f>
        <v/>
      </c>
      <c r="D267" s="4"/>
      <c r="E267" s="4"/>
      <c r="F267" s="4"/>
      <c r="G267" s="4"/>
      <c r="H267" s="4"/>
      <c r="I267" s="4"/>
      <c r="J267" s="4"/>
      <c r="K267" s="4"/>
      <c r="L267" s="4"/>
      <c r="M267" s="4"/>
      <c r="N267" s="4"/>
    </row>
    <row r="268" spans="1:14" x14ac:dyDescent="0.25">
      <c r="A268" s="3" t="str">
        <f>Fill_Value(filament!A268)</f>
        <v/>
      </c>
      <c r="B268" s="47" t="str">
        <f>Fill_Value(filament!B268)</f>
        <v/>
      </c>
      <c r="C268" s="47" t="str">
        <f>Fill_Value(filament!C268)</f>
        <v/>
      </c>
      <c r="D268" s="3"/>
      <c r="E268" s="3"/>
      <c r="F268" s="3"/>
      <c r="G268" s="3"/>
      <c r="H268" s="3"/>
      <c r="I268" s="3"/>
      <c r="J268" s="3"/>
      <c r="K268" s="3"/>
      <c r="L268" s="3"/>
      <c r="M268" s="3"/>
      <c r="N268" s="3"/>
    </row>
    <row r="269" spans="1:14" x14ac:dyDescent="0.25">
      <c r="A269" s="4" t="str">
        <f>Fill_Value(filament!A269)</f>
        <v/>
      </c>
      <c r="B269" s="59" t="str">
        <f>Fill_Value(filament!B269)</f>
        <v/>
      </c>
      <c r="C269" s="59" t="str">
        <f>Fill_Value(filament!C269)</f>
        <v/>
      </c>
      <c r="D269" s="4"/>
      <c r="E269" s="4"/>
      <c r="F269" s="4"/>
      <c r="G269" s="4"/>
      <c r="H269" s="4"/>
      <c r="I269" s="4"/>
      <c r="J269" s="4"/>
      <c r="K269" s="4"/>
      <c r="L269" s="4"/>
      <c r="M269" s="4"/>
      <c r="N269" s="4"/>
    </row>
    <row r="270" spans="1:14" x14ac:dyDescent="0.25">
      <c r="A270" s="3" t="str">
        <f>Fill_Value(filament!A270)</f>
        <v/>
      </c>
      <c r="B270" s="47" t="str">
        <f>Fill_Value(filament!B270)</f>
        <v/>
      </c>
      <c r="C270" s="47" t="str">
        <f>Fill_Value(filament!C270)</f>
        <v/>
      </c>
      <c r="D270" s="3"/>
      <c r="E270" s="3"/>
      <c r="F270" s="3"/>
      <c r="G270" s="3"/>
      <c r="H270" s="3"/>
      <c r="I270" s="3"/>
      <c r="J270" s="3"/>
      <c r="K270" s="3"/>
      <c r="L270" s="3"/>
      <c r="M270" s="3"/>
      <c r="N270" s="3"/>
    </row>
    <row r="271" spans="1:14" x14ac:dyDescent="0.25">
      <c r="A271" s="4" t="str">
        <f>Fill_Value(filament!A271)</f>
        <v/>
      </c>
      <c r="B271" s="59" t="str">
        <f>Fill_Value(filament!B271)</f>
        <v/>
      </c>
      <c r="C271" s="59" t="str">
        <f>Fill_Value(filament!C271)</f>
        <v/>
      </c>
      <c r="D271" s="4"/>
      <c r="E271" s="4"/>
      <c r="F271" s="4"/>
      <c r="G271" s="4"/>
      <c r="H271" s="4"/>
      <c r="I271" s="4"/>
      <c r="J271" s="4"/>
      <c r="K271" s="4"/>
      <c r="L271" s="4"/>
      <c r="M271" s="4"/>
      <c r="N271" s="4"/>
    </row>
    <row r="272" spans="1:14" x14ac:dyDescent="0.25">
      <c r="A272" s="3" t="str">
        <f>Fill_Value(filament!A272)</f>
        <v/>
      </c>
      <c r="B272" s="47" t="str">
        <f>Fill_Value(filament!B272)</f>
        <v/>
      </c>
      <c r="C272" s="47" t="str">
        <f>Fill_Value(filament!C272)</f>
        <v/>
      </c>
      <c r="D272" s="3"/>
      <c r="E272" s="3"/>
      <c r="F272" s="3"/>
      <c r="G272" s="3"/>
      <c r="H272" s="3"/>
      <c r="I272" s="3"/>
      <c r="J272" s="3"/>
      <c r="K272" s="3"/>
      <c r="L272" s="3"/>
      <c r="M272" s="3"/>
      <c r="N272" s="3"/>
    </row>
    <row r="273" spans="1:14" x14ac:dyDescent="0.25">
      <c r="A273" s="4" t="str">
        <f>Fill_Value(filament!A273)</f>
        <v/>
      </c>
      <c r="B273" s="59" t="str">
        <f>Fill_Value(filament!B273)</f>
        <v/>
      </c>
      <c r="C273" s="59" t="str">
        <f>Fill_Value(filament!C273)</f>
        <v/>
      </c>
      <c r="D273" s="4"/>
      <c r="E273" s="4"/>
      <c r="F273" s="4"/>
      <c r="G273" s="4"/>
      <c r="H273" s="4"/>
      <c r="I273" s="4"/>
      <c r="J273" s="4"/>
      <c r="K273" s="4"/>
      <c r="L273" s="4"/>
      <c r="M273" s="4"/>
      <c r="N273" s="4"/>
    </row>
    <row r="274" spans="1:14" x14ac:dyDescent="0.25">
      <c r="A274" s="3" t="str">
        <f>Fill_Value(filament!A274)</f>
        <v/>
      </c>
      <c r="B274" s="47" t="str">
        <f>Fill_Value(filament!B274)</f>
        <v/>
      </c>
      <c r="C274" s="47" t="str">
        <f>Fill_Value(filament!C274)</f>
        <v/>
      </c>
      <c r="D274" s="3"/>
      <c r="E274" s="3"/>
      <c r="F274" s="3"/>
      <c r="G274" s="3"/>
      <c r="H274" s="3"/>
      <c r="I274" s="3"/>
      <c r="J274" s="3"/>
      <c r="K274" s="3"/>
      <c r="L274" s="3"/>
      <c r="M274" s="3"/>
      <c r="N274" s="3"/>
    </row>
    <row r="275" spans="1:14" x14ac:dyDescent="0.25">
      <c r="A275" s="4" t="str">
        <f>Fill_Value(filament!A275)</f>
        <v/>
      </c>
      <c r="B275" s="59" t="str">
        <f>Fill_Value(filament!B275)</f>
        <v/>
      </c>
      <c r="C275" s="59" t="str">
        <f>Fill_Value(filament!C275)</f>
        <v/>
      </c>
      <c r="D275" s="4"/>
      <c r="E275" s="4"/>
      <c r="F275" s="4"/>
      <c r="G275" s="4"/>
      <c r="H275" s="4"/>
      <c r="I275" s="4"/>
      <c r="J275" s="4"/>
      <c r="K275" s="4"/>
      <c r="L275" s="4"/>
      <c r="M275" s="4"/>
      <c r="N275" s="4"/>
    </row>
    <row r="276" spans="1:14" x14ac:dyDescent="0.25">
      <c r="A276" s="3" t="str">
        <f>Fill_Value(filament!A276)</f>
        <v/>
      </c>
      <c r="B276" s="47" t="str">
        <f>Fill_Value(filament!B276)</f>
        <v/>
      </c>
      <c r="C276" s="47" t="str">
        <f>Fill_Value(filament!C276)</f>
        <v/>
      </c>
      <c r="D276" s="3"/>
      <c r="E276" s="3"/>
      <c r="F276" s="3"/>
      <c r="G276" s="3"/>
      <c r="H276" s="3"/>
      <c r="I276" s="3"/>
      <c r="J276" s="3"/>
      <c r="K276" s="3"/>
      <c r="L276" s="3"/>
      <c r="M276" s="3"/>
      <c r="N276" s="3"/>
    </row>
    <row r="277" spans="1:14" x14ac:dyDescent="0.25">
      <c r="A277" s="4" t="str">
        <f>Fill_Value(filament!A277)</f>
        <v/>
      </c>
      <c r="B277" s="59" t="str">
        <f>Fill_Value(filament!B277)</f>
        <v/>
      </c>
      <c r="C277" s="59" t="str">
        <f>Fill_Value(filament!C277)</f>
        <v/>
      </c>
      <c r="D277" s="4"/>
      <c r="E277" s="4"/>
      <c r="F277" s="4"/>
      <c r="G277" s="4"/>
      <c r="H277" s="4"/>
      <c r="I277" s="4"/>
      <c r="J277" s="4"/>
      <c r="K277" s="4"/>
      <c r="L277" s="4"/>
      <c r="M277" s="4"/>
      <c r="N277" s="4"/>
    </row>
    <row r="278" spans="1:14" x14ac:dyDescent="0.25">
      <c r="A278" s="3" t="str">
        <f>Fill_Value(filament!A278)</f>
        <v/>
      </c>
      <c r="B278" s="47" t="str">
        <f>Fill_Value(filament!B278)</f>
        <v/>
      </c>
      <c r="C278" s="47" t="str">
        <f>Fill_Value(filament!C278)</f>
        <v/>
      </c>
      <c r="D278" s="3"/>
      <c r="E278" s="3"/>
      <c r="F278" s="3"/>
      <c r="G278" s="3"/>
      <c r="H278" s="3"/>
      <c r="I278" s="3"/>
      <c r="J278" s="3"/>
      <c r="K278" s="3"/>
      <c r="L278" s="3"/>
      <c r="M278" s="3"/>
      <c r="N278" s="3"/>
    </row>
    <row r="279" spans="1:14" x14ac:dyDescent="0.25">
      <c r="A279" s="4" t="str">
        <f>Fill_Value(filament!A279)</f>
        <v/>
      </c>
      <c r="B279" s="59" t="str">
        <f>Fill_Value(filament!B279)</f>
        <v/>
      </c>
      <c r="C279" s="59" t="str">
        <f>Fill_Value(filament!C279)</f>
        <v/>
      </c>
      <c r="D279" s="4"/>
      <c r="E279" s="4"/>
      <c r="F279" s="4"/>
      <c r="G279" s="4"/>
      <c r="H279" s="4"/>
      <c r="I279" s="4"/>
      <c r="J279" s="4"/>
      <c r="K279" s="4"/>
      <c r="L279" s="4"/>
      <c r="M279" s="4"/>
      <c r="N279" s="4"/>
    </row>
    <row r="280" spans="1:14" x14ac:dyDescent="0.25">
      <c r="A280" s="3" t="str">
        <f>Fill_Value(filament!A280)</f>
        <v/>
      </c>
      <c r="B280" s="47" t="str">
        <f>Fill_Value(filament!B280)</f>
        <v/>
      </c>
      <c r="C280" s="47" t="str">
        <f>Fill_Value(filament!C280)</f>
        <v/>
      </c>
      <c r="D280" s="3"/>
      <c r="E280" s="3"/>
      <c r="F280" s="3"/>
      <c r="G280" s="3"/>
      <c r="H280" s="3"/>
      <c r="I280" s="3"/>
      <c r="J280" s="3"/>
      <c r="K280" s="3"/>
      <c r="L280" s="3"/>
      <c r="M280" s="3"/>
      <c r="N280" s="3"/>
    </row>
    <row r="281" spans="1:14" x14ac:dyDescent="0.25">
      <c r="A281" s="4" t="str">
        <f>Fill_Value(filament!A281)</f>
        <v/>
      </c>
      <c r="B281" s="59" t="str">
        <f>Fill_Value(filament!B281)</f>
        <v/>
      </c>
      <c r="C281" s="59" t="str">
        <f>Fill_Value(filament!C281)</f>
        <v/>
      </c>
      <c r="D281" s="4"/>
      <c r="E281" s="4"/>
      <c r="F281" s="4"/>
      <c r="G281" s="4"/>
      <c r="H281" s="4"/>
      <c r="I281" s="4"/>
      <c r="J281" s="4"/>
      <c r="K281" s="4"/>
      <c r="L281" s="4"/>
      <c r="M281" s="4"/>
      <c r="N281" s="4"/>
    </row>
    <row r="282" spans="1:14" x14ac:dyDescent="0.25">
      <c r="A282" s="3" t="str">
        <f>Fill_Value(filament!A282)</f>
        <v/>
      </c>
      <c r="B282" s="47" t="str">
        <f>Fill_Value(filament!B282)</f>
        <v/>
      </c>
      <c r="C282" s="47" t="str">
        <f>Fill_Value(filament!C282)</f>
        <v/>
      </c>
      <c r="D282" s="3"/>
      <c r="E282" s="3"/>
      <c r="F282" s="3"/>
      <c r="G282" s="3"/>
      <c r="H282" s="3"/>
      <c r="I282" s="3"/>
      <c r="J282" s="3"/>
      <c r="K282" s="3"/>
      <c r="L282" s="3"/>
      <c r="M282" s="3"/>
      <c r="N282" s="3"/>
    </row>
    <row r="283" spans="1:14" x14ac:dyDescent="0.25">
      <c r="A283" s="4" t="str">
        <f>Fill_Value(filament!A283)</f>
        <v/>
      </c>
      <c r="B283" s="59" t="str">
        <f>Fill_Value(filament!B283)</f>
        <v/>
      </c>
      <c r="C283" s="59" t="str">
        <f>Fill_Value(filament!C283)</f>
        <v/>
      </c>
      <c r="D283" s="4"/>
      <c r="E283" s="4"/>
      <c r="F283" s="4"/>
      <c r="G283" s="4"/>
      <c r="H283" s="4"/>
      <c r="I283" s="4"/>
      <c r="J283" s="4"/>
      <c r="K283" s="4"/>
      <c r="L283" s="4"/>
      <c r="M283" s="4"/>
      <c r="N283" s="4"/>
    </row>
    <row r="284" spans="1:14" x14ac:dyDescent="0.25">
      <c r="A284" s="3" t="str">
        <f>Fill_Value(filament!A284)</f>
        <v/>
      </c>
      <c r="B284" s="47" t="str">
        <f>Fill_Value(filament!B284)</f>
        <v/>
      </c>
      <c r="C284" s="47" t="str">
        <f>Fill_Value(filament!C284)</f>
        <v/>
      </c>
      <c r="D284" s="3"/>
      <c r="E284" s="3"/>
      <c r="F284" s="3"/>
      <c r="G284" s="3"/>
      <c r="H284" s="3"/>
      <c r="I284" s="3"/>
      <c r="J284" s="3"/>
      <c r="K284" s="3"/>
      <c r="L284" s="3"/>
      <c r="M284" s="3"/>
      <c r="N284" s="3"/>
    </row>
    <row r="285" spans="1:14" x14ac:dyDescent="0.25">
      <c r="A285" s="4" t="str">
        <f>Fill_Value(filament!A285)</f>
        <v/>
      </c>
      <c r="B285" s="59" t="str">
        <f>Fill_Value(filament!B285)</f>
        <v/>
      </c>
      <c r="C285" s="59" t="str">
        <f>Fill_Value(filament!C285)</f>
        <v/>
      </c>
      <c r="D285" s="4"/>
      <c r="E285" s="4"/>
      <c r="F285" s="4"/>
      <c r="G285" s="4"/>
      <c r="H285" s="4"/>
      <c r="I285" s="4"/>
      <c r="J285" s="4"/>
      <c r="K285" s="4"/>
      <c r="L285" s="4"/>
      <c r="M285" s="4"/>
      <c r="N285" s="4"/>
    </row>
    <row r="286" spans="1:14" x14ac:dyDescent="0.25">
      <c r="A286" s="3" t="str">
        <f>Fill_Value(filament!A286)</f>
        <v/>
      </c>
      <c r="B286" s="47" t="str">
        <f>Fill_Value(filament!B286)</f>
        <v/>
      </c>
      <c r="C286" s="47" t="str">
        <f>Fill_Value(filament!C286)</f>
        <v/>
      </c>
      <c r="D286" s="3"/>
      <c r="E286" s="3"/>
      <c r="F286" s="3"/>
      <c r="G286" s="3"/>
      <c r="H286" s="3"/>
      <c r="I286" s="3"/>
      <c r="J286" s="3"/>
      <c r="K286" s="3"/>
      <c r="L286" s="3"/>
      <c r="M286" s="3"/>
      <c r="N286" s="3"/>
    </row>
    <row r="287" spans="1:14" x14ac:dyDescent="0.25">
      <c r="A287" s="4" t="str">
        <f>Fill_Value(filament!A287)</f>
        <v/>
      </c>
      <c r="B287" s="59" t="str">
        <f>Fill_Value(filament!B287)</f>
        <v/>
      </c>
      <c r="C287" s="59" t="str">
        <f>Fill_Value(filament!C287)</f>
        <v/>
      </c>
      <c r="D287" s="4"/>
      <c r="E287" s="4"/>
      <c r="F287" s="4"/>
      <c r="G287" s="4"/>
      <c r="H287" s="4"/>
      <c r="I287" s="4"/>
      <c r="J287" s="4"/>
      <c r="K287" s="4"/>
      <c r="L287" s="4"/>
      <c r="M287" s="4"/>
      <c r="N287" s="4"/>
    </row>
    <row r="288" spans="1:14" x14ac:dyDescent="0.25">
      <c r="A288" s="3" t="str">
        <f>Fill_Value(filament!A288)</f>
        <v/>
      </c>
      <c r="B288" s="47" t="str">
        <f>Fill_Value(filament!B288)</f>
        <v/>
      </c>
      <c r="C288" s="47" t="str">
        <f>Fill_Value(filament!C288)</f>
        <v/>
      </c>
      <c r="D288" s="3"/>
      <c r="E288" s="3"/>
      <c r="F288" s="3"/>
      <c r="G288" s="3"/>
      <c r="H288" s="3"/>
      <c r="I288" s="3"/>
      <c r="J288" s="3"/>
      <c r="K288" s="3"/>
      <c r="L288" s="3"/>
      <c r="M288" s="3"/>
      <c r="N288" s="3"/>
    </row>
    <row r="289" spans="1:14" x14ac:dyDescent="0.25">
      <c r="A289" s="4" t="str">
        <f>Fill_Value(filament!A289)</f>
        <v/>
      </c>
      <c r="B289" s="59" t="str">
        <f>Fill_Value(filament!B289)</f>
        <v/>
      </c>
      <c r="C289" s="59" t="str">
        <f>Fill_Value(filament!C289)</f>
        <v/>
      </c>
      <c r="D289" s="4"/>
      <c r="E289" s="4"/>
      <c r="F289" s="4"/>
      <c r="G289" s="4"/>
      <c r="H289" s="4"/>
      <c r="I289" s="4"/>
      <c r="J289" s="4"/>
      <c r="K289" s="4"/>
      <c r="L289" s="4"/>
      <c r="M289" s="4"/>
      <c r="N289" s="4"/>
    </row>
    <row r="290" spans="1:14" x14ac:dyDescent="0.25">
      <c r="A290" s="3" t="str">
        <f>Fill_Value(filament!A290)</f>
        <v/>
      </c>
      <c r="B290" s="47" t="str">
        <f>Fill_Value(filament!B290)</f>
        <v/>
      </c>
      <c r="C290" s="47" t="str">
        <f>Fill_Value(filament!C290)</f>
        <v/>
      </c>
      <c r="D290" s="3"/>
      <c r="E290" s="3"/>
      <c r="F290" s="3"/>
      <c r="G290" s="3"/>
      <c r="H290" s="3"/>
      <c r="I290" s="3"/>
      <c r="J290" s="3"/>
      <c r="K290" s="3"/>
      <c r="L290" s="3"/>
      <c r="M290" s="3"/>
      <c r="N290" s="3"/>
    </row>
    <row r="291" spans="1:14" x14ac:dyDescent="0.25">
      <c r="A291" s="4" t="str">
        <f>Fill_Value(filament!A291)</f>
        <v/>
      </c>
      <c r="B291" s="59" t="str">
        <f>Fill_Value(filament!B291)</f>
        <v/>
      </c>
      <c r="C291" s="59" t="str">
        <f>Fill_Value(filament!C291)</f>
        <v/>
      </c>
      <c r="D291" s="4"/>
      <c r="E291" s="4"/>
      <c r="F291" s="4"/>
      <c r="G291" s="4"/>
      <c r="H291" s="4"/>
      <c r="I291" s="4"/>
      <c r="J291" s="4"/>
      <c r="K291" s="4"/>
      <c r="L291" s="4"/>
      <c r="M291" s="4"/>
      <c r="N291" s="4"/>
    </row>
    <row r="292" spans="1:14" x14ac:dyDescent="0.25">
      <c r="A292" s="3" t="str">
        <f>Fill_Value(filament!A292)</f>
        <v/>
      </c>
      <c r="B292" s="47" t="str">
        <f>Fill_Value(filament!B292)</f>
        <v/>
      </c>
      <c r="C292" s="47" t="str">
        <f>Fill_Value(filament!C292)</f>
        <v/>
      </c>
      <c r="D292" s="3"/>
      <c r="E292" s="3"/>
      <c r="F292" s="3"/>
      <c r="G292" s="3"/>
      <c r="H292" s="3"/>
      <c r="I292" s="3"/>
      <c r="J292" s="3"/>
      <c r="K292" s="3"/>
      <c r="L292" s="3"/>
      <c r="M292" s="3"/>
      <c r="N292" s="3"/>
    </row>
    <row r="293" spans="1:14" x14ac:dyDescent="0.25">
      <c r="A293" s="4" t="str">
        <f>Fill_Value(filament!A293)</f>
        <v/>
      </c>
      <c r="B293" s="59" t="str">
        <f>Fill_Value(filament!B293)</f>
        <v/>
      </c>
      <c r="C293" s="59" t="str">
        <f>Fill_Value(filament!C293)</f>
        <v/>
      </c>
      <c r="D293" s="4"/>
      <c r="E293" s="4"/>
      <c r="F293" s="4"/>
      <c r="G293" s="4"/>
      <c r="H293" s="4"/>
      <c r="I293" s="4"/>
      <c r="J293" s="4"/>
      <c r="K293" s="4"/>
      <c r="L293" s="4"/>
      <c r="M293" s="4"/>
      <c r="N293" s="4"/>
    </row>
    <row r="294" spans="1:14" x14ac:dyDescent="0.25">
      <c r="A294" s="3" t="str">
        <f>Fill_Value(filament!A294)</f>
        <v/>
      </c>
      <c r="B294" s="47" t="str">
        <f>Fill_Value(filament!B294)</f>
        <v/>
      </c>
      <c r="C294" s="47" t="str">
        <f>Fill_Value(filament!C294)</f>
        <v/>
      </c>
      <c r="D294" s="3"/>
      <c r="E294" s="3"/>
      <c r="F294" s="3"/>
      <c r="G294" s="3"/>
      <c r="H294" s="3"/>
      <c r="I294" s="3"/>
      <c r="J294" s="3"/>
      <c r="K294" s="3"/>
      <c r="L294" s="3"/>
      <c r="M294" s="3"/>
      <c r="N294" s="3"/>
    </row>
    <row r="295" spans="1:14" x14ac:dyDescent="0.25">
      <c r="A295" s="4" t="str">
        <f>Fill_Value(filament!A295)</f>
        <v/>
      </c>
      <c r="B295" s="59" t="str">
        <f>Fill_Value(filament!B295)</f>
        <v/>
      </c>
      <c r="C295" s="59" t="str">
        <f>Fill_Value(filament!C295)</f>
        <v/>
      </c>
      <c r="D295" s="4"/>
      <c r="E295" s="4"/>
      <c r="F295" s="4"/>
      <c r="G295" s="4"/>
      <c r="H295" s="4"/>
      <c r="I295" s="4"/>
      <c r="J295" s="4"/>
      <c r="K295" s="4"/>
      <c r="L295" s="4"/>
      <c r="M295" s="4"/>
      <c r="N295" s="4"/>
    </row>
    <row r="296" spans="1:14" x14ac:dyDescent="0.25">
      <c r="A296" s="3" t="str">
        <f>Fill_Value(filament!A296)</f>
        <v/>
      </c>
      <c r="B296" s="47" t="str">
        <f>Fill_Value(filament!B296)</f>
        <v/>
      </c>
      <c r="C296" s="47" t="str">
        <f>Fill_Value(filament!C296)</f>
        <v/>
      </c>
      <c r="D296" s="3"/>
      <c r="E296" s="3"/>
      <c r="F296" s="3"/>
      <c r="G296" s="3"/>
      <c r="H296" s="3"/>
      <c r="I296" s="3"/>
      <c r="J296" s="3"/>
      <c r="K296" s="3"/>
      <c r="L296" s="3"/>
      <c r="M296" s="3"/>
      <c r="N296" s="3"/>
    </row>
    <row r="297" spans="1:14" x14ac:dyDescent="0.25">
      <c r="A297" s="4" t="str">
        <f>Fill_Value(filament!A297)</f>
        <v/>
      </c>
      <c r="B297" s="59" t="str">
        <f>Fill_Value(filament!B297)</f>
        <v/>
      </c>
      <c r="C297" s="59" t="str">
        <f>Fill_Value(filament!C297)</f>
        <v/>
      </c>
      <c r="D297" s="4"/>
      <c r="E297" s="4"/>
      <c r="F297" s="4"/>
      <c r="G297" s="4"/>
      <c r="H297" s="4"/>
      <c r="I297" s="4"/>
      <c r="J297" s="4"/>
      <c r="K297" s="4"/>
      <c r="L297" s="4"/>
      <c r="M297" s="4"/>
      <c r="N297" s="4"/>
    </row>
    <row r="298" spans="1:14" x14ac:dyDescent="0.25">
      <c r="A298" s="3" t="str">
        <f>Fill_Value(filament!A298)</f>
        <v/>
      </c>
      <c r="B298" s="47" t="str">
        <f>Fill_Value(filament!B298)</f>
        <v/>
      </c>
      <c r="C298" s="47" t="str">
        <f>Fill_Value(filament!C298)</f>
        <v/>
      </c>
      <c r="D298" s="3"/>
      <c r="E298" s="3"/>
      <c r="F298" s="3"/>
      <c r="G298" s="3"/>
      <c r="H298" s="3"/>
      <c r="I298" s="3"/>
      <c r="J298" s="3"/>
      <c r="K298" s="3"/>
      <c r="L298" s="3"/>
      <c r="M298" s="3"/>
      <c r="N298" s="3"/>
    </row>
    <row r="299" spans="1:14" x14ac:dyDescent="0.25">
      <c r="A299" s="4" t="str">
        <f>Fill_Value(filament!A299)</f>
        <v/>
      </c>
      <c r="B299" s="59" t="str">
        <f>Fill_Value(filament!B299)</f>
        <v/>
      </c>
      <c r="C299" s="59" t="str">
        <f>Fill_Value(filament!C299)</f>
        <v/>
      </c>
      <c r="D299" s="4"/>
      <c r="E299" s="4"/>
      <c r="F299" s="4"/>
      <c r="G299" s="4"/>
      <c r="H299" s="4"/>
      <c r="I299" s="4"/>
      <c r="J299" s="4"/>
      <c r="K299" s="4"/>
      <c r="L299" s="4"/>
      <c r="M299" s="4"/>
      <c r="N299" s="4"/>
    </row>
    <row r="300" spans="1:14" x14ac:dyDescent="0.25">
      <c r="A300" s="3" t="str">
        <f>Fill_Value(filament!A300)</f>
        <v/>
      </c>
      <c r="B300" s="47" t="str">
        <f>Fill_Value(filament!B300)</f>
        <v/>
      </c>
      <c r="C300" s="47" t="str">
        <f>Fill_Value(filament!C300)</f>
        <v/>
      </c>
      <c r="D300" s="3"/>
      <c r="E300" s="3"/>
      <c r="F300" s="3"/>
      <c r="G300" s="3"/>
      <c r="H300" s="3"/>
      <c r="I300" s="3"/>
      <c r="J300" s="3"/>
      <c r="K300" s="3"/>
      <c r="L300" s="3"/>
      <c r="M300" s="3"/>
      <c r="N300" s="3"/>
    </row>
    <row r="301" spans="1:14" x14ac:dyDescent="0.25">
      <c r="A301" s="4" t="str">
        <f>Fill_Value(filament!A301)</f>
        <v/>
      </c>
      <c r="B301" s="59" t="str">
        <f>Fill_Value(filament!B301)</f>
        <v/>
      </c>
      <c r="C301" s="59" t="str">
        <f>Fill_Value(filament!C301)</f>
        <v/>
      </c>
      <c r="D301" s="4"/>
      <c r="E301" s="4"/>
      <c r="F301" s="4"/>
      <c r="G301" s="4"/>
      <c r="H301" s="4"/>
      <c r="I301" s="4"/>
      <c r="J301" s="4"/>
      <c r="K301" s="4"/>
      <c r="L301" s="4"/>
      <c r="M301" s="4"/>
      <c r="N301" s="4"/>
    </row>
    <row r="302" spans="1:14" x14ac:dyDescent="0.25">
      <c r="A302" s="3" t="str">
        <f>Fill_Value(filament!A302)</f>
        <v/>
      </c>
      <c r="B302" s="47" t="str">
        <f>Fill_Value(filament!B302)</f>
        <v/>
      </c>
      <c r="C302" s="47" t="str">
        <f>Fill_Value(filament!C302)</f>
        <v/>
      </c>
      <c r="D302" s="3"/>
      <c r="E302" s="3"/>
      <c r="F302" s="3"/>
      <c r="G302" s="3"/>
      <c r="H302" s="3"/>
      <c r="I302" s="3"/>
      <c r="J302" s="3"/>
      <c r="K302" s="3"/>
      <c r="L302" s="3"/>
      <c r="M302" s="3"/>
      <c r="N302" s="3"/>
    </row>
    <row r="303" spans="1:14" x14ac:dyDescent="0.25">
      <c r="A303" s="4" t="str">
        <f>Fill_Value(filament!A303)</f>
        <v/>
      </c>
      <c r="B303" s="59" t="str">
        <f>Fill_Value(filament!B303)</f>
        <v/>
      </c>
      <c r="C303" s="59" t="str">
        <f>Fill_Value(filament!C303)</f>
        <v/>
      </c>
      <c r="D303" s="4"/>
      <c r="E303" s="4"/>
      <c r="F303" s="4"/>
      <c r="G303" s="4"/>
      <c r="H303" s="4"/>
      <c r="I303" s="4"/>
      <c r="J303" s="4"/>
      <c r="K303" s="4"/>
      <c r="L303" s="4"/>
      <c r="M303" s="4"/>
      <c r="N303" s="4"/>
    </row>
    <row r="304" spans="1:14" x14ac:dyDescent="0.25">
      <c r="A304" s="3" t="str">
        <f>Fill_Value(filament!A304)</f>
        <v/>
      </c>
      <c r="B304" s="47" t="str">
        <f>Fill_Value(filament!B304)</f>
        <v/>
      </c>
      <c r="C304" s="47" t="str">
        <f>Fill_Value(filament!C304)</f>
        <v/>
      </c>
      <c r="D304" s="3"/>
      <c r="E304" s="3"/>
      <c r="F304" s="3"/>
      <c r="G304" s="3"/>
      <c r="H304" s="3"/>
      <c r="I304" s="3"/>
      <c r="J304" s="3"/>
      <c r="K304" s="3"/>
      <c r="L304" s="3"/>
      <c r="M304" s="3"/>
      <c r="N304" s="3"/>
    </row>
    <row r="305" spans="1:14" x14ac:dyDescent="0.25">
      <c r="A305" s="4" t="str">
        <f>Fill_Value(filament!A305)</f>
        <v/>
      </c>
      <c r="B305" s="59" t="str">
        <f>Fill_Value(filament!B305)</f>
        <v/>
      </c>
      <c r="C305" s="59" t="str">
        <f>Fill_Value(filament!C305)</f>
        <v/>
      </c>
      <c r="D305" s="4"/>
      <c r="E305" s="4"/>
      <c r="F305" s="4"/>
      <c r="G305" s="4"/>
      <c r="H305" s="4"/>
      <c r="I305" s="4"/>
      <c r="J305" s="4"/>
      <c r="K305" s="4"/>
      <c r="L305" s="4"/>
      <c r="M305" s="4"/>
      <c r="N305" s="4"/>
    </row>
    <row r="306" spans="1:14" x14ac:dyDescent="0.25">
      <c r="A306" s="3" t="str">
        <f>Fill_Value(filament!A306)</f>
        <v/>
      </c>
      <c r="B306" s="47" t="str">
        <f>Fill_Value(filament!B306)</f>
        <v/>
      </c>
      <c r="C306" s="47" t="str">
        <f>Fill_Value(filament!C306)</f>
        <v/>
      </c>
      <c r="D306" s="3"/>
      <c r="E306" s="3"/>
      <c r="F306" s="3"/>
      <c r="G306" s="3"/>
      <c r="H306" s="3"/>
      <c r="I306" s="3"/>
      <c r="J306" s="3"/>
      <c r="K306" s="3"/>
      <c r="L306" s="3"/>
      <c r="M306" s="3"/>
      <c r="N306" s="3"/>
    </row>
    <row r="307" spans="1:14" x14ac:dyDescent="0.25">
      <c r="A307" s="4" t="str">
        <f>Fill_Value(filament!A307)</f>
        <v/>
      </c>
      <c r="B307" s="59" t="str">
        <f>Fill_Value(filament!B307)</f>
        <v/>
      </c>
      <c r="C307" s="59" t="str">
        <f>Fill_Value(filament!C307)</f>
        <v/>
      </c>
      <c r="D307" s="4"/>
      <c r="E307" s="4"/>
      <c r="F307" s="4"/>
      <c r="G307" s="4"/>
      <c r="H307" s="4"/>
      <c r="I307" s="4"/>
      <c r="J307" s="4"/>
      <c r="K307" s="4"/>
      <c r="L307" s="4"/>
      <c r="M307" s="4"/>
      <c r="N307" s="4"/>
    </row>
    <row r="308" spans="1:14" x14ac:dyDescent="0.25">
      <c r="A308" s="3" t="str">
        <f>Fill_Value(filament!A308)</f>
        <v/>
      </c>
      <c r="B308" s="47" t="str">
        <f>Fill_Value(filament!B308)</f>
        <v/>
      </c>
      <c r="C308" s="47" t="str">
        <f>Fill_Value(filament!C308)</f>
        <v/>
      </c>
      <c r="D308" s="3"/>
      <c r="E308" s="3"/>
      <c r="F308" s="3"/>
      <c r="G308" s="3"/>
      <c r="H308" s="3"/>
      <c r="I308" s="3"/>
      <c r="J308" s="3"/>
      <c r="K308" s="3"/>
      <c r="L308" s="3"/>
      <c r="M308" s="3"/>
      <c r="N308" s="3"/>
    </row>
    <row r="309" spans="1:14" x14ac:dyDescent="0.25">
      <c r="A309" s="4" t="str">
        <f>Fill_Value(filament!A309)</f>
        <v/>
      </c>
      <c r="B309" s="59" t="str">
        <f>Fill_Value(filament!B309)</f>
        <v/>
      </c>
      <c r="C309" s="59" t="str">
        <f>Fill_Value(filament!C309)</f>
        <v/>
      </c>
      <c r="D309" s="4"/>
      <c r="E309" s="4"/>
      <c r="F309" s="4"/>
      <c r="G309" s="4"/>
      <c r="H309" s="4"/>
      <c r="I309" s="4"/>
      <c r="J309" s="4"/>
      <c r="K309" s="4"/>
      <c r="L309" s="4"/>
      <c r="M309" s="4"/>
      <c r="N309" s="4"/>
    </row>
    <row r="310" spans="1:14" x14ac:dyDescent="0.25">
      <c r="A310" s="3" t="str">
        <f>Fill_Value(filament!A310)</f>
        <v/>
      </c>
      <c r="B310" s="47" t="str">
        <f>Fill_Value(filament!B310)</f>
        <v/>
      </c>
      <c r="C310" s="47" t="str">
        <f>Fill_Value(filament!C310)</f>
        <v/>
      </c>
      <c r="D310" s="3"/>
      <c r="E310" s="3"/>
      <c r="F310" s="3"/>
      <c r="G310" s="3"/>
      <c r="H310" s="3"/>
      <c r="I310" s="3"/>
      <c r="J310" s="3"/>
      <c r="K310" s="3"/>
      <c r="L310" s="3"/>
      <c r="M310" s="3"/>
      <c r="N310" s="3"/>
    </row>
    <row r="311" spans="1:14" x14ac:dyDescent="0.25">
      <c r="A311" s="4" t="str">
        <f>Fill_Value(filament!A311)</f>
        <v/>
      </c>
      <c r="B311" s="59" t="str">
        <f>Fill_Value(filament!B311)</f>
        <v/>
      </c>
      <c r="C311" s="59" t="str">
        <f>Fill_Value(filament!C311)</f>
        <v/>
      </c>
      <c r="D311" s="4"/>
      <c r="E311" s="4"/>
      <c r="F311" s="4"/>
      <c r="G311" s="4"/>
      <c r="H311" s="4"/>
      <c r="I311" s="4"/>
      <c r="J311" s="4"/>
      <c r="K311" s="4"/>
      <c r="L311" s="4"/>
      <c r="M311" s="4"/>
      <c r="N311" s="4"/>
    </row>
    <row r="312" spans="1:14" x14ac:dyDescent="0.25">
      <c r="A312" s="3" t="str">
        <f>Fill_Value(filament!A312)</f>
        <v/>
      </c>
      <c r="B312" s="47" t="str">
        <f>Fill_Value(filament!B312)</f>
        <v/>
      </c>
      <c r="C312" s="47" t="str">
        <f>Fill_Value(filament!C312)</f>
        <v/>
      </c>
      <c r="D312" s="3"/>
      <c r="E312" s="3"/>
      <c r="F312" s="3"/>
      <c r="G312" s="3"/>
      <c r="H312" s="3"/>
      <c r="I312" s="3"/>
      <c r="J312" s="3"/>
      <c r="K312" s="3"/>
      <c r="L312" s="3"/>
      <c r="M312" s="3"/>
      <c r="N312" s="3"/>
    </row>
    <row r="313" spans="1:14" x14ac:dyDescent="0.25">
      <c r="A313" s="4" t="str">
        <f>Fill_Value(filament!A313)</f>
        <v/>
      </c>
      <c r="B313" s="59" t="str">
        <f>Fill_Value(filament!B313)</f>
        <v/>
      </c>
      <c r="C313" s="59" t="str">
        <f>Fill_Value(filament!C313)</f>
        <v/>
      </c>
      <c r="D313" s="4"/>
      <c r="E313" s="4"/>
      <c r="F313" s="4"/>
      <c r="G313" s="4"/>
      <c r="H313" s="4"/>
      <c r="I313" s="4"/>
      <c r="J313" s="4"/>
      <c r="K313" s="4"/>
      <c r="L313" s="4"/>
      <c r="M313" s="4"/>
      <c r="N313" s="4"/>
    </row>
    <row r="314" spans="1:14" x14ac:dyDescent="0.25">
      <c r="A314" s="3" t="str">
        <f>Fill_Value(filament!A314)</f>
        <v/>
      </c>
      <c r="B314" s="47" t="str">
        <f>Fill_Value(filament!B314)</f>
        <v/>
      </c>
      <c r="C314" s="47" t="str">
        <f>Fill_Value(filament!C314)</f>
        <v/>
      </c>
      <c r="D314" s="3"/>
      <c r="E314" s="3"/>
      <c r="F314" s="3"/>
      <c r="G314" s="3"/>
      <c r="H314" s="3"/>
      <c r="I314" s="3"/>
      <c r="J314" s="3"/>
      <c r="K314" s="3"/>
      <c r="L314" s="3"/>
      <c r="M314" s="3"/>
      <c r="N314" s="3"/>
    </row>
    <row r="315" spans="1:14" x14ac:dyDescent="0.25">
      <c r="A315" s="4" t="str">
        <f>Fill_Value(filament!A315)</f>
        <v/>
      </c>
      <c r="B315" s="59" t="str">
        <f>Fill_Value(filament!B315)</f>
        <v/>
      </c>
      <c r="C315" s="59" t="str">
        <f>Fill_Value(filament!C315)</f>
        <v/>
      </c>
      <c r="D315" s="4"/>
      <c r="E315" s="4"/>
      <c r="F315" s="4"/>
      <c r="G315" s="4"/>
      <c r="H315" s="4"/>
      <c r="I315" s="4"/>
      <c r="J315" s="4"/>
      <c r="K315" s="4"/>
      <c r="L315" s="4"/>
      <c r="M315" s="4"/>
      <c r="N315" s="4"/>
    </row>
    <row r="316" spans="1:14" x14ac:dyDescent="0.25">
      <c r="A316" s="3" t="str">
        <f>Fill_Value(filament!A316)</f>
        <v/>
      </c>
      <c r="B316" s="47" t="str">
        <f>Fill_Value(filament!B316)</f>
        <v/>
      </c>
      <c r="C316" s="47" t="str">
        <f>Fill_Value(filament!C316)</f>
        <v/>
      </c>
      <c r="D316" s="3"/>
      <c r="E316" s="3"/>
      <c r="F316" s="3"/>
      <c r="G316" s="3"/>
      <c r="H316" s="3"/>
      <c r="I316" s="3"/>
      <c r="J316" s="3"/>
      <c r="K316" s="3"/>
      <c r="L316" s="3"/>
      <c r="M316" s="3"/>
      <c r="N316" s="3"/>
    </row>
    <row r="317" spans="1:14" x14ac:dyDescent="0.25">
      <c r="A317" s="4" t="str">
        <f>Fill_Value(filament!A317)</f>
        <v/>
      </c>
      <c r="B317" s="59" t="str">
        <f>Fill_Value(filament!B317)</f>
        <v/>
      </c>
      <c r="C317" s="59" t="str">
        <f>Fill_Value(filament!C317)</f>
        <v/>
      </c>
      <c r="D317" s="4"/>
      <c r="E317" s="4"/>
      <c r="F317" s="4"/>
      <c r="G317" s="4"/>
      <c r="H317" s="4"/>
      <c r="I317" s="4"/>
      <c r="J317" s="4"/>
      <c r="K317" s="4"/>
      <c r="L317" s="4"/>
      <c r="M317" s="4"/>
      <c r="N317" s="4"/>
    </row>
    <row r="318" spans="1:14" x14ac:dyDescent="0.25">
      <c r="A318" s="3" t="str">
        <f>Fill_Value(filament!A318)</f>
        <v/>
      </c>
      <c r="B318" s="47" t="str">
        <f>Fill_Value(filament!B318)</f>
        <v/>
      </c>
      <c r="C318" s="47" t="str">
        <f>Fill_Value(filament!C318)</f>
        <v/>
      </c>
      <c r="D318" s="3"/>
      <c r="E318" s="3"/>
      <c r="F318" s="3"/>
      <c r="G318" s="3"/>
      <c r="H318" s="3"/>
      <c r="I318" s="3"/>
      <c r="J318" s="3"/>
      <c r="K318" s="3"/>
      <c r="L318" s="3"/>
      <c r="M318" s="3"/>
      <c r="N318" s="3"/>
    </row>
    <row r="319" spans="1:14" x14ac:dyDescent="0.25">
      <c r="A319" s="4" t="str">
        <f>Fill_Value(filament!A319)</f>
        <v/>
      </c>
      <c r="B319" s="59" t="str">
        <f>Fill_Value(filament!B319)</f>
        <v/>
      </c>
      <c r="C319" s="59" t="str">
        <f>Fill_Value(filament!C319)</f>
        <v/>
      </c>
      <c r="D319" s="4"/>
      <c r="E319" s="4"/>
      <c r="F319" s="4"/>
      <c r="G319" s="4"/>
      <c r="H319" s="4"/>
      <c r="I319" s="4"/>
      <c r="J319" s="4"/>
      <c r="K319" s="4"/>
      <c r="L319" s="4"/>
      <c r="M319" s="4"/>
      <c r="N319" s="4"/>
    </row>
    <row r="320" spans="1:14" x14ac:dyDescent="0.25">
      <c r="A320" s="3" t="str">
        <f>Fill_Value(filament!A320)</f>
        <v/>
      </c>
      <c r="B320" s="47" t="str">
        <f>Fill_Value(filament!B320)</f>
        <v/>
      </c>
      <c r="C320" s="47" t="str">
        <f>Fill_Value(filament!C320)</f>
        <v/>
      </c>
      <c r="D320" s="3"/>
      <c r="E320" s="3"/>
      <c r="F320" s="3"/>
      <c r="G320" s="3"/>
      <c r="H320" s="3"/>
      <c r="I320" s="3"/>
      <c r="J320" s="3"/>
      <c r="K320" s="3"/>
      <c r="L320" s="3"/>
      <c r="M320" s="3"/>
      <c r="N320" s="3"/>
    </row>
    <row r="321" spans="1:14" x14ac:dyDescent="0.25">
      <c r="A321" s="4" t="str">
        <f>Fill_Value(filament!A321)</f>
        <v/>
      </c>
      <c r="B321" s="59" t="str">
        <f>Fill_Value(filament!B321)</f>
        <v/>
      </c>
      <c r="C321" s="59" t="str">
        <f>Fill_Value(filament!C321)</f>
        <v/>
      </c>
      <c r="D321" s="4"/>
      <c r="E321" s="4"/>
      <c r="F321" s="4"/>
      <c r="G321" s="4"/>
      <c r="H321" s="4"/>
      <c r="I321" s="4"/>
      <c r="J321" s="4"/>
      <c r="K321" s="4"/>
      <c r="L321" s="4"/>
      <c r="M321" s="4"/>
      <c r="N321" s="4"/>
    </row>
    <row r="322" spans="1:14" x14ac:dyDescent="0.25">
      <c r="A322" s="3" t="str">
        <f>Fill_Value(filament!A322)</f>
        <v/>
      </c>
      <c r="B322" s="47" t="str">
        <f>Fill_Value(filament!B322)</f>
        <v/>
      </c>
      <c r="C322" s="47" t="str">
        <f>Fill_Value(filament!C322)</f>
        <v/>
      </c>
      <c r="D322" s="3"/>
      <c r="E322" s="3"/>
      <c r="F322" s="3"/>
      <c r="G322" s="3"/>
      <c r="H322" s="3"/>
      <c r="I322" s="3"/>
      <c r="J322" s="3"/>
      <c r="K322" s="3"/>
      <c r="L322" s="3"/>
      <c r="M322" s="3"/>
      <c r="N322" s="3"/>
    </row>
    <row r="323" spans="1:14" x14ac:dyDescent="0.25">
      <c r="A323" s="4" t="str">
        <f>Fill_Value(filament!A323)</f>
        <v/>
      </c>
      <c r="B323" s="59" t="str">
        <f>Fill_Value(filament!B323)</f>
        <v/>
      </c>
      <c r="C323" s="59" t="str">
        <f>Fill_Value(filament!C323)</f>
        <v/>
      </c>
      <c r="D323" s="4"/>
      <c r="E323" s="4"/>
      <c r="F323" s="4"/>
      <c r="G323" s="4"/>
      <c r="H323" s="4"/>
      <c r="I323" s="4"/>
      <c r="J323" s="4"/>
      <c r="K323" s="4"/>
      <c r="L323" s="4"/>
      <c r="M323" s="4"/>
      <c r="N323" s="4"/>
    </row>
    <row r="324" spans="1:14" x14ac:dyDescent="0.25">
      <c r="A324" s="3" t="str">
        <f>Fill_Value(filament!A324)</f>
        <v/>
      </c>
      <c r="B324" s="47" t="str">
        <f>Fill_Value(filament!B324)</f>
        <v/>
      </c>
      <c r="C324" s="47" t="str">
        <f>Fill_Value(filament!C324)</f>
        <v/>
      </c>
      <c r="D324" s="3"/>
      <c r="E324" s="3"/>
      <c r="F324" s="3"/>
      <c r="G324" s="3"/>
      <c r="H324" s="3"/>
      <c r="I324" s="3"/>
      <c r="J324" s="3"/>
      <c r="K324" s="3"/>
      <c r="L324" s="3"/>
      <c r="M324" s="3"/>
      <c r="N324" s="3"/>
    </row>
    <row r="325" spans="1:14" x14ac:dyDescent="0.25">
      <c r="A325" s="4" t="str">
        <f>Fill_Value(filament!A325)</f>
        <v/>
      </c>
      <c r="B325" s="59" t="str">
        <f>Fill_Value(filament!B325)</f>
        <v/>
      </c>
      <c r="C325" s="59" t="str">
        <f>Fill_Value(filament!C325)</f>
        <v/>
      </c>
      <c r="D325" s="4"/>
      <c r="E325" s="4"/>
      <c r="F325" s="4"/>
      <c r="G325" s="4"/>
      <c r="H325" s="4"/>
      <c r="I325" s="4"/>
      <c r="J325" s="4"/>
      <c r="K325" s="4"/>
      <c r="L325" s="4"/>
      <c r="M325" s="4"/>
      <c r="N325" s="4"/>
    </row>
    <row r="326" spans="1:14" x14ac:dyDescent="0.25">
      <c r="A326" s="3" t="str">
        <f>Fill_Value(filament!A326)</f>
        <v/>
      </c>
      <c r="B326" s="47" t="str">
        <f>Fill_Value(filament!B326)</f>
        <v/>
      </c>
      <c r="C326" s="47" t="str">
        <f>Fill_Value(filament!C326)</f>
        <v/>
      </c>
      <c r="D326" s="3"/>
      <c r="E326" s="3"/>
      <c r="F326" s="3"/>
      <c r="G326" s="3"/>
      <c r="H326" s="3"/>
      <c r="I326" s="3"/>
      <c r="J326" s="3"/>
      <c r="K326" s="3"/>
      <c r="L326" s="3"/>
      <c r="M326" s="3"/>
      <c r="N326" s="3"/>
    </row>
    <row r="327" spans="1:14" x14ac:dyDescent="0.25">
      <c r="A327" s="4" t="str">
        <f>Fill_Value(filament!A327)</f>
        <v/>
      </c>
      <c r="B327" s="59" t="str">
        <f>Fill_Value(filament!B327)</f>
        <v/>
      </c>
      <c r="C327" s="59" t="str">
        <f>Fill_Value(filament!C327)</f>
        <v/>
      </c>
      <c r="D327" s="4"/>
      <c r="E327" s="4"/>
      <c r="F327" s="4"/>
      <c r="G327" s="4"/>
      <c r="H327" s="4"/>
      <c r="I327" s="4"/>
      <c r="J327" s="4"/>
      <c r="K327" s="4"/>
      <c r="L327" s="4"/>
      <c r="M327" s="4"/>
      <c r="N327" s="4"/>
    </row>
    <row r="328" spans="1:14" x14ac:dyDescent="0.25">
      <c r="A328" s="3" t="str">
        <f>Fill_Value(filament!A328)</f>
        <v/>
      </c>
      <c r="B328" s="47" t="str">
        <f>Fill_Value(filament!B328)</f>
        <v/>
      </c>
      <c r="C328" s="47" t="str">
        <f>Fill_Value(filament!C328)</f>
        <v/>
      </c>
      <c r="D328" s="3"/>
      <c r="E328" s="3"/>
      <c r="F328" s="3"/>
      <c r="G328" s="3"/>
      <c r="H328" s="3"/>
      <c r="I328" s="3"/>
      <c r="J328" s="3"/>
      <c r="K328" s="3"/>
      <c r="L328" s="3"/>
      <c r="M328" s="3"/>
      <c r="N328" s="3"/>
    </row>
    <row r="329" spans="1:14" x14ac:dyDescent="0.25">
      <c r="A329" s="4" t="str">
        <f>Fill_Value(filament!A329)</f>
        <v/>
      </c>
      <c r="B329" s="59" t="str">
        <f>Fill_Value(filament!B329)</f>
        <v/>
      </c>
      <c r="C329" s="59" t="str">
        <f>Fill_Value(filament!C329)</f>
        <v/>
      </c>
      <c r="D329" s="4"/>
      <c r="E329" s="4"/>
      <c r="F329" s="4"/>
      <c r="G329" s="4"/>
      <c r="H329" s="4"/>
      <c r="I329" s="4"/>
      <c r="J329" s="4"/>
      <c r="K329" s="4"/>
      <c r="L329" s="4"/>
      <c r="M329" s="4"/>
      <c r="N329" s="4"/>
    </row>
    <row r="330" spans="1:14" x14ac:dyDescent="0.25">
      <c r="A330" s="3" t="str">
        <f>Fill_Value(filament!A330)</f>
        <v/>
      </c>
      <c r="B330" s="47" t="str">
        <f>Fill_Value(filament!B330)</f>
        <v/>
      </c>
      <c r="C330" s="47" t="str">
        <f>Fill_Value(filament!C330)</f>
        <v/>
      </c>
      <c r="D330" s="3"/>
      <c r="E330" s="3"/>
      <c r="F330" s="3"/>
      <c r="G330" s="3"/>
      <c r="H330" s="3"/>
      <c r="I330" s="3"/>
      <c r="J330" s="3"/>
      <c r="K330" s="3"/>
      <c r="L330" s="3"/>
      <c r="M330" s="3"/>
      <c r="N330" s="3"/>
    </row>
    <row r="331" spans="1:14" x14ac:dyDescent="0.25">
      <c r="A331" s="4" t="str">
        <f>Fill_Value(filament!A331)</f>
        <v/>
      </c>
      <c r="B331" s="59" t="str">
        <f>Fill_Value(filament!B331)</f>
        <v/>
      </c>
      <c r="C331" s="59" t="str">
        <f>Fill_Value(filament!C331)</f>
        <v/>
      </c>
      <c r="D331" s="4"/>
      <c r="E331" s="4"/>
      <c r="F331" s="4"/>
      <c r="G331" s="4"/>
      <c r="H331" s="4"/>
      <c r="I331" s="4"/>
      <c r="J331" s="4"/>
      <c r="K331" s="4"/>
      <c r="L331" s="4"/>
      <c r="M331" s="4"/>
      <c r="N331" s="4"/>
    </row>
    <row r="332" spans="1:14" x14ac:dyDescent="0.25">
      <c r="A332" s="3" t="str">
        <f>Fill_Value(filament!A332)</f>
        <v/>
      </c>
      <c r="B332" s="47" t="str">
        <f>Fill_Value(filament!B332)</f>
        <v/>
      </c>
      <c r="C332" s="47" t="str">
        <f>Fill_Value(filament!C332)</f>
        <v/>
      </c>
      <c r="D332" s="3"/>
      <c r="E332" s="3"/>
      <c r="F332" s="3"/>
      <c r="G332" s="3"/>
      <c r="H332" s="3"/>
      <c r="I332" s="3"/>
      <c r="J332" s="3"/>
      <c r="K332" s="3"/>
      <c r="L332" s="3"/>
      <c r="M332" s="3"/>
      <c r="N332" s="3"/>
    </row>
    <row r="333" spans="1:14" x14ac:dyDescent="0.25">
      <c r="A333" s="4" t="str">
        <f>Fill_Value(filament!A333)</f>
        <v/>
      </c>
      <c r="B333" s="59" t="str">
        <f>Fill_Value(filament!B333)</f>
        <v/>
      </c>
      <c r="C333" s="59" t="str">
        <f>Fill_Value(filament!C333)</f>
        <v/>
      </c>
      <c r="D333" s="4"/>
      <c r="E333" s="4"/>
      <c r="F333" s="4"/>
      <c r="G333" s="4"/>
      <c r="H333" s="4"/>
      <c r="I333" s="4"/>
      <c r="J333" s="4"/>
      <c r="K333" s="4"/>
      <c r="L333" s="4"/>
      <c r="M333" s="4"/>
      <c r="N333" s="4"/>
    </row>
    <row r="334" spans="1:14" x14ac:dyDescent="0.25">
      <c r="A334" s="3" t="str">
        <f>Fill_Value(filament!A334)</f>
        <v/>
      </c>
      <c r="B334" s="47" t="str">
        <f>Fill_Value(filament!B334)</f>
        <v/>
      </c>
      <c r="C334" s="47" t="str">
        <f>Fill_Value(filament!C334)</f>
        <v/>
      </c>
      <c r="D334" s="3"/>
      <c r="E334" s="3"/>
      <c r="F334" s="3"/>
      <c r="G334" s="3"/>
      <c r="H334" s="3"/>
      <c r="I334" s="3"/>
      <c r="J334" s="3"/>
      <c r="K334" s="3"/>
      <c r="L334" s="3"/>
      <c r="M334" s="3"/>
      <c r="N334" s="3"/>
    </row>
    <row r="335" spans="1:14" x14ac:dyDescent="0.25">
      <c r="A335" s="4" t="str">
        <f>Fill_Value(filament!A335)</f>
        <v/>
      </c>
      <c r="B335" s="59" t="str">
        <f>Fill_Value(filament!B335)</f>
        <v/>
      </c>
      <c r="C335" s="59" t="str">
        <f>Fill_Value(filament!C335)</f>
        <v/>
      </c>
      <c r="D335" s="4"/>
      <c r="E335" s="4"/>
      <c r="F335" s="4"/>
      <c r="G335" s="4"/>
      <c r="H335" s="4"/>
      <c r="I335" s="4"/>
      <c r="J335" s="4"/>
      <c r="K335" s="4"/>
      <c r="L335" s="4"/>
      <c r="M335" s="4"/>
      <c r="N335" s="4"/>
    </row>
    <row r="336" spans="1:14" x14ac:dyDescent="0.25">
      <c r="A336" s="3" t="str">
        <f>Fill_Value(filament!A336)</f>
        <v/>
      </c>
      <c r="B336" s="47" t="str">
        <f>Fill_Value(filament!B336)</f>
        <v/>
      </c>
      <c r="C336" s="47" t="str">
        <f>Fill_Value(filament!C336)</f>
        <v/>
      </c>
      <c r="D336" s="3"/>
      <c r="E336" s="3"/>
      <c r="F336" s="3"/>
      <c r="G336" s="3"/>
      <c r="H336" s="3"/>
      <c r="I336" s="3"/>
      <c r="J336" s="3"/>
      <c r="K336" s="3"/>
      <c r="L336" s="3"/>
      <c r="M336" s="3"/>
      <c r="N336" s="3"/>
    </row>
    <row r="337" spans="1:14" x14ac:dyDescent="0.25">
      <c r="A337" s="4" t="str">
        <f>Fill_Value(filament!A337)</f>
        <v/>
      </c>
      <c r="B337" s="59" t="str">
        <f>Fill_Value(filament!B337)</f>
        <v/>
      </c>
      <c r="C337" s="59" t="str">
        <f>Fill_Value(filament!C337)</f>
        <v/>
      </c>
      <c r="D337" s="4"/>
      <c r="E337" s="4"/>
      <c r="F337" s="4"/>
      <c r="G337" s="4"/>
      <c r="H337" s="4"/>
      <c r="I337" s="4"/>
      <c r="J337" s="4"/>
      <c r="K337" s="4"/>
      <c r="L337" s="4"/>
      <c r="M337" s="4"/>
      <c r="N337" s="4"/>
    </row>
    <row r="338" spans="1:14" x14ac:dyDescent="0.25">
      <c r="A338" s="3" t="str">
        <f>Fill_Value(filament!A338)</f>
        <v/>
      </c>
      <c r="B338" s="47" t="str">
        <f>Fill_Value(filament!B338)</f>
        <v/>
      </c>
      <c r="C338" s="47" t="str">
        <f>Fill_Value(filament!C338)</f>
        <v/>
      </c>
      <c r="D338" s="3"/>
      <c r="E338" s="3"/>
      <c r="F338" s="3"/>
      <c r="G338" s="3"/>
      <c r="H338" s="3"/>
      <c r="I338" s="3"/>
      <c r="J338" s="3"/>
      <c r="K338" s="3"/>
      <c r="L338" s="3"/>
      <c r="M338" s="3"/>
      <c r="N338" s="3"/>
    </row>
    <row r="339" spans="1:14" x14ac:dyDescent="0.25">
      <c r="A339" s="4" t="str">
        <f>Fill_Value(filament!A339)</f>
        <v/>
      </c>
      <c r="B339" s="59" t="str">
        <f>Fill_Value(filament!B339)</f>
        <v/>
      </c>
      <c r="C339" s="59" t="str">
        <f>Fill_Value(filament!C339)</f>
        <v/>
      </c>
      <c r="D339" s="4"/>
      <c r="E339" s="4"/>
      <c r="F339" s="4"/>
      <c r="G339" s="4"/>
      <c r="H339" s="4"/>
      <c r="I339" s="4"/>
      <c r="J339" s="4"/>
      <c r="K339" s="4"/>
      <c r="L339" s="4"/>
      <c r="M339" s="4"/>
      <c r="N339" s="4"/>
    </row>
    <row r="340" spans="1:14" x14ac:dyDescent="0.25">
      <c r="A340" s="3" t="str">
        <f>Fill_Value(filament!A340)</f>
        <v/>
      </c>
      <c r="B340" s="47" t="str">
        <f>Fill_Value(filament!B340)</f>
        <v/>
      </c>
      <c r="C340" s="47" t="str">
        <f>Fill_Value(filament!C340)</f>
        <v/>
      </c>
      <c r="D340" s="3"/>
      <c r="E340" s="3"/>
      <c r="F340" s="3"/>
      <c r="G340" s="3"/>
      <c r="H340" s="3"/>
      <c r="I340" s="3"/>
      <c r="J340" s="3"/>
      <c r="K340" s="3"/>
      <c r="L340" s="3"/>
      <c r="M340" s="3"/>
      <c r="N340" s="3"/>
    </row>
    <row r="341" spans="1:14" x14ac:dyDescent="0.25">
      <c r="A341" s="4" t="str">
        <f>Fill_Value(filament!A341)</f>
        <v/>
      </c>
      <c r="B341" s="59" t="str">
        <f>Fill_Value(filament!B341)</f>
        <v/>
      </c>
      <c r="C341" s="59" t="str">
        <f>Fill_Value(filament!C341)</f>
        <v/>
      </c>
      <c r="D341" s="4"/>
      <c r="E341" s="4"/>
      <c r="F341" s="4"/>
      <c r="G341" s="4"/>
      <c r="H341" s="4"/>
      <c r="I341" s="4"/>
      <c r="J341" s="4"/>
      <c r="K341" s="4"/>
      <c r="L341" s="4"/>
      <c r="M341" s="4"/>
      <c r="N341" s="4"/>
    </row>
    <row r="342" spans="1:14" x14ac:dyDescent="0.25">
      <c r="A342" s="3" t="str">
        <f>Fill_Value(filament!A342)</f>
        <v/>
      </c>
      <c r="B342" s="47" t="str">
        <f>Fill_Value(filament!B342)</f>
        <v/>
      </c>
      <c r="C342" s="47" t="str">
        <f>Fill_Value(filament!C342)</f>
        <v/>
      </c>
      <c r="D342" s="3"/>
      <c r="E342" s="3"/>
      <c r="F342" s="3"/>
      <c r="G342" s="3"/>
      <c r="H342" s="3"/>
      <c r="I342" s="3"/>
      <c r="J342" s="3"/>
      <c r="K342" s="3"/>
      <c r="L342" s="3"/>
      <c r="M342" s="3"/>
      <c r="N342" s="3"/>
    </row>
    <row r="343" spans="1:14" x14ac:dyDescent="0.25">
      <c r="A343" s="4" t="str">
        <f>Fill_Value(filament!A343)</f>
        <v/>
      </c>
      <c r="B343" s="59" t="str">
        <f>Fill_Value(filament!B343)</f>
        <v/>
      </c>
      <c r="C343" s="59" t="str">
        <f>Fill_Value(filament!C343)</f>
        <v/>
      </c>
      <c r="D343" s="4"/>
      <c r="E343" s="4"/>
      <c r="F343" s="4"/>
      <c r="G343" s="4"/>
      <c r="H343" s="4"/>
      <c r="I343" s="4"/>
      <c r="J343" s="4"/>
      <c r="K343" s="4"/>
      <c r="L343" s="4"/>
      <c r="M343" s="4"/>
      <c r="N343" s="4"/>
    </row>
    <row r="344" spans="1:14" x14ac:dyDescent="0.25">
      <c r="A344" s="3" t="str">
        <f>Fill_Value(filament!A344)</f>
        <v/>
      </c>
      <c r="B344" s="47" t="str">
        <f>Fill_Value(filament!B344)</f>
        <v/>
      </c>
      <c r="C344" s="47" t="str">
        <f>Fill_Value(filament!C344)</f>
        <v/>
      </c>
      <c r="D344" s="3"/>
      <c r="E344" s="3"/>
      <c r="F344" s="3"/>
      <c r="G344" s="3"/>
      <c r="H344" s="3"/>
      <c r="I344" s="3"/>
      <c r="J344" s="3"/>
      <c r="K344" s="3"/>
      <c r="L344" s="3"/>
      <c r="M344" s="3"/>
      <c r="N344" s="3"/>
    </row>
    <row r="345" spans="1:14" x14ac:dyDescent="0.25">
      <c r="A345" s="4" t="str">
        <f>Fill_Value(filament!A345)</f>
        <v/>
      </c>
      <c r="B345" s="59" t="str">
        <f>Fill_Value(filament!B345)</f>
        <v/>
      </c>
      <c r="C345" s="59" t="str">
        <f>Fill_Value(filament!C345)</f>
        <v/>
      </c>
      <c r="D345" s="4"/>
      <c r="E345" s="4"/>
      <c r="F345" s="4"/>
      <c r="G345" s="4"/>
      <c r="H345" s="4"/>
      <c r="I345" s="4"/>
      <c r="J345" s="4"/>
      <c r="K345" s="4"/>
      <c r="L345" s="4"/>
      <c r="M345" s="4"/>
      <c r="N345" s="4"/>
    </row>
    <row r="346" spans="1:14" x14ac:dyDescent="0.25">
      <c r="A346" s="3" t="str">
        <f>Fill_Value(filament!A346)</f>
        <v/>
      </c>
      <c r="B346" s="47" t="str">
        <f>Fill_Value(filament!B346)</f>
        <v/>
      </c>
      <c r="C346" s="47" t="str">
        <f>Fill_Value(filament!C346)</f>
        <v/>
      </c>
      <c r="D346" s="3"/>
      <c r="E346" s="3"/>
      <c r="F346" s="3"/>
      <c r="G346" s="3"/>
      <c r="H346" s="3"/>
      <c r="I346" s="3"/>
      <c r="J346" s="3"/>
      <c r="K346" s="3"/>
      <c r="L346" s="3"/>
      <c r="M346" s="3"/>
      <c r="N346" s="3"/>
    </row>
    <row r="347" spans="1:14" x14ac:dyDescent="0.25">
      <c r="A347" s="4" t="str">
        <f>Fill_Value(filament!A347)</f>
        <v/>
      </c>
      <c r="B347" s="59" t="str">
        <f>Fill_Value(filament!B347)</f>
        <v/>
      </c>
      <c r="C347" s="59" t="str">
        <f>Fill_Value(filament!C347)</f>
        <v/>
      </c>
      <c r="D347" s="4"/>
      <c r="E347" s="4"/>
      <c r="F347" s="4"/>
      <c r="G347" s="4"/>
      <c r="H347" s="4"/>
      <c r="I347" s="4"/>
      <c r="J347" s="4"/>
      <c r="K347" s="4"/>
      <c r="L347" s="4"/>
      <c r="M347" s="4"/>
      <c r="N347" s="4"/>
    </row>
    <row r="348" spans="1:14" x14ac:dyDescent="0.25">
      <c r="A348" s="3" t="str">
        <f>Fill_Value(filament!A348)</f>
        <v/>
      </c>
      <c r="B348" s="47" t="str">
        <f>Fill_Value(filament!B348)</f>
        <v/>
      </c>
      <c r="C348" s="47" t="str">
        <f>Fill_Value(filament!C348)</f>
        <v/>
      </c>
      <c r="D348" s="3"/>
      <c r="E348" s="3"/>
      <c r="F348" s="3"/>
      <c r="G348" s="3"/>
      <c r="H348" s="3"/>
      <c r="I348" s="3"/>
      <c r="J348" s="3"/>
      <c r="K348" s="3"/>
      <c r="L348" s="3"/>
      <c r="M348" s="3"/>
      <c r="N348" s="3"/>
    </row>
    <row r="349" spans="1:14" x14ac:dyDescent="0.25">
      <c r="A349" s="4" t="str">
        <f>Fill_Value(filament!A349)</f>
        <v/>
      </c>
      <c r="B349" s="59" t="str">
        <f>Fill_Value(filament!B349)</f>
        <v/>
      </c>
      <c r="C349" s="59" t="str">
        <f>Fill_Value(filament!C349)</f>
        <v/>
      </c>
      <c r="D349" s="4"/>
      <c r="E349" s="4"/>
      <c r="F349" s="4"/>
      <c r="G349" s="4"/>
      <c r="H349" s="4"/>
      <c r="I349" s="4"/>
      <c r="J349" s="4"/>
      <c r="K349" s="4"/>
      <c r="L349" s="4"/>
      <c r="M349" s="4"/>
      <c r="N349" s="4"/>
    </row>
    <row r="350" spans="1:14" x14ac:dyDescent="0.25">
      <c r="A350" s="3" t="str">
        <f>Fill_Value(filament!A350)</f>
        <v/>
      </c>
      <c r="B350" s="47" t="str">
        <f>Fill_Value(filament!B350)</f>
        <v/>
      </c>
      <c r="C350" s="47" t="str">
        <f>Fill_Value(filament!C350)</f>
        <v/>
      </c>
      <c r="D350" s="3"/>
      <c r="E350" s="3"/>
      <c r="F350" s="3"/>
      <c r="G350" s="3"/>
      <c r="H350" s="3"/>
      <c r="I350" s="3"/>
      <c r="J350" s="3"/>
      <c r="K350" s="3"/>
      <c r="L350" s="3"/>
      <c r="M350" s="3"/>
      <c r="N350" s="3"/>
    </row>
    <row r="351" spans="1:14" x14ac:dyDescent="0.25">
      <c r="A351" s="4" t="str">
        <f>Fill_Value(filament!A351)</f>
        <v/>
      </c>
      <c r="B351" s="59" t="str">
        <f>Fill_Value(filament!B351)</f>
        <v/>
      </c>
      <c r="C351" s="59" t="str">
        <f>Fill_Value(filament!C351)</f>
        <v/>
      </c>
      <c r="D351" s="4"/>
      <c r="E351" s="4"/>
      <c r="F351" s="4"/>
      <c r="G351" s="4"/>
      <c r="H351" s="4"/>
      <c r="I351" s="4"/>
      <c r="J351" s="4"/>
      <c r="K351" s="4"/>
      <c r="L351" s="4"/>
      <c r="M351" s="4"/>
      <c r="N351" s="4"/>
    </row>
    <row r="352" spans="1:14" x14ac:dyDescent="0.25">
      <c r="A352" s="3" t="str">
        <f>Fill_Value(filament!A352)</f>
        <v/>
      </c>
      <c r="B352" s="47" t="str">
        <f>Fill_Value(filament!B352)</f>
        <v/>
      </c>
      <c r="C352" s="47" t="str">
        <f>Fill_Value(filament!C352)</f>
        <v/>
      </c>
      <c r="D352" s="3"/>
      <c r="E352" s="3"/>
      <c r="F352" s="3"/>
      <c r="G352" s="3"/>
      <c r="H352" s="3"/>
      <c r="I352" s="3"/>
      <c r="J352" s="3"/>
      <c r="K352" s="3"/>
      <c r="L352" s="3"/>
      <c r="M352" s="3"/>
      <c r="N352" s="3"/>
    </row>
    <row r="353" spans="1:14" x14ac:dyDescent="0.25">
      <c r="A353" s="4" t="str">
        <f>Fill_Value(filament!A353)</f>
        <v/>
      </c>
      <c r="B353" s="59" t="str">
        <f>Fill_Value(filament!B353)</f>
        <v/>
      </c>
      <c r="C353" s="59" t="str">
        <f>Fill_Value(filament!C353)</f>
        <v/>
      </c>
      <c r="D353" s="4"/>
      <c r="E353" s="4"/>
      <c r="F353" s="4"/>
      <c r="G353" s="4"/>
      <c r="H353" s="4"/>
      <c r="I353" s="4"/>
      <c r="J353" s="4"/>
      <c r="K353" s="4"/>
      <c r="L353" s="4"/>
      <c r="M353" s="4"/>
      <c r="N353" s="4"/>
    </row>
    <row r="354" spans="1:14" x14ac:dyDescent="0.25">
      <c r="A354" s="3" t="str">
        <f>Fill_Value(filament!A354)</f>
        <v/>
      </c>
      <c r="B354" s="47" t="str">
        <f>Fill_Value(filament!B354)</f>
        <v/>
      </c>
      <c r="C354" s="47" t="str">
        <f>Fill_Value(filament!C354)</f>
        <v/>
      </c>
      <c r="D354" s="3"/>
      <c r="E354" s="3"/>
      <c r="F354" s="3"/>
      <c r="G354" s="3"/>
      <c r="H354" s="3"/>
      <c r="I354" s="3"/>
      <c r="J354" s="3"/>
      <c r="K354" s="3"/>
      <c r="L354" s="3"/>
      <c r="M354" s="3"/>
      <c r="N354" s="3"/>
    </row>
    <row r="355" spans="1:14" x14ac:dyDescent="0.25">
      <c r="A355" s="4" t="str">
        <f>Fill_Value(filament!A355)</f>
        <v/>
      </c>
      <c r="B355" s="59" t="str">
        <f>Fill_Value(filament!B355)</f>
        <v/>
      </c>
      <c r="C355" s="59" t="str">
        <f>Fill_Value(filament!C355)</f>
        <v/>
      </c>
      <c r="D355" s="4"/>
      <c r="E355" s="4"/>
      <c r="F355" s="4"/>
      <c r="G355" s="4"/>
      <c r="H355" s="4"/>
      <c r="I355" s="4"/>
      <c r="J355" s="4"/>
      <c r="K355" s="4"/>
      <c r="L355" s="4"/>
      <c r="M355" s="4"/>
      <c r="N355" s="4"/>
    </row>
    <row r="356" spans="1:14" x14ac:dyDescent="0.25">
      <c r="A356" s="3" t="str">
        <f>Fill_Value(filament!A356)</f>
        <v/>
      </c>
      <c r="B356" s="47" t="str">
        <f>Fill_Value(filament!B356)</f>
        <v/>
      </c>
      <c r="C356" s="47" t="str">
        <f>Fill_Value(filament!C356)</f>
        <v/>
      </c>
      <c r="D356" s="3"/>
      <c r="E356" s="3"/>
      <c r="F356" s="3"/>
      <c r="G356" s="3"/>
      <c r="H356" s="3"/>
      <c r="I356" s="3"/>
      <c r="J356" s="3"/>
      <c r="K356" s="3"/>
      <c r="L356" s="3"/>
      <c r="M356" s="3"/>
      <c r="N356" s="3"/>
    </row>
    <row r="357" spans="1:14" x14ac:dyDescent="0.25">
      <c r="A357" s="4" t="str">
        <f>Fill_Value(filament!A357)</f>
        <v/>
      </c>
      <c r="B357" s="59" t="str">
        <f>Fill_Value(filament!B357)</f>
        <v/>
      </c>
      <c r="C357" s="59" t="str">
        <f>Fill_Value(filament!C357)</f>
        <v/>
      </c>
      <c r="D357" s="4"/>
      <c r="E357" s="4"/>
      <c r="F357" s="4"/>
      <c r="G357" s="4"/>
      <c r="H357" s="4"/>
      <c r="I357" s="4"/>
      <c r="J357" s="4"/>
      <c r="K357" s="4"/>
      <c r="L357" s="4"/>
      <c r="M357" s="4"/>
      <c r="N357" s="4"/>
    </row>
    <row r="358" spans="1:14" x14ac:dyDescent="0.25">
      <c r="A358" s="3" t="str">
        <f>Fill_Value(filament!A358)</f>
        <v/>
      </c>
      <c r="B358" s="47" t="str">
        <f>Fill_Value(filament!B358)</f>
        <v/>
      </c>
      <c r="C358" s="47" t="str">
        <f>Fill_Value(filament!C358)</f>
        <v/>
      </c>
      <c r="D358" s="3"/>
      <c r="E358" s="3"/>
      <c r="F358" s="3"/>
      <c r="G358" s="3"/>
      <c r="H358" s="3"/>
      <c r="I358" s="3"/>
      <c r="J358" s="3"/>
      <c r="K358" s="3"/>
      <c r="L358" s="3"/>
      <c r="M358" s="3"/>
      <c r="N358" s="3"/>
    </row>
    <row r="359" spans="1:14" x14ac:dyDescent="0.25">
      <c r="A359" s="4" t="str">
        <f>Fill_Value(filament!A359)</f>
        <v/>
      </c>
      <c r="B359" s="59" t="str">
        <f>Fill_Value(filament!B359)</f>
        <v/>
      </c>
      <c r="C359" s="59" t="str">
        <f>Fill_Value(filament!C359)</f>
        <v/>
      </c>
      <c r="D359" s="4"/>
      <c r="E359" s="4"/>
      <c r="F359" s="4"/>
      <c r="G359" s="4"/>
      <c r="H359" s="4"/>
      <c r="I359" s="4"/>
      <c r="J359" s="4"/>
      <c r="K359" s="4"/>
      <c r="L359" s="4"/>
      <c r="M359" s="4"/>
      <c r="N359" s="4"/>
    </row>
    <row r="360" spans="1:14" x14ac:dyDescent="0.25">
      <c r="A360" s="3" t="str">
        <f>Fill_Value(filament!A360)</f>
        <v/>
      </c>
      <c r="B360" s="47" t="str">
        <f>Fill_Value(filament!B360)</f>
        <v/>
      </c>
      <c r="C360" s="47" t="str">
        <f>Fill_Value(filament!C360)</f>
        <v/>
      </c>
      <c r="D360" s="3"/>
      <c r="E360" s="3"/>
      <c r="F360" s="3"/>
      <c r="G360" s="3"/>
      <c r="H360" s="3"/>
      <c r="I360" s="3"/>
      <c r="J360" s="3"/>
      <c r="K360" s="3"/>
      <c r="L360" s="3"/>
      <c r="M360" s="3"/>
      <c r="N360" s="3"/>
    </row>
    <row r="361" spans="1:14" x14ac:dyDescent="0.25">
      <c r="A361" s="4" t="str">
        <f>Fill_Value(filament!A361)</f>
        <v/>
      </c>
      <c r="B361" s="59" t="str">
        <f>Fill_Value(filament!B361)</f>
        <v/>
      </c>
      <c r="C361" s="59" t="str">
        <f>Fill_Value(filament!C361)</f>
        <v/>
      </c>
      <c r="D361" s="4"/>
      <c r="E361" s="4"/>
      <c r="F361" s="4"/>
      <c r="G361" s="4"/>
      <c r="H361" s="4"/>
      <c r="I361" s="4"/>
      <c r="J361" s="4"/>
      <c r="K361" s="4"/>
      <c r="L361" s="4"/>
      <c r="M361" s="4"/>
      <c r="N361" s="4"/>
    </row>
    <row r="362" spans="1:14" x14ac:dyDescent="0.25">
      <c r="A362" s="3" t="str">
        <f>Fill_Value(filament!A362)</f>
        <v/>
      </c>
      <c r="B362" s="47" t="str">
        <f>Fill_Value(filament!B362)</f>
        <v/>
      </c>
      <c r="C362" s="47" t="str">
        <f>Fill_Value(filament!C362)</f>
        <v/>
      </c>
      <c r="D362" s="3"/>
      <c r="E362" s="3"/>
      <c r="F362" s="3"/>
      <c r="G362" s="3"/>
      <c r="H362" s="3"/>
      <c r="I362" s="3"/>
      <c r="J362" s="3"/>
      <c r="K362" s="3"/>
      <c r="L362" s="3"/>
      <c r="M362" s="3"/>
      <c r="N362" s="3"/>
    </row>
    <row r="363" spans="1:14" x14ac:dyDescent="0.25">
      <c r="A363" s="4" t="str">
        <f>Fill_Value(filament!A363)</f>
        <v/>
      </c>
      <c r="B363" s="59" t="str">
        <f>Fill_Value(filament!B363)</f>
        <v/>
      </c>
      <c r="C363" s="59" t="str">
        <f>Fill_Value(filament!C363)</f>
        <v/>
      </c>
      <c r="D363" s="4"/>
      <c r="E363" s="4"/>
      <c r="F363" s="4"/>
      <c r="G363" s="4"/>
      <c r="H363" s="4"/>
      <c r="I363" s="4"/>
      <c r="J363" s="4"/>
      <c r="K363" s="4"/>
      <c r="L363" s="4"/>
      <c r="M363" s="4"/>
      <c r="N363" s="4"/>
    </row>
    <row r="364" spans="1:14" x14ac:dyDescent="0.25">
      <c r="A364" s="3" t="str">
        <f>Fill_Value(filament!A364)</f>
        <v/>
      </c>
      <c r="B364" s="47" t="str">
        <f>Fill_Value(filament!B364)</f>
        <v/>
      </c>
      <c r="C364" s="47" t="str">
        <f>Fill_Value(filament!C364)</f>
        <v/>
      </c>
      <c r="D364" s="3"/>
      <c r="E364" s="3"/>
      <c r="F364" s="3"/>
      <c r="G364" s="3"/>
      <c r="H364" s="3"/>
      <c r="I364" s="3"/>
      <c r="J364" s="3"/>
      <c r="K364" s="3"/>
      <c r="L364" s="3"/>
      <c r="M364" s="3"/>
      <c r="N364" s="3"/>
    </row>
    <row r="365" spans="1:14" x14ac:dyDescent="0.25">
      <c r="A365" s="4" t="str">
        <f>Fill_Value(filament!A365)</f>
        <v/>
      </c>
      <c r="B365" s="59" t="str">
        <f>Fill_Value(filament!B365)</f>
        <v/>
      </c>
      <c r="C365" s="59" t="str">
        <f>Fill_Value(filament!C365)</f>
        <v/>
      </c>
      <c r="D365" s="4"/>
      <c r="E365" s="4"/>
      <c r="F365" s="4"/>
      <c r="G365" s="4"/>
      <c r="H365" s="4"/>
      <c r="I365" s="4"/>
      <c r="J365" s="4"/>
      <c r="K365" s="4"/>
      <c r="L365" s="4"/>
      <c r="M365" s="4"/>
      <c r="N365" s="4"/>
    </row>
    <row r="366" spans="1:14" x14ac:dyDescent="0.25">
      <c r="A366" s="3" t="str">
        <f>Fill_Value(filament!A366)</f>
        <v/>
      </c>
      <c r="B366" s="47" t="str">
        <f>Fill_Value(filament!B366)</f>
        <v/>
      </c>
      <c r="C366" s="47" t="str">
        <f>Fill_Value(filament!C366)</f>
        <v/>
      </c>
      <c r="D366" s="3"/>
      <c r="E366" s="3"/>
      <c r="F366" s="3"/>
      <c r="G366" s="3"/>
      <c r="H366" s="3"/>
      <c r="I366" s="3"/>
      <c r="J366" s="3"/>
      <c r="K366" s="3"/>
      <c r="L366" s="3"/>
      <c r="M366" s="3"/>
      <c r="N366" s="3"/>
    </row>
    <row r="367" spans="1:14" x14ac:dyDescent="0.25">
      <c r="A367" s="4" t="str">
        <f>Fill_Value(filament!A367)</f>
        <v/>
      </c>
      <c r="B367" s="59" t="str">
        <f>Fill_Value(filament!B367)</f>
        <v/>
      </c>
      <c r="C367" s="59" t="str">
        <f>Fill_Value(filament!C367)</f>
        <v/>
      </c>
      <c r="D367" s="4"/>
      <c r="E367" s="4"/>
      <c r="F367" s="4"/>
      <c r="G367" s="4"/>
      <c r="H367" s="4"/>
      <c r="I367" s="4"/>
      <c r="J367" s="4"/>
      <c r="K367" s="4"/>
      <c r="L367" s="4"/>
      <c r="M367" s="4"/>
      <c r="N367" s="4"/>
    </row>
    <row r="368" spans="1:14" x14ac:dyDescent="0.25">
      <c r="A368" s="3" t="str">
        <f>Fill_Value(filament!A368)</f>
        <v/>
      </c>
      <c r="B368" s="47" t="str">
        <f>Fill_Value(filament!B368)</f>
        <v/>
      </c>
      <c r="C368" s="47" t="str">
        <f>Fill_Value(filament!C368)</f>
        <v/>
      </c>
      <c r="D368" s="3"/>
      <c r="E368" s="3"/>
      <c r="F368" s="3"/>
      <c r="G368" s="3"/>
      <c r="H368" s="3"/>
      <c r="I368" s="3"/>
      <c r="J368" s="3"/>
      <c r="K368" s="3"/>
      <c r="L368" s="3"/>
      <c r="M368" s="3"/>
      <c r="N368" s="3"/>
    </row>
    <row r="369" spans="1:14" x14ac:dyDescent="0.25">
      <c r="A369" s="4" t="str">
        <f>Fill_Value(filament!A369)</f>
        <v/>
      </c>
      <c r="B369" s="59" t="str">
        <f>Fill_Value(filament!B369)</f>
        <v/>
      </c>
      <c r="C369" s="59" t="str">
        <f>Fill_Value(filament!C369)</f>
        <v/>
      </c>
      <c r="D369" s="4"/>
      <c r="E369" s="4"/>
      <c r="F369" s="4"/>
      <c r="G369" s="4"/>
      <c r="H369" s="4"/>
      <c r="I369" s="4"/>
      <c r="J369" s="4"/>
      <c r="K369" s="4"/>
      <c r="L369" s="4"/>
      <c r="M369" s="4"/>
      <c r="N369" s="4"/>
    </row>
    <row r="370" spans="1:14" x14ac:dyDescent="0.25">
      <c r="A370" s="3" t="str">
        <f>Fill_Value(filament!A370)</f>
        <v/>
      </c>
      <c r="B370" s="47" t="str">
        <f>Fill_Value(filament!B370)</f>
        <v/>
      </c>
      <c r="C370" s="47" t="str">
        <f>Fill_Value(filament!C370)</f>
        <v/>
      </c>
      <c r="D370" s="3"/>
      <c r="E370" s="3"/>
      <c r="F370" s="3"/>
      <c r="G370" s="3"/>
      <c r="H370" s="3"/>
      <c r="I370" s="3"/>
      <c r="J370" s="3"/>
      <c r="K370" s="3"/>
      <c r="L370" s="3"/>
      <c r="M370" s="3"/>
      <c r="N370" s="3"/>
    </row>
    <row r="371" spans="1:14" x14ac:dyDescent="0.25">
      <c r="A371" s="4" t="str">
        <f>Fill_Value(filament!A371)</f>
        <v/>
      </c>
      <c r="B371" s="59" t="str">
        <f>Fill_Value(filament!B371)</f>
        <v/>
      </c>
      <c r="C371" s="59" t="str">
        <f>Fill_Value(filament!C371)</f>
        <v/>
      </c>
      <c r="D371" s="4"/>
      <c r="E371" s="4"/>
      <c r="F371" s="4"/>
      <c r="G371" s="4"/>
      <c r="H371" s="4"/>
      <c r="I371" s="4"/>
      <c r="J371" s="4"/>
      <c r="K371" s="4"/>
      <c r="L371" s="4"/>
      <c r="M371" s="4"/>
      <c r="N371" s="4"/>
    </row>
    <row r="372" spans="1:14" x14ac:dyDescent="0.25">
      <c r="A372" s="3" t="str">
        <f>Fill_Value(filament!A372)</f>
        <v/>
      </c>
      <c r="B372" s="47" t="str">
        <f>Fill_Value(filament!B372)</f>
        <v/>
      </c>
      <c r="C372" s="47" t="str">
        <f>Fill_Value(filament!C372)</f>
        <v/>
      </c>
      <c r="D372" s="3"/>
      <c r="E372" s="3"/>
      <c r="F372" s="3"/>
      <c r="G372" s="3"/>
      <c r="H372" s="3"/>
      <c r="I372" s="3"/>
      <c r="J372" s="3"/>
      <c r="K372" s="3"/>
      <c r="L372" s="3"/>
      <c r="M372" s="3"/>
      <c r="N372" s="3"/>
    </row>
    <row r="373" spans="1:14" x14ac:dyDescent="0.25">
      <c r="A373" s="4" t="str">
        <f>Fill_Value(filament!A373)</f>
        <v/>
      </c>
      <c r="B373" s="59" t="str">
        <f>Fill_Value(filament!B373)</f>
        <v/>
      </c>
      <c r="C373" s="59" t="str">
        <f>Fill_Value(filament!C373)</f>
        <v/>
      </c>
      <c r="D373" s="4"/>
      <c r="E373" s="4"/>
      <c r="F373" s="4"/>
      <c r="G373" s="4"/>
      <c r="H373" s="4"/>
      <c r="I373" s="4"/>
      <c r="J373" s="4"/>
      <c r="K373" s="4"/>
      <c r="L373" s="4"/>
      <c r="M373" s="4"/>
      <c r="N373" s="4"/>
    </row>
    <row r="374" spans="1:14" x14ac:dyDescent="0.25">
      <c r="A374" s="3" t="str">
        <f>Fill_Value(filament!A374)</f>
        <v/>
      </c>
      <c r="B374" s="47" t="str">
        <f>Fill_Value(filament!B374)</f>
        <v/>
      </c>
      <c r="C374" s="47" t="str">
        <f>Fill_Value(filament!C374)</f>
        <v/>
      </c>
      <c r="D374" s="3"/>
      <c r="E374" s="3"/>
      <c r="F374" s="3"/>
      <c r="G374" s="3"/>
      <c r="H374" s="3"/>
      <c r="I374" s="3"/>
      <c r="J374" s="3"/>
      <c r="K374" s="3"/>
      <c r="L374" s="3"/>
      <c r="M374" s="3"/>
      <c r="N374" s="3"/>
    </row>
    <row r="375" spans="1:14" x14ac:dyDescent="0.25">
      <c r="A375" s="4" t="str">
        <f>Fill_Value(filament!A375)</f>
        <v/>
      </c>
      <c r="B375" s="59" t="str">
        <f>Fill_Value(filament!B375)</f>
        <v/>
      </c>
      <c r="C375" s="59" t="str">
        <f>Fill_Value(filament!C375)</f>
        <v/>
      </c>
      <c r="D375" s="4"/>
      <c r="E375" s="4"/>
      <c r="F375" s="4"/>
      <c r="G375" s="4"/>
      <c r="H375" s="4"/>
      <c r="I375" s="4"/>
      <c r="J375" s="4"/>
      <c r="K375" s="4"/>
      <c r="L375" s="4"/>
      <c r="M375" s="4"/>
      <c r="N375" s="4"/>
    </row>
    <row r="376" spans="1:14" x14ac:dyDescent="0.25">
      <c r="A376" s="3" t="str">
        <f>Fill_Value(filament!A376)</f>
        <v/>
      </c>
      <c r="B376" s="47" t="str">
        <f>Fill_Value(filament!B376)</f>
        <v/>
      </c>
      <c r="C376" s="47" t="str">
        <f>Fill_Value(filament!C376)</f>
        <v/>
      </c>
      <c r="D376" s="3"/>
      <c r="E376" s="3"/>
      <c r="F376" s="3"/>
      <c r="G376" s="3"/>
      <c r="H376" s="3"/>
      <c r="I376" s="3"/>
      <c r="J376" s="3"/>
      <c r="K376" s="3"/>
      <c r="L376" s="3"/>
      <c r="M376" s="3"/>
      <c r="N376" s="3"/>
    </row>
    <row r="377" spans="1:14" x14ac:dyDescent="0.25">
      <c r="A377" s="4" t="str">
        <f>Fill_Value(filament!A377)</f>
        <v/>
      </c>
      <c r="B377" s="59" t="str">
        <f>Fill_Value(filament!B377)</f>
        <v/>
      </c>
      <c r="C377" s="59" t="str">
        <f>Fill_Value(filament!C377)</f>
        <v/>
      </c>
      <c r="D377" s="4"/>
      <c r="E377" s="4"/>
      <c r="F377" s="4"/>
      <c r="G377" s="4"/>
      <c r="H377" s="4"/>
      <c r="I377" s="4"/>
      <c r="J377" s="4"/>
      <c r="K377" s="4"/>
      <c r="L377" s="4"/>
      <c r="M377" s="4"/>
      <c r="N377" s="4"/>
    </row>
    <row r="378" spans="1:14" x14ac:dyDescent="0.25">
      <c r="A378" s="3" t="str">
        <f>Fill_Value(filament!A378)</f>
        <v/>
      </c>
      <c r="B378" s="47" t="str">
        <f>Fill_Value(filament!B378)</f>
        <v/>
      </c>
      <c r="C378" s="47" t="str">
        <f>Fill_Value(filament!C378)</f>
        <v/>
      </c>
      <c r="D378" s="3"/>
      <c r="E378" s="3"/>
      <c r="F378" s="3"/>
      <c r="G378" s="3"/>
      <c r="H378" s="3"/>
      <c r="I378" s="3"/>
      <c r="J378" s="3"/>
      <c r="K378" s="3"/>
      <c r="L378" s="3"/>
      <c r="M378" s="3"/>
      <c r="N378" s="3"/>
    </row>
    <row r="379" spans="1:14" x14ac:dyDescent="0.25">
      <c r="A379" s="4" t="str">
        <f>Fill_Value(filament!A379)</f>
        <v/>
      </c>
      <c r="B379" s="59" t="str">
        <f>Fill_Value(filament!B379)</f>
        <v/>
      </c>
      <c r="C379" s="59" t="str">
        <f>Fill_Value(filament!C379)</f>
        <v/>
      </c>
      <c r="D379" s="4"/>
      <c r="E379" s="4"/>
      <c r="F379" s="4"/>
      <c r="G379" s="4"/>
      <c r="H379" s="4"/>
      <c r="I379" s="4"/>
      <c r="J379" s="4"/>
      <c r="K379" s="4"/>
      <c r="L379" s="4"/>
      <c r="M379" s="4"/>
      <c r="N379" s="4"/>
    </row>
    <row r="380" spans="1:14" x14ac:dyDescent="0.25">
      <c r="A380" s="3" t="str">
        <f>Fill_Value(filament!A380)</f>
        <v/>
      </c>
      <c r="B380" s="47" t="str">
        <f>Fill_Value(filament!B380)</f>
        <v/>
      </c>
      <c r="C380" s="47" t="str">
        <f>Fill_Value(filament!C380)</f>
        <v/>
      </c>
      <c r="D380" s="3"/>
      <c r="E380" s="3"/>
      <c r="F380" s="3"/>
      <c r="G380" s="3"/>
      <c r="H380" s="3"/>
      <c r="I380" s="3"/>
      <c r="J380" s="3"/>
      <c r="K380" s="3"/>
      <c r="L380" s="3"/>
      <c r="M380" s="3"/>
      <c r="N380" s="3"/>
    </row>
    <row r="381" spans="1:14" x14ac:dyDescent="0.25">
      <c r="A381" s="4" t="str">
        <f>Fill_Value(filament!A381)</f>
        <v/>
      </c>
      <c r="B381" s="59" t="str">
        <f>Fill_Value(filament!B381)</f>
        <v/>
      </c>
      <c r="C381" s="59" t="str">
        <f>Fill_Value(filament!C381)</f>
        <v/>
      </c>
      <c r="D381" s="4"/>
      <c r="E381" s="4"/>
      <c r="F381" s="4"/>
      <c r="G381" s="4"/>
      <c r="H381" s="4"/>
      <c r="I381" s="4"/>
      <c r="J381" s="4"/>
      <c r="K381" s="4"/>
      <c r="L381" s="4"/>
      <c r="M381" s="4"/>
      <c r="N381" s="4"/>
    </row>
    <row r="382" spans="1:14" x14ac:dyDescent="0.25">
      <c r="A382" s="3" t="str">
        <f>Fill_Value(filament!A382)</f>
        <v/>
      </c>
      <c r="B382" s="47" t="str">
        <f>Fill_Value(filament!B382)</f>
        <v/>
      </c>
      <c r="C382" s="47" t="str">
        <f>Fill_Value(filament!C382)</f>
        <v/>
      </c>
      <c r="D382" s="3"/>
      <c r="E382" s="3"/>
      <c r="F382" s="3"/>
      <c r="G382" s="3"/>
      <c r="H382" s="3"/>
      <c r="I382" s="3"/>
      <c r="J382" s="3"/>
      <c r="K382" s="3"/>
      <c r="L382" s="3"/>
      <c r="M382" s="3"/>
      <c r="N382" s="3"/>
    </row>
    <row r="383" spans="1:14" x14ac:dyDescent="0.25">
      <c r="A383" s="4" t="str">
        <f>Fill_Value(filament!A383)</f>
        <v/>
      </c>
      <c r="B383" s="59" t="str">
        <f>Fill_Value(filament!B383)</f>
        <v/>
      </c>
      <c r="C383" s="59" t="str">
        <f>Fill_Value(filament!C383)</f>
        <v/>
      </c>
      <c r="D383" s="4"/>
      <c r="E383" s="4"/>
      <c r="F383" s="4"/>
      <c r="G383" s="4"/>
      <c r="H383" s="4"/>
      <c r="I383" s="4"/>
      <c r="J383" s="4"/>
      <c r="K383" s="4"/>
      <c r="L383" s="4"/>
      <c r="M383" s="4"/>
      <c r="N383" s="4"/>
    </row>
    <row r="384" spans="1:14" x14ac:dyDescent="0.25">
      <c r="A384" s="3" t="str">
        <f>Fill_Value(filament!A384)</f>
        <v/>
      </c>
      <c r="B384" s="47" t="str">
        <f>Fill_Value(filament!B384)</f>
        <v/>
      </c>
      <c r="C384" s="47" t="str">
        <f>Fill_Value(filament!C384)</f>
        <v/>
      </c>
      <c r="D384" s="3"/>
      <c r="E384" s="3"/>
      <c r="F384" s="3"/>
      <c r="G384" s="3"/>
      <c r="H384" s="3"/>
      <c r="I384" s="3"/>
      <c r="J384" s="3"/>
      <c r="K384" s="3"/>
      <c r="L384" s="3"/>
      <c r="M384" s="3"/>
      <c r="N384" s="3"/>
    </row>
    <row r="385" spans="1:14" x14ac:dyDescent="0.25">
      <c r="A385" s="4" t="str">
        <f>Fill_Value(filament!A385)</f>
        <v/>
      </c>
      <c r="B385" s="59" t="str">
        <f>Fill_Value(filament!B385)</f>
        <v/>
      </c>
      <c r="C385" s="59" t="str">
        <f>Fill_Value(filament!C385)</f>
        <v/>
      </c>
      <c r="D385" s="4"/>
      <c r="E385" s="4"/>
      <c r="F385" s="4"/>
      <c r="G385" s="4"/>
      <c r="H385" s="4"/>
      <c r="I385" s="4"/>
      <c r="J385" s="4"/>
      <c r="K385" s="4"/>
      <c r="L385" s="4"/>
      <c r="M385" s="4"/>
      <c r="N385" s="4"/>
    </row>
    <row r="386" spans="1:14" x14ac:dyDescent="0.25">
      <c r="A386" s="3" t="str">
        <f>Fill_Value(filament!A386)</f>
        <v/>
      </c>
      <c r="B386" s="47" t="str">
        <f>Fill_Value(filament!B386)</f>
        <v/>
      </c>
      <c r="C386" s="47" t="str">
        <f>Fill_Value(filament!C386)</f>
        <v/>
      </c>
      <c r="D386" s="3"/>
      <c r="E386" s="3"/>
      <c r="F386" s="3"/>
      <c r="G386" s="3"/>
      <c r="H386" s="3"/>
      <c r="I386" s="3"/>
      <c r="J386" s="3"/>
      <c r="K386" s="3"/>
      <c r="L386" s="3"/>
      <c r="M386" s="3"/>
      <c r="N386" s="3"/>
    </row>
    <row r="387" spans="1:14" x14ac:dyDescent="0.25">
      <c r="A387" s="4" t="str">
        <f>Fill_Value(filament!A387)</f>
        <v/>
      </c>
      <c r="B387" s="59" t="str">
        <f>Fill_Value(filament!B387)</f>
        <v/>
      </c>
      <c r="C387" s="59" t="str">
        <f>Fill_Value(filament!C387)</f>
        <v/>
      </c>
      <c r="D387" s="4"/>
      <c r="E387" s="4"/>
      <c r="F387" s="4"/>
      <c r="G387" s="4"/>
      <c r="H387" s="4"/>
      <c r="I387" s="4"/>
      <c r="J387" s="4"/>
      <c r="K387" s="4"/>
      <c r="L387" s="4"/>
      <c r="M387" s="4"/>
      <c r="N387" s="4"/>
    </row>
    <row r="388" spans="1:14" x14ac:dyDescent="0.25">
      <c r="A388" s="3" t="str">
        <f>Fill_Value(filament!A388)</f>
        <v/>
      </c>
      <c r="B388" s="47" t="str">
        <f>Fill_Value(filament!B388)</f>
        <v/>
      </c>
      <c r="C388" s="47" t="str">
        <f>Fill_Value(filament!C388)</f>
        <v/>
      </c>
      <c r="D388" s="3"/>
      <c r="E388" s="3"/>
      <c r="F388" s="3"/>
      <c r="G388" s="3"/>
      <c r="H388" s="3"/>
      <c r="I388" s="3"/>
      <c r="J388" s="3"/>
      <c r="K388" s="3"/>
      <c r="L388" s="3"/>
      <c r="M388" s="3"/>
      <c r="N388" s="3"/>
    </row>
    <row r="389" spans="1:14" x14ac:dyDescent="0.25">
      <c r="A389" s="4" t="str">
        <f>Fill_Value(filament!A389)</f>
        <v/>
      </c>
      <c r="B389" s="59" t="str">
        <f>Fill_Value(filament!B389)</f>
        <v/>
      </c>
      <c r="C389" s="59" t="str">
        <f>Fill_Value(filament!C389)</f>
        <v/>
      </c>
      <c r="D389" s="4"/>
      <c r="E389" s="4"/>
      <c r="F389" s="4"/>
      <c r="G389" s="4"/>
      <c r="H389" s="4"/>
      <c r="I389" s="4"/>
      <c r="J389" s="4"/>
      <c r="K389" s="4"/>
      <c r="L389" s="4"/>
      <c r="M389" s="4"/>
      <c r="N389" s="4"/>
    </row>
    <row r="390" spans="1:14" x14ac:dyDescent="0.25">
      <c r="A390" s="3" t="str">
        <f>Fill_Value(filament!A390)</f>
        <v/>
      </c>
      <c r="B390" s="47" t="str">
        <f>Fill_Value(filament!B390)</f>
        <v/>
      </c>
      <c r="C390" s="47" t="str">
        <f>Fill_Value(filament!C390)</f>
        <v/>
      </c>
      <c r="D390" s="3"/>
      <c r="E390" s="3"/>
      <c r="F390" s="3"/>
      <c r="G390" s="3"/>
      <c r="H390" s="3"/>
      <c r="I390" s="3"/>
      <c r="J390" s="3"/>
      <c r="K390" s="3"/>
      <c r="L390" s="3"/>
      <c r="M390" s="3"/>
      <c r="N390" s="3"/>
    </row>
    <row r="391" spans="1:14" x14ac:dyDescent="0.25">
      <c r="A391" s="4" t="str">
        <f>Fill_Value(filament!A391)</f>
        <v/>
      </c>
      <c r="B391" s="59" t="str">
        <f>Fill_Value(filament!B391)</f>
        <v/>
      </c>
      <c r="C391" s="59" t="str">
        <f>Fill_Value(filament!C391)</f>
        <v/>
      </c>
      <c r="D391" s="4"/>
      <c r="E391" s="4"/>
      <c r="F391" s="4"/>
      <c r="G391" s="4"/>
      <c r="H391" s="4"/>
      <c r="I391" s="4"/>
      <c r="J391" s="4"/>
      <c r="K391" s="4"/>
      <c r="L391" s="4"/>
      <c r="M391" s="4"/>
      <c r="N391" s="4"/>
    </row>
    <row r="392" spans="1:14" x14ac:dyDescent="0.25">
      <c r="A392" s="3" t="str">
        <f>Fill_Value(filament!A392)</f>
        <v/>
      </c>
      <c r="B392" s="47" t="str">
        <f>Fill_Value(filament!B392)</f>
        <v/>
      </c>
      <c r="C392" s="47" t="str">
        <f>Fill_Value(filament!C392)</f>
        <v/>
      </c>
      <c r="D392" s="3"/>
      <c r="E392" s="3"/>
      <c r="F392" s="3"/>
      <c r="G392" s="3"/>
      <c r="H392" s="3"/>
      <c r="I392" s="3"/>
      <c r="J392" s="3"/>
      <c r="K392" s="3"/>
      <c r="L392" s="3"/>
      <c r="M392" s="3"/>
      <c r="N392" s="3"/>
    </row>
    <row r="393" spans="1:14" x14ac:dyDescent="0.25">
      <c r="A393" s="4" t="str">
        <f>Fill_Value(filament!A393)</f>
        <v/>
      </c>
      <c r="B393" s="59" t="str">
        <f>Fill_Value(filament!B393)</f>
        <v/>
      </c>
      <c r="C393" s="59" t="str">
        <f>Fill_Value(filament!C393)</f>
        <v/>
      </c>
      <c r="D393" s="4"/>
      <c r="E393" s="4"/>
      <c r="F393" s="4"/>
      <c r="G393" s="4"/>
      <c r="H393" s="4"/>
      <c r="I393" s="4"/>
      <c r="J393" s="4"/>
      <c r="K393" s="4"/>
      <c r="L393" s="4"/>
      <c r="M393" s="4"/>
      <c r="N393" s="4"/>
    </row>
    <row r="394" spans="1:14" x14ac:dyDescent="0.25">
      <c r="A394" s="3" t="str">
        <f>Fill_Value(filament!A394)</f>
        <v/>
      </c>
      <c r="B394" s="47" t="str">
        <f>Fill_Value(filament!B394)</f>
        <v/>
      </c>
      <c r="C394" s="47" t="str">
        <f>Fill_Value(filament!C394)</f>
        <v/>
      </c>
      <c r="D394" s="3"/>
      <c r="E394" s="3"/>
      <c r="F394" s="3"/>
      <c r="G394" s="3"/>
      <c r="H394" s="3"/>
      <c r="I394" s="3"/>
      <c r="J394" s="3"/>
      <c r="K394" s="3"/>
      <c r="L394" s="3"/>
      <c r="M394" s="3"/>
      <c r="N394" s="3"/>
    </row>
    <row r="395" spans="1:14" x14ac:dyDescent="0.25">
      <c r="A395" s="4" t="str">
        <f>Fill_Value(filament!A395)</f>
        <v/>
      </c>
      <c r="B395" s="59" t="str">
        <f>Fill_Value(filament!B395)</f>
        <v/>
      </c>
      <c r="C395" s="59" t="str">
        <f>Fill_Value(filament!C395)</f>
        <v/>
      </c>
      <c r="D395" s="4"/>
      <c r="E395" s="4"/>
      <c r="F395" s="4"/>
      <c r="G395" s="4"/>
      <c r="H395" s="4"/>
      <c r="I395" s="4"/>
      <c r="J395" s="4"/>
      <c r="K395" s="4"/>
      <c r="L395" s="4"/>
      <c r="M395" s="4"/>
      <c r="N395" s="4"/>
    </row>
    <row r="396" spans="1:14" x14ac:dyDescent="0.25">
      <c r="A396" s="3" t="str">
        <f>Fill_Value(filament!A396)</f>
        <v/>
      </c>
      <c r="B396" s="47" t="str">
        <f>Fill_Value(filament!B396)</f>
        <v/>
      </c>
      <c r="C396" s="47" t="str">
        <f>Fill_Value(filament!C396)</f>
        <v/>
      </c>
      <c r="D396" s="3"/>
      <c r="E396" s="3"/>
      <c r="F396" s="3"/>
      <c r="G396" s="3"/>
      <c r="H396" s="3"/>
      <c r="I396" s="3"/>
      <c r="J396" s="3"/>
      <c r="K396" s="3"/>
      <c r="L396" s="3"/>
      <c r="M396" s="3"/>
      <c r="N396" s="3"/>
    </row>
    <row r="397" spans="1:14" x14ac:dyDescent="0.25">
      <c r="A397" s="4" t="str">
        <f>Fill_Value(filament!A397)</f>
        <v/>
      </c>
      <c r="B397" s="59" t="str">
        <f>Fill_Value(filament!B397)</f>
        <v/>
      </c>
      <c r="C397" s="59" t="str">
        <f>Fill_Value(filament!C397)</f>
        <v/>
      </c>
      <c r="D397" s="4"/>
      <c r="E397" s="4"/>
      <c r="F397" s="4"/>
      <c r="G397" s="4"/>
      <c r="H397" s="4"/>
      <c r="I397" s="4"/>
      <c r="J397" s="4"/>
      <c r="K397" s="4"/>
      <c r="L397" s="4"/>
      <c r="M397" s="4"/>
      <c r="N397" s="4"/>
    </row>
    <row r="398" spans="1:14" x14ac:dyDescent="0.25">
      <c r="A398" s="3" t="str">
        <f>Fill_Value(filament!A398)</f>
        <v/>
      </c>
      <c r="B398" s="47" t="str">
        <f>Fill_Value(filament!B398)</f>
        <v/>
      </c>
      <c r="C398" s="47" t="str">
        <f>Fill_Value(filament!C398)</f>
        <v/>
      </c>
      <c r="D398" s="3"/>
      <c r="E398" s="3"/>
      <c r="F398" s="3"/>
      <c r="G398" s="3"/>
      <c r="H398" s="3"/>
      <c r="I398" s="3"/>
      <c r="J398" s="3"/>
      <c r="K398" s="3"/>
      <c r="L398" s="3"/>
      <c r="M398" s="3"/>
      <c r="N398" s="3"/>
    </row>
    <row r="399" spans="1:14" x14ac:dyDescent="0.25">
      <c r="A399" s="4" t="str">
        <f>Fill_Value(filament!A399)</f>
        <v/>
      </c>
      <c r="B399" s="59" t="str">
        <f>Fill_Value(filament!B399)</f>
        <v/>
      </c>
      <c r="C399" s="59" t="str">
        <f>Fill_Value(filament!C399)</f>
        <v/>
      </c>
      <c r="D399" s="4"/>
      <c r="E399" s="4"/>
      <c r="F399" s="4"/>
      <c r="G399" s="4"/>
      <c r="H399" s="4"/>
      <c r="I399" s="4"/>
      <c r="J399" s="4"/>
      <c r="K399" s="4"/>
      <c r="L399" s="4"/>
      <c r="M399" s="4"/>
      <c r="N399" s="4"/>
    </row>
    <row r="400" spans="1:14" x14ac:dyDescent="0.25">
      <c r="A400" s="3" t="str">
        <f>Fill_Value(filament!A400)</f>
        <v/>
      </c>
      <c r="B400" s="47" t="str">
        <f>Fill_Value(filament!B400)</f>
        <v/>
      </c>
      <c r="C400" s="47" t="str">
        <f>Fill_Value(filament!C400)</f>
        <v/>
      </c>
      <c r="D400" s="3"/>
      <c r="E400" s="3"/>
      <c r="F400" s="3"/>
      <c r="G400" s="3"/>
      <c r="H400" s="3"/>
      <c r="I400" s="3"/>
      <c r="J400" s="3"/>
      <c r="K400" s="3"/>
      <c r="L400" s="3"/>
      <c r="M400" s="3"/>
      <c r="N400" s="3"/>
    </row>
    <row r="401" spans="1:14" x14ac:dyDescent="0.25">
      <c r="A401" s="4" t="str">
        <f>Fill_Value(filament!A401)</f>
        <v/>
      </c>
      <c r="B401" s="59" t="str">
        <f>Fill_Value(filament!B401)</f>
        <v/>
      </c>
      <c r="C401" s="59" t="str">
        <f>Fill_Value(filament!C401)</f>
        <v/>
      </c>
      <c r="D401" s="4"/>
      <c r="E401" s="4"/>
      <c r="F401" s="4"/>
      <c r="G401" s="4"/>
      <c r="H401" s="4"/>
      <c r="I401" s="4"/>
      <c r="J401" s="4"/>
      <c r="K401" s="4"/>
      <c r="L401" s="4"/>
      <c r="M401" s="4"/>
      <c r="N401" s="4"/>
    </row>
    <row r="402" spans="1:14" x14ac:dyDescent="0.25">
      <c r="A402" s="3" t="str">
        <f>Fill_Value(filament!A402)</f>
        <v/>
      </c>
      <c r="B402" s="47" t="str">
        <f>Fill_Value(filament!B402)</f>
        <v/>
      </c>
      <c r="C402" s="47" t="str">
        <f>Fill_Value(filament!C402)</f>
        <v/>
      </c>
      <c r="D402" s="3"/>
      <c r="E402" s="3"/>
      <c r="F402" s="3"/>
      <c r="G402" s="3"/>
      <c r="H402" s="3"/>
      <c r="I402" s="3"/>
      <c r="J402" s="3"/>
      <c r="K402" s="3"/>
      <c r="L402" s="3"/>
      <c r="M402" s="3"/>
      <c r="N402" s="3"/>
    </row>
    <row r="403" spans="1:14" x14ac:dyDescent="0.25">
      <c r="A403" s="4" t="str">
        <f>Fill_Value(filament!A403)</f>
        <v/>
      </c>
      <c r="B403" s="59" t="str">
        <f>Fill_Value(filament!B403)</f>
        <v/>
      </c>
      <c r="C403" s="59" t="str">
        <f>Fill_Value(filament!C403)</f>
        <v/>
      </c>
      <c r="D403" s="4"/>
      <c r="E403" s="4"/>
      <c r="F403" s="4"/>
      <c r="G403" s="4"/>
      <c r="H403" s="4"/>
      <c r="I403" s="4"/>
      <c r="J403" s="4"/>
      <c r="K403" s="4"/>
      <c r="L403" s="4"/>
      <c r="M403" s="4"/>
      <c r="N403" s="4"/>
    </row>
    <row r="404" spans="1:14" x14ac:dyDescent="0.25">
      <c r="A404" s="3" t="str">
        <f>Fill_Value(filament!A404)</f>
        <v/>
      </c>
      <c r="B404" s="47" t="str">
        <f>Fill_Value(filament!B404)</f>
        <v/>
      </c>
      <c r="C404" s="47" t="str">
        <f>Fill_Value(filament!C404)</f>
        <v/>
      </c>
      <c r="D404" s="3"/>
      <c r="E404" s="3"/>
      <c r="F404" s="3"/>
      <c r="G404" s="3"/>
      <c r="H404" s="3"/>
      <c r="I404" s="3"/>
      <c r="J404" s="3"/>
      <c r="K404" s="3"/>
      <c r="L404" s="3"/>
      <c r="M404" s="3"/>
      <c r="N404" s="3"/>
    </row>
    <row r="405" spans="1:14" x14ac:dyDescent="0.25">
      <c r="A405" s="4" t="str">
        <f>Fill_Value(filament!A405)</f>
        <v/>
      </c>
      <c r="B405" s="59" t="str">
        <f>Fill_Value(filament!B405)</f>
        <v/>
      </c>
      <c r="C405" s="59" t="str">
        <f>Fill_Value(filament!C405)</f>
        <v/>
      </c>
      <c r="D405" s="4"/>
      <c r="E405" s="4"/>
      <c r="F405" s="4"/>
      <c r="G405" s="4"/>
      <c r="H405" s="4"/>
      <c r="I405" s="4"/>
      <c r="J405" s="4"/>
      <c r="K405" s="4"/>
      <c r="L405" s="4"/>
      <c r="M405" s="4"/>
      <c r="N405" s="4"/>
    </row>
    <row r="406" spans="1:14" x14ac:dyDescent="0.25">
      <c r="A406" s="3" t="str">
        <f>Fill_Value(filament!A406)</f>
        <v/>
      </c>
      <c r="B406" s="47" t="str">
        <f>Fill_Value(filament!B406)</f>
        <v/>
      </c>
      <c r="C406" s="47" t="str">
        <f>Fill_Value(filament!C406)</f>
        <v/>
      </c>
      <c r="D406" s="3"/>
      <c r="E406" s="3"/>
      <c r="F406" s="3"/>
      <c r="G406" s="3"/>
      <c r="H406" s="3"/>
      <c r="I406" s="3"/>
      <c r="J406" s="3"/>
      <c r="K406" s="3"/>
      <c r="L406" s="3"/>
      <c r="M406" s="3"/>
      <c r="N406" s="3"/>
    </row>
    <row r="407" spans="1:14" x14ac:dyDescent="0.25">
      <c r="A407" s="4" t="str">
        <f>Fill_Value(filament!A407)</f>
        <v/>
      </c>
      <c r="B407" s="59" t="str">
        <f>Fill_Value(filament!B407)</f>
        <v/>
      </c>
      <c r="C407" s="59" t="str">
        <f>Fill_Value(filament!C407)</f>
        <v/>
      </c>
      <c r="D407" s="4"/>
      <c r="E407" s="4"/>
      <c r="F407" s="4"/>
      <c r="G407" s="4"/>
      <c r="H407" s="4"/>
      <c r="I407" s="4"/>
      <c r="J407" s="4"/>
      <c r="K407" s="4"/>
      <c r="L407" s="4"/>
      <c r="M407" s="4"/>
      <c r="N407" s="4"/>
    </row>
    <row r="408" spans="1:14" x14ac:dyDescent="0.25">
      <c r="A408" s="3" t="str">
        <f>Fill_Value(filament!A408)</f>
        <v/>
      </c>
      <c r="B408" s="47" t="str">
        <f>Fill_Value(filament!B408)</f>
        <v/>
      </c>
      <c r="C408" s="47" t="str">
        <f>Fill_Value(filament!C408)</f>
        <v/>
      </c>
      <c r="D408" s="3"/>
      <c r="E408" s="3"/>
      <c r="F408" s="3"/>
      <c r="G408" s="3"/>
      <c r="H408" s="3"/>
      <c r="I408" s="3"/>
      <c r="J408" s="3"/>
      <c r="K408" s="3"/>
      <c r="L408" s="3"/>
      <c r="M408" s="3"/>
      <c r="N408" s="3"/>
    </row>
    <row r="409" spans="1:14" x14ac:dyDescent="0.25">
      <c r="A409" s="4" t="str">
        <f>Fill_Value(filament!A409)</f>
        <v/>
      </c>
      <c r="B409" s="59" t="str">
        <f>Fill_Value(filament!B409)</f>
        <v/>
      </c>
      <c r="C409" s="59" t="str">
        <f>Fill_Value(filament!C409)</f>
        <v/>
      </c>
      <c r="D409" s="4"/>
      <c r="E409" s="4"/>
      <c r="F409" s="4"/>
      <c r="G409" s="4"/>
      <c r="H409" s="4"/>
      <c r="I409" s="4"/>
      <c r="J409" s="4"/>
      <c r="K409" s="4"/>
      <c r="L409" s="4"/>
      <c r="M409" s="4"/>
      <c r="N409" s="4"/>
    </row>
    <row r="410" spans="1:14" x14ac:dyDescent="0.25">
      <c r="A410" s="3" t="str">
        <f>Fill_Value(filament!A410)</f>
        <v/>
      </c>
      <c r="B410" s="47" t="str">
        <f>Fill_Value(filament!B410)</f>
        <v/>
      </c>
      <c r="C410" s="47" t="str">
        <f>Fill_Value(filament!C410)</f>
        <v/>
      </c>
      <c r="D410" s="3"/>
      <c r="E410" s="3"/>
      <c r="F410" s="3"/>
      <c r="G410" s="3"/>
      <c r="H410" s="3"/>
      <c r="I410" s="3"/>
      <c r="J410" s="3"/>
      <c r="K410" s="3"/>
      <c r="L410" s="3"/>
      <c r="M410" s="3"/>
      <c r="N410" s="3"/>
    </row>
    <row r="411" spans="1:14" x14ac:dyDescent="0.25">
      <c r="A411" s="4" t="str">
        <f>Fill_Value(filament!A411)</f>
        <v/>
      </c>
      <c r="B411" s="59" t="str">
        <f>Fill_Value(filament!B411)</f>
        <v/>
      </c>
      <c r="C411" s="59" t="str">
        <f>Fill_Value(filament!C411)</f>
        <v/>
      </c>
      <c r="D411" s="4"/>
      <c r="E411" s="4"/>
      <c r="F411" s="4"/>
      <c r="G411" s="4"/>
      <c r="H411" s="4"/>
      <c r="I411" s="4"/>
      <c r="J411" s="4"/>
      <c r="K411" s="4"/>
      <c r="L411" s="4"/>
      <c r="M411" s="4"/>
      <c r="N411" s="4"/>
    </row>
    <row r="412" spans="1:14" x14ac:dyDescent="0.25">
      <c r="A412" s="3" t="str">
        <f>Fill_Value(filament!A412)</f>
        <v/>
      </c>
      <c r="B412" s="47" t="str">
        <f>Fill_Value(filament!B412)</f>
        <v/>
      </c>
      <c r="C412" s="47" t="str">
        <f>Fill_Value(filament!C412)</f>
        <v/>
      </c>
      <c r="D412" s="3"/>
      <c r="E412" s="3"/>
      <c r="F412" s="3"/>
      <c r="G412" s="3"/>
      <c r="H412" s="3"/>
      <c r="I412" s="3"/>
      <c r="J412" s="3"/>
      <c r="K412" s="3"/>
      <c r="L412" s="3"/>
      <c r="M412" s="3"/>
      <c r="N412" s="3"/>
    </row>
    <row r="413" spans="1:14" x14ac:dyDescent="0.25">
      <c r="A413" s="4" t="str">
        <f>Fill_Value(filament!A413)</f>
        <v/>
      </c>
      <c r="B413" s="59" t="str">
        <f>Fill_Value(filament!B413)</f>
        <v/>
      </c>
      <c r="C413" s="59" t="str">
        <f>Fill_Value(filament!C413)</f>
        <v/>
      </c>
      <c r="D413" s="4"/>
      <c r="E413" s="4"/>
      <c r="F413" s="4"/>
      <c r="G413" s="4"/>
      <c r="H413" s="4"/>
      <c r="I413" s="4"/>
      <c r="J413" s="4"/>
      <c r="K413" s="4"/>
      <c r="L413" s="4"/>
      <c r="M413" s="4"/>
      <c r="N413" s="4"/>
    </row>
    <row r="414" spans="1:14" x14ac:dyDescent="0.25">
      <c r="A414" s="3" t="str">
        <f>Fill_Value(filament!A414)</f>
        <v/>
      </c>
      <c r="B414" s="47" t="str">
        <f>Fill_Value(filament!B414)</f>
        <v/>
      </c>
      <c r="C414" s="47" t="str">
        <f>Fill_Value(filament!C414)</f>
        <v/>
      </c>
      <c r="D414" s="3"/>
      <c r="E414" s="3"/>
      <c r="F414" s="3"/>
      <c r="G414" s="3"/>
      <c r="H414" s="3"/>
      <c r="I414" s="3"/>
      <c r="J414" s="3"/>
      <c r="K414" s="3"/>
      <c r="L414" s="3"/>
      <c r="M414" s="3"/>
      <c r="N414" s="3"/>
    </row>
    <row r="415" spans="1:14" x14ac:dyDescent="0.25">
      <c r="A415" s="4" t="str">
        <f>Fill_Value(filament!A415)</f>
        <v/>
      </c>
      <c r="B415" s="59" t="str">
        <f>Fill_Value(filament!B415)</f>
        <v/>
      </c>
      <c r="C415" s="59" t="str">
        <f>Fill_Value(filament!C415)</f>
        <v/>
      </c>
      <c r="D415" s="4"/>
      <c r="E415" s="4"/>
      <c r="F415" s="4"/>
      <c r="G415" s="4"/>
      <c r="H415" s="4"/>
      <c r="I415" s="4"/>
      <c r="J415" s="4"/>
      <c r="K415" s="4"/>
      <c r="L415" s="4"/>
      <c r="M415" s="4"/>
      <c r="N415" s="4"/>
    </row>
    <row r="416" spans="1:14" x14ac:dyDescent="0.25">
      <c r="A416" s="3" t="str">
        <f>Fill_Value(filament!A416)</f>
        <v/>
      </c>
      <c r="B416" s="47" t="str">
        <f>Fill_Value(filament!B416)</f>
        <v/>
      </c>
      <c r="C416" s="47" t="str">
        <f>Fill_Value(filament!C416)</f>
        <v/>
      </c>
      <c r="D416" s="3"/>
      <c r="E416" s="3"/>
      <c r="F416" s="3"/>
      <c r="G416" s="3"/>
      <c r="H416" s="3"/>
      <c r="I416" s="3"/>
      <c r="J416" s="3"/>
      <c r="K416" s="3"/>
      <c r="L416" s="3"/>
      <c r="M416" s="3"/>
      <c r="N416" s="3"/>
    </row>
    <row r="417" spans="1:14" x14ac:dyDescent="0.25">
      <c r="A417" s="4" t="str">
        <f>Fill_Value(filament!A417)</f>
        <v/>
      </c>
      <c r="B417" s="59" t="str">
        <f>Fill_Value(filament!B417)</f>
        <v/>
      </c>
      <c r="C417" s="59" t="str">
        <f>Fill_Value(filament!C417)</f>
        <v/>
      </c>
      <c r="D417" s="4"/>
      <c r="E417" s="4"/>
      <c r="F417" s="4"/>
      <c r="G417" s="4"/>
      <c r="H417" s="4"/>
      <c r="I417" s="4"/>
      <c r="J417" s="4"/>
      <c r="K417" s="4"/>
      <c r="L417" s="4"/>
      <c r="M417" s="4"/>
      <c r="N417" s="4"/>
    </row>
    <row r="418" spans="1:14" x14ac:dyDescent="0.25">
      <c r="A418" s="3" t="str">
        <f>Fill_Value(filament!A418)</f>
        <v/>
      </c>
      <c r="B418" s="47" t="str">
        <f>Fill_Value(filament!B418)</f>
        <v/>
      </c>
      <c r="C418" s="47" t="str">
        <f>Fill_Value(filament!C418)</f>
        <v/>
      </c>
      <c r="D418" s="3"/>
      <c r="E418" s="3"/>
      <c r="F418" s="3"/>
      <c r="G418" s="3"/>
      <c r="H418" s="3"/>
      <c r="I418" s="3"/>
      <c r="J418" s="3"/>
      <c r="K418" s="3"/>
      <c r="L418" s="3"/>
      <c r="M418" s="3"/>
      <c r="N418" s="3"/>
    </row>
    <row r="419" spans="1:14" x14ac:dyDescent="0.25">
      <c r="A419" s="4" t="str">
        <f>Fill_Value(filament!A419)</f>
        <v/>
      </c>
      <c r="B419" s="59" t="str">
        <f>Fill_Value(filament!B419)</f>
        <v/>
      </c>
      <c r="C419" s="59" t="str">
        <f>Fill_Value(filament!C419)</f>
        <v/>
      </c>
      <c r="D419" s="4"/>
      <c r="E419" s="4"/>
      <c r="F419" s="4"/>
      <c r="G419" s="4"/>
      <c r="H419" s="4"/>
      <c r="I419" s="4"/>
      <c r="J419" s="4"/>
      <c r="K419" s="4"/>
      <c r="L419" s="4"/>
      <c r="M419" s="4"/>
      <c r="N419" s="4"/>
    </row>
    <row r="420" spans="1:14" x14ac:dyDescent="0.25">
      <c r="A420" s="3" t="str">
        <f>Fill_Value(filament!A420)</f>
        <v/>
      </c>
      <c r="B420" s="47" t="str">
        <f>Fill_Value(filament!B420)</f>
        <v/>
      </c>
      <c r="C420" s="47" t="str">
        <f>Fill_Value(filament!C420)</f>
        <v/>
      </c>
      <c r="D420" s="3"/>
      <c r="E420" s="3"/>
      <c r="F420" s="3"/>
      <c r="G420" s="3"/>
      <c r="H420" s="3"/>
      <c r="I420" s="3"/>
      <c r="J420" s="3"/>
      <c r="K420" s="3"/>
      <c r="L420" s="3"/>
      <c r="M420" s="3"/>
      <c r="N420" s="3"/>
    </row>
    <row r="421" spans="1:14" x14ac:dyDescent="0.25">
      <c r="A421" s="4" t="str">
        <f>Fill_Value(filament!A421)</f>
        <v/>
      </c>
      <c r="B421" s="59" t="str">
        <f>Fill_Value(filament!B421)</f>
        <v/>
      </c>
      <c r="C421" s="59" t="str">
        <f>Fill_Value(filament!C421)</f>
        <v/>
      </c>
      <c r="D421" s="4"/>
      <c r="E421" s="4"/>
      <c r="F421" s="4"/>
      <c r="G421" s="4"/>
      <c r="H421" s="4"/>
      <c r="I421" s="4"/>
      <c r="J421" s="4"/>
      <c r="K421" s="4"/>
      <c r="L421" s="4"/>
      <c r="M421" s="4"/>
      <c r="N421" s="4"/>
    </row>
    <row r="422" spans="1:14" x14ac:dyDescent="0.25">
      <c r="A422" s="3" t="str">
        <f>Fill_Value(filament!A422)</f>
        <v/>
      </c>
      <c r="B422" s="47" t="str">
        <f>Fill_Value(filament!B422)</f>
        <v/>
      </c>
      <c r="C422" s="47" t="str">
        <f>Fill_Value(filament!C422)</f>
        <v/>
      </c>
      <c r="D422" s="3"/>
      <c r="E422" s="3"/>
      <c r="F422" s="3"/>
      <c r="G422" s="3"/>
      <c r="H422" s="3"/>
      <c r="I422" s="3"/>
      <c r="J422" s="3"/>
      <c r="K422" s="3"/>
      <c r="L422" s="3"/>
      <c r="M422" s="3"/>
      <c r="N422" s="3"/>
    </row>
    <row r="423" spans="1:14" x14ac:dyDescent="0.25">
      <c r="A423" s="4" t="str">
        <f>Fill_Value(filament!A423)</f>
        <v/>
      </c>
      <c r="B423" s="59" t="str">
        <f>Fill_Value(filament!B423)</f>
        <v/>
      </c>
      <c r="C423" s="59" t="str">
        <f>Fill_Value(filament!C423)</f>
        <v/>
      </c>
      <c r="D423" s="4"/>
      <c r="E423" s="4"/>
      <c r="F423" s="4"/>
      <c r="G423" s="4"/>
      <c r="H423" s="4"/>
      <c r="I423" s="4"/>
      <c r="J423" s="4"/>
      <c r="K423" s="4"/>
      <c r="L423" s="4"/>
      <c r="M423" s="4"/>
      <c r="N423" s="4"/>
    </row>
    <row r="424" spans="1:14" x14ac:dyDescent="0.25">
      <c r="A424" s="3" t="str">
        <f>Fill_Value(filament!A424)</f>
        <v/>
      </c>
      <c r="B424" s="47" t="str">
        <f>Fill_Value(filament!B424)</f>
        <v/>
      </c>
      <c r="C424" s="47" t="str">
        <f>Fill_Value(filament!C424)</f>
        <v/>
      </c>
      <c r="D424" s="3"/>
      <c r="E424" s="3"/>
      <c r="F424" s="3"/>
      <c r="G424" s="3"/>
      <c r="H424" s="3"/>
      <c r="I424" s="3"/>
      <c r="J424" s="3"/>
      <c r="K424" s="3"/>
      <c r="L424" s="3"/>
      <c r="M424" s="3"/>
      <c r="N424" s="3"/>
    </row>
    <row r="425" spans="1:14" x14ac:dyDescent="0.25">
      <c r="A425" s="4" t="str">
        <f>Fill_Value(filament!A425)</f>
        <v/>
      </c>
      <c r="B425" s="59" t="str">
        <f>Fill_Value(filament!B425)</f>
        <v/>
      </c>
      <c r="C425" s="59" t="str">
        <f>Fill_Value(filament!C425)</f>
        <v/>
      </c>
      <c r="D425" s="4"/>
      <c r="E425" s="4"/>
      <c r="F425" s="4"/>
      <c r="G425" s="4"/>
      <c r="H425" s="4"/>
      <c r="I425" s="4"/>
      <c r="J425" s="4"/>
      <c r="K425" s="4"/>
      <c r="L425" s="4"/>
      <c r="M425" s="4"/>
      <c r="N425" s="4"/>
    </row>
    <row r="426" spans="1:14" x14ac:dyDescent="0.25">
      <c r="A426" s="3" t="str">
        <f>Fill_Value(filament!A426)</f>
        <v/>
      </c>
      <c r="B426" s="47" t="str">
        <f>Fill_Value(filament!B426)</f>
        <v/>
      </c>
      <c r="C426" s="47" t="str">
        <f>Fill_Value(filament!C426)</f>
        <v/>
      </c>
      <c r="D426" s="3"/>
      <c r="E426" s="3"/>
      <c r="F426" s="3"/>
      <c r="G426" s="3"/>
      <c r="H426" s="3"/>
      <c r="I426" s="3"/>
      <c r="J426" s="3"/>
      <c r="K426" s="3"/>
      <c r="L426" s="3"/>
      <c r="M426" s="3"/>
      <c r="N426" s="3"/>
    </row>
    <row r="427" spans="1:14" x14ac:dyDescent="0.25">
      <c r="A427" s="4" t="str">
        <f>Fill_Value(filament!A427)</f>
        <v/>
      </c>
      <c r="B427" s="59" t="str">
        <f>Fill_Value(filament!B427)</f>
        <v/>
      </c>
      <c r="C427" s="59" t="str">
        <f>Fill_Value(filament!C427)</f>
        <v/>
      </c>
      <c r="D427" s="4"/>
      <c r="E427" s="4"/>
      <c r="F427" s="4"/>
      <c r="G427" s="4"/>
      <c r="H427" s="4"/>
      <c r="I427" s="4"/>
      <c r="J427" s="4"/>
      <c r="K427" s="4"/>
      <c r="L427" s="4"/>
      <c r="M427" s="4"/>
      <c r="N427" s="4"/>
    </row>
    <row r="428" spans="1:14" x14ac:dyDescent="0.25">
      <c r="A428" s="3" t="str">
        <f>Fill_Value(filament!A428)</f>
        <v/>
      </c>
      <c r="B428" s="47" t="str">
        <f>Fill_Value(filament!B428)</f>
        <v/>
      </c>
      <c r="C428" s="47" t="str">
        <f>Fill_Value(filament!C428)</f>
        <v/>
      </c>
      <c r="D428" s="3"/>
      <c r="E428" s="3"/>
      <c r="F428" s="3"/>
      <c r="G428" s="3"/>
      <c r="H428" s="3"/>
      <c r="I428" s="3"/>
      <c r="J428" s="3"/>
      <c r="K428" s="3"/>
      <c r="L428" s="3"/>
      <c r="M428" s="3"/>
      <c r="N428" s="3"/>
    </row>
    <row r="429" spans="1:14" x14ac:dyDescent="0.25">
      <c r="A429" s="4" t="str">
        <f>Fill_Value(filament!A429)</f>
        <v/>
      </c>
      <c r="B429" s="59" t="str">
        <f>Fill_Value(filament!B429)</f>
        <v/>
      </c>
      <c r="C429" s="59" t="str">
        <f>Fill_Value(filament!C429)</f>
        <v/>
      </c>
      <c r="D429" s="4"/>
      <c r="E429" s="4"/>
      <c r="F429" s="4"/>
      <c r="G429" s="4"/>
      <c r="H429" s="4"/>
      <c r="I429" s="4"/>
      <c r="J429" s="4"/>
      <c r="K429" s="4"/>
      <c r="L429" s="4"/>
      <c r="M429" s="4"/>
      <c r="N429" s="4"/>
    </row>
    <row r="430" spans="1:14" x14ac:dyDescent="0.25">
      <c r="A430" s="3" t="str">
        <f>Fill_Value(filament!A430)</f>
        <v/>
      </c>
      <c r="B430" s="47" t="str">
        <f>Fill_Value(filament!B430)</f>
        <v/>
      </c>
      <c r="C430" s="47" t="str">
        <f>Fill_Value(filament!C430)</f>
        <v/>
      </c>
      <c r="D430" s="3"/>
      <c r="E430" s="3"/>
      <c r="F430" s="3"/>
      <c r="G430" s="3"/>
      <c r="H430" s="3"/>
      <c r="I430" s="3"/>
      <c r="J430" s="3"/>
      <c r="K430" s="3"/>
      <c r="L430" s="3"/>
      <c r="M430" s="3"/>
      <c r="N430" s="3"/>
    </row>
    <row r="431" spans="1:14" x14ac:dyDescent="0.25">
      <c r="A431" s="4" t="str">
        <f>Fill_Value(filament!A431)</f>
        <v/>
      </c>
      <c r="B431" s="59" t="str">
        <f>Fill_Value(filament!B431)</f>
        <v/>
      </c>
      <c r="C431" s="59" t="str">
        <f>Fill_Value(filament!C431)</f>
        <v/>
      </c>
      <c r="D431" s="4"/>
      <c r="E431" s="4"/>
      <c r="F431" s="4"/>
      <c r="G431" s="4"/>
      <c r="H431" s="4"/>
      <c r="I431" s="4"/>
      <c r="J431" s="4"/>
      <c r="K431" s="4"/>
      <c r="L431" s="4"/>
      <c r="M431" s="4"/>
      <c r="N431" s="4"/>
    </row>
    <row r="432" spans="1:14" x14ac:dyDescent="0.25">
      <c r="A432" s="3" t="str">
        <f>Fill_Value(filament!A432)</f>
        <v/>
      </c>
      <c r="B432" s="47" t="str">
        <f>Fill_Value(filament!B432)</f>
        <v/>
      </c>
      <c r="C432" s="47" t="str">
        <f>Fill_Value(filament!C432)</f>
        <v/>
      </c>
      <c r="D432" s="3"/>
      <c r="E432" s="3"/>
      <c r="F432" s="3"/>
      <c r="G432" s="3"/>
      <c r="H432" s="3"/>
      <c r="I432" s="3"/>
      <c r="J432" s="3"/>
      <c r="K432" s="3"/>
      <c r="L432" s="3"/>
      <c r="M432" s="3"/>
      <c r="N432" s="3"/>
    </row>
    <row r="433" spans="1:14" x14ac:dyDescent="0.25">
      <c r="A433" s="4" t="str">
        <f>Fill_Value(filament!A433)</f>
        <v/>
      </c>
      <c r="B433" s="59" t="str">
        <f>Fill_Value(filament!B433)</f>
        <v/>
      </c>
      <c r="C433" s="59" t="str">
        <f>Fill_Value(filament!C433)</f>
        <v/>
      </c>
      <c r="D433" s="4"/>
      <c r="E433" s="4"/>
      <c r="F433" s="4"/>
      <c r="G433" s="4"/>
      <c r="H433" s="4"/>
      <c r="I433" s="4"/>
      <c r="J433" s="4"/>
      <c r="K433" s="4"/>
      <c r="L433" s="4"/>
      <c r="M433" s="4"/>
      <c r="N433" s="4"/>
    </row>
    <row r="434" spans="1:14" x14ac:dyDescent="0.25">
      <c r="A434" s="3" t="str">
        <f>Fill_Value(filament!A434)</f>
        <v/>
      </c>
      <c r="B434" s="47" t="str">
        <f>Fill_Value(filament!B434)</f>
        <v/>
      </c>
      <c r="C434" s="47" t="str">
        <f>Fill_Value(filament!C434)</f>
        <v/>
      </c>
      <c r="D434" s="3"/>
      <c r="E434" s="3"/>
      <c r="F434" s="3"/>
      <c r="G434" s="3"/>
      <c r="H434" s="3"/>
      <c r="I434" s="3"/>
      <c r="J434" s="3"/>
      <c r="K434" s="3"/>
      <c r="L434" s="3"/>
      <c r="M434" s="3"/>
      <c r="N434" s="3"/>
    </row>
    <row r="435" spans="1:14" x14ac:dyDescent="0.25">
      <c r="A435" s="4" t="str">
        <f>Fill_Value(filament!A435)</f>
        <v/>
      </c>
      <c r="B435" s="59" t="str">
        <f>Fill_Value(filament!B435)</f>
        <v/>
      </c>
      <c r="C435" s="59" t="str">
        <f>Fill_Value(filament!C435)</f>
        <v/>
      </c>
      <c r="D435" s="4"/>
      <c r="E435" s="4"/>
      <c r="F435" s="4"/>
      <c r="G435" s="4"/>
      <c r="H435" s="4"/>
      <c r="I435" s="4"/>
      <c r="J435" s="4"/>
      <c r="K435" s="4"/>
      <c r="L435" s="4"/>
      <c r="M435" s="4"/>
      <c r="N435" s="4"/>
    </row>
    <row r="436" spans="1:14" x14ac:dyDescent="0.25">
      <c r="A436" s="3" t="str">
        <f>Fill_Value(filament!A436)</f>
        <v/>
      </c>
      <c r="B436" s="47" t="str">
        <f>Fill_Value(filament!B436)</f>
        <v/>
      </c>
      <c r="C436" s="47" t="str">
        <f>Fill_Value(filament!C436)</f>
        <v/>
      </c>
      <c r="D436" s="3"/>
      <c r="E436" s="3"/>
      <c r="F436" s="3"/>
      <c r="G436" s="3"/>
      <c r="H436" s="3"/>
      <c r="I436" s="3"/>
      <c r="J436" s="3"/>
      <c r="K436" s="3"/>
      <c r="L436" s="3"/>
      <c r="M436" s="3"/>
      <c r="N436" s="3"/>
    </row>
    <row r="437" spans="1:14" x14ac:dyDescent="0.25">
      <c r="A437" s="4" t="str">
        <f>Fill_Value(filament!A437)</f>
        <v/>
      </c>
      <c r="B437" s="59" t="str">
        <f>Fill_Value(filament!B437)</f>
        <v/>
      </c>
      <c r="C437" s="59" t="str">
        <f>Fill_Value(filament!C437)</f>
        <v/>
      </c>
      <c r="D437" s="4"/>
      <c r="E437" s="4"/>
      <c r="F437" s="4"/>
      <c r="G437" s="4"/>
      <c r="H437" s="4"/>
      <c r="I437" s="4"/>
      <c r="J437" s="4"/>
      <c r="K437" s="4"/>
      <c r="L437" s="4"/>
      <c r="M437" s="4"/>
      <c r="N437" s="4"/>
    </row>
    <row r="438" spans="1:14" x14ac:dyDescent="0.25">
      <c r="A438" s="3" t="str">
        <f>Fill_Value(filament!A438)</f>
        <v/>
      </c>
      <c r="B438" s="47" t="str">
        <f>Fill_Value(filament!B438)</f>
        <v/>
      </c>
      <c r="C438" s="47" t="str">
        <f>Fill_Value(filament!C438)</f>
        <v/>
      </c>
      <c r="D438" s="3"/>
      <c r="E438" s="3"/>
      <c r="F438" s="3"/>
      <c r="G438" s="3"/>
      <c r="H438" s="3"/>
      <c r="I438" s="3"/>
      <c r="J438" s="3"/>
      <c r="K438" s="3"/>
      <c r="L438" s="3"/>
      <c r="M438" s="3"/>
      <c r="N438" s="3"/>
    </row>
    <row r="439" spans="1:14" x14ac:dyDescent="0.25">
      <c r="A439" s="4" t="str">
        <f>Fill_Value(filament!A439)</f>
        <v/>
      </c>
      <c r="B439" s="59" t="str">
        <f>Fill_Value(filament!B439)</f>
        <v/>
      </c>
      <c r="C439" s="59" t="str">
        <f>Fill_Value(filament!C439)</f>
        <v/>
      </c>
      <c r="D439" s="4"/>
      <c r="E439" s="4"/>
      <c r="F439" s="4"/>
      <c r="G439" s="4"/>
      <c r="H439" s="4"/>
      <c r="I439" s="4"/>
      <c r="J439" s="4"/>
      <c r="K439" s="4"/>
      <c r="L439" s="4"/>
      <c r="M439" s="4"/>
      <c r="N439" s="4"/>
    </row>
    <row r="440" spans="1:14" x14ac:dyDescent="0.25">
      <c r="A440" s="3" t="str">
        <f>Fill_Value(filament!A440)</f>
        <v/>
      </c>
      <c r="B440" s="47" t="str">
        <f>Fill_Value(filament!B440)</f>
        <v/>
      </c>
      <c r="C440" s="47" t="str">
        <f>Fill_Value(filament!C440)</f>
        <v/>
      </c>
      <c r="D440" s="3"/>
      <c r="E440" s="3"/>
      <c r="F440" s="3"/>
      <c r="G440" s="3"/>
      <c r="H440" s="3"/>
      <c r="I440" s="3"/>
      <c r="J440" s="3"/>
      <c r="K440" s="3"/>
      <c r="L440" s="3"/>
      <c r="M440" s="3"/>
      <c r="N440" s="3"/>
    </row>
    <row r="441" spans="1:14" x14ac:dyDescent="0.25">
      <c r="A441" s="4" t="str">
        <f>Fill_Value(filament!A441)</f>
        <v/>
      </c>
      <c r="B441" s="59" t="str">
        <f>Fill_Value(filament!B441)</f>
        <v/>
      </c>
      <c r="C441" s="59" t="str">
        <f>Fill_Value(filament!C441)</f>
        <v/>
      </c>
      <c r="D441" s="4"/>
      <c r="E441" s="4"/>
      <c r="F441" s="4"/>
      <c r="G441" s="4"/>
      <c r="H441" s="4"/>
      <c r="I441" s="4"/>
      <c r="J441" s="4"/>
      <c r="K441" s="4"/>
      <c r="L441" s="4"/>
      <c r="M441" s="4"/>
      <c r="N441" s="4"/>
    </row>
    <row r="442" spans="1:14" x14ac:dyDescent="0.25">
      <c r="A442" s="3" t="str">
        <f>Fill_Value(filament!A442)</f>
        <v/>
      </c>
      <c r="B442" s="47" t="str">
        <f>Fill_Value(filament!B442)</f>
        <v/>
      </c>
      <c r="C442" s="47" t="str">
        <f>Fill_Value(filament!C442)</f>
        <v/>
      </c>
      <c r="D442" s="3"/>
      <c r="E442" s="3"/>
      <c r="F442" s="3"/>
      <c r="G442" s="3"/>
      <c r="H442" s="3"/>
      <c r="I442" s="3"/>
      <c r="J442" s="3"/>
      <c r="K442" s="3"/>
      <c r="L442" s="3"/>
      <c r="M442" s="3"/>
      <c r="N442" s="3"/>
    </row>
    <row r="443" spans="1:14" x14ac:dyDescent="0.25">
      <c r="A443" s="4" t="str">
        <f>Fill_Value(filament!A443)</f>
        <v/>
      </c>
      <c r="B443" s="59" t="str">
        <f>Fill_Value(filament!B443)</f>
        <v/>
      </c>
      <c r="C443" s="59" t="str">
        <f>Fill_Value(filament!C443)</f>
        <v/>
      </c>
      <c r="D443" s="4"/>
      <c r="E443" s="4"/>
      <c r="F443" s="4"/>
      <c r="G443" s="4"/>
      <c r="H443" s="4"/>
      <c r="I443" s="4"/>
      <c r="J443" s="4"/>
      <c r="K443" s="4"/>
      <c r="L443" s="4"/>
      <c r="M443" s="4"/>
      <c r="N443" s="4"/>
    </row>
    <row r="444" spans="1:14" x14ac:dyDescent="0.25">
      <c r="A444" s="3" t="str">
        <f>Fill_Value(filament!A444)</f>
        <v/>
      </c>
      <c r="B444" s="47" t="str">
        <f>Fill_Value(filament!B444)</f>
        <v/>
      </c>
      <c r="C444" s="47" t="str">
        <f>Fill_Value(filament!C444)</f>
        <v/>
      </c>
      <c r="D444" s="3"/>
      <c r="E444" s="3"/>
      <c r="F444" s="3"/>
      <c r="G444" s="3"/>
      <c r="H444" s="3"/>
      <c r="I444" s="3"/>
      <c r="J444" s="3"/>
      <c r="K444" s="3"/>
      <c r="L444" s="3"/>
      <c r="M444" s="3"/>
      <c r="N444" s="3"/>
    </row>
    <row r="445" spans="1:14" x14ac:dyDescent="0.25">
      <c r="A445" s="4" t="str">
        <f>Fill_Value(filament!A445)</f>
        <v/>
      </c>
      <c r="B445" s="59" t="str">
        <f>Fill_Value(filament!B445)</f>
        <v/>
      </c>
      <c r="C445" s="59" t="str">
        <f>Fill_Value(filament!C445)</f>
        <v/>
      </c>
      <c r="D445" s="4"/>
      <c r="E445" s="4"/>
      <c r="F445" s="4"/>
      <c r="G445" s="4"/>
      <c r="H445" s="4"/>
      <c r="I445" s="4"/>
      <c r="J445" s="4"/>
      <c r="K445" s="4"/>
      <c r="L445" s="4"/>
      <c r="M445" s="4"/>
      <c r="N445" s="4"/>
    </row>
    <row r="446" spans="1:14" x14ac:dyDescent="0.25">
      <c r="A446" s="3" t="str">
        <f>Fill_Value(filament!A446)</f>
        <v/>
      </c>
      <c r="B446" s="47" t="str">
        <f>Fill_Value(filament!B446)</f>
        <v/>
      </c>
      <c r="C446" s="47" t="str">
        <f>Fill_Value(filament!C446)</f>
        <v/>
      </c>
      <c r="D446" s="3"/>
      <c r="E446" s="3"/>
      <c r="F446" s="3"/>
      <c r="G446" s="3"/>
      <c r="H446" s="3"/>
      <c r="I446" s="3"/>
      <c r="J446" s="3"/>
      <c r="K446" s="3"/>
      <c r="L446" s="3"/>
      <c r="M446" s="3"/>
      <c r="N446" s="3"/>
    </row>
    <row r="447" spans="1:14" x14ac:dyDescent="0.25">
      <c r="A447" s="4" t="str">
        <f>Fill_Value(filament!A447)</f>
        <v/>
      </c>
      <c r="B447" s="59" t="str">
        <f>Fill_Value(filament!B447)</f>
        <v/>
      </c>
      <c r="C447" s="59" t="str">
        <f>Fill_Value(filament!C447)</f>
        <v/>
      </c>
      <c r="D447" s="4"/>
      <c r="E447" s="4"/>
      <c r="F447" s="4"/>
      <c r="G447" s="4"/>
      <c r="H447" s="4"/>
      <c r="I447" s="4"/>
      <c r="J447" s="4"/>
      <c r="K447" s="4"/>
      <c r="L447" s="4"/>
      <c r="M447" s="4"/>
      <c r="N447" s="4"/>
    </row>
    <row r="448" spans="1:14" x14ac:dyDescent="0.25">
      <c r="A448" s="3" t="str">
        <f>Fill_Value(filament!A448)</f>
        <v/>
      </c>
      <c r="B448" s="47" t="str">
        <f>Fill_Value(filament!B448)</f>
        <v/>
      </c>
      <c r="C448" s="47" t="str">
        <f>Fill_Value(filament!C448)</f>
        <v/>
      </c>
      <c r="D448" s="3"/>
      <c r="E448" s="3"/>
      <c r="F448" s="3"/>
      <c r="G448" s="3"/>
      <c r="H448" s="3"/>
      <c r="I448" s="3"/>
      <c r="J448" s="3"/>
      <c r="K448" s="3"/>
      <c r="L448" s="3"/>
      <c r="M448" s="3"/>
      <c r="N448" s="3"/>
    </row>
    <row r="449" spans="1:14" x14ac:dyDescent="0.25">
      <c r="A449" s="4" t="str">
        <f>Fill_Value(filament!A449)</f>
        <v/>
      </c>
      <c r="B449" s="59" t="str">
        <f>Fill_Value(filament!B449)</f>
        <v/>
      </c>
      <c r="C449" s="59" t="str">
        <f>Fill_Value(filament!C449)</f>
        <v/>
      </c>
      <c r="D449" s="4"/>
      <c r="E449" s="4"/>
      <c r="F449" s="4"/>
      <c r="G449" s="4"/>
      <c r="H449" s="4"/>
      <c r="I449" s="4"/>
      <c r="J449" s="4"/>
      <c r="K449" s="4"/>
      <c r="L449" s="4"/>
      <c r="M449" s="4"/>
      <c r="N449" s="4"/>
    </row>
    <row r="450" spans="1:14" x14ac:dyDescent="0.25">
      <c r="A450" s="3" t="str">
        <f>Fill_Value(filament!A450)</f>
        <v/>
      </c>
      <c r="B450" s="47" t="str">
        <f>Fill_Value(filament!B450)</f>
        <v/>
      </c>
      <c r="C450" s="47" t="str">
        <f>Fill_Value(filament!C450)</f>
        <v/>
      </c>
      <c r="D450" s="3"/>
      <c r="E450" s="3"/>
      <c r="F450" s="3"/>
      <c r="G450" s="3"/>
      <c r="H450" s="3"/>
      <c r="I450" s="3"/>
      <c r="J450" s="3"/>
      <c r="K450" s="3"/>
      <c r="L450" s="3"/>
      <c r="M450" s="3"/>
      <c r="N450" s="3"/>
    </row>
    <row r="451" spans="1:14" x14ac:dyDescent="0.25">
      <c r="A451" s="4" t="str">
        <f>Fill_Value(filament!A451)</f>
        <v/>
      </c>
      <c r="B451" s="59" t="str">
        <f>Fill_Value(filament!B451)</f>
        <v/>
      </c>
      <c r="C451" s="59" t="str">
        <f>Fill_Value(filament!C451)</f>
        <v/>
      </c>
      <c r="D451" s="4"/>
      <c r="E451" s="4"/>
      <c r="F451" s="4"/>
      <c r="G451" s="4"/>
      <c r="H451" s="4"/>
      <c r="I451" s="4"/>
      <c r="J451" s="4"/>
      <c r="K451" s="4"/>
      <c r="L451" s="4"/>
      <c r="M451" s="4"/>
      <c r="N451" s="4"/>
    </row>
    <row r="452" spans="1:14" x14ac:dyDescent="0.25">
      <c r="A452" s="3" t="str">
        <f>Fill_Value(filament!A452)</f>
        <v/>
      </c>
      <c r="B452" s="47" t="str">
        <f>Fill_Value(filament!B452)</f>
        <v/>
      </c>
      <c r="C452" s="47" t="str">
        <f>Fill_Value(filament!C452)</f>
        <v/>
      </c>
      <c r="D452" s="3"/>
      <c r="E452" s="3"/>
      <c r="F452" s="3"/>
      <c r="G452" s="3"/>
      <c r="H452" s="3"/>
      <c r="I452" s="3"/>
      <c r="J452" s="3"/>
      <c r="K452" s="3"/>
      <c r="L452" s="3"/>
      <c r="M452" s="3"/>
      <c r="N452" s="3"/>
    </row>
    <row r="453" spans="1:14" x14ac:dyDescent="0.25">
      <c r="A453" s="4" t="str">
        <f>Fill_Value(filament!A453)</f>
        <v/>
      </c>
      <c r="B453" s="59" t="str">
        <f>Fill_Value(filament!B453)</f>
        <v/>
      </c>
      <c r="C453" s="59" t="str">
        <f>Fill_Value(filament!C453)</f>
        <v/>
      </c>
      <c r="D453" s="4"/>
      <c r="E453" s="4"/>
      <c r="F453" s="4"/>
      <c r="G453" s="4"/>
      <c r="H453" s="4"/>
      <c r="I453" s="4"/>
      <c r="J453" s="4"/>
      <c r="K453" s="4"/>
      <c r="L453" s="4"/>
      <c r="M453" s="4"/>
      <c r="N453" s="4"/>
    </row>
    <row r="454" spans="1:14" x14ac:dyDescent="0.25">
      <c r="A454" s="3" t="str">
        <f>Fill_Value(filament!A454)</f>
        <v/>
      </c>
      <c r="B454" s="47" t="str">
        <f>Fill_Value(filament!B454)</f>
        <v/>
      </c>
      <c r="C454" s="47" t="str">
        <f>Fill_Value(filament!C454)</f>
        <v/>
      </c>
      <c r="D454" s="3"/>
      <c r="E454" s="3"/>
      <c r="F454" s="3"/>
      <c r="G454" s="3"/>
      <c r="H454" s="3"/>
      <c r="I454" s="3"/>
      <c r="J454" s="3"/>
      <c r="K454" s="3"/>
      <c r="L454" s="3"/>
      <c r="M454" s="3"/>
      <c r="N454" s="3"/>
    </row>
    <row r="455" spans="1:14" x14ac:dyDescent="0.25">
      <c r="A455" s="4" t="str">
        <f>Fill_Value(filament!A455)</f>
        <v/>
      </c>
      <c r="B455" s="59" t="str">
        <f>Fill_Value(filament!B455)</f>
        <v/>
      </c>
      <c r="C455" s="59" t="str">
        <f>Fill_Value(filament!C455)</f>
        <v/>
      </c>
      <c r="D455" s="4"/>
      <c r="E455" s="4"/>
      <c r="F455" s="4"/>
      <c r="G455" s="4"/>
      <c r="H455" s="4"/>
      <c r="I455" s="4"/>
      <c r="J455" s="4"/>
      <c r="K455" s="4"/>
      <c r="L455" s="4"/>
      <c r="M455" s="4"/>
      <c r="N455" s="4"/>
    </row>
    <row r="456" spans="1:14" x14ac:dyDescent="0.25">
      <c r="A456" s="3" t="str">
        <f>Fill_Value(filament!A456)</f>
        <v/>
      </c>
      <c r="B456" s="47" t="str">
        <f>Fill_Value(filament!B456)</f>
        <v/>
      </c>
      <c r="C456" s="47" t="str">
        <f>Fill_Value(filament!C456)</f>
        <v/>
      </c>
      <c r="D456" s="3"/>
      <c r="E456" s="3"/>
      <c r="F456" s="3"/>
      <c r="G456" s="3"/>
      <c r="H456" s="3"/>
      <c r="I456" s="3"/>
      <c r="J456" s="3"/>
      <c r="K456" s="3"/>
      <c r="L456" s="3"/>
      <c r="M456" s="3"/>
      <c r="N456" s="3"/>
    </row>
    <row r="457" spans="1:14" x14ac:dyDescent="0.25">
      <c r="A457" s="4" t="str">
        <f>Fill_Value(filament!A457)</f>
        <v/>
      </c>
      <c r="B457" s="59" t="str">
        <f>Fill_Value(filament!B457)</f>
        <v/>
      </c>
      <c r="C457" s="59" t="str">
        <f>Fill_Value(filament!C457)</f>
        <v/>
      </c>
      <c r="D457" s="4"/>
      <c r="E457" s="4"/>
      <c r="F457" s="4"/>
      <c r="G457" s="4"/>
      <c r="H457" s="4"/>
      <c r="I457" s="4"/>
      <c r="J457" s="4"/>
      <c r="K457" s="4"/>
      <c r="L457" s="4"/>
      <c r="M457" s="4"/>
      <c r="N457" s="4"/>
    </row>
    <row r="458" spans="1:14" x14ac:dyDescent="0.25">
      <c r="A458" s="3" t="str">
        <f>Fill_Value(filament!A458)</f>
        <v/>
      </c>
      <c r="B458" s="47" t="str">
        <f>Fill_Value(filament!B458)</f>
        <v/>
      </c>
      <c r="C458" s="47" t="str">
        <f>Fill_Value(filament!C458)</f>
        <v/>
      </c>
      <c r="D458" s="3"/>
      <c r="E458" s="3"/>
      <c r="F458" s="3"/>
      <c r="G458" s="3"/>
      <c r="H458" s="3"/>
      <c r="I458" s="3"/>
      <c r="J458" s="3"/>
      <c r="K458" s="3"/>
      <c r="L458" s="3"/>
      <c r="M458" s="3"/>
      <c r="N458" s="3"/>
    </row>
    <row r="459" spans="1:14" x14ac:dyDescent="0.25">
      <c r="A459" s="4" t="str">
        <f>Fill_Value(filament!A459)</f>
        <v/>
      </c>
      <c r="B459" s="59" t="str">
        <f>Fill_Value(filament!B459)</f>
        <v/>
      </c>
      <c r="C459" s="59" t="str">
        <f>Fill_Value(filament!C459)</f>
        <v/>
      </c>
      <c r="D459" s="4"/>
      <c r="E459" s="4"/>
      <c r="F459" s="4"/>
      <c r="G459" s="4"/>
      <c r="H459" s="4"/>
      <c r="I459" s="4"/>
      <c r="J459" s="4"/>
      <c r="K459" s="4"/>
      <c r="L459" s="4"/>
      <c r="M459" s="4"/>
      <c r="N459" s="4"/>
    </row>
    <row r="460" spans="1:14" x14ac:dyDescent="0.25">
      <c r="A460" s="3" t="str">
        <f>Fill_Value(filament!A460)</f>
        <v/>
      </c>
      <c r="B460" s="47" t="str">
        <f>Fill_Value(filament!B460)</f>
        <v/>
      </c>
      <c r="C460" s="47" t="str">
        <f>Fill_Value(filament!C460)</f>
        <v/>
      </c>
      <c r="D460" s="3"/>
      <c r="E460" s="3"/>
      <c r="F460" s="3"/>
      <c r="G460" s="3"/>
      <c r="H460" s="3"/>
      <c r="I460" s="3"/>
      <c r="J460" s="3"/>
      <c r="K460" s="3"/>
      <c r="L460" s="3"/>
      <c r="M460" s="3"/>
      <c r="N460" s="3"/>
    </row>
    <row r="461" spans="1:14" x14ac:dyDescent="0.25">
      <c r="A461" s="4" t="str">
        <f>Fill_Value(filament!A461)</f>
        <v/>
      </c>
      <c r="B461" s="59" t="str">
        <f>Fill_Value(filament!B461)</f>
        <v/>
      </c>
      <c r="C461" s="59" t="str">
        <f>Fill_Value(filament!C461)</f>
        <v/>
      </c>
      <c r="D461" s="4"/>
      <c r="E461" s="4"/>
      <c r="F461" s="4"/>
      <c r="G461" s="4"/>
      <c r="H461" s="4"/>
      <c r="I461" s="4"/>
      <c r="J461" s="4"/>
      <c r="K461" s="4"/>
      <c r="L461" s="4"/>
      <c r="M461" s="4"/>
      <c r="N461" s="4"/>
    </row>
    <row r="462" spans="1:14" x14ac:dyDescent="0.25">
      <c r="A462" s="3" t="str">
        <f>Fill_Value(filament!A462)</f>
        <v/>
      </c>
      <c r="B462" s="47" t="str">
        <f>Fill_Value(filament!B462)</f>
        <v/>
      </c>
      <c r="C462" s="47" t="str">
        <f>Fill_Value(filament!C462)</f>
        <v/>
      </c>
      <c r="D462" s="3"/>
      <c r="E462" s="3"/>
      <c r="F462" s="3"/>
      <c r="G462" s="3"/>
      <c r="H462" s="3"/>
      <c r="I462" s="3"/>
      <c r="J462" s="3"/>
      <c r="K462" s="3"/>
      <c r="L462" s="3"/>
      <c r="M462" s="3"/>
      <c r="N462" s="3"/>
    </row>
    <row r="463" spans="1:14" x14ac:dyDescent="0.25">
      <c r="A463" s="4" t="str">
        <f>Fill_Value(filament!A463)</f>
        <v/>
      </c>
      <c r="B463" s="59" t="str">
        <f>Fill_Value(filament!B463)</f>
        <v/>
      </c>
      <c r="C463" s="59" t="str">
        <f>Fill_Value(filament!C463)</f>
        <v/>
      </c>
      <c r="D463" s="4"/>
      <c r="E463" s="4"/>
      <c r="F463" s="4"/>
      <c r="G463" s="4"/>
      <c r="H463" s="4"/>
      <c r="I463" s="4"/>
      <c r="J463" s="4"/>
      <c r="K463" s="4"/>
      <c r="L463" s="4"/>
      <c r="M463" s="4"/>
      <c r="N463" s="4"/>
    </row>
    <row r="464" spans="1:14" x14ac:dyDescent="0.25">
      <c r="A464" s="3" t="str">
        <f>Fill_Value(filament!A464)</f>
        <v/>
      </c>
      <c r="B464" s="47" t="str">
        <f>Fill_Value(filament!B464)</f>
        <v/>
      </c>
      <c r="C464" s="47" t="str">
        <f>Fill_Value(filament!C464)</f>
        <v/>
      </c>
      <c r="D464" s="3"/>
      <c r="E464" s="3"/>
      <c r="F464" s="3"/>
      <c r="G464" s="3"/>
      <c r="H464" s="3"/>
      <c r="I464" s="3"/>
      <c r="J464" s="3"/>
      <c r="K464" s="3"/>
      <c r="L464" s="3"/>
      <c r="M464" s="3"/>
      <c r="N464" s="3"/>
    </row>
    <row r="465" spans="1:14" x14ac:dyDescent="0.25">
      <c r="A465" s="4" t="str">
        <f>Fill_Value(filament!A465)</f>
        <v/>
      </c>
      <c r="B465" s="59" t="str">
        <f>Fill_Value(filament!B465)</f>
        <v/>
      </c>
      <c r="C465" s="59" t="str">
        <f>Fill_Value(filament!C465)</f>
        <v/>
      </c>
      <c r="D465" s="4"/>
      <c r="E465" s="4"/>
      <c r="F465" s="4"/>
      <c r="G465" s="4"/>
      <c r="H465" s="4"/>
      <c r="I465" s="4"/>
      <c r="J465" s="4"/>
      <c r="K465" s="4"/>
      <c r="L465" s="4"/>
      <c r="M465" s="4"/>
      <c r="N465" s="4"/>
    </row>
    <row r="466" spans="1:14" x14ac:dyDescent="0.25">
      <c r="A466" s="3" t="str">
        <f>Fill_Value(filament!A466)</f>
        <v/>
      </c>
      <c r="B466" s="47" t="str">
        <f>Fill_Value(filament!B466)</f>
        <v/>
      </c>
      <c r="C466" s="47" t="str">
        <f>Fill_Value(filament!C466)</f>
        <v/>
      </c>
      <c r="D466" s="3"/>
      <c r="E466" s="3"/>
      <c r="F466" s="3"/>
      <c r="G466" s="3"/>
      <c r="H466" s="3"/>
      <c r="I466" s="3"/>
      <c r="J466" s="3"/>
      <c r="K466" s="3"/>
      <c r="L466" s="3"/>
      <c r="M466" s="3"/>
      <c r="N466" s="3"/>
    </row>
    <row r="467" spans="1:14" x14ac:dyDescent="0.25">
      <c r="A467" s="4" t="str">
        <f>Fill_Value(filament!A467)</f>
        <v/>
      </c>
      <c r="B467" s="59" t="str">
        <f>Fill_Value(filament!B467)</f>
        <v/>
      </c>
      <c r="C467" s="59" t="str">
        <f>Fill_Value(filament!C467)</f>
        <v/>
      </c>
      <c r="D467" s="4"/>
      <c r="E467" s="4"/>
      <c r="F467" s="4"/>
      <c r="G467" s="4"/>
      <c r="H467" s="4"/>
      <c r="I467" s="4"/>
      <c r="J467" s="4"/>
      <c r="K467" s="4"/>
      <c r="L467" s="4"/>
      <c r="M467" s="4"/>
      <c r="N467" s="4"/>
    </row>
    <row r="468" spans="1:14" x14ac:dyDescent="0.25">
      <c r="A468" s="3" t="str">
        <f>Fill_Value(filament!A468)</f>
        <v/>
      </c>
      <c r="B468" s="47" t="str">
        <f>Fill_Value(filament!B468)</f>
        <v/>
      </c>
      <c r="C468" s="47" t="str">
        <f>Fill_Value(filament!C468)</f>
        <v/>
      </c>
      <c r="D468" s="3"/>
      <c r="E468" s="3"/>
      <c r="F468" s="3"/>
      <c r="G468" s="3"/>
      <c r="H468" s="3"/>
      <c r="I468" s="3"/>
      <c r="J468" s="3"/>
      <c r="K468" s="3"/>
      <c r="L468" s="3"/>
      <c r="M468" s="3"/>
      <c r="N468" s="3"/>
    </row>
    <row r="469" spans="1:14" x14ac:dyDescent="0.25">
      <c r="A469" s="4" t="str">
        <f>Fill_Value(filament!A469)</f>
        <v/>
      </c>
      <c r="B469" s="59" t="str">
        <f>Fill_Value(filament!B469)</f>
        <v/>
      </c>
      <c r="C469" s="59" t="str">
        <f>Fill_Value(filament!C469)</f>
        <v/>
      </c>
      <c r="D469" s="4"/>
      <c r="E469" s="4"/>
      <c r="F469" s="4"/>
      <c r="G469" s="4"/>
      <c r="H469" s="4"/>
      <c r="I469" s="4"/>
      <c r="J469" s="4"/>
      <c r="K469" s="4"/>
      <c r="L469" s="4"/>
      <c r="M469" s="4"/>
      <c r="N469" s="4"/>
    </row>
    <row r="470" spans="1:14" x14ac:dyDescent="0.25">
      <c r="A470" s="3" t="str">
        <f>Fill_Value(filament!A470)</f>
        <v/>
      </c>
      <c r="B470" s="47" t="str">
        <f>Fill_Value(filament!B470)</f>
        <v/>
      </c>
      <c r="C470" s="47" t="str">
        <f>Fill_Value(filament!C470)</f>
        <v/>
      </c>
      <c r="D470" s="3"/>
      <c r="E470" s="3"/>
      <c r="F470" s="3"/>
      <c r="G470" s="3"/>
      <c r="H470" s="3"/>
      <c r="I470" s="3"/>
      <c r="J470" s="3"/>
      <c r="K470" s="3"/>
      <c r="L470" s="3"/>
      <c r="M470" s="3"/>
      <c r="N470" s="3"/>
    </row>
    <row r="471" spans="1:14" x14ac:dyDescent="0.25">
      <c r="A471" s="4" t="str">
        <f>Fill_Value(filament!A471)</f>
        <v/>
      </c>
      <c r="B471" s="59" t="str">
        <f>Fill_Value(filament!B471)</f>
        <v/>
      </c>
      <c r="C471" s="59" t="str">
        <f>Fill_Value(filament!C471)</f>
        <v/>
      </c>
      <c r="D471" s="4"/>
      <c r="E471" s="4"/>
      <c r="F471" s="4"/>
      <c r="G471" s="4"/>
      <c r="H471" s="4"/>
      <c r="I471" s="4"/>
      <c r="J471" s="4"/>
      <c r="K471" s="4"/>
      <c r="L471" s="4"/>
      <c r="M471" s="4"/>
      <c r="N471" s="4"/>
    </row>
    <row r="472" spans="1:14" x14ac:dyDescent="0.25">
      <c r="A472" s="3" t="str">
        <f>Fill_Value(filament!A472)</f>
        <v/>
      </c>
      <c r="B472" s="47" t="str">
        <f>Fill_Value(filament!B472)</f>
        <v/>
      </c>
      <c r="C472" s="47" t="str">
        <f>Fill_Value(filament!C472)</f>
        <v/>
      </c>
      <c r="D472" s="3"/>
      <c r="E472" s="3"/>
      <c r="F472" s="3"/>
      <c r="G472" s="3"/>
      <c r="H472" s="3"/>
      <c r="I472" s="3"/>
      <c r="J472" s="3"/>
      <c r="K472" s="3"/>
      <c r="L472" s="3"/>
      <c r="M472" s="3"/>
      <c r="N472" s="3"/>
    </row>
    <row r="473" spans="1:14" x14ac:dyDescent="0.25">
      <c r="A473" s="4" t="str">
        <f>Fill_Value(filament!A473)</f>
        <v/>
      </c>
      <c r="B473" s="59" t="str">
        <f>Fill_Value(filament!B473)</f>
        <v/>
      </c>
      <c r="C473" s="59" t="str">
        <f>Fill_Value(filament!C473)</f>
        <v/>
      </c>
      <c r="D473" s="4"/>
      <c r="E473" s="4"/>
      <c r="F473" s="4"/>
      <c r="G473" s="4"/>
      <c r="H473" s="4"/>
      <c r="I473" s="4"/>
      <c r="J473" s="4"/>
      <c r="K473" s="4"/>
      <c r="L473" s="4"/>
      <c r="M473" s="4"/>
      <c r="N473" s="4"/>
    </row>
    <row r="474" spans="1:14" x14ac:dyDescent="0.25">
      <c r="A474" s="3" t="str">
        <f>Fill_Value(filament!A474)</f>
        <v/>
      </c>
      <c r="B474" s="47" t="str">
        <f>Fill_Value(filament!B474)</f>
        <v/>
      </c>
      <c r="C474" s="47" t="str">
        <f>Fill_Value(filament!C474)</f>
        <v/>
      </c>
      <c r="D474" s="3"/>
      <c r="E474" s="3"/>
      <c r="F474" s="3"/>
      <c r="G474" s="3"/>
      <c r="H474" s="3"/>
      <c r="I474" s="3"/>
      <c r="J474" s="3"/>
      <c r="K474" s="3"/>
      <c r="L474" s="3"/>
      <c r="M474" s="3"/>
      <c r="N474" s="3"/>
    </row>
    <row r="475" spans="1:14" x14ac:dyDescent="0.25">
      <c r="A475" s="4" t="str">
        <f>Fill_Value(filament!A475)</f>
        <v/>
      </c>
      <c r="B475" s="59" t="str">
        <f>Fill_Value(filament!B475)</f>
        <v/>
      </c>
      <c r="C475" s="59" t="str">
        <f>Fill_Value(filament!C475)</f>
        <v/>
      </c>
      <c r="D475" s="4"/>
      <c r="E475" s="4"/>
      <c r="F475" s="4"/>
      <c r="G475" s="4"/>
      <c r="H475" s="4"/>
      <c r="I475" s="4"/>
      <c r="J475" s="4"/>
      <c r="K475" s="4"/>
      <c r="L475" s="4"/>
      <c r="M475" s="4"/>
      <c r="N475" s="4"/>
    </row>
    <row r="476" spans="1:14" x14ac:dyDescent="0.25">
      <c r="A476" s="3" t="str">
        <f>Fill_Value(filament!A476)</f>
        <v/>
      </c>
      <c r="B476" s="47" t="str">
        <f>Fill_Value(filament!B476)</f>
        <v/>
      </c>
      <c r="C476" s="47" t="str">
        <f>Fill_Value(filament!C476)</f>
        <v/>
      </c>
      <c r="D476" s="3"/>
      <c r="E476" s="3"/>
      <c r="F476" s="3"/>
      <c r="G476" s="3"/>
      <c r="H476" s="3"/>
      <c r="I476" s="3"/>
      <c r="J476" s="3"/>
      <c r="K476" s="3"/>
      <c r="L476" s="3"/>
      <c r="M476" s="3"/>
      <c r="N476" s="3"/>
    </row>
    <row r="477" spans="1:14" x14ac:dyDescent="0.25">
      <c r="A477" s="4" t="str">
        <f>Fill_Value(filament!A477)</f>
        <v/>
      </c>
      <c r="B477" s="59" t="str">
        <f>Fill_Value(filament!B477)</f>
        <v/>
      </c>
      <c r="C477" s="59" t="str">
        <f>Fill_Value(filament!C477)</f>
        <v/>
      </c>
      <c r="D477" s="4"/>
      <c r="E477" s="4"/>
      <c r="F477" s="4"/>
      <c r="G477" s="4"/>
      <c r="H477" s="4"/>
      <c r="I477" s="4"/>
      <c r="J477" s="4"/>
      <c r="K477" s="4"/>
      <c r="L477" s="4"/>
      <c r="M477" s="4"/>
      <c r="N477" s="4"/>
    </row>
    <row r="478" spans="1:14" x14ac:dyDescent="0.25">
      <c r="A478" s="3" t="str">
        <f>Fill_Value(filament!A478)</f>
        <v/>
      </c>
      <c r="B478" s="47" t="str">
        <f>Fill_Value(filament!B478)</f>
        <v/>
      </c>
      <c r="C478" s="47" t="str">
        <f>Fill_Value(filament!C478)</f>
        <v/>
      </c>
      <c r="D478" s="3"/>
      <c r="E478" s="3"/>
      <c r="F478" s="3"/>
      <c r="G478" s="3"/>
      <c r="H478" s="3"/>
      <c r="I478" s="3"/>
      <c r="J478" s="3"/>
      <c r="K478" s="3"/>
      <c r="L478" s="3"/>
      <c r="M478" s="3"/>
      <c r="N478" s="3"/>
    </row>
    <row r="479" spans="1:14" x14ac:dyDescent="0.25">
      <c r="A479" s="4" t="str">
        <f>Fill_Value(filament!A479)</f>
        <v/>
      </c>
      <c r="B479" s="59" t="str">
        <f>Fill_Value(filament!B479)</f>
        <v/>
      </c>
      <c r="C479" s="59" t="str">
        <f>Fill_Value(filament!C479)</f>
        <v/>
      </c>
      <c r="D479" s="4"/>
      <c r="E479" s="4"/>
      <c r="F479" s="4"/>
      <c r="G479" s="4"/>
      <c r="H479" s="4"/>
      <c r="I479" s="4"/>
      <c r="J479" s="4"/>
      <c r="K479" s="4"/>
      <c r="L479" s="4"/>
      <c r="M479" s="4"/>
      <c r="N479" s="4"/>
    </row>
    <row r="480" spans="1:14" x14ac:dyDescent="0.25">
      <c r="A480" s="3" t="str">
        <f>Fill_Value(filament!A480)</f>
        <v/>
      </c>
      <c r="B480" s="47" t="str">
        <f>Fill_Value(filament!B480)</f>
        <v/>
      </c>
      <c r="C480" s="47" t="str">
        <f>Fill_Value(filament!C480)</f>
        <v/>
      </c>
      <c r="D480" s="3"/>
      <c r="E480" s="3"/>
      <c r="F480" s="3"/>
      <c r="G480" s="3"/>
      <c r="H480" s="3"/>
      <c r="I480" s="3"/>
      <c r="J480" s="3"/>
      <c r="K480" s="3"/>
      <c r="L480" s="3"/>
      <c r="M480" s="3"/>
      <c r="N480" s="3"/>
    </row>
    <row r="481" spans="1:14" x14ac:dyDescent="0.25">
      <c r="A481" s="4" t="str">
        <f>Fill_Value(filament!A481)</f>
        <v/>
      </c>
      <c r="B481" s="59" t="str">
        <f>Fill_Value(filament!B481)</f>
        <v/>
      </c>
      <c r="C481" s="59" t="str">
        <f>Fill_Value(filament!C481)</f>
        <v/>
      </c>
      <c r="D481" s="4"/>
      <c r="E481" s="4"/>
      <c r="F481" s="4"/>
      <c r="G481" s="4"/>
      <c r="H481" s="4"/>
      <c r="I481" s="4"/>
      <c r="J481" s="4"/>
      <c r="K481" s="4"/>
      <c r="L481" s="4"/>
      <c r="M481" s="4"/>
      <c r="N481" s="4"/>
    </row>
    <row r="482" spans="1:14" x14ac:dyDescent="0.25">
      <c r="A482" s="3" t="str">
        <f>Fill_Value(filament!A482)</f>
        <v/>
      </c>
      <c r="B482" s="47" t="str">
        <f>Fill_Value(filament!B482)</f>
        <v/>
      </c>
      <c r="C482" s="47" t="str">
        <f>Fill_Value(filament!C482)</f>
        <v/>
      </c>
      <c r="D482" s="3"/>
      <c r="E482" s="3"/>
      <c r="F482" s="3"/>
      <c r="G482" s="3"/>
      <c r="H482" s="3"/>
      <c r="I482" s="3"/>
      <c r="J482" s="3"/>
      <c r="K482" s="3"/>
      <c r="L482" s="3"/>
      <c r="M482" s="3"/>
      <c r="N482" s="3"/>
    </row>
    <row r="483" spans="1:14" x14ac:dyDescent="0.25">
      <c r="A483" s="4" t="str">
        <f>Fill_Value(filament!A483)</f>
        <v/>
      </c>
      <c r="B483" s="59" t="str">
        <f>Fill_Value(filament!B483)</f>
        <v/>
      </c>
      <c r="C483" s="59" t="str">
        <f>Fill_Value(filament!C483)</f>
        <v/>
      </c>
      <c r="D483" s="4"/>
      <c r="E483" s="4"/>
      <c r="F483" s="4"/>
      <c r="G483" s="4"/>
      <c r="H483" s="4"/>
      <c r="I483" s="4"/>
      <c r="J483" s="4"/>
      <c r="K483" s="4"/>
      <c r="L483" s="4"/>
      <c r="M483" s="4"/>
      <c r="N483" s="4"/>
    </row>
    <row r="484" spans="1:14" x14ac:dyDescent="0.25">
      <c r="A484" s="3" t="str">
        <f>Fill_Value(filament!A484)</f>
        <v/>
      </c>
      <c r="B484" s="47" t="str">
        <f>Fill_Value(filament!B484)</f>
        <v/>
      </c>
      <c r="C484" s="47" t="str">
        <f>Fill_Value(filament!C484)</f>
        <v/>
      </c>
      <c r="D484" s="3"/>
      <c r="E484" s="3"/>
      <c r="F484" s="3"/>
      <c r="G484" s="3"/>
      <c r="H484" s="3"/>
      <c r="I484" s="3"/>
      <c r="J484" s="3"/>
      <c r="K484" s="3"/>
      <c r="L484" s="3"/>
      <c r="M484" s="3"/>
      <c r="N484" s="3"/>
    </row>
    <row r="485" spans="1:14" x14ac:dyDescent="0.25">
      <c r="A485" s="4" t="str">
        <f>Fill_Value(filament!A485)</f>
        <v/>
      </c>
      <c r="B485" s="59" t="str">
        <f>Fill_Value(filament!B485)</f>
        <v/>
      </c>
      <c r="C485" s="59" t="str">
        <f>Fill_Value(filament!C485)</f>
        <v/>
      </c>
      <c r="D485" s="4"/>
      <c r="E485" s="4"/>
      <c r="F485" s="4"/>
      <c r="G485" s="4"/>
      <c r="H485" s="4"/>
      <c r="I485" s="4"/>
      <c r="J485" s="4"/>
      <c r="K485" s="4"/>
      <c r="L485" s="4"/>
      <c r="M485" s="4"/>
      <c r="N485" s="4"/>
    </row>
    <row r="486" spans="1:14" x14ac:dyDescent="0.25">
      <c r="A486" s="3" t="str">
        <f>Fill_Value(filament!A486)</f>
        <v/>
      </c>
      <c r="B486" s="47" t="str">
        <f>Fill_Value(filament!B486)</f>
        <v/>
      </c>
      <c r="C486" s="47" t="str">
        <f>Fill_Value(filament!C486)</f>
        <v/>
      </c>
      <c r="D486" s="3"/>
      <c r="E486" s="3"/>
      <c r="F486" s="3"/>
      <c r="G486" s="3"/>
      <c r="H486" s="3"/>
      <c r="I486" s="3"/>
      <c r="J486" s="3"/>
      <c r="K486" s="3"/>
      <c r="L486" s="3"/>
      <c r="M486" s="3"/>
      <c r="N486" s="3"/>
    </row>
    <row r="487" spans="1:14" x14ac:dyDescent="0.25">
      <c r="A487" s="4" t="str">
        <f>Fill_Value(filament!A487)</f>
        <v/>
      </c>
      <c r="B487" s="59" t="str">
        <f>Fill_Value(filament!B487)</f>
        <v/>
      </c>
      <c r="C487" s="59" t="str">
        <f>Fill_Value(filament!C487)</f>
        <v/>
      </c>
      <c r="D487" s="4"/>
      <c r="E487" s="4"/>
      <c r="F487" s="4"/>
      <c r="G487" s="4"/>
      <c r="H487" s="4"/>
      <c r="I487" s="4"/>
      <c r="J487" s="4"/>
      <c r="K487" s="4"/>
      <c r="L487" s="4"/>
      <c r="M487" s="4"/>
      <c r="N487" s="4"/>
    </row>
    <row r="488" spans="1:14" x14ac:dyDescent="0.25">
      <c r="A488" s="3" t="str">
        <f>Fill_Value(filament!A488)</f>
        <v/>
      </c>
      <c r="B488" s="47" t="str">
        <f>Fill_Value(filament!B488)</f>
        <v/>
      </c>
      <c r="C488" s="47" t="str">
        <f>Fill_Value(filament!C488)</f>
        <v/>
      </c>
      <c r="D488" s="3"/>
      <c r="E488" s="3"/>
      <c r="F488" s="3"/>
      <c r="G488" s="3"/>
      <c r="H488" s="3"/>
      <c r="I488" s="3"/>
      <c r="J488" s="3"/>
      <c r="K488" s="3"/>
      <c r="L488" s="3"/>
      <c r="M488" s="3"/>
      <c r="N488" s="3"/>
    </row>
    <row r="489" spans="1:14" x14ac:dyDescent="0.25">
      <c r="A489" s="4" t="str">
        <f>Fill_Value(filament!A489)</f>
        <v/>
      </c>
      <c r="B489" s="59" t="str">
        <f>Fill_Value(filament!B489)</f>
        <v/>
      </c>
      <c r="C489" s="59" t="str">
        <f>Fill_Value(filament!C489)</f>
        <v/>
      </c>
      <c r="D489" s="4"/>
      <c r="E489" s="4"/>
      <c r="F489" s="4"/>
      <c r="G489" s="4"/>
      <c r="H489" s="4"/>
      <c r="I489" s="4"/>
      <c r="J489" s="4"/>
      <c r="K489" s="4"/>
      <c r="L489" s="4"/>
      <c r="M489" s="4"/>
      <c r="N489" s="4"/>
    </row>
    <row r="490" spans="1:14" x14ac:dyDescent="0.25">
      <c r="A490" s="3" t="str">
        <f>Fill_Value(filament!A490)</f>
        <v/>
      </c>
      <c r="B490" s="47" t="str">
        <f>Fill_Value(filament!B490)</f>
        <v/>
      </c>
      <c r="C490" s="47" t="str">
        <f>Fill_Value(filament!C490)</f>
        <v/>
      </c>
      <c r="D490" s="3"/>
      <c r="E490" s="3"/>
      <c r="F490" s="3"/>
      <c r="G490" s="3"/>
      <c r="H490" s="3"/>
      <c r="I490" s="3"/>
      <c r="J490" s="3"/>
      <c r="K490" s="3"/>
      <c r="L490" s="3"/>
      <c r="M490" s="3"/>
      <c r="N490" s="3"/>
    </row>
    <row r="491" spans="1:14" x14ac:dyDescent="0.25">
      <c r="A491" s="4" t="str">
        <f>Fill_Value(filament!A491)</f>
        <v/>
      </c>
      <c r="B491" s="59" t="str">
        <f>Fill_Value(filament!B491)</f>
        <v/>
      </c>
      <c r="C491" s="59" t="str">
        <f>Fill_Value(filament!C491)</f>
        <v/>
      </c>
      <c r="D491" s="4"/>
      <c r="E491" s="4"/>
      <c r="F491" s="4"/>
      <c r="G491" s="4"/>
      <c r="H491" s="4"/>
      <c r="I491" s="4"/>
      <c r="J491" s="4"/>
      <c r="K491" s="4"/>
      <c r="L491" s="4"/>
      <c r="M491" s="4"/>
      <c r="N491" s="4"/>
    </row>
    <row r="492" spans="1:14" x14ac:dyDescent="0.25">
      <c r="A492" s="3" t="str">
        <f>Fill_Value(filament!A492)</f>
        <v/>
      </c>
      <c r="B492" s="47" t="str">
        <f>Fill_Value(filament!B492)</f>
        <v/>
      </c>
      <c r="C492" s="47" t="str">
        <f>Fill_Value(filament!C492)</f>
        <v/>
      </c>
      <c r="D492" s="3"/>
      <c r="E492" s="3"/>
      <c r="F492" s="3"/>
      <c r="G492" s="3"/>
      <c r="H492" s="3"/>
      <c r="I492" s="3"/>
      <c r="J492" s="3"/>
      <c r="K492" s="3"/>
      <c r="L492" s="3"/>
      <c r="M492" s="3"/>
      <c r="N492" s="3"/>
    </row>
    <row r="493" spans="1:14" x14ac:dyDescent="0.25">
      <c r="A493" s="4" t="str">
        <f>Fill_Value(filament!A493)</f>
        <v/>
      </c>
      <c r="B493" s="59" t="str">
        <f>Fill_Value(filament!B493)</f>
        <v/>
      </c>
      <c r="C493" s="59" t="str">
        <f>Fill_Value(filament!C493)</f>
        <v/>
      </c>
      <c r="D493" s="4"/>
      <c r="E493" s="4"/>
      <c r="F493" s="4"/>
      <c r="G493" s="4"/>
      <c r="H493" s="4"/>
      <c r="I493" s="4"/>
      <c r="J493" s="4"/>
      <c r="K493" s="4"/>
      <c r="L493" s="4"/>
      <c r="M493" s="4"/>
      <c r="N493" s="4"/>
    </row>
    <row r="494" spans="1:14" x14ac:dyDescent="0.25">
      <c r="A494" s="3" t="str">
        <f>Fill_Value(filament!A494)</f>
        <v/>
      </c>
      <c r="B494" s="47" t="str">
        <f>Fill_Value(filament!B494)</f>
        <v/>
      </c>
      <c r="C494" s="47" t="str">
        <f>Fill_Value(filament!C494)</f>
        <v/>
      </c>
      <c r="D494" s="3"/>
      <c r="E494" s="3"/>
      <c r="F494" s="3"/>
      <c r="G494" s="3"/>
      <c r="H494" s="3"/>
      <c r="I494" s="3"/>
      <c r="J494" s="3"/>
      <c r="K494" s="3"/>
      <c r="L494" s="3"/>
      <c r="M494" s="3"/>
      <c r="N494" s="3"/>
    </row>
    <row r="495" spans="1:14" x14ac:dyDescent="0.25">
      <c r="A495" s="4" t="str">
        <f>Fill_Value(filament!A495)</f>
        <v/>
      </c>
      <c r="B495" s="59" t="str">
        <f>Fill_Value(filament!B495)</f>
        <v/>
      </c>
      <c r="C495" s="59" t="str">
        <f>Fill_Value(filament!C495)</f>
        <v/>
      </c>
      <c r="D495" s="4"/>
      <c r="E495" s="4"/>
      <c r="F495" s="4"/>
      <c r="G495" s="4"/>
      <c r="H495" s="4"/>
      <c r="I495" s="4"/>
      <c r="J495" s="4"/>
      <c r="K495" s="4"/>
      <c r="L495" s="4"/>
      <c r="M495" s="4"/>
      <c r="N495" s="4"/>
    </row>
    <row r="496" spans="1:14" x14ac:dyDescent="0.25">
      <c r="A496" s="3" t="str">
        <f>Fill_Value(filament!A496)</f>
        <v/>
      </c>
      <c r="B496" s="47" t="str">
        <f>Fill_Value(filament!B496)</f>
        <v/>
      </c>
      <c r="C496" s="47" t="str">
        <f>Fill_Value(filament!C496)</f>
        <v/>
      </c>
      <c r="D496" s="3"/>
      <c r="E496" s="3"/>
      <c r="F496" s="3"/>
      <c r="G496" s="3"/>
      <c r="H496" s="3"/>
      <c r="I496" s="3"/>
      <c r="J496" s="3"/>
      <c r="K496" s="3"/>
      <c r="L496" s="3"/>
      <c r="M496" s="3"/>
      <c r="N496" s="3"/>
    </row>
    <row r="497" spans="1:14" x14ac:dyDescent="0.25">
      <c r="A497" s="4" t="str">
        <f>Fill_Value(filament!A497)</f>
        <v/>
      </c>
      <c r="B497" s="59" t="str">
        <f>Fill_Value(filament!B497)</f>
        <v/>
      </c>
      <c r="C497" s="59" t="str">
        <f>Fill_Value(filament!C497)</f>
        <v/>
      </c>
      <c r="D497" s="4"/>
      <c r="E497" s="4"/>
      <c r="F497" s="4"/>
      <c r="G497" s="4"/>
      <c r="H497" s="4"/>
      <c r="I497" s="4"/>
      <c r="J497" s="4"/>
      <c r="K497" s="4"/>
      <c r="L497" s="4"/>
      <c r="M497" s="4"/>
      <c r="N497" s="4"/>
    </row>
    <row r="498" spans="1:14" x14ac:dyDescent="0.25">
      <c r="A498" s="3" t="str">
        <f>Fill_Value(filament!A498)</f>
        <v/>
      </c>
      <c r="B498" s="47" t="str">
        <f>Fill_Value(filament!B498)</f>
        <v/>
      </c>
      <c r="C498" s="47" t="str">
        <f>Fill_Value(filament!C498)</f>
        <v/>
      </c>
      <c r="D498" s="3"/>
      <c r="E498" s="3"/>
      <c r="F498" s="3"/>
      <c r="G498" s="3"/>
      <c r="H498" s="3"/>
      <c r="I498" s="3"/>
      <c r="J498" s="3"/>
      <c r="K498" s="3"/>
      <c r="L498" s="3"/>
      <c r="M498" s="3"/>
      <c r="N498" s="3"/>
    </row>
    <row r="499" spans="1:14" x14ac:dyDescent="0.25">
      <c r="A499" s="4" t="str">
        <f>Fill_Value(filament!A499)</f>
        <v/>
      </c>
      <c r="B499" s="59" t="str">
        <f>Fill_Value(filament!B499)</f>
        <v/>
      </c>
      <c r="C499" s="59" t="str">
        <f>Fill_Value(filament!C499)</f>
        <v/>
      </c>
      <c r="D499" s="4"/>
      <c r="E499" s="4"/>
      <c r="F499" s="4"/>
      <c r="G499" s="4"/>
      <c r="H499" s="4"/>
      <c r="I499" s="4"/>
      <c r="J499" s="4"/>
      <c r="K499" s="4"/>
      <c r="L499" s="4"/>
      <c r="M499" s="4"/>
      <c r="N499" s="4"/>
    </row>
    <row r="500" spans="1:14" x14ac:dyDescent="0.25">
      <c r="A500" s="3" t="str">
        <f>Fill_Value(filament!A500)</f>
        <v/>
      </c>
      <c r="B500" s="47" t="str">
        <f>Fill_Value(filament!B500)</f>
        <v/>
      </c>
      <c r="C500" s="47" t="str">
        <f>Fill_Value(filament!C500)</f>
        <v/>
      </c>
      <c r="D500" s="3"/>
      <c r="E500" s="3"/>
      <c r="F500" s="3"/>
      <c r="G500" s="3"/>
      <c r="H500" s="3"/>
      <c r="I500" s="3"/>
      <c r="J500" s="3"/>
      <c r="K500" s="3"/>
      <c r="L500" s="3"/>
      <c r="M500" s="3"/>
      <c r="N500" s="3"/>
    </row>
    <row r="501" spans="1:14" x14ac:dyDescent="0.25">
      <c r="A501" s="4" t="str">
        <f>Fill_Value(filament!A501)</f>
        <v/>
      </c>
      <c r="B501" s="59" t="str">
        <f>Fill_Value(filament!B501)</f>
        <v/>
      </c>
      <c r="C501" s="59" t="str">
        <f>Fill_Value(filament!C501)</f>
        <v/>
      </c>
      <c r="D501" s="4"/>
      <c r="E501" s="4"/>
      <c r="F501" s="4"/>
      <c r="G501" s="4"/>
      <c r="H501" s="4"/>
      <c r="I501" s="4"/>
      <c r="J501" s="4"/>
      <c r="K501" s="4"/>
      <c r="L501" s="4"/>
      <c r="M501" s="4"/>
      <c r="N501" s="4"/>
    </row>
    <row r="502" spans="1:14" x14ac:dyDescent="0.25">
      <c r="A502" s="3" t="str">
        <f>Fill_Value(filament!A502)</f>
        <v/>
      </c>
      <c r="B502" s="47" t="str">
        <f>Fill_Value(filament!B502)</f>
        <v/>
      </c>
      <c r="C502" s="47" t="str">
        <f>Fill_Value(filament!C502)</f>
        <v/>
      </c>
      <c r="D502" s="3"/>
      <c r="E502" s="3"/>
      <c r="F502" s="3"/>
      <c r="G502" s="3"/>
      <c r="H502" s="3"/>
      <c r="I502" s="3"/>
      <c r="J502" s="3"/>
      <c r="K502" s="3"/>
      <c r="L502" s="3"/>
      <c r="M502" s="3"/>
      <c r="N502" s="3"/>
    </row>
  </sheetData>
  <dataConsolidate/>
  <dataValidations count="1">
    <dataValidation type="list" allowBlank="1" showInputMessage="1" showErrorMessage="1" sqref="D66:M66" xr:uid="{62F62DA7-FB71-4AC1-823E-09A3705B01D9}">
      <formula1>"off,all,noskin,infill"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N134"/>
  <sheetViews>
    <sheetView workbookViewId="0">
      <pane ySplit="1" topLeftCell="A2" activePane="bottomLeft" state="frozen"/>
      <selection activeCell="B30" sqref="B30"/>
      <selection pane="bottomLeft" activeCell="F20" sqref="F20"/>
    </sheetView>
  </sheetViews>
  <sheetFormatPr defaultRowHeight="15" x14ac:dyDescent="0.25"/>
  <cols>
    <col min="1" max="2" width="16.7109375" style="46" customWidth="1"/>
    <col min="3" max="3" width="35.28515625" style="46" bestFit="1" customWidth="1"/>
    <col min="4" max="4" width="9.140625" customWidth="1"/>
    <col min="5" max="5" width="8.140625" customWidth="1"/>
    <col min="11" max="11" width="8.5703125" customWidth="1"/>
    <col min="12" max="12" width="8.28515625" customWidth="1"/>
    <col min="13" max="13" width="8.140625" customWidth="1"/>
    <col min="14" max="14" width="76.85546875" customWidth="1"/>
  </cols>
  <sheetData>
    <row r="1" spans="1:14" x14ac:dyDescent="0.25">
      <c r="A1" s="41" t="s">
        <v>217</v>
      </c>
      <c r="B1" s="41" t="s">
        <v>1335</v>
      </c>
      <c r="C1" s="41" t="s">
        <v>200</v>
      </c>
      <c r="D1" s="2" t="s">
        <v>100</v>
      </c>
      <c r="E1" s="2" t="s">
        <v>141</v>
      </c>
      <c r="F1" s="2" t="s">
        <v>425</v>
      </c>
      <c r="G1" s="2" t="s">
        <v>142</v>
      </c>
      <c r="H1" s="2" t="s">
        <v>306</v>
      </c>
      <c r="I1" s="2" t="s">
        <v>281</v>
      </c>
      <c r="J1" s="2" t="s">
        <v>283</v>
      </c>
      <c r="K1" s="2" t="s">
        <v>143</v>
      </c>
      <c r="L1" s="2" t="s">
        <v>322</v>
      </c>
      <c r="M1" s="2" t="s">
        <v>447</v>
      </c>
      <c r="N1" s="2" t="s">
        <v>206</v>
      </c>
    </row>
    <row r="2" spans="1:14" x14ac:dyDescent="0.25">
      <c r="A2" s="44" t="s">
        <v>260</v>
      </c>
      <c r="B2" s="44"/>
      <c r="C2" s="44" t="s">
        <v>387</v>
      </c>
      <c r="D2" s="5"/>
      <c r="E2" s="5" t="s">
        <v>141</v>
      </c>
      <c r="F2" s="5" t="s">
        <v>425</v>
      </c>
      <c r="G2" s="5" t="s">
        <v>142</v>
      </c>
      <c r="H2" s="5"/>
      <c r="I2" s="5"/>
      <c r="J2" s="5"/>
      <c r="K2" s="5"/>
      <c r="L2" s="5"/>
      <c r="M2" s="5"/>
      <c r="N2" s="5"/>
    </row>
    <row r="3" spans="1:14" x14ac:dyDescent="0.25">
      <c r="A3" s="44"/>
      <c r="B3" s="44"/>
      <c r="C3" s="44" t="s">
        <v>1421</v>
      </c>
      <c r="D3" s="5"/>
      <c r="E3" s="5"/>
      <c r="F3" s="5"/>
      <c r="G3" s="5"/>
      <c r="H3" s="5"/>
      <c r="I3" s="5"/>
      <c r="J3" s="5"/>
      <c r="K3" s="5"/>
      <c r="L3" s="5"/>
      <c r="M3" s="5"/>
      <c r="N3" s="5"/>
    </row>
    <row r="4" spans="1:14" x14ac:dyDescent="0.25">
      <c r="A4" s="42"/>
      <c r="B4" s="42"/>
      <c r="C4" s="42" t="s">
        <v>101</v>
      </c>
      <c r="D4" s="3" t="s">
        <v>102</v>
      </c>
      <c r="E4" s="3" t="s">
        <v>284</v>
      </c>
      <c r="F4" s="3" t="s">
        <v>285</v>
      </c>
      <c r="G4" s="3" t="s">
        <v>286</v>
      </c>
      <c r="H4" s="3" t="s">
        <v>307</v>
      </c>
      <c r="I4" s="3" t="s">
        <v>282</v>
      </c>
      <c r="J4" s="3" t="s">
        <v>287</v>
      </c>
      <c r="K4" s="3" t="s">
        <v>288</v>
      </c>
      <c r="L4" s="3" t="s">
        <v>452</v>
      </c>
      <c r="M4" s="3" t="s">
        <v>453</v>
      </c>
      <c r="N4" s="3"/>
    </row>
    <row r="5" spans="1:14" x14ac:dyDescent="0.25">
      <c r="A5" s="43"/>
      <c r="B5" s="43"/>
      <c r="C5" s="43" t="s">
        <v>103</v>
      </c>
      <c r="D5" s="4">
        <v>1.75</v>
      </c>
      <c r="E5" s="4"/>
      <c r="F5" s="4"/>
      <c r="G5" s="4"/>
      <c r="H5" s="4"/>
      <c r="I5" s="4"/>
      <c r="J5" s="4"/>
      <c r="K5" s="4"/>
      <c r="L5" s="4"/>
      <c r="M5" s="4"/>
      <c r="N5" s="4"/>
    </row>
    <row r="6" spans="1:14" x14ac:dyDescent="0.25">
      <c r="A6" s="42"/>
      <c r="B6" s="42"/>
      <c r="C6" s="42" t="s">
        <v>104</v>
      </c>
      <c r="D6" s="3">
        <v>1</v>
      </c>
      <c r="E6" s="3"/>
      <c r="F6" s="3"/>
      <c r="G6" s="3"/>
      <c r="H6" s="3"/>
      <c r="I6" s="3"/>
      <c r="J6" s="3"/>
      <c r="K6" s="3">
        <v>1.1499999999999999</v>
      </c>
      <c r="L6" s="3"/>
      <c r="M6" s="3"/>
      <c r="N6" s="3"/>
    </row>
    <row r="7" spans="1:14" x14ac:dyDescent="0.25">
      <c r="A7" s="43"/>
      <c r="B7" s="43"/>
      <c r="C7" s="43" t="s">
        <v>105</v>
      </c>
      <c r="D7" s="4"/>
      <c r="E7" s="4">
        <v>1.24</v>
      </c>
      <c r="F7" s="4">
        <v>1.27</v>
      </c>
      <c r="G7" s="4">
        <v>1.04</v>
      </c>
      <c r="H7" s="4">
        <v>1.07</v>
      </c>
      <c r="I7" s="4">
        <v>1.1299999999999999</v>
      </c>
      <c r="J7" s="4">
        <v>0.89</v>
      </c>
      <c r="K7" s="4">
        <v>1.22</v>
      </c>
      <c r="L7" s="4">
        <v>1.04</v>
      </c>
      <c r="M7" s="4">
        <v>1.2</v>
      </c>
      <c r="N7" s="4"/>
    </row>
    <row r="8" spans="1:14" x14ac:dyDescent="0.25">
      <c r="A8" s="42"/>
      <c r="B8" s="42"/>
      <c r="C8" s="42" t="s">
        <v>106</v>
      </c>
      <c r="D8" s="3"/>
      <c r="E8" s="3">
        <v>20</v>
      </c>
      <c r="F8" s="3">
        <v>25</v>
      </c>
      <c r="G8" s="3">
        <v>20</v>
      </c>
      <c r="H8" s="3">
        <v>30</v>
      </c>
      <c r="I8" s="3">
        <v>40</v>
      </c>
      <c r="J8" s="3">
        <v>25</v>
      </c>
      <c r="K8" s="3">
        <v>25</v>
      </c>
      <c r="L8" s="3">
        <v>25</v>
      </c>
      <c r="M8" s="3">
        <v>25</v>
      </c>
      <c r="N8" s="3" t="s">
        <v>289</v>
      </c>
    </row>
    <row r="9" spans="1:14" x14ac:dyDescent="0.25">
      <c r="A9" s="43"/>
      <c r="B9" s="43"/>
      <c r="C9" s="43" t="s">
        <v>1482</v>
      </c>
      <c r="D9" s="4"/>
      <c r="E9" s="4">
        <v>1</v>
      </c>
      <c r="F9" s="4">
        <v>1</v>
      </c>
      <c r="G9" s="4">
        <v>1</v>
      </c>
      <c r="H9" s="4">
        <v>1</v>
      </c>
      <c r="I9" s="4">
        <v>1</v>
      </c>
      <c r="J9" s="4">
        <v>1</v>
      </c>
      <c r="K9" s="4">
        <v>1</v>
      </c>
      <c r="L9" s="4">
        <v>1</v>
      </c>
      <c r="M9" s="4">
        <v>1</v>
      </c>
      <c r="N9" s="4" t="s">
        <v>1499</v>
      </c>
    </row>
    <row r="10" spans="1:14" x14ac:dyDescent="0.25">
      <c r="A10" s="44"/>
      <c r="B10" s="44"/>
      <c r="C10" s="44" t="s">
        <v>388</v>
      </c>
      <c r="D10" s="5"/>
      <c r="E10" s="5"/>
      <c r="F10" s="5"/>
      <c r="G10" s="5"/>
      <c r="H10" s="5"/>
      <c r="I10" s="5"/>
      <c r="J10" s="5"/>
      <c r="K10" s="5"/>
      <c r="L10" s="5"/>
      <c r="M10" s="5"/>
      <c r="N10" s="5"/>
    </row>
    <row r="11" spans="1:14" x14ac:dyDescent="0.25">
      <c r="A11" s="42"/>
      <c r="B11" s="42"/>
      <c r="C11" s="42" t="s">
        <v>107</v>
      </c>
      <c r="D11" s="3">
        <v>225</v>
      </c>
      <c r="E11" s="3">
        <v>210</v>
      </c>
      <c r="F11" s="3">
        <v>235</v>
      </c>
      <c r="G11" s="3">
        <v>255</v>
      </c>
      <c r="H11" s="3">
        <v>260</v>
      </c>
      <c r="I11" s="3">
        <v>240</v>
      </c>
      <c r="J11" s="3">
        <v>220</v>
      </c>
      <c r="K11" s="3">
        <v>240</v>
      </c>
      <c r="L11" s="3">
        <v>230</v>
      </c>
      <c r="M11" s="3">
        <v>270</v>
      </c>
      <c r="N11" s="3"/>
    </row>
    <row r="12" spans="1:14" x14ac:dyDescent="0.25">
      <c r="A12" s="43"/>
      <c r="B12" s="43"/>
      <c r="C12" s="43" t="s">
        <v>108</v>
      </c>
      <c r="D12" s="4">
        <v>220</v>
      </c>
      <c r="E12" s="4">
        <v>205</v>
      </c>
      <c r="F12" s="4">
        <v>240</v>
      </c>
      <c r="G12" s="4">
        <v>255</v>
      </c>
      <c r="H12" s="4">
        <v>260</v>
      </c>
      <c r="I12" s="4">
        <v>250</v>
      </c>
      <c r="J12" s="4">
        <v>220</v>
      </c>
      <c r="K12" s="4">
        <v>240</v>
      </c>
      <c r="L12" s="4">
        <v>230</v>
      </c>
      <c r="M12" s="4">
        <v>270</v>
      </c>
      <c r="N12" s="4"/>
    </row>
    <row r="13" spans="1:14" x14ac:dyDescent="0.25">
      <c r="A13" s="42"/>
      <c r="B13" s="42"/>
      <c r="C13" s="42" t="s">
        <v>109</v>
      </c>
      <c r="D13" s="3">
        <v>80</v>
      </c>
      <c r="E13" s="3">
        <v>55</v>
      </c>
      <c r="F13" s="3">
        <v>70</v>
      </c>
      <c r="G13" s="3">
        <v>90</v>
      </c>
      <c r="H13" s="3">
        <v>105</v>
      </c>
      <c r="I13" s="3">
        <v>60</v>
      </c>
      <c r="J13" s="3">
        <v>100</v>
      </c>
      <c r="K13" s="3">
        <v>50</v>
      </c>
      <c r="L13" s="3">
        <v>100</v>
      </c>
      <c r="M13" s="3">
        <v>100</v>
      </c>
      <c r="N13" s="3"/>
    </row>
    <row r="14" spans="1:14" x14ac:dyDescent="0.25">
      <c r="A14" s="43"/>
      <c r="B14" s="43"/>
      <c r="C14" s="43" t="s">
        <v>110</v>
      </c>
      <c r="D14" s="4">
        <v>80</v>
      </c>
      <c r="E14" s="4">
        <v>55</v>
      </c>
      <c r="F14" s="4">
        <v>70</v>
      </c>
      <c r="G14" s="4">
        <v>90</v>
      </c>
      <c r="H14" s="4">
        <v>110</v>
      </c>
      <c r="I14" s="4">
        <v>90</v>
      </c>
      <c r="J14" s="4">
        <v>100</v>
      </c>
      <c r="K14" s="4">
        <v>50</v>
      </c>
      <c r="L14" s="4">
        <v>110</v>
      </c>
      <c r="M14" s="4">
        <v>115</v>
      </c>
      <c r="N14" s="4"/>
    </row>
    <row r="15" spans="1:14" x14ac:dyDescent="0.25">
      <c r="A15" s="42"/>
      <c r="B15" s="42" t="s">
        <v>1418</v>
      </c>
      <c r="C15" s="42" t="s">
        <v>1422</v>
      </c>
      <c r="D15" s="3"/>
      <c r="E15" s="3"/>
      <c r="F15" s="3"/>
      <c r="G15" s="3"/>
      <c r="H15" s="3"/>
      <c r="I15" s="3"/>
      <c r="J15" s="3"/>
      <c r="K15" s="3"/>
      <c r="L15" s="3"/>
      <c r="M15" s="3"/>
      <c r="N15" s="3"/>
    </row>
    <row r="16" spans="1:14" x14ac:dyDescent="0.25">
      <c r="A16" s="44"/>
      <c r="B16" s="44"/>
      <c r="C16" s="44" t="s">
        <v>1555</v>
      </c>
      <c r="D16" s="5"/>
      <c r="E16" s="5"/>
      <c r="F16" s="5"/>
      <c r="G16" s="5"/>
      <c r="H16" s="5"/>
      <c r="I16" s="5"/>
      <c r="J16" s="5"/>
      <c r="K16" s="5"/>
      <c r="L16" s="5"/>
      <c r="M16" s="5"/>
      <c r="N16" s="5"/>
    </row>
    <row r="17" spans="1:14" x14ac:dyDescent="0.25">
      <c r="A17" s="42"/>
      <c r="B17" s="42"/>
      <c r="C17" s="42" t="s">
        <v>120</v>
      </c>
      <c r="D17" s="3"/>
      <c r="E17" s="3" t="s">
        <v>141</v>
      </c>
      <c r="F17" s="3" t="s">
        <v>140</v>
      </c>
      <c r="G17" s="3" t="s">
        <v>142</v>
      </c>
      <c r="H17" s="3" t="s">
        <v>306</v>
      </c>
      <c r="I17" s="3" t="s">
        <v>463</v>
      </c>
      <c r="J17" s="3" t="s">
        <v>283</v>
      </c>
      <c r="K17" s="3" t="s">
        <v>204</v>
      </c>
      <c r="L17" s="3" t="s">
        <v>322</v>
      </c>
      <c r="M17" s="3" t="s">
        <v>447</v>
      </c>
      <c r="N17" s="3"/>
    </row>
    <row r="18" spans="1:14" x14ac:dyDescent="0.25">
      <c r="A18" s="43"/>
      <c r="B18" s="43"/>
      <c r="C18" s="43" t="s">
        <v>121</v>
      </c>
      <c r="D18" s="4"/>
      <c r="E18" s="4">
        <v>0</v>
      </c>
      <c r="F18" s="4">
        <v>0</v>
      </c>
      <c r="G18" s="4">
        <v>0</v>
      </c>
      <c r="H18" s="4">
        <v>0</v>
      </c>
      <c r="I18" s="4">
        <v>0</v>
      </c>
      <c r="J18" s="4">
        <v>0</v>
      </c>
      <c r="K18" s="4">
        <v>0</v>
      </c>
      <c r="L18" s="4">
        <v>0</v>
      </c>
      <c r="M18" s="4">
        <v>0</v>
      </c>
      <c r="N18" s="4"/>
    </row>
    <row r="19" spans="1:14" x14ac:dyDescent="0.25">
      <c r="A19" s="42"/>
      <c r="B19" s="42" t="s">
        <v>1418</v>
      </c>
      <c r="C19" s="42" t="s">
        <v>1431</v>
      </c>
      <c r="D19" s="39">
        <v>1</v>
      </c>
      <c r="E19" s="3"/>
      <c r="F19" s="3"/>
      <c r="G19" s="3"/>
      <c r="H19" s="3"/>
      <c r="I19" s="3"/>
      <c r="J19" s="3"/>
      <c r="K19" s="3"/>
      <c r="L19" s="3"/>
      <c r="M19" s="3"/>
      <c r="N19" s="3"/>
    </row>
    <row r="20" spans="1:14" x14ac:dyDescent="0.25">
      <c r="A20" s="44"/>
      <c r="B20" s="44"/>
      <c r="C20" s="44" t="s">
        <v>1556</v>
      </c>
      <c r="D20" s="101"/>
      <c r="E20" s="5"/>
      <c r="F20" s="5"/>
      <c r="G20" s="5"/>
      <c r="H20" s="5"/>
      <c r="I20" s="5"/>
      <c r="J20" s="5"/>
      <c r="K20" s="5"/>
      <c r="L20" s="5"/>
      <c r="M20" s="5"/>
      <c r="N20" s="5"/>
    </row>
    <row r="21" spans="1:14" x14ac:dyDescent="0.25">
      <c r="A21" s="42"/>
      <c r="B21" s="42"/>
      <c r="C21" s="42" t="s">
        <v>1557</v>
      </c>
      <c r="D21" s="39"/>
      <c r="E21" s="3"/>
      <c r="F21" s="3"/>
      <c r="G21" s="3"/>
      <c r="H21" s="3"/>
      <c r="I21" s="3"/>
      <c r="J21" s="3"/>
      <c r="K21" s="3"/>
      <c r="L21" s="3"/>
      <c r="M21" s="3"/>
      <c r="N21" s="3"/>
    </row>
    <row r="22" spans="1:14" x14ac:dyDescent="0.25">
      <c r="A22" s="43"/>
      <c r="B22" s="43"/>
      <c r="C22" s="43" t="s">
        <v>122</v>
      </c>
      <c r="D22" s="4"/>
      <c r="E22" s="4" t="str">
        <f>IF(SpeedType = "Manual","",Matchfill(INDEX(spec_filament!$A$3:$B$17,MATCH(E$1,spec_filament!$A$3:$A$17,0),2),$D:$D))</f>
        <v>15</v>
      </c>
      <c r="F22" s="4" t="str">
        <f>IF(SpeedType = "Manual","",Matchfill(INDEX(spec_filament!$A$3:$B$17,MATCH(F$1,spec_filament!$A$3:$A$17,0),2),$D:$D))</f>
        <v>8</v>
      </c>
      <c r="G22" s="4" t="str">
        <f>IF(SpeedType = "Manual","",Matchfill(INDEX(spec_filament!$A$3:$B$17,MATCH(G$1,spec_filament!$A$3:$A$17,0),2),$D:$D))</f>
        <v>11</v>
      </c>
      <c r="H22" s="4" t="str">
        <f>IF(SpeedType = "Manual","",Matchfill(INDEX(spec_filament!$A$3:$B$17,MATCH(H$1,spec_filament!$A$3:$A$17,0),2),$D:$D))</f>
        <v>11</v>
      </c>
      <c r="I22" s="4" t="str">
        <f>IF(SpeedType = "Manual","",Matchfill(INDEX(spec_filament!$A$3:$B$17,MATCH(I$1,spec_filament!$A$3:$A$17,0),2),$D:$D))</f>
        <v>10</v>
      </c>
      <c r="J22" s="4" t="str">
        <f>IF(SpeedType = "Manual","",Matchfill(INDEX(spec_filament!$A$3:$B$17,MATCH(J$1,spec_filament!$A$3:$A$17,0),2),$D:$D))</f>
        <v>5</v>
      </c>
      <c r="K22" s="4" t="str">
        <f>IF(SpeedType = "Manual","",Matchfill(INDEX(spec_filament!$A$3:$B$17,MATCH(K$1,spec_filament!$A$3:$A$17,0),2),$D:$D))</f>
        <v>1.35</v>
      </c>
      <c r="L22" s="4" t="str">
        <f>IF(SpeedType = "Manual","",Matchfill(INDEX(spec_filament!$A$3:$B$17,MATCH(L$1,spec_filament!$A$3:$A$17,0),2),$D:$D))</f>
        <v>11</v>
      </c>
      <c r="M22" s="4" t="str">
        <f>IF(SpeedType = "Manual","",Matchfill(INDEX(spec_filament!$A$3:$B$17,MATCH(M$1,spec_filament!$A$3:$A$17,0),2),$D:$D))</f>
        <v>8</v>
      </c>
      <c r="N22" s="4" t="s">
        <v>265</v>
      </c>
    </row>
    <row r="23" spans="1:14" x14ac:dyDescent="0.25">
      <c r="A23" s="44" t="s">
        <v>263</v>
      </c>
      <c r="B23" s="44"/>
      <c r="C23" s="44" t="s">
        <v>389</v>
      </c>
      <c r="D23" s="5"/>
      <c r="E23" s="5"/>
      <c r="F23" s="5"/>
      <c r="G23" s="5"/>
      <c r="H23" s="5"/>
      <c r="I23" s="5"/>
      <c r="J23" s="5"/>
      <c r="K23" s="5"/>
      <c r="L23" s="5"/>
      <c r="M23" s="5"/>
      <c r="N23" s="5"/>
    </row>
    <row r="24" spans="1:14" x14ac:dyDescent="0.25">
      <c r="A24" s="42"/>
      <c r="B24" s="42"/>
      <c r="C24" s="42" t="s">
        <v>111</v>
      </c>
      <c r="D24" s="3"/>
      <c r="E24" s="3">
        <v>1</v>
      </c>
      <c r="F24" s="3">
        <v>1</v>
      </c>
      <c r="G24" s="3">
        <v>0</v>
      </c>
      <c r="H24" s="3">
        <v>1</v>
      </c>
      <c r="I24" s="3">
        <v>0</v>
      </c>
      <c r="J24" s="3">
        <v>1</v>
      </c>
      <c r="K24" s="3">
        <v>0</v>
      </c>
      <c r="L24" s="3">
        <v>1</v>
      </c>
      <c r="M24" s="3">
        <v>0</v>
      </c>
      <c r="N24" s="3"/>
    </row>
    <row r="25" spans="1:14" x14ac:dyDescent="0.25">
      <c r="A25" s="43"/>
      <c r="B25" s="43"/>
      <c r="C25" s="43" t="s">
        <v>112</v>
      </c>
      <c r="D25" s="4"/>
      <c r="E25" s="4">
        <v>1</v>
      </c>
      <c r="F25" s="4">
        <v>1</v>
      </c>
      <c r="G25" s="4">
        <v>1</v>
      </c>
      <c r="H25" s="4">
        <v>1</v>
      </c>
      <c r="I25" s="4">
        <v>0</v>
      </c>
      <c r="J25" s="4">
        <v>1</v>
      </c>
      <c r="K25" s="4">
        <v>0</v>
      </c>
      <c r="L25" s="4">
        <v>1</v>
      </c>
      <c r="M25" s="4">
        <v>0</v>
      </c>
      <c r="N25" s="4"/>
    </row>
    <row r="26" spans="1:14" x14ac:dyDescent="0.25">
      <c r="A26" s="44"/>
      <c r="B26" s="44"/>
      <c r="C26" s="44" t="s">
        <v>390</v>
      </c>
      <c r="D26" s="5"/>
      <c r="E26" s="5"/>
      <c r="F26" s="5"/>
      <c r="G26" s="5"/>
      <c r="H26" s="5"/>
      <c r="I26" s="5"/>
      <c r="J26" s="5"/>
      <c r="K26" s="5"/>
      <c r="L26" s="5"/>
      <c r="M26" s="5"/>
      <c r="N26" s="5"/>
    </row>
    <row r="27" spans="1:14" x14ac:dyDescent="0.25">
      <c r="A27" s="42"/>
      <c r="B27" s="42"/>
      <c r="C27" s="42" t="s">
        <v>113</v>
      </c>
      <c r="D27" s="39"/>
      <c r="E27" s="39">
        <v>1</v>
      </c>
      <c r="F27" s="39">
        <v>1</v>
      </c>
      <c r="G27" s="39">
        <v>0</v>
      </c>
      <c r="H27" s="39">
        <v>0.2</v>
      </c>
      <c r="I27" s="39">
        <v>0</v>
      </c>
      <c r="J27" s="39">
        <v>1</v>
      </c>
      <c r="K27" s="39">
        <v>0.7</v>
      </c>
      <c r="L27" s="39">
        <v>0.2</v>
      </c>
      <c r="M27" s="39">
        <v>0.2</v>
      </c>
      <c r="N27" s="3" t="s">
        <v>455</v>
      </c>
    </row>
    <row r="28" spans="1:14" x14ac:dyDescent="0.25">
      <c r="A28" s="43"/>
      <c r="B28" s="43"/>
      <c r="C28" s="43" t="s">
        <v>114</v>
      </c>
      <c r="D28" s="57"/>
      <c r="E28" s="57">
        <v>1</v>
      </c>
      <c r="F28" s="57">
        <v>1</v>
      </c>
      <c r="G28" s="57">
        <v>0</v>
      </c>
      <c r="H28" s="57">
        <v>0.2</v>
      </c>
      <c r="I28" s="57">
        <v>0.05</v>
      </c>
      <c r="J28" s="57">
        <v>1</v>
      </c>
      <c r="K28" s="57">
        <v>0.9</v>
      </c>
      <c r="L28" s="57">
        <v>0.2</v>
      </c>
      <c r="M28" s="57">
        <v>0.3</v>
      </c>
      <c r="N28" s="4"/>
    </row>
    <row r="29" spans="1:14" x14ac:dyDescent="0.25">
      <c r="A29" s="42"/>
      <c r="B29" s="42"/>
      <c r="C29" s="42" t="s">
        <v>115</v>
      </c>
      <c r="D29" s="39"/>
      <c r="E29" s="39">
        <v>1</v>
      </c>
      <c r="F29" s="39">
        <v>1</v>
      </c>
      <c r="G29" s="39">
        <v>0.3</v>
      </c>
      <c r="H29" s="39">
        <v>0.25</v>
      </c>
      <c r="I29" s="39">
        <v>0.4</v>
      </c>
      <c r="J29" s="39">
        <v>1</v>
      </c>
      <c r="K29" s="39">
        <v>0.8</v>
      </c>
      <c r="L29" s="39">
        <v>0.5</v>
      </c>
      <c r="M29" s="39">
        <v>0</v>
      </c>
      <c r="N29" s="3"/>
    </row>
    <row r="30" spans="1:14" x14ac:dyDescent="0.25">
      <c r="A30" s="43"/>
      <c r="B30" s="43" t="s">
        <v>1418</v>
      </c>
      <c r="C30" s="43" t="s">
        <v>1440</v>
      </c>
      <c r="D30" s="4"/>
      <c r="E30" s="57">
        <v>1</v>
      </c>
      <c r="F30" s="57">
        <v>1</v>
      </c>
      <c r="G30" s="59">
        <v>-1</v>
      </c>
      <c r="H30" s="4"/>
      <c r="I30" s="4"/>
      <c r="J30" s="4"/>
      <c r="K30" s="4"/>
      <c r="L30" s="4"/>
      <c r="M30" s="4"/>
      <c r="N30" s="4"/>
    </row>
    <row r="31" spans="1:14" x14ac:dyDescent="0.25">
      <c r="A31" s="42"/>
      <c r="B31" s="42" t="s">
        <v>1418</v>
      </c>
      <c r="C31" s="42" t="s">
        <v>1423</v>
      </c>
      <c r="D31" s="3"/>
      <c r="E31" s="3">
        <v>-1</v>
      </c>
      <c r="F31" s="3">
        <v>-1</v>
      </c>
      <c r="G31" s="47">
        <v>-1</v>
      </c>
      <c r="H31" s="3"/>
      <c r="I31" s="3"/>
      <c r="J31" s="3"/>
      <c r="K31" s="3"/>
      <c r="L31" s="3"/>
      <c r="M31" s="3"/>
      <c r="N31" s="3"/>
    </row>
    <row r="32" spans="1:14" x14ac:dyDescent="0.25">
      <c r="A32" s="43"/>
      <c r="B32" s="43"/>
      <c r="C32" s="43" t="s">
        <v>116</v>
      </c>
      <c r="D32" s="4"/>
      <c r="E32" s="4">
        <v>1</v>
      </c>
      <c r="F32" s="4">
        <v>1</v>
      </c>
      <c r="G32" s="4">
        <v>3</v>
      </c>
      <c r="H32" s="4">
        <v>4</v>
      </c>
      <c r="I32" s="4">
        <v>3</v>
      </c>
      <c r="J32" s="4">
        <v>2</v>
      </c>
      <c r="K32" s="4">
        <v>3</v>
      </c>
      <c r="L32" s="4">
        <v>3</v>
      </c>
      <c r="M32" s="4">
        <v>3</v>
      </c>
      <c r="N32" s="4"/>
    </row>
    <row r="33" spans="1:14" x14ac:dyDescent="0.25">
      <c r="A33" s="42"/>
      <c r="B33" s="42"/>
      <c r="C33" s="42" t="s">
        <v>1483</v>
      </c>
      <c r="D33" s="3"/>
      <c r="E33" s="3">
        <v>0</v>
      </c>
      <c r="F33" s="3">
        <v>0</v>
      </c>
      <c r="G33" s="3">
        <v>0</v>
      </c>
      <c r="H33" s="3">
        <v>0</v>
      </c>
      <c r="I33" s="3">
        <v>0</v>
      </c>
      <c r="J33" s="3">
        <v>0</v>
      </c>
      <c r="K33" s="3">
        <v>0</v>
      </c>
      <c r="L33" s="3">
        <v>0</v>
      </c>
      <c r="M33" s="3">
        <v>0</v>
      </c>
      <c r="N33" s="3"/>
    </row>
    <row r="34" spans="1:14" x14ac:dyDescent="0.25">
      <c r="A34" s="44"/>
      <c r="B34" s="44"/>
      <c r="C34" s="44" t="s">
        <v>391</v>
      </c>
      <c r="D34" s="5"/>
      <c r="E34" s="5"/>
      <c r="F34" s="5"/>
      <c r="G34" s="5"/>
      <c r="H34" s="5"/>
      <c r="I34" s="5"/>
      <c r="J34" s="5"/>
      <c r="K34" s="5"/>
      <c r="L34" s="5"/>
      <c r="M34" s="5"/>
      <c r="N34" s="5"/>
    </row>
    <row r="35" spans="1:14" x14ac:dyDescent="0.25">
      <c r="A35" s="42"/>
      <c r="B35" s="42"/>
      <c r="C35" s="42" t="s">
        <v>117</v>
      </c>
      <c r="D35" s="3">
        <v>100</v>
      </c>
      <c r="E35" s="3">
        <v>100</v>
      </c>
      <c r="F35" s="3">
        <v>100</v>
      </c>
      <c r="G35" s="3">
        <v>20</v>
      </c>
      <c r="H35" s="3">
        <v>20</v>
      </c>
      <c r="I35" s="3">
        <v>20</v>
      </c>
      <c r="J35" s="3">
        <v>100</v>
      </c>
      <c r="K35" s="3">
        <v>100</v>
      </c>
      <c r="L35" s="3">
        <v>10</v>
      </c>
      <c r="M35" s="3">
        <v>20</v>
      </c>
      <c r="N35" s="3" t="s">
        <v>261</v>
      </c>
    </row>
    <row r="36" spans="1:14" x14ac:dyDescent="0.25">
      <c r="A36" s="43"/>
      <c r="B36" s="43"/>
      <c r="C36" s="43" t="s">
        <v>118</v>
      </c>
      <c r="D36" s="4">
        <v>20</v>
      </c>
      <c r="E36" s="4">
        <v>20</v>
      </c>
      <c r="F36" s="4">
        <v>20</v>
      </c>
      <c r="G36" s="4">
        <v>15</v>
      </c>
      <c r="H36" s="4">
        <v>15</v>
      </c>
      <c r="I36" s="4">
        <v>20</v>
      </c>
      <c r="J36" s="4">
        <v>20</v>
      </c>
      <c r="K36" s="4">
        <v>20</v>
      </c>
      <c r="L36" s="4">
        <v>20</v>
      </c>
      <c r="M36" s="4">
        <v>20</v>
      </c>
      <c r="N36" s="4" t="s">
        <v>264</v>
      </c>
    </row>
    <row r="37" spans="1:14" x14ac:dyDescent="0.25">
      <c r="A37" s="42"/>
      <c r="B37" s="42" t="s">
        <v>1418</v>
      </c>
      <c r="C37" s="42" t="s">
        <v>1439</v>
      </c>
      <c r="D37" s="3"/>
      <c r="E37" s="39">
        <v>0.9</v>
      </c>
      <c r="F37" s="39">
        <v>0.9</v>
      </c>
      <c r="G37" s="39">
        <v>0.9</v>
      </c>
      <c r="H37" s="3"/>
      <c r="I37" s="3"/>
      <c r="J37" s="3"/>
      <c r="K37" s="3"/>
      <c r="L37" s="3"/>
      <c r="M37" s="3"/>
      <c r="N37" s="3"/>
    </row>
    <row r="38" spans="1:14" x14ac:dyDescent="0.25">
      <c r="A38" s="43"/>
      <c r="B38" s="43"/>
      <c r="C38" s="43" t="s">
        <v>119</v>
      </c>
      <c r="D38" s="4">
        <v>15</v>
      </c>
      <c r="E38" s="4"/>
      <c r="F38" s="4"/>
      <c r="G38" s="4"/>
      <c r="H38" s="4"/>
      <c r="I38" s="4"/>
      <c r="J38" s="4"/>
      <c r="K38" s="4"/>
      <c r="L38" s="4"/>
      <c r="M38" s="4"/>
      <c r="N38" s="4"/>
    </row>
    <row r="39" spans="1:14" x14ac:dyDescent="0.25">
      <c r="A39" s="44"/>
      <c r="B39" s="44"/>
      <c r="C39" s="44" t="s">
        <v>392</v>
      </c>
      <c r="D39" s="5"/>
      <c r="E39" s="5"/>
      <c r="F39" s="5"/>
      <c r="G39" s="5"/>
      <c r="H39" s="5"/>
      <c r="I39" s="5"/>
      <c r="J39" s="5"/>
      <c r="K39" s="5"/>
      <c r="L39" s="5"/>
      <c r="M39" s="5"/>
      <c r="N39" s="5"/>
    </row>
    <row r="40" spans="1:14" x14ac:dyDescent="0.25">
      <c r="A40" s="42"/>
      <c r="B40" s="42"/>
      <c r="C40" s="42" t="s">
        <v>123</v>
      </c>
      <c r="D40" s="3"/>
      <c r="E40" s="3"/>
      <c r="F40" s="3"/>
      <c r="G40" s="3"/>
      <c r="H40" s="3"/>
      <c r="I40" s="3"/>
      <c r="J40" s="3"/>
      <c r="K40" s="3"/>
      <c r="L40" s="3"/>
      <c r="M40" s="3"/>
      <c r="N40" s="3"/>
    </row>
    <row r="41" spans="1:14" x14ac:dyDescent="0.25">
      <c r="A41" s="43"/>
      <c r="B41" s="43"/>
      <c r="C41" s="43" t="s">
        <v>124</v>
      </c>
      <c r="D41" s="4"/>
      <c r="E41" s="4"/>
      <c r="F41" s="4"/>
      <c r="G41" s="4"/>
      <c r="H41" s="4"/>
      <c r="I41" s="4"/>
      <c r="J41" s="4"/>
      <c r="K41" s="4"/>
      <c r="L41" s="4"/>
      <c r="M41" s="4"/>
      <c r="N41" s="4"/>
    </row>
    <row r="42" spans="1:14" x14ac:dyDescent="0.25">
      <c r="A42" s="42"/>
      <c r="B42" s="42"/>
      <c r="C42" s="42" t="s">
        <v>125</v>
      </c>
      <c r="D42" s="3"/>
      <c r="E42" s="3"/>
      <c r="F42" s="3"/>
      <c r="G42" s="3"/>
      <c r="H42" s="3"/>
      <c r="I42" s="3"/>
      <c r="J42" s="3"/>
      <c r="K42" s="3"/>
      <c r="L42" s="3"/>
      <c r="M42" s="3"/>
      <c r="N42" s="3"/>
    </row>
    <row r="43" spans="1:14" x14ac:dyDescent="0.25">
      <c r="A43" s="43"/>
      <c r="B43" s="43"/>
      <c r="C43" s="43" t="s">
        <v>126</v>
      </c>
      <c r="D43" s="4"/>
      <c r="E43" s="4"/>
      <c r="F43" s="4"/>
      <c r="G43" s="4"/>
      <c r="H43" s="4"/>
      <c r="I43" s="4"/>
      <c r="J43" s="4"/>
      <c r="K43" s="4"/>
      <c r="L43" s="4"/>
      <c r="M43" s="4"/>
      <c r="N43" s="4"/>
    </row>
    <row r="44" spans="1:14" x14ac:dyDescent="0.25">
      <c r="A44" s="42"/>
      <c r="B44" s="42"/>
      <c r="C44" s="42" t="s">
        <v>127</v>
      </c>
      <c r="D44" s="3"/>
      <c r="E44" s="3"/>
      <c r="F44" s="3"/>
      <c r="G44" s="3"/>
      <c r="H44" s="3"/>
      <c r="I44" s="3"/>
      <c r="J44" s="3"/>
      <c r="K44" s="3"/>
      <c r="L44" s="3"/>
      <c r="M44" s="3"/>
      <c r="N44" s="3"/>
    </row>
    <row r="45" spans="1:14" x14ac:dyDescent="0.25">
      <c r="A45" s="43"/>
      <c r="B45" s="43"/>
      <c r="C45" s="43" t="s">
        <v>128</v>
      </c>
      <c r="D45" s="4"/>
      <c r="E45" s="4"/>
      <c r="F45" s="4"/>
      <c r="G45" s="4"/>
      <c r="H45" s="4"/>
      <c r="I45" s="4"/>
      <c r="J45" s="4"/>
      <c r="K45" s="4"/>
      <c r="L45" s="4"/>
      <c r="M45" s="4"/>
      <c r="N45" s="4"/>
    </row>
    <row r="46" spans="1:14" x14ac:dyDescent="0.25">
      <c r="A46" s="42"/>
      <c r="B46" s="42"/>
      <c r="C46" s="42" t="s">
        <v>129</v>
      </c>
      <c r="D46" s="3"/>
      <c r="E46" s="3"/>
      <c r="F46" s="3"/>
      <c r="G46" s="3"/>
      <c r="H46" s="3"/>
      <c r="I46" s="3"/>
      <c r="J46" s="3"/>
      <c r="K46" s="3"/>
      <c r="L46" s="3"/>
      <c r="M46" s="3"/>
      <c r="N46" s="3" t="s">
        <v>262</v>
      </c>
    </row>
    <row r="47" spans="1:14" x14ac:dyDescent="0.25">
      <c r="A47" s="43"/>
      <c r="B47" s="43"/>
      <c r="C47" s="43" t="s">
        <v>130</v>
      </c>
      <c r="D47" s="4"/>
      <c r="E47" s="4"/>
      <c r="F47" s="4"/>
      <c r="G47" s="4"/>
      <c r="H47" s="4"/>
      <c r="I47" s="4"/>
      <c r="J47" s="4"/>
      <c r="K47" s="4"/>
      <c r="L47" s="4"/>
      <c r="M47" s="4"/>
      <c r="N47" s="4" t="s">
        <v>266</v>
      </c>
    </row>
    <row r="48" spans="1:14" x14ac:dyDescent="0.25">
      <c r="A48" s="42"/>
      <c r="B48" s="42"/>
      <c r="C48" s="42" t="s">
        <v>131</v>
      </c>
      <c r="D48" s="3"/>
      <c r="E48" s="3"/>
      <c r="F48" s="3"/>
      <c r="G48" s="3"/>
      <c r="H48" s="3"/>
      <c r="I48" s="3"/>
      <c r="J48" s="3"/>
      <c r="K48" s="3"/>
      <c r="L48" s="3"/>
      <c r="M48" s="3"/>
      <c r="N48" s="3" t="s">
        <v>267</v>
      </c>
    </row>
    <row r="49" spans="1:14" x14ac:dyDescent="0.25">
      <c r="A49" s="43"/>
      <c r="B49" s="43"/>
      <c r="C49" s="43" t="s">
        <v>132</v>
      </c>
      <c r="D49" s="4"/>
      <c r="E49" s="4"/>
      <c r="F49" s="4"/>
      <c r="G49" s="4"/>
      <c r="H49" s="4"/>
      <c r="I49" s="4"/>
      <c r="J49" s="4"/>
      <c r="K49" s="4"/>
      <c r="L49" s="4"/>
      <c r="M49" s="4"/>
      <c r="N49" s="4" t="s">
        <v>268</v>
      </c>
    </row>
    <row r="50" spans="1:14" x14ac:dyDescent="0.25">
      <c r="A50" s="42"/>
      <c r="B50" s="42"/>
      <c r="C50" s="42" t="s">
        <v>133</v>
      </c>
      <c r="D50" s="3"/>
      <c r="E50" s="3"/>
      <c r="F50" s="3"/>
      <c r="G50" s="3"/>
      <c r="H50" s="3"/>
      <c r="I50" s="3"/>
      <c r="J50" s="3"/>
      <c r="K50" s="3"/>
      <c r="L50" s="3"/>
      <c r="M50" s="3"/>
      <c r="N50" s="3" t="s">
        <v>269</v>
      </c>
    </row>
    <row r="51" spans="1:14" x14ac:dyDescent="0.25">
      <c r="A51" s="43"/>
      <c r="B51" s="43"/>
      <c r="C51" s="43" t="s">
        <v>134</v>
      </c>
      <c r="D51" s="4"/>
      <c r="E51" s="4"/>
      <c r="F51" s="4"/>
      <c r="G51" s="4"/>
      <c r="H51" s="4"/>
      <c r="I51" s="4"/>
      <c r="J51" s="4"/>
      <c r="K51" s="4"/>
      <c r="L51" s="4"/>
      <c r="M51" s="4"/>
      <c r="N51" s="4" t="s">
        <v>270</v>
      </c>
    </row>
    <row r="52" spans="1:14" x14ac:dyDescent="0.25">
      <c r="A52" s="44" t="s">
        <v>226</v>
      </c>
      <c r="B52" s="44"/>
      <c r="C52" s="44" t="s">
        <v>384</v>
      </c>
      <c r="D52" s="5"/>
      <c r="E52" s="5"/>
      <c r="F52" s="5"/>
      <c r="G52" s="5"/>
      <c r="H52" s="5"/>
      <c r="I52" s="5"/>
      <c r="J52" s="5"/>
      <c r="K52" s="5"/>
      <c r="L52" s="5"/>
      <c r="M52" s="5"/>
      <c r="N52" s="5"/>
    </row>
    <row r="53" spans="1:14" x14ac:dyDescent="0.25">
      <c r="A53" s="42"/>
      <c r="B53" s="42"/>
      <c r="C53" s="42" t="s">
        <v>137</v>
      </c>
      <c r="D53" s="3"/>
      <c r="E53" s="3"/>
      <c r="F53" s="3"/>
      <c r="G53" s="3"/>
      <c r="H53" s="3"/>
      <c r="I53" s="3"/>
      <c r="J53" s="3"/>
      <c r="K53" s="3"/>
      <c r="L53" s="3"/>
      <c r="M53" s="3"/>
      <c r="N53" s="3"/>
    </row>
    <row r="54" spans="1:14" x14ac:dyDescent="0.25">
      <c r="A54" s="44" t="s">
        <v>227</v>
      </c>
      <c r="B54" s="44"/>
      <c r="C54" s="44" t="s">
        <v>393</v>
      </c>
      <c r="D54" s="5"/>
      <c r="E54" s="5"/>
      <c r="F54" s="5"/>
      <c r="G54" s="5"/>
      <c r="H54" s="5"/>
      <c r="I54" s="5"/>
      <c r="J54" s="5"/>
      <c r="K54" s="5"/>
      <c r="L54" s="5"/>
      <c r="M54" s="5"/>
      <c r="N54" s="5"/>
    </row>
    <row r="55" spans="1:14" x14ac:dyDescent="0.25">
      <c r="A55" s="42"/>
      <c r="B55" s="42"/>
      <c r="C55" s="42" t="s">
        <v>290</v>
      </c>
      <c r="D55" s="3"/>
      <c r="E55" s="3"/>
      <c r="F55" s="3"/>
      <c r="G55" s="3"/>
      <c r="H55" s="3"/>
      <c r="I55" s="3"/>
      <c r="J55" s="3"/>
      <c r="K55" s="3"/>
      <c r="L55" s="3"/>
      <c r="M55" s="3"/>
      <c r="N55" s="3"/>
    </row>
    <row r="56" spans="1:14" x14ac:dyDescent="0.25">
      <c r="A56" s="43"/>
      <c r="B56" s="43"/>
      <c r="C56" s="43" t="s">
        <v>138</v>
      </c>
      <c r="D56" s="4" t="str">
        <f t="shared" ref="D56:M56" si="0">Printer_Name &amp; " " &amp; LOWER(D$1)</f>
        <v>AnyCubic E3D V6 0.6 mm common</v>
      </c>
      <c r="E56" s="4" t="str">
        <f t="shared" si="0"/>
        <v>AnyCubic E3D V6 0.6 mm pla</v>
      </c>
      <c r="F56" s="4" t="str">
        <f t="shared" si="0"/>
        <v>AnyCubic E3D V6 0.6 mm petg</v>
      </c>
      <c r="G56" s="4" t="str">
        <f t="shared" si="0"/>
        <v>AnyCubic E3D V6 0.6 mm abs</v>
      </c>
      <c r="H56" s="4" t="str">
        <f t="shared" si="0"/>
        <v>AnyCubic E3D V6 0.6 mm asa</v>
      </c>
      <c r="I56" s="4" t="str">
        <f t="shared" si="0"/>
        <v>AnyCubic E3D V6 0.6 mm nylon</v>
      </c>
      <c r="J56" s="4" t="str">
        <f t="shared" si="0"/>
        <v>AnyCubic E3D V6 0.6 mm pp</v>
      </c>
      <c r="K56" s="4" t="str">
        <f t="shared" si="0"/>
        <v>AnyCubic E3D V6 0.6 mm tpu</v>
      </c>
      <c r="L56" s="4" t="str">
        <f t="shared" si="0"/>
        <v>AnyCubic E3D V6 0.6 mm hips</v>
      </c>
      <c r="M56" s="4" t="str">
        <f t="shared" si="0"/>
        <v>AnyCubic E3D V6 0.6 mm pc</v>
      </c>
      <c r="N56" s="4"/>
    </row>
    <row r="57" spans="1:14" x14ac:dyDescent="0.25">
      <c r="A57" s="42"/>
      <c r="B57" s="42"/>
      <c r="C57" s="42" t="s">
        <v>139</v>
      </c>
      <c r="D57" s="3"/>
      <c r="E57" s="3"/>
      <c r="F57" s="3"/>
      <c r="G57" s="3"/>
      <c r="H57" s="3"/>
      <c r="I57" s="3"/>
      <c r="J57" s="3"/>
      <c r="K57" s="3"/>
      <c r="L57" s="3"/>
      <c r="M57" s="3"/>
      <c r="N57" s="3"/>
    </row>
    <row r="58" spans="1:14" x14ac:dyDescent="0.25">
      <c r="A58" s="43"/>
      <c r="B58" s="43"/>
      <c r="C58" s="43" t="s">
        <v>294</v>
      </c>
      <c r="D58" s="4"/>
      <c r="E58" s="4"/>
      <c r="F58" s="4"/>
      <c r="G58" s="4"/>
      <c r="H58" s="4"/>
      <c r="I58" s="4"/>
      <c r="J58" s="4"/>
      <c r="K58" s="4"/>
      <c r="L58" s="4"/>
      <c r="M58" s="4"/>
      <c r="N58" s="4"/>
    </row>
    <row r="59" spans="1:14" x14ac:dyDescent="0.25">
      <c r="A59" s="42"/>
      <c r="B59" s="42"/>
      <c r="C59" s="42" t="s">
        <v>295</v>
      </c>
      <c r="D59" s="3"/>
      <c r="E59" s="3"/>
      <c r="F59" s="3"/>
      <c r="G59" s="3"/>
      <c r="H59" s="3"/>
      <c r="I59" s="3"/>
      <c r="J59" s="3"/>
      <c r="K59" s="3"/>
      <c r="L59" s="3"/>
      <c r="M59" s="3"/>
      <c r="N59" s="3"/>
    </row>
    <row r="60" spans="1:14" x14ac:dyDescent="0.25">
      <c r="A60" s="44" t="s">
        <v>291</v>
      </c>
      <c r="B60" s="44"/>
      <c r="C60" s="44" t="s">
        <v>394</v>
      </c>
      <c r="D60" s="5"/>
      <c r="E60" s="5"/>
      <c r="F60" s="5"/>
      <c r="G60" s="5"/>
      <c r="H60" s="5"/>
      <c r="I60" s="5"/>
      <c r="J60" s="5"/>
      <c r="K60" s="5"/>
      <c r="L60" s="5"/>
      <c r="M60" s="5"/>
      <c r="N60" s="5"/>
    </row>
    <row r="61" spans="1:14" x14ac:dyDescent="0.25">
      <c r="A61" s="45"/>
      <c r="B61" s="45"/>
      <c r="C61" s="45" t="s">
        <v>1337</v>
      </c>
      <c r="D61" s="6">
        <v>0</v>
      </c>
      <c r="E61" s="6"/>
      <c r="F61" s="6"/>
      <c r="G61" s="6"/>
      <c r="H61" s="6"/>
      <c r="I61" s="6"/>
      <c r="J61" s="6"/>
      <c r="K61" s="6"/>
      <c r="L61" s="6"/>
      <c r="M61" s="6"/>
      <c r="N61" s="6" t="s">
        <v>1467</v>
      </c>
    </row>
    <row r="62" spans="1:14" x14ac:dyDescent="0.25">
      <c r="A62" s="45"/>
      <c r="B62" s="45"/>
      <c r="C62" s="45" t="s">
        <v>1294</v>
      </c>
      <c r="D62" s="6">
        <v>0</v>
      </c>
      <c r="E62" s="6">
        <v>-0.28000000000000003</v>
      </c>
      <c r="F62" s="6">
        <v>0.08</v>
      </c>
      <c r="G62" s="6">
        <v>0</v>
      </c>
      <c r="H62" s="6">
        <v>0</v>
      </c>
      <c r="I62" s="6"/>
      <c r="J62" s="6"/>
      <c r="K62" s="6"/>
      <c r="L62" s="6"/>
      <c r="M62" s="6"/>
      <c r="N62" s="97" t="s">
        <v>1503</v>
      </c>
    </row>
    <row r="63" spans="1:14" x14ac:dyDescent="0.25">
      <c r="A63" s="45"/>
      <c r="B63" s="45"/>
      <c r="C63" s="45" t="s">
        <v>1297</v>
      </c>
      <c r="D63" s="6">
        <v>0.8</v>
      </c>
      <c r="E63" s="6"/>
      <c r="F63" s="6"/>
      <c r="G63" s="6"/>
      <c r="H63" s="6"/>
      <c r="I63" s="6"/>
      <c r="J63" s="6"/>
      <c r="K63" s="6"/>
      <c r="L63" s="6"/>
      <c r="M63" s="6"/>
      <c r="N63" s="6"/>
    </row>
    <row r="64" spans="1:14" x14ac:dyDescent="0.25">
      <c r="A64" s="45"/>
      <c r="B64" s="45"/>
      <c r="C64" s="45" t="s">
        <v>1290</v>
      </c>
      <c r="D64" s="6">
        <v>0</v>
      </c>
      <c r="E64" s="6"/>
      <c r="F64" s="6"/>
      <c r="G64" s="6"/>
      <c r="H64" s="6"/>
      <c r="I64" s="6"/>
      <c r="J64" s="6"/>
      <c r="K64" s="6"/>
      <c r="L64" s="6"/>
      <c r="M64" s="6"/>
      <c r="N64" s="6" t="s">
        <v>1296</v>
      </c>
    </row>
    <row r="65" spans="1:14" x14ac:dyDescent="0.25">
      <c r="A65" s="45"/>
      <c r="B65" s="45"/>
      <c r="C65" s="45" t="s">
        <v>1291</v>
      </c>
      <c r="D65" s="6">
        <v>0.2</v>
      </c>
      <c r="E65" s="6"/>
      <c r="F65" s="6"/>
      <c r="G65" s="6"/>
      <c r="H65" s="6"/>
      <c r="I65" s="6"/>
      <c r="J65" s="6"/>
      <c r="K65" s="6"/>
      <c r="L65" s="6"/>
      <c r="M65" s="6"/>
      <c r="N65" s="6"/>
    </row>
    <row r="66" spans="1:14" x14ac:dyDescent="0.25">
      <c r="A66" s="45"/>
      <c r="B66" s="45"/>
      <c r="C66" s="45" t="s">
        <v>1292</v>
      </c>
      <c r="D66" s="34" t="s">
        <v>1289</v>
      </c>
      <c r="E66" s="34"/>
      <c r="F66" s="34"/>
      <c r="G66" s="34"/>
      <c r="H66" s="34"/>
      <c r="I66" s="34"/>
      <c r="J66" s="34"/>
      <c r="K66" s="34"/>
      <c r="L66" s="34"/>
      <c r="M66" s="34"/>
      <c r="N66" s="6"/>
    </row>
    <row r="67" spans="1:14" x14ac:dyDescent="0.25">
      <c r="A67" s="45"/>
      <c r="B67" s="45"/>
      <c r="C67" s="45" t="s">
        <v>1295</v>
      </c>
      <c r="D67" s="34">
        <f>D68</f>
        <v>0.8</v>
      </c>
      <c r="E67" s="34"/>
      <c r="F67" s="34"/>
      <c r="G67" s="34"/>
      <c r="H67" s="34"/>
      <c r="I67" s="34"/>
      <c r="J67" s="34"/>
      <c r="K67" s="34"/>
      <c r="L67" s="34"/>
      <c r="M67" s="34"/>
      <c r="N67" s="6"/>
    </row>
    <row r="68" spans="1:14" x14ac:dyDescent="0.25">
      <c r="A68" s="42"/>
      <c r="B68" s="42"/>
      <c r="C68" s="42" t="s">
        <v>308</v>
      </c>
      <c r="D68" s="3">
        <v>0.8</v>
      </c>
      <c r="E68" s="3" t="str">
        <f>IF(E67*2 &gt; 0, E67*2,"")</f>
        <v/>
      </c>
      <c r="F68" s="3" t="str">
        <f>IF(F67*2 &gt; 0, F67*2,"")</f>
        <v/>
      </c>
      <c r="G68" s="3" t="str">
        <f t="shared" ref="G68:M68" si="1">IF(G67*2 &gt; 0, G67*2,"")</f>
        <v/>
      </c>
      <c r="H68" s="3" t="str">
        <f t="shared" si="1"/>
        <v/>
      </c>
      <c r="I68" s="3" t="str">
        <f t="shared" si="1"/>
        <v/>
      </c>
      <c r="J68" s="3" t="str">
        <f t="shared" si="1"/>
        <v/>
      </c>
      <c r="K68" s="3" t="str">
        <f t="shared" si="1"/>
        <v/>
      </c>
      <c r="L68" s="3" t="str">
        <f t="shared" si="1"/>
        <v/>
      </c>
      <c r="M68" s="3" t="str">
        <f t="shared" si="1"/>
        <v/>
      </c>
      <c r="N68" s="3"/>
    </row>
    <row r="69" spans="1:14" x14ac:dyDescent="0.25">
      <c r="A69" s="43"/>
      <c r="B69" s="43"/>
      <c r="C69" s="43" t="s">
        <v>309</v>
      </c>
      <c r="D69" s="4">
        <v>0</v>
      </c>
      <c r="E69" s="4"/>
      <c r="F69" s="4">
        <v>0.6</v>
      </c>
      <c r="G69" s="4"/>
      <c r="H69" s="4"/>
      <c r="I69" s="4"/>
      <c r="J69" s="4"/>
      <c r="K69" s="4"/>
      <c r="L69" s="4"/>
      <c r="M69" s="4"/>
      <c r="N69" s="4"/>
    </row>
    <row r="70" spans="1:14" x14ac:dyDescent="0.25">
      <c r="A70" s="42"/>
      <c r="B70" s="42"/>
      <c r="C70" s="42" t="s">
        <v>458</v>
      </c>
      <c r="D70" s="3"/>
      <c r="E70" s="3"/>
      <c r="F70" s="3"/>
      <c r="G70" s="3"/>
      <c r="H70" s="3"/>
      <c r="I70" s="3"/>
      <c r="J70" s="3"/>
      <c r="K70" s="3"/>
      <c r="L70" s="3"/>
      <c r="M70" s="3"/>
      <c r="N70" s="3"/>
    </row>
    <row r="71" spans="1:14" x14ac:dyDescent="0.25">
      <c r="A71" s="43"/>
      <c r="B71" s="43"/>
      <c r="C71" s="43" t="s">
        <v>459</v>
      </c>
      <c r="D71" s="4"/>
      <c r="E71" s="4"/>
      <c r="F71" s="4"/>
      <c r="G71" s="4"/>
      <c r="H71" s="4"/>
      <c r="I71" s="4"/>
      <c r="J71" s="4"/>
      <c r="K71" s="4"/>
      <c r="L71" s="4"/>
      <c r="M71" s="4"/>
      <c r="N71" s="4"/>
    </row>
    <row r="72" spans="1:14" x14ac:dyDescent="0.25">
      <c r="A72" s="42"/>
      <c r="B72" s="42"/>
      <c r="C72" s="42" t="s">
        <v>310</v>
      </c>
      <c r="D72" s="3">
        <v>35</v>
      </c>
      <c r="E72" s="3"/>
      <c r="F72" s="3"/>
      <c r="G72" s="3"/>
      <c r="H72" s="3"/>
      <c r="I72" s="3"/>
      <c r="J72" s="3"/>
      <c r="K72" s="3"/>
      <c r="L72" s="3"/>
      <c r="M72" s="3"/>
      <c r="N72" s="3"/>
    </row>
    <row r="73" spans="1:14" x14ac:dyDescent="0.25">
      <c r="A73" s="43"/>
      <c r="B73" s="43"/>
      <c r="C73" s="43" t="s">
        <v>311</v>
      </c>
      <c r="D73" s="4">
        <v>25</v>
      </c>
      <c r="E73" s="4"/>
      <c r="F73" s="4"/>
      <c r="G73" s="4"/>
      <c r="H73" s="4"/>
      <c r="I73" s="4"/>
      <c r="J73" s="4"/>
      <c r="K73" s="4"/>
      <c r="L73" s="4"/>
      <c r="M73" s="4"/>
      <c r="N73" s="4"/>
    </row>
    <row r="74" spans="1:14" x14ac:dyDescent="0.25">
      <c r="A74" s="42"/>
      <c r="B74" s="42"/>
      <c r="C74" s="42" t="s">
        <v>312</v>
      </c>
      <c r="D74" s="3">
        <v>0</v>
      </c>
      <c r="E74" s="3"/>
      <c r="F74" s="3"/>
      <c r="G74" s="3"/>
      <c r="H74" s="3"/>
      <c r="I74" s="3"/>
      <c r="J74" s="3"/>
      <c r="K74" s="3"/>
      <c r="L74" s="3"/>
      <c r="M74" s="3"/>
      <c r="N74" s="3"/>
    </row>
    <row r="75" spans="1:14" x14ac:dyDescent="0.25">
      <c r="A75" s="43"/>
      <c r="B75" s="43"/>
      <c r="C75" s="43" t="s">
        <v>314</v>
      </c>
      <c r="D75" s="4">
        <v>3</v>
      </c>
      <c r="E75" s="4"/>
      <c r="F75" s="4"/>
      <c r="G75" s="4"/>
      <c r="H75" s="4"/>
      <c r="I75" s="4"/>
      <c r="J75" s="4"/>
      <c r="K75" s="4"/>
      <c r="L75" s="4"/>
      <c r="M75" s="4"/>
      <c r="N75" s="4"/>
    </row>
    <row r="76" spans="1:14" x14ac:dyDescent="0.25">
      <c r="A76" s="42"/>
      <c r="B76" s="42"/>
      <c r="C76" s="42" t="s">
        <v>313</v>
      </c>
      <c r="D76" s="3">
        <v>1</v>
      </c>
      <c r="E76" s="3"/>
      <c r="F76" s="3"/>
      <c r="G76" s="3"/>
      <c r="H76" s="3"/>
      <c r="I76" s="3"/>
      <c r="J76" s="3"/>
      <c r="K76" s="3"/>
      <c r="L76" s="3"/>
      <c r="M76" s="3"/>
      <c r="N76" s="3"/>
    </row>
    <row r="77" spans="1:14" x14ac:dyDescent="0.25">
      <c r="A77" s="43"/>
      <c r="B77" s="43"/>
      <c r="C77" s="43" t="s">
        <v>315</v>
      </c>
      <c r="D77" s="4">
        <v>1</v>
      </c>
      <c r="E77" s="4"/>
      <c r="F77" s="4"/>
      <c r="G77" s="4"/>
      <c r="H77" s="4"/>
      <c r="I77" s="4"/>
      <c r="J77" s="4"/>
      <c r="K77" s="4"/>
      <c r="L77" s="4"/>
      <c r="M77" s="4"/>
      <c r="N77" s="4"/>
    </row>
    <row r="78" spans="1:14" x14ac:dyDescent="0.25">
      <c r="A78" s="45"/>
      <c r="B78" s="45"/>
      <c r="C78" s="45" t="s">
        <v>1293</v>
      </c>
      <c r="D78" s="6">
        <f>D68/2</f>
        <v>0.4</v>
      </c>
      <c r="E78" s="6"/>
      <c r="F78" s="6"/>
      <c r="G78" s="6"/>
      <c r="H78" s="6"/>
      <c r="I78" s="6"/>
      <c r="J78" s="6"/>
      <c r="K78" s="6"/>
      <c r="L78" s="6"/>
      <c r="M78" s="6"/>
      <c r="N78" s="6"/>
    </row>
    <row r="79" spans="1:14" x14ac:dyDescent="0.25">
      <c r="A79" s="42"/>
      <c r="B79" s="42"/>
      <c r="C79" s="42" t="s">
        <v>316</v>
      </c>
      <c r="D79" s="39">
        <v>0</v>
      </c>
      <c r="E79" s="39"/>
      <c r="F79" s="39"/>
      <c r="G79" s="39"/>
      <c r="H79" s="39"/>
      <c r="I79" s="39"/>
      <c r="J79" s="39"/>
      <c r="K79" s="39"/>
      <c r="L79" s="39"/>
      <c r="M79" s="39"/>
      <c r="N79" s="3" t="s">
        <v>1304</v>
      </c>
    </row>
    <row r="80" spans="1:14" x14ac:dyDescent="0.25">
      <c r="A80" s="44" t="s">
        <v>271</v>
      </c>
      <c r="B80" s="44"/>
      <c r="C80" s="44" t="s">
        <v>386</v>
      </c>
      <c r="D80" s="5"/>
      <c r="E80" s="5"/>
      <c r="F80" s="5"/>
      <c r="G80" s="5"/>
      <c r="H80" s="5"/>
      <c r="I80" s="5"/>
      <c r="J80" s="5"/>
      <c r="K80" s="5"/>
      <c r="L80" s="5"/>
      <c r="M80" s="5"/>
      <c r="N80" s="5"/>
    </row>
    <row r="81" spans="1:14" x14ac:dyDescent="0.25">
      <c r="A81" s="42"/>
      <c r="B81" s="42"/>
      <c r="C81" s="42" t="s">
        <v>135</v>
      </c>
      <c r="D81" s="3" t="s">
        <v>672</v>
      </c>
      <c r="E81" s="3" t="str">
        <f>$D$81</f>
        <v>slic3r_start_filament_gcode</v>
      </c>
      <c r="F81" s="3" t="str">
        <f t="shared" ref="F81:M81" si="2">$D$81</f>
        <v>slic3r_start_filament_gcode</v>
      </c>
      <c r="G81" s="3" t="str">
        <f t="shared" si="2"/>
        <v>slic3r_start_filament_gcode</v>
      </c>
      <c r="H81" s="3" t="str">
        <f t="shared" si="2"/>
        <v>slic3r_start_filament_gcode</v>
      </c>
      <c r="I81" s="3" t="str">
        <f t="shared" si="2"/>
        <v>slic3r_start_filament_gcode</v>
      </c>
      <c r="J81" s="3" t="str">
        <f t="shared" si="2"/>
        <v>slic3r_start_filament_gcode</v>
      </c>
      <c r="K81" s="3" t="str">
        <f t="shared" si="2"/>
        <v>slic3r_start_filament_gcode</v>
      </c>
      <c r="L81" s="3" t="str">
        <f t="shared" si="2"/>
        <v>slic3r_start_filament_gcode</v>
      </c>
      <c r="M81" s="3" t="str">
        <f t="shared" si="2"/>
        <v>slic3r_start_filament_gcode</v>
      </c>
      <c r="N81" s="3" t="s">
        <v>423</v>
      </c>
    </row>
    <row r="82" spans="1:14" x14ac:dyDescent="0.25">
      <c r="A82" s="43"/>
      <c r="B82" s="43"/>
      <c r="C82" s="43" t="s">
        <v>136</v>
      </c>
      <c r="D82" s="4" t="s">
        <v>671</v>
      </c>
      <c r="E82" s="4" t="str">
        <f>$D$82</f>
        <v>slic3r_end_filament_gcode</v>
      </c>
      <c r="F82" s="4" t="str">
        <f t="shared" ref="F82:M82" si="3">$D$82</f>
        <v>slic3r_end_filament_gcode</v>
      </c>
      <c r="G82" s="4" t="str">
        <f t="shared" si="3"/>
        <v>slic3r_end_filament_gcode</v>
      </c>
      <c r="H82" s="4" t="str">
        <f t="shared" si="3"/>
        <v>slic3r_end_filament_gcode</v>
      </c>
      <c r="I82" s="4" t="str">
        <f t="shared" si="3"/>
        <v>slic3r_end_filament_gcode</v>
      </c>
      <c r="J82" s="4" t="str">
        <f t="shared" si="3"/>
        <v>slic3r_end_filament_gcode</v>
      </c>
      <c r="K82" s="4" t="str">
        <f t="shared" si="3"/>
        <v>slic3r_end_filament_gcode</v>
      </c>
      <c r="L82" s="4" t="str">
        <f t="shared" si="3"/>
        <v>slic3r_end_filament_gcode</v>
      </c>
      <c r="M82" s="4" t="str">
        <f t="shared" si="3"/>
        <v>slic3r_end_filament_gcode</v>
      </c>
      <c r="N82" s="4" t="s">
        <v>423</v>
      </c>
    </row>
    <row r="83" spans="1:14" x14ac:dyDescent="0.25">
      <c r="A83" s="42"/>
      <c r="B83" s="42"/>
      <c r="C83" s="42" t="s">
        <v>460</v>
      </c>
      <c r="D83" s="3"/>
      <c r="E83" s="3"/>
      <c r="F83" s="3"/>
      <c r="G83" s="3"/>
      <c r="H83" s="3"/>
      <c r="I83" s="3"/>
      <c r="J83" s="3"/>
      <c r="K83" s="3"/>
      <c r="L83" s="3"/>
      <c r="M83" s="3"/>
      <c r="N83" s="3"/>
    </row>
    <row r="84" spans="1:14" x14ac:dyDescent="0.25">
      <c r="A84" s="43"/>
      <c r="B84" s="43"/>
      <c r="C84" s="43" t="s">
        <v>361</v>
      </c>
      <c r="D84" s="4"/>
      <c r="E84" s="4"/>
      <c r="F84" s="4"/>
      <c r="G84" s="4"/>
      <c r="H84" s="4"/>
      <c r="I84" s="4"/>
      <c r="J84" s="4"/>
      <c r="K84" s="4"/>
      <c r="L84" s="4"/>
      <c r="M84" s="4"/>
      <c r="N84" s="4"/>
    </row>
    <row r="85" spans="1:14" x14ac:dyDescent="0.25">
      <c r="A85" s="44"/>
      <c r="B85" s="44"/>
      <c r="C85" s="44" t="s">
        <v>1420</v>
      </c>
      <c r="D85" s="5"/>
      <c r="E85" s="5"/>
      <c r="F85" s="5"/>
      <c r="G85" s="5"/>
      <c r="H85" s="5"/>
      <c r="I85" s="5"/>
      <c r="J85" s="5"/>
      <c r="K85" s="5"/>
      <c r="L85" s="5"/>
      <c r="M85" s="5"/>
      <c r="N85" s="5"/>
    </row>
    <row r="86" spans="1:14" x14ac:dyDescent="0.25">
      <c r="A86" s="44" t="s">
        <v>1419</v>
      </c>
      <c r="B86" s="44"/>
      <c r="C86" s="44" t="s">
        <v>1417</v>
      </c>
      <c r="D86" s="5"/>
      <c r="E86" s="5"/>
      <c r="F86" s="5"/>
      <c r="G86" s="5"/>
      <c r="H86" s="5"/>
      <c r="I86" s="5"/>
      <c r="J86" s="5"/>
      <c r="K86" s="5"/>
      <c r="L86" s="5"/>
      <c r="M86" s="5"/>
      <c r="N86" s="5"/>
    </row>
    <row r="87" spans="1:14" x14ac:dyDescent="0.25">
      <c r="A87" s="42"/>
      <c r="B87" s="42" t="s">
        <v>1418</v>
      </c>
      <c r="C87" s="42" t="s">
        <v>1424</v>
      </c>
      <c r="D87" s="3"/>
      <c r="E87" s="3"/>
      <c r="F87" s="3"/>
      <c r="G87" s="3"/>
      <c r="H87" s="3"/>
      <c r="I87" s="3"/>
      <c r="J87" s="3"/>
      <c r="K87" s="3"/>
      <c r="L87" s="3"/>
      <c r="M87" s="3"/>
      <c r="N87" s="3"/>
    </row>
    <row r="88" spans="1:14" x14ac:dyDescent="0.25">
      <c r="A88" s="43"/>
      <c r="B88" s="43" t="s">
        <v>1418</v>
      </c>
      <c r="C88" s="43" t="s">
        <v>1425</v>
      </c>
      <c r="D88" s="4"/>
      <c r="E88" s="4"/>
      <c r="F88" s="4"/>
      <c r="G88" s="4"/>
      <c r="H88" s="4"/>
      <c r="I88" s="4"/>
      <c r="J88" s="4"/>
      <c r="K88" s="4"/>
      <c r="L88" s="4"/>
      <c r="M88" s="4"/>
      <c r="N88" s="4"/>
    </row>
    <row r="89" spans="1:14" x14ac:dyDescent="0.25">
      <c r="A89" s="42"/>
      <c r="B89" s="42" t="s">
        <v>1418</v>
      </c>
      <c r="C89" s="42" t="s">
        <v>1426</v>
      </c>
      <c r="D89" s="3"/>
      <c r="E89" s="3"/>
      <c r="F89" s="3"/>
      <c r="G89" s="3"/>
      <c r="H89" s="3"/>
      <c r="I89" s="3"/>
      <c r="J89" s="3"/>
      <c r="K89" s="3"/>
      <c r="L89" s="3"/>
      <c r="M89" s="3"/>
      <c r="N89" s="3"/>
    </row>
    <row r="90" spans="1:14" x14ac:dyDescent="0.25">
      <c r="A90" s="43"/>
      <c r="B90" s="43" t="s">
        <v>1418</v>
      </c>
      <c r="C90" s="43" t="s">
        <v>1427</v>
      </c>
      <c r="D90" s="4"/>
      <c r="E90" s="4"/>
      <c r="F90" s="4"/>
      <c r="G90" s="4"/>
      <c r="H90" s="4"/>
      <c r="I90" s="4"/>
      <c r="J90" s="4"/>
      <c r="K90" s="4"/>
      <c r="L90" s="4"/>
      <c r="M90" s="4"/>
      <c r="N90" s="4"/>
    </row>
    <row r="91" spans="1:14" x14ac:dyDescent="0.25">
      <c r="A91" s="42"/>
      <c r="B91" s="42" t="s">
        <v>1418</v>
      </c>
      <c r="C91" s="42" t="s">
        <v>1428</v>
      </c>
      <c r="D91" s="3"/>
      <c r="E91" s="3"/>
      <c r="F91" s="3"/>
      <c r="G91" s="3"/>
      <c r="H91" s="3"/>
      <c r="I91" s="3"/>
      <c r="J91" s="3"/>
      <c r="K91" s="3"/>
      <c r="L91" s="3"/>
      <c r="M91" s="3"/>
      <c r="N91" s="3"/>
    </row>
    <row r="92" spans="1:14" x14ac:dyDescent="0.25">
      <c r="A92" s="43"/>
      <c r="B92" s="43" t="s">
        <v>1418</v>
      </c>
      <c r="C92" s="43" t="s">
        <v>1429</v>
      </c>
      <c r="D92" s="4"/>
      <c r="E92" s="4"/>
      <c r="F92" s="4"/>
      <c r="G92" s="4"/>
      <c r="H92" s="4"/>
      <c r="I92" s="4"/>
      <c r="J92" s="4"/>
      <c r="K92" s="4"/>
      <c r="L92" s="4"/>
      <c r="M92" s="4"/>
      <c r="N92" s="4"/>
    </row>
    <row r="93" spans="1:14" x14ac:dyDescent="0.25">
      <c r="A93" s="42"/>
      <c r="B93" s="42" t="s">
        <v>1418</v>
      </c>
      <c r="C93" s="42" t="s">
        <v>1430</v>
      </c>
      <c r="D93" s="3"/>
      <c r="E93" s="3"/>
      <c r="F93" s="3"/>
      <c r="G93" s="3"/>
      <c r="H93" s="3"/>
      <c r="I93" s="3"/>
      <c r="J93" s="3"/>
      <c r="K93" s="3"/>
      <c r="L93" s="3"/>
      <c r="M93" s="3"/>
      <c r="N93" s="3"/>
    </row>
    <row r="94" spans="1:14" x14ac:dyDescent="0.25">
      <c r="A94" s="43"/>
      <c r="B94" s="43" t="s">
        <v>1418</v>
      </c>
      <c r="C94" s="43" t="s">
        <v>1432</v>
      </c>
      <c r="D94" s="4"/>
      <c r="E94" s="4"/>
      <c r="F94" s="4"/>
      <c r="G94" s="4"/>
      <c r="H94" s="4"/>
      <c r="I94" s="4"/>
      <c r="J94" s="4"/>
      <c r="K94" s="4"/>
      <c r="L94" s="4"/>
      <c r="M94" s="4"/>
      <c r="N94" s="4"/>
    </row>
    <row r="95" spans="1:14" x14ac:dyDescent="0.25">
      <c r="A95" s="42"/>
      <c r="B95" s="42" t="s">
        <v>1418</v>
      </c>
      <c r="C95" s="42" t="s">
        <v>1433</v>
      </c>
      <c r="D95" s="3"/>
      <c r="E95" s="3"/>
      <c r="F95" s="3"/>
      <c r="G95" s="3"/>
      <c r="H95" s="3"/>
      <c r="I95" s="3"/>
      <c r="J95" s="3"/>
      <c r="K95" s="3"/>
      <c r="L95" s="3"/>
      <c r="M95" s="3"/>
      <c r="N95" s="3"/>
    </row>
    <row r="96" spans="1:14" x14ac:dyDescent="0.25">
      <c r="A96" s="43"/>
      <c r="B96" s="43" t="s">
        <v>1418</v>
      </c>
      <c r="C96" s="43" t="s">
        <v>1434</v>
      </c>
      <c r="D96" s="4"/>
      <c r="E96" s="4"/>
      <c r="F96" s="4"/>
      <c r="G96" s="4"/>
      <c r="H96" s="4"/>
      <c r="I96" s="4"/>
      <c r="J96" s="4"/>
      <c r="K96" s="4"/>
      <c r="L96" s="4"/>
      <c r="M96" s="4"/>
      <c r="N96" s="4"/>
    </row>
    <row r="97" spans="1:14" x14ac:dyDescent="0.25">
      <c r="A97" s="42"/>
      <c r="B97" s="42" t="s">
        <v>1418</v>
      </c>
      <c r="C97" s="42" t="s">
        <v>1435</v>
      </c>
      <c r="D97" s="3"/>
      <c r="E97" s="3"/>
      <c r="F97" s="3"/>
      <c r="G97" s="3"/>
      <c r="H97" s="3"/>
      <c r="I97" s="3"/>
      <c r="J97" s="3"/>
      <c r="K97" s="3"/>
      <c r="L97" s="3"/>
      <c r="M97" s="3"/>
      <c r="N97" s="3"/>
    </row>
    <row r="98" spans="1:14" x14ac:dyDescent="0.25">
      <c r="A98" s="43"/>
      <c r="B98" s="43" t="s">
        <v>1418</v>
      </c>
      <c r="C98" s="43" t="s">
        <v>1436</v>
      </c>
      <c r="D98" s="4"/>
      <c r="E98" s="4"/>
      <c r="F98" s="4"/>
      <c r="G98" s="4"/>
      <c r="H98" s="4"/>
      <c r="I98" s="4"/>
      <c r="J98" s="4"/>
      <c r="K98" s="4"/>
      <c r="L98" s="4"/>
      <c r="M98" s="4"/>
      <c r="N98" s="4"/>
    </row>
    <row r="99" spans="1:14" x14ac:dyDescent="0.25">
      <c r="A99" s="42"/>
      <c r="B99" s="42" t="s">
        <v>1418</v>
      </c>
      <c r="C99" s="42" t="s">
        <v>1437</v>
      </c>
      <c r="D99" s="3"/>
      <c r="E99" s="3"/>
      <c r="F99" s="3"/>
      <c r="G99" s="3"/>
      <c r="H99" s="3"/>
      <c r="I99" s="3"/>
      <c r="J99" s="3"/>
      <c r="K99" s="3"/>
      <c r="L99" s="3"/>
      <c r="M99" s="3"/>
      <c r="N99" s="3"/>
    </row>
    <row r="100" spans="1:14" x14ac:dyDescent="0.25">
      <c r="A100" s="43"/>
      <c r="B100" s="43" t="s">
        <v>1418</v>
      </c>
      <c r="C100" s="43" t="s">
        <v>1438</v>
      </c>
      <c r="D100" s="4"/>
      <c r="E100" s="4"/>
      <c r="F100" s="4"/>
      <c r="G100" s="4"/>
      <c r="H100" s="4"/>
      <c r="I100" s="4"/>
      <c r="J100" s="4"/>
      <c r="K100" s="4"/>
      <c r="L100" s="4"/>
      <c r="M100" s="4"/>
      <c r="N100" s="4"/>
    </row>
    <row r="101" spans="1:14" x14ac:dyDescent="0.25">
      <c r="A101" s="44"/>
      <c r="B101" s="44"/>
      <c r="C101" s="44" t="s">
        <v>1416</v>
      </c>
      <c r="D101" s="5"/>
      <c r="E101" s="5"/>
      <c r="F101" s="5"/>
      <c r="G101" s="5"/>
      <c r="H101" s="5"/>
      <c r="I101" s="5"/>
      <c r="J101" s="5"/>
      <c r="K101" s="5"/>
      <c r="L101" s="5"/>
      <c r="M101" s="5"/>
      <c r="N101" s="5"/>
    </row>
    <row r="102" spans="1:14" x14ac:dyDescent="0.25">
      <c r="A102" s="42"/>
      <c r="B102" s="42"/>
      <c r="C102" s="42"/>
      <c r="D102" s="3"/>
      <c r="E102" s="3"/>
      <c r="F102" s="3"/>
      <c r="G102" s="3"/>
      <c r="H102" s="3"/>
      <c r="I102" s="3"/>
      <c r="J102" s="3"/>
      <c r="K102" s="3"/>
      <c r="L102" s="3"/>
      <c r="M102" s="3"/>
      <c r="N102" s="3"/>
    </row>
    <row r="103" spans="1:14" x14ac:dyDescent="0.25">
      <c r="A103" s="43"/>
      <c r="B103" s="43"/>
      <c r="C103" s="43"/>
      <c r="D103" s="4"/>
      <c r="E103" s="4"/>
      <c r="F103" s="4"/>
      <c r="G103" s="4"/>
      <c r="H103" s="4"/>
      <c r="I103" s="4"/>
      <c r="J103" s="4"/>
      <c r="K103" s="4"/>
      <c r="L103" s="4"/>
      <c r="M103" s="4"/>
      <c r="N103" s="4"/>
    </row>
    <row r="104" spans="1:14" x14ac:dyDescent="0.25">
      <c r="A104" s="42"/>
      <c r="B104" s="42"/>
      <c r="C104" s="42"/>
      <c r="D104" s="3"/>
      <c r="E104" s="3"/>
      <c r="F104" s="3"/>
      <c r="G104" s="3"/>
      <c r="H104" s="3"/>
      <c r="I104" s="3"/>
      <c r="J104" s="3"/>
      <c r="K104" s="3"/>
      <c r="L104" s="3"/>
      <c r="M104" s="3"/>
      <c r="N104" s="3"/>
    </row>
    <row r="105" spans="1:14" x14ac:dyDescent="0.25">
      <c r="A105" s="43"/>
      <c r="B105" s="43"/>
      <c r="C105" s="43"/>
      <c r="D105" s="4"/>
      <c r="E105" s="4"/>
      <c r="F105" s="4"/>
      <c r="G105" s="4"/>
      <c r="H105" s="4"/>
      <c r="I105" s="4"/>
      <c r="J105" s="4"/>
      <c r="K105" s="4"/>
      <c r="L105" s="4"/>
      <c r="M105" s="4"/>
      <c r="N105" s="4"/>
    </row>
    <row r="106" spans="1:14" x14ac:dyDescent="0.25">
      <c r="A106" s="42"/>
      <c r="B106" s="42"/>
      <c r="C106" s="42"/>
      <c r="D106" s="39"/>
      <c r="E106" s="3"/>
      <c r="F106" s="3"/>
      <c r="G106" s="3"/>
      <c r="H106" s="3"/>
      <c r="I106" s="3"/>
      <c r="J106" s="3"/>
      <c r="K106" s="3"/>
      <c r="L106" s="3"/>
      <c r="M106" s="3"/>
      <c r="N106" s="3"/>
    </row>
    <row r="107" spans="1:14" x14ac:dyDescent="0.25">
      <c r="A107" s="43"/>
      <c r="B107" s="43"/>
      <c r="C107" s="43"/>
      <c r="D107" s="4"/>
      <c r="E107" s="4"/>
      <c r="F107" s="4"/>
      <c r="G107" s="4"/>
      <c r="H107" s="4"/>
      <c r="I107" s="4"/>
      <c r="J107" s="4"/>
      <c r="K107" s="4"/>
      <c r="L107" s="4"/>
      <c r="M107" s="4"/>
      <c r="N107" s="4"/>
    </row>
    <row r="108" spans="1:14" x14ac:dyDescent="0.25">
      <c r="A108" s="42"/>
      <c r="B108" s="42"/>
      <c r="C108" s="42"/>
      <c r="D108" s="3"/>
      <c r="E108" s="3"/>
      <c r="F108" s="3"/>
      <c r="G108" s="3"/>
      <c r="H108" s="3"/>
      <c r="I108" s="3"/>
      <c r="J108" s="3"/>
      <c r="K108" s="3"/>
      <c r="L108" s="3"/>
      <c r="M108" s="3"/>
      <c r="N108" s="3"/>
    </row>
    <row r="109" spans="1:14" x14ac:dyDescent="0.25">
      <c r="A109" s="43"/>
      <c r="B109" s="43"/>
      <c r="C109" s="43"/>
      <c r="D109" s="4"/>
      <c r="E109" s="4"/>
      <c r="F109" s="4"/>
      <c r="G109" s="4"/>
      <c r="H109" s="4"/>
      <c r="I109" s="4"/>
      <c r="J109" s="4"/>
      <c r="K109" s="4"/>
      <c r="L109" s="4"/>
      <c r="M109" s="4"/>
      <c r="N109" s="4"/>
    </row>
    <row r="110" spans="1:14" x14ac:dyDescent="0.25">
      <c r="A110" s="42"/>
      <c r="B110" s="42"/>
      <c r="C110" s="42"/>
      <c r="D110" s="3"/>
      <c r="E110" s="3"/>
      <c r="F110" s="3"/>
      <c r="G110" s="3"/>
      <c r="H110" s="3"/>
      <c r="I110" s="3"/>
      <c r="J110" s="3"/>
      <c r="K110" s="3"/>
      <c r="L110" s="3"/>
      <c r="M110" s="3"/>
      <c r="N110" s="3"/>
    </row>
    <row r="111" spans="1:14" x14ac:dyDescent="0.25">
      <c r="A111" s="43"/>
      <c r="B111" s="43"/>
      <c r="C111" s="43"/>
      <c r="D111" s="4"/>
      <c r="E111" s="4"/>
      <c r="F111" s="4"/>
      <c r="G111" s="4"/>
      <c r="H111" s="4"/>
      <c r="I111" s="4"/>
      <c r="J111" s="4"/>
      <c r="K111" s="4"/>
      <c r="L111" s="4"/>
      <c r="M111" s="4"/>
      <c r="N111" s="4"/>
    </row>
    <row r="112" spans="1:14" x14ac:dyDescent="0.25">
      <c r="A112" s="42"/>
      <c r="B112" s="42"/>
      <c r="C112" s="42"/>
      <c r="D112" s="3"/>
      <c r="E112" s="3"/>
      <c r="F112" s="3"/>
      <c r="G112" s="3"/>
      <c r="H112" s="3"/>
      <c r="I112" s="3"/>
      <c r="J112" s="3"/>
      <c r="K112" s="3"/>
      <c r="L112" s="3"/>
      <c r="M112" s="3"/>
      <c r="N112" s="3"/>
    </row>
    <row r="113" spans="1:14" x14ac:dyDescent="0.25">
      <c r="A113" s="43"/>
      <c r="B113" s="43"/>
      <c r="C113" s="43"/>
      <c r="D113" s="4"/>
      <c r="E113" s="4"/>
      <c r="F113" s="4"/>
      <c r="G113" s="4"/>
      <c r="H113" s="4"/>
      <c r="I113" s="4"/>
      <c r="J113" s="4"/>
      <c r="K113" s="4"/>
      <c r="L113" s="4"/>
      <c r="M113" s="4"/>
      <c r="N113" s="4"/>
    </row>
    <row r="114" spans="1:14" x14ac:dyDescent="0.25">
      <c r="A114" s="42"/>
      <c r="B114" s="42"/>
      <c r="C114" s="42"/>
      <c r="D114" s="3"/>
      <c r="E114" s="3"/>
      <c r="F114" s="3"/>
      <c r="G114" s="3"/>
      <c r="H114" s="3"/>
      <c r="I114" s="3"/>
      <c r="J114" s="3"/>
      <c r="K114" s="3"/>
      <c r="L114" s="3"/>
      <c r="M114" s="3"/>
      <c r="N114" s="3"/>
    </row>
    <row r="115" spans="1:14" x14ac:dyDescent="0.25">
      <c r="A115" s="43"/>
      <c r="B115" s="43"/>
      <c r="C115" s="43"/>
      <c r="D115" s="4"/>
      <c r="E115" s="4"/>
      <c r="F115" s="4"/>
      <c r="G115" s="4"/>
      <c r="H115" s="4"/>
      <c r="I115" s="4"/>
      <c r="J115" s="4"/>
      <c r="K115" s="4"/>
      <c r="L115" s="4"/>
      <c r="M115" s="4"/>
      <c r="N115" s="4"/>
    </row>
    <row r="116" spans="1:14" x14ac:dyDescent="0.25">
      <c r="A116" s="42"/>
      <c r="B116" s="42"/>
      <c r="C116" s="42"/>
      <c r="D116" s="39"/>
      <c r="E116" s="3"/>
      <c r="F116" s="3"/>
      <c r="G116" s="3"/>
      <c r="H116" s="3"/>
      <c r="I116" s="3"/>
      <c r="J116" s="3"/>
      <c r="K116" s="3"/>
      <c r="L116" s="3"/>
      <c r="M116" s="3"/>
      <c r="N116" s="3"/>
    </row>
    <row r="117" spans="1:14" x14ac:dyDescent="0.25">
      <c r="A117" s="43"/>
      <c r="B117" s="43"/>
      <c r="C117" s="43"/>
      <c r="D117" s="4"/>
      <c r="E117" s="4"/>
      <c r="F117" s="4"/>
      <c r="G117" s="4"/>
      <c r="H117" s="4"/>
      <c r="I117" s="4"/>
      <c r="J117" s="4"/>
      <c r="K117" s="4"/>
      <c r="L117" s="4"/>
      <c r="M117" s="4"/>
      <c r="N117" s="4"/>
    </row>
    <row r="118" spans="1:14" x14ac:dyDescent="0.25">
      <c r="A118" s="42"/>
      <c r="B118" s="42"/>
      <c r="C118" s="42"/>
      <c r="D118" s="3"/>
      <c r="E118" s="3"/>
      <c r="F118" s="3"/>
      <c r="G118" s="3"/>
      <c r="H118" s="3"/>
      <c r="I118" s="3"/>
      <c r="J118" s="3"/>
      <c r="K118" s="3"/>
      <c r="L118" s="3"/>
      <c r="M118" s="3"/>
      <c r="N118" s="3"/>
    </row>
    <row r="119" spans="1:14" x14ac:dyDescent="0.25">
      <c r="A119" s="43"/>
      <c r="B119" s="43"/>
      <c r="C119" s="43"/>
      <c r="D119" s="4"/>
      <c r="E119" s="4"/>
      <c r="F119" s="4"/>
      <c r="G119" s="4"/>
      <c r="H119" s="4"/>
      <c r="I119" s="4"/>
      <c r="J119" s="4"/>
      <c r="K119" s="4"/>
      <c r="L119" s="4"/>
      <c r="M119" s="4"/>
      <c r="N119" s="4"/>
    </row>
    <row r="120" spans="1:14" x14ac:dyDescent="0.25">
      <c r="A120" s="42"/>
      <c r="B120" s="42"/>
      <c r="C120" s="42"/>
      <c r="D120" s="3"/>
      <c r="E120" s="3"/>
      <c r="F120" s="3"/>
      <c r="G120" s="3"/>
      <c r="H120" s="3"/>
      <c r="I120" s="3"/>
      <c r="J120" s="3"/>
      <c r="K120" s="3"/>
      <c r="L120" s="3"/>
      <c r="M120" s="3"/>
      <c r="N120" s="3"/>
    </row>
    <row r="121" spans="1:14" x14ac:dyDescent="0.25">
      <c r="A121" s="43"/>
      <c r="B121" s="43"/>
      <c r="C121" s="43"/>
      <c r="D121" s="4"/>
      <c r="E121" s="4"/>
      <c r="F121" s="4"/>
      <c r="G121" s="4"/>
      <c r="H121" s="4"/>
      <c r="I121" s="4"/>
      <c r="J121" s="4"/>
      <c r="K121" s="4"/>
      <c r="L121" s="4"/>
      <c r="M121" s="4"/>
      <c r="N121" s="4"/>
    </row>
    <row r="122" spans="1:14" x14ac:dyDescent="0.25">
      <c r="A122" s="42"/>
      <c r="B122" s="42"/>
      <c r="C122" s="42"/>
      <c r="D122" s="3"/>
      <c r="E122" s="3"/>
      <c r="F122" s="3"/>
      <c r="G122" s="3"/>
      <c r="H122" s="3"/>
      <c r="I122" s="3"/>
      <c r="J122" s="3"/>
      <c r="K122" s="3"/>
      <c r="L122" s="3"/>
      <c r="M122" s="3"/>
      <c r="N122" s="3"/>
    </row>
    <row r="123" spans="1:14" x14ac:dyDescent="0.25">
      <c r="A123" s="43"/>
      <c r="B123" s="43"/>
      <c r="C123" s="43"/>
      <c r="D123" s="4"/>
      <c r="E123" s="4"/>
      <c r="F123" s="4"/>
      <c r="G123" s="4"/>
      <c r="H123" s="4"/>
      <c r="I123" s="4"/>
      <c r="J123" s="4"/>
      <c r="K123" s="4"/>
      <c r="L123" s="4"/>
      <c r="M123" s="4"/>
      <c r="N123" s="4"/>
    </row>
    <row r="124" spans="1:14" x14ac:dyDescent="0.25">
      <c r="A124" s="42"/>
      <c r="B124" s="42"/>
      <c r="C124" s="42"/>
      <c r="D124" s="39"/>
      <c r="E124" s="3"/>
      <c r="F124" s="3"/>
      <c r="G124" s="3"/>
      <c r="H124" s="3"/>
      <c r="I124" s="3"/>
      <c r="J124" s="3"/>
      <c r="K124" s="3"/>
      <c r="L124" s="3"/>
      <c r="M124" s="3"/>
      <c r="N124" s="3"/>
    </row>
    <row r="125" spans="1:14" x14ac:dyDescent="0.25">
      <c r="A125" s="43"/>
      <c r="B125" s="43"/>
      <c r="C125" s="43"/>
      <c r="D125" s="4"/>
      <c r="E125" s="4"/>
      <c r="F125" s="4"/>
      <c r="G125" s="4"/>
      <c r="H125" s="4"/>
      <c r="I125" s="4"/>
      <c r="J125" s="4"/>
      <c r="K125" s="4"/>
      <c r="L125" s="4"/>
      <c r="M125" s="4"/>
      <c r="N125" s="4"/>
    </row>
    <row r="126" spans="1:14" x14ac:dyDescent="0.25">
      <c r="A126" s="42"/>
      <c r="B126" s="42"/>
      <c r="C126" s="42"/>
      <c r="D126" s="3"/>
      <c r="E126" s="3"/>
      <c r="F126" s="3"/>
      <c r="G126" s="3"/>
      <c r="H126" s="3"/>
      <c r="I126" s="3"/>
      <c r="J126" s="3"/>
      <c r="K126" s="3"/>
      <c r="L126" s="3"/>
      <c r="M126" s="3"/>
      <c r="N126" s="3"/>
    </row>
    <row r="127" spans="1:14" x14ac:dyDescent="0.25">
      <c r="A127" s="43"/>
      <c r="B127" s="43"/>
      <c r="C127" s="43"/>
      <c r="D127" s="4"/>
      <c r="E127" s="4"/>
      <c r="F127" s="4"/>
      <c r="G127" s="4"/>
      <c r="H127" s="4"/>
      <c r="I127" s="4"/>
      <c r="J127" s="4"/>
      <c r="K127" s="4"/>
      <c r="L127" s="4"/>
      <c r="M127" s="4"/>
      <c r="N127" s="4"/>
    </row>
    <row r="128" spans="1:14" x14ac:dyDescent="0.25">
      <c r="A128" s="42"/>
      <c r="B128" s="42"/>
      <c r="C128" s="42"/>
      <c r="D128" s="3"/>
      <c r="E128" s="3"/>
      <c r="F128" s="3"/>
      <c r="G128" s="3"/>
      <c r="H128" s="3"/>
      <c r="I128" s="3"/>
      <c r="J128" s="3"/>
      <c r="K128" s="3"/>
      <c r="L128" s="3"/>
      <c r="M128" s="3"/>
      <c r="N128" s="3"/>
    </row>
    <row r="129" spans="1:14" x14ac:dyDescent="0.25">
      <c r="A129" s="43"/>
      <c r="B129" s="43"/>
      <c r="C129" s="43"/>
      <c r="D129" s="4"/>
      <c r="E129" s="4"/>
      <c r="F129" s="4"/>
      <c r="G129" s="4"/>
      <c r="H129" s="4"/>
      <c r="I129" s="4"/>
      <c r="J129" s="4"/>
      <c r="K129" s="4"/>
      <c r="L129" s="4"/>
      <c r="M129" s="4"/>
      <c r="N129" s="4"/>
    </row>
    <row r="130" spans="1:14" x14ac:dyDescent="0.25">
      <c r="A130" s="42"/>
      <c r="B130" s="42"/>
      <c r="C130" s="42"/>
      <c r="D130" s="3"/>
      <c r="E130" s="3"/>
      <c r="F130" s="3"/>
      <c r="G130" s="3"/>
      <c r="H130" s="3"/>
      <c r="I130" s="3"/>
      <c r="J130" s="3"/>
      <c r="K130" s="3"/>
      <c r="L130" s="3"/>
      <c r="M130" s="3"/>
      <c r="N130" s="3"/>
    </row>
    <row r="131" spans="1:14" x14ac:dyDescent="0.25">
      <c r="A131" s="43"/>
      <c r="B131" s="43"/>
      <c r="C131" s="43"/>
      <c r="D131" s="4"/>
      <c r="E131" s="4"/>
      <c r="F131" s="4"/>
      <c r="G131" s="4"/>
      <c r="H131" s="4"/>
      <c r="I131" s="4"/>
      <c r="J131" s="4"/>
      <c r="K131" s="4"/>
      <c r="L131" s="4"/>
      <c r="M131" s="4"/>
      <c r="N131" s="4"/>
    </row>
    <row r="132" spans="1:14" x14ac:dyDescent="0.25">
      <c r="A132" s="42"/>
      <c r="B132" s="42"/>
      <c r="C132" s="42"/>
      <c r="D132" s="3"/>
      <c r="E132" s="3"/>
      <c r="F132" s="3"/>
      <c r="G132" s="3"/>
      <c r="H132" s="3"/>
      <c r="I132" s="3"/>
      <c r="J132" s="3"/>
      <c r="K132" s="3"/>
      <c r="L132" s="3"/>
      <c r="M132" s="3"/>
      <c r="N132" s="3"/>
    </row>
    <row r="133" spans="1:14" x14ac:dyDescent="0.25">
      <c r="A133" s="43"/>
      <c r="B133" s="43"/>
      <c r="C133" s="43"/>
      <c r="D133" s="4"/>
      <c r="E133" s="4"/>
      <c r="F133" s="4"/>
      <c r="G133" s="4"/>
      <c r="H133" s="4"/>
      <c r="I133" s="4"/>
      <c r="J133" s="4"/>
      <c r="K133" s="4"/>
      <c r="L133" s="4"/>
      <c r="M133" s="4"/>
      <c r="N133" s="4"/>
    </row>
    <row r="134" spans="1:14" x14ac:dyDescent="0.25">
      <c r="A134" s="42"/>
      <c r="B134" s="42"/>
      <c r="C134" s="42"/>
      <c r="D134" s="3"/>
      <c r="E134" s="3"/>
      <c r="F134" s="3"/>
      <c r="G134" s="3"/>
      <c r="H134" s="3"/>
      <c r="I134" s="3"/>
      <c r="J134" s="3"/>
      <c r="K134" s="3"/>
      <c r="L134" s="3"/>
      <c r="M134" s="3"/>
      <c r="N134" s="3"/>
    </row>
  </sheetData>
  <dataConsolidate/>
  <phoneticPr fontId="2" type="noConversion"/>
  <dataValidations disablePrompts="1" count="1">
    <dataValidation type="list" allowBlank="1" showInputMessage="1" showErrorMessage="1" sqref="D66:M66" xr:uid="{A727941B-A0B0-4071-BFBE-F35DBA66976A}">
      <formula1>"off,all,noskin,infill"</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82"/>
  <sheetViews>
    <sheetView tabSelected="1" workbookViewId="0">
      <pane ySplit="1" topLeftCell="A197" activePane="bottomLeft" state="frozen"/>
      <selection activeCell="B30" sqref="B30"/>
      <selection pane="bottomLeft" activeCell="F231" sqref="F231"/>
    </sheetView>
  </sheetViews>
  <sheetFormatPr defaultRowHeight="15" x14ac:dyDescent="0.25"/>
  <cols>
    <col min="1" max="1" width="23.85546875" style="46" bestFit="1" customWidth="1"/>
    <col min="2" max="2" width="19.140625" style="46" customWidth="1"/>
    <col min="3" max="3" width="39.7109375" style="46" customWidth="1"/>
    <col min="4" max="4" width="16.28515625" style="36" customWidth="1"/>
    <col min="5" max="5" width="11.7109375" bestFit="1" customWidth="1"/>
    <col min="6" max="6" width="13.42578125" bestFit="1" customWidth="1"/>
    <col min="7" max="8" width="13.42578125" customWidth="1"/>
    <col min="9" max="9" width="12.7109375" bestFit="1" customWidth="1"/>
    <col min="10" max="10" width="10.42578125" bestFit="1" customWidth="1"/>
    <col min="11" max="11" width="14.7109375" bestFit="1" customWidth="1"/>
    <col min="12" max="12" width="12.7109375" bestFit="1" customWidth="1"/>
    <col min="13" max="13" width="10.42578125" bestFit="1" customWidth="1"/>
    <col min="14" max="14" width="12.140625" bestFit="1" customWidth="1"/>
    <col min="15" max="15" width="11.140625" bestFit="1" customWidth="1"/>
    <col min="16" max="16" width="91.7109375" customWidth="1"/>
    <col min="17" max="17" width="17.28515625" bestFit="1" customWidth="1"/>
  </cols>
  <sheetData>
    <row r="1" spans="1:16" x14ac:dyDescent="0.25">
      <c r="A1" s="41" t="s">
        <v>217</v>
      </c>
      <c r="B1" s="41" t="s">
        <v>1335</v>
      </c>
      <c r="C1" s="41" t="s">
        <v>200</v>
      </c>
      <c r="D1" s="32" t="s">
        <v>100</v>
      </c>
      <c r="E1" s="63" t="s">
        <v>236</v>
      </c>
      <c r="F1" s="63" t="s">
        <v>237</v>
      </c>
      <c r="G1" s="63" t="s">
        <v>667</v>
      </c>
      <c r="H1" s="63" t="s">
        <v>668</v>
      </c>
      <c r="I1" s="63" t="s">
        <v>238</v>
      </c>
      <c r="J1" s="63" t="s">
        <v>239</v>
      </c>
      <c r="K1" s="63" t="s">
        <v>240</v>
      </c>
      <c r="L1" s="63" t="s">
        <v>241</v>
      </c>
      <c r="M1" s="63" t="s">
        <v>242</v>
      </c>
      <c r="N1" s="63" t="s">
        <v>243</v>
      </c>
      <c r="O1" s="63" t="s">
        <v>244</v>
      </c>
      <c r="P1" s="2" t="s">
        <v>206</v>
      </c>
    </row>
    <row r="2" spans="1:16" x14ac:dyDescent="0.25">
      <c r="A2" s="45"/>
      <c r="B2" s="45"/>
      <c r="C2" s="45" t="s">
        <v>1338</v>
      </c>
      <c r="D2" s="34" t="s">
        <v>142</v>
      </c>
      <c r="E2" s="6" t="s">
        <v>207</v>
      </c>
      <c r="F2" s="6" t="s">
        <v>208</v>
      </c>
      <c r="G2" s="6" t="s">
        <v>346</v>
      </c>
      <c r="H2" s="6" t="s">
        <v>347</v>
      </c>
      <c r="I2" s="6" t="s">
        <v>209</v>
      </c>
      <c r="J2" s="6" t="s">
        <v>210</v>
      </c>
      <c r="K2" s="6" t="s">
        <v>211</v>
      </c>
      <c r="L2" s="6" t="s">
        <v>212</v>
      </c>
      <c r="M2" s="6" t="s">
        <v>213</v>
      </c>
      <c r="N2" s="6" t="s">
        <v>214</v>
      </c>
      <c r="O2" s="6" t="s">
        <v>215</v>
      </c>
      <c r="P2" s="6"/>
    </row>
    <row r="3" spans="1:16" x14ac:dyDescent="0.25">
      <c r="A3" s="44"/>
      <c r="B3" s="44"/>
      <c r="C3" s="44" t="s">
        <v>1421</v>
      </c>
      <c r="D3" s="33">
        <v>4</v>
      </c>
      <c r="E3" s="5"/>
      <c r="F3" s="5"/>
      <c r="G3" s="5"/>
      <c r="H3" s="5"/>
      <c r="I3" s="5"/>
      <c r="J3" s="5"/>
      <c r="K3" s="5"/>
      <c r="L3" s="5"/>
      <c r="M3" s="5"/>
      <c r="N3" s="5"/>
      <c r="O3" s="5"/>
      <c r="P3" s="5"/>
    </row>
    <row r="4" spans="1:16" x14ac:dyDescent="0.25">
      <c r="A4" s="42"/>
      <c r="B4" s="42"/>
      <c r="C4" s="42" t="s">
        <v>0</v>
      </c>
      <c r="D4" s="22">
        <v>8</v>
      </c>
      <c r="E4" s="3"/>
      <c r="F4" s="3"/>
      <c r="G4" s="3"/>
      <c r="H4" s="3"/>
      <c r="I4" s="3"/>
      <c r="J4" s="3"/>
      <c r="K4" s="3"/>
      <c r="L4" s="3"/>
      <c r="M4" s="3"/>
      <c r="N4" s="3"/>
      <c r="O4" s="3"/>
      <c r="P4" s="3"/>
    </row>
    <row r="5" spans="1:16" x14ac:dyDescent="0.25">
      <c r="A5" s="44" t="s">
        <v>218</v>
      </c>
      <c r="B5" s="44"/>
      <c r="C5" s="44" t="s">
        <v>395</v>
      </c>
      <c r="D5" s="33"/>
      <c r="E5" s="5"/>
      <c r="F5" s="5"/>
      <c r="G5" s="5"/>
      <c r="H5" s="5"/>
      <c r="I5" s="5"/>
      <c r="J5" s="5"/>
      <c r="K5" s="5"/>
      <c r="L5" s="5"/>
      <c r="M5" s="5"/>
      <c r="N5" s="5"/>
      <c r="O5" s="5"/>
      <c r="P5" s="5"/>
    </row>
    <row r="6" spans="1:16" x14ac:dyDescent="0.25">
      <c r="A6" s="42"/>
      <c r="B6" s="42"/>
      <c r="C6" s="42" t="s">
        <v>1</v>
      </c>
      <c r="D6" s="22">
        <f>MAX(0.2,Min_Layer_Height)</f>
        <v>0.2</v>
      </c>
      <c r="E6" s="3">
        <f>VALUE(E$1)</f>
        <v>0.12</v>
      </c>
      <c r="F6" s="3">
        <f t="shared" ref="F6:O6" si="0">VALUE(F$1)</f>
        <v>0.2</v>
      </c>
      <c r="G6" s="3">
        <f t="shared" si="0"/>
        <v>0.24</v>
      </c>
      <c r="H6" s="3">
        <f t="shared" si="0"/>
        <v>0.28000000000000003</v>
      </c>
      <c r="I6" s="3">
        <f t="shared" si="0"/>
        <v>0.32</v>
      </c>
      <c r="J6" s="3">
        <f t="shared" si="0"/>
        <v>0.4</v>
      </c>
      <c r="K6" s="3">
        <f t="shared" si="0"/>
        <v>0.48</v>
      </c>
      <c r="L6" s="3">
        <f t="shared" si="0"/>
        <v>0.56000000000000005</v>
      </c>
      <c r="M6" s="3">
        <f t="shared" si="0"/>
        <v>0.64</v>
      </c>
      <c r="N6" s="3">
        <f t="shared" si="0"/>
        <v>0.72</v>
      </c>
      <c r="O6" s="3">
        <f t="shared" si="0"/>
        <v>0.8</v>
      </c>
      <c r="P6" s="3"/>
    </row>
    <row r="7" spans="1:16" x14ac:dyDescent="0.25">
      <c r="A7" s="43"/>
      <c r="B7" s="43"/>
      <c r="C7" s="43" t="s">
        <v>2</v>
      </c>
      <c r="D7" s="25">
        <f>MAX(0.2,Min_Layer_Height)</f>
        <v>0.2</v>
      </c>
      <c r="E7" s="4"/>
      <c r="F7" s="4"/>
      <c r="G7" s="4"/>
      <c r="H7" s="4"/>
      <c r="I7" s="4"/>
      <c r="J7" s="4"/>
      <c r="K7" s="4"/>
      <c r="L7" s="4"/>
      <c r="M7" s="4"/>
      <c r="N7" s="4"/>
      <c r="O7" s="4"/>
      <c r="P7" s="4"/>
    </row>
    <row r="8" spans="1:16" x14ac:dyDescent="0.25">
      <c r="A8" s="44"/>
      <c r="B8" s="44"/>
      <c r="C8" s="44" t="s">
        <v>396</v>
      </c>
      <c r="D8" s="33"/>
      <c r="E8" s="5"/>
      <c r="F8" s="5"/>
      <c r="G8" s="5"/>
      <c r="H8" s="5"/>
      <c r="I8" s="5"/>
      <c r="J8" s="5"/>
      <c r="K8" s="5"/>
      <c r="L8" s="5"/>
      <c r="M8" s="5"/>
      <c r="N8" s="5"/>
      <c r="O8" s="5"/>
      <c r="P8" s="5"/>
    </row>
    <row r="9" spans="1:16" x14ac:dyDescent="0.25">
      <c r="A9" s="42"/>
      <c r="B9" s="42"/>
      <c r="C9" s="42" t="s">
        <v>3</v>
      </c>
      <c r="D9" s="22">
        <v>3</v>
      </c>
      <c r="E9" s="22">
        <v>3</v>
      </c>
      <c r="F9" s="22">
        <v>3</v>
      </c>
      <c r="G9" s="22">
        <v>3</v>
      </c>
      <c r="H9" s="22">
        <v>3</v>
      </c>
      <c r="I9" s="22">
        <v>3</v>
      </c>
      <c r="J9" s="22">
        <v>3</v>
      </c>
      <c r="K9" s="22">
        <v>3</v>
      </c>
      <c r="L9" s="22">
        <v>3</v>
      </c>
      <c r="M9" s="22">
        <v>3</v>
      </c>
      <c r="N9" s="22">
        <v>3</v>
      </c>
      <c r="O9" s="22">
        <v>3</v>
      </c>
      <c r="P9" s="3"/>
    </row>
    <row r="10" spans="1:16" x14ac:dyDescent="0.25">
      <c r="A10" s="43"/>
      <c r="B10" s="43"/>
      <c r="C10" s="43" t="s">
        <v>4</v>
      </c>
      <c r="D10" s="25">
        <v>0</v>
      </c>
      <c r="E10" s="4"/>
      <c r="F10" s="4"/>
      <c r="G10" s="4"/>
      <c r="H10" s="4"/>
      <c r="I10" s="4"/>
      <c r="J10" s="4"/>
      <c r="K10" s="4"/>
      <c r="L10" s="4"/>
      <c r="M10" s="4"/>
      <c r="N10" s="4"/>
      <c r="O10" s="4"/>
      <c r="P10" s="4"/>
    </row>
    <row r="11" spans="1:16" x14ac:dyDescent="0.25">
      <c r="A11" s="44"/>
      <c r="B11" s="44"/>
      <c r="C11" s="44" t="s">
        <v>397</v>
      </c>
      <c r="D11" s="33"/>
      <c r="E11" s="5"/>
      <c r="F11" s="5"/>
      <c r="G11" s="5"/>
      <c r="H11" s="5"/>
      <c r="I11" s="5"/>
      <c r="J11" s="5"/>
      <c r="K11" s="5"/>
      <c r="L11" s="5"/>
      <c r="M11" s="5"/>
      <c r="N11" s="5"/>
      <c r="O11" s="5"/>
      <c r="P11" s="5"/>
    </row>
    <row r="12" spans="1:16" x14ac:dyDescent="0.25">
      <c r="A12" s="42"/>
      <c r="B12" s="42"/>
      <c r="C12" s="42" t="s">
        <v>5</v>
      </c>
      <c r="D12" s="22">
        <v>4</v>
      </c>
      <c r="E12" s="3">
        <v>7</v>
      </c>
      <c r="F12" s="3">
        <v>6</v>
      </c>
      <c r="G12" s="3">
        <v>5</v>
      </c>
      <c r="H12" s="3">
        <v>4</v>
      </c>
      <c r="I12" s="3">
        <v>4</v>
      </c>
      <c r="J12" s="3">
        <v>3</v>
      </c>
      <c r="K12" s="3">
        <v>3</v>
      </c>
      <c r="L12" s="3">
        <v>3</v>
      </c>
      <c r="M12" s="3">
        <v>3</v>
      </c>
      <c r="N12" s="3">
        <v>3</v>
      </c>
      <c r="O12" s="3">
        <v>3</v>
      </c>
      <c r="P12" s="3"/>
    </row>
    <row r="13" spans="1:16" x14ac:dyDescent="0.25">
      <c r="A13" s="43"/>
      <c r="B13" s="43"/>
      <c r="C13" s="43" t="s">
        <v>6</v>
      </c>
      <c r="D13" s="25">
        <v>4</v>
      </c>
      <c r="E13" s="4">
        <v>6</v>
      </c>
      <c r="F13" s="4">
        <v>5</v>
      </c>
      <c r="G13" s="4">
        <v>4</v>
      </c>
      <c r="H13" s="4">
        <v>3</v>
      </c>
      <c r="I13" s="4">
        <v>3</v>
      </c>
      <c r="J13" s="4" t="str">
        <f>Matchfill(INDEX(spec!$I$18:$T$27,MATCH($C12,spec!$I$18:$I$27,0),MATCH(J$6,spec!$I$18:$T$18,0)),$D$9)</f>
        <v>3</v>
      </c>
      <c r="K13" s="4" t="str">
        <f>Matchfill(INDEX(spec!$I$18:$T$27,MATCH($C12,spec!$I$18:$I$27,0),MATCH(K$6,spec!$I$18:$T$18,0)),$D$9)</f>
        <v>3</v>
      </c>
      <c r="L13" s="4" t="str">
        <f>Matchfill(INDEX(spec!$I$18:$T$27,MATCH($C12,spec!$I$18:$I$27,0),MATCH(L$6,spec!$I$18:$T$18,0)),$D$9)</f>
        <v>3</v>
      </c>
      <c r="M13" s="4" t="str">
        <f>Matchfill(INDEX(spec!$I$18:$T$27,MATCH($C12,spec!$I$18:$I$27,0),MATCH(M$6,spec!$I$18:$T$18,0)),$D$9)</f>
        <v>3</v>
      </c>
      <c r="N13" s="4" t="str">
        <f>Matchfill(INDEX(spec!$I$18:$T$27,MATCH($C12,spec!$I$18:$I$27,0),MATCH(N$6,spec!$I$18:$T$18,0)),$D$9)</f>
        <v>3</v>
      </c>
      <c r="O13" s="4" t="str">
        <f>Matchfill(INDEX(spec!$I$18:$T$27,MATCH($C12,spec!$I$18:$I$27,0),MATCH(O$6,spec!$I$18:$T$18,0)),$D$9)</f>
        <v>3</v>
      </c>
      <c r="P13" s="4"/>
    </row>
    <row r="14" spans="1:16" x14ac:dyDescent="0.25">
      <c r="A14" s="42"/>
      <c r="B14" s="42"/>
      <c r="C14" s="42" t="s">
        <v>461</v>
      </c>
      <c r="D14" s="22">
        <v>0</v>
      </c>
      <c r="E14" s="3"/>
      <c r="F14" s="3"/>
      <c r="G14" s="3"/>
      <c r="H14" s="3"/>
      <c r="I14" s="3"/>
      <c r="J14" s="3"/>
      <c r="K14" s="3"/>
      <c r="L14" s="3"/>
      <c r="M14" s="3"/>
      <c r="N14" s="3"/>
      <c r="O14" s="3"/>
      <c r="P14" s="3"/>
    </row>
    <row r="15" spans="1:16" x14ac:dyDescent="0.25">
      <c r="A15" s="43"/>
      <c r="B15" s="43"/>
      <c r="C15" s="43" t="s">
        <v>462</v>
      </c>
      <c r="D15" s="4">
        <v>0</v>
      </c>
      <c r="E15" s="4"/>
      <c r="F15" s="4"/>
      <c r="G15" s="4"/>
      <c r="H15" s="4"/>
      <c r="I15" s="4"/>
      <c r="J15" s="4"/>
      <c r="K15" s="4"/>
      <c r="L15" s="4"/>
      <c r="M15" s="4"/>
      <c r="N15" s="4"/>
      <c r="O15" s="4"/>
      <c r="P15" s="4"/>
    </row>
    <row r="16" spans="1:16" x14ac:dyDescent="0.25">
      <c r="A16" s="42"/>
      <c r="B16" s="42" t="s">
        <v>1418</v>
      </c>
      <c r="C16" s="42" t="s">
        <v>1357</v>
      </c>
      <c r="D16" s="40">
        <v>1</v>
      </c>
      <c r="E16" s="3"/>
      <c r="F16" s="3"/>
      <c r="G16" s="3"/>
      <c r="H16" s="3"/>
      <c r="I16" s="3"/>
      <c r="J16" s="3"/>
      <c r="K16" s="3"/>
      <c r="L16" s="3"/>
      <c r="M16" s="3"/>
      <c r="N16" s="3"/>
      <c r="O16" s="3"/>
      <c r="P16" s="3"/>
    </row>
    <row r="17" spans="1:16" x14ac:dyDescent="0.25">
      <c r="A17" s="44"/>
      <c r="B17" s="44"/>
      <c r="C17" s="44" t="s">
        <v>398</v>
      </c>
      <c r="D17" s="33"/>
      <c r="E17" s="5"/>
      <c r="F17" s="5"/>
      <c r="G17" s="5"/>
      <c r="H17" s="5"/>
      <c r="I17" s="5"/>
      <c r="J17" s="5"/>
      <c r="K17" s="5"/>
      <c r="L17" s="5"/>
      <c r="M17" s="5"/>
      <c r="N17" s="5"/>
      <c r="O17" s="5"/>
      <c r="P17" s="5"/>
    </row>
    <row r="18" spans="1:16" x14ac:dyDescent="0.25">
      <c r="A18" s="42"/>
      <c r="B18" s="42"/>
      <c r="C18" s="42" t="s">
        <v>7</v>
      </c>
      <c r="D18" s="22">
        <v>1</v>
      </c>
      <c r="E18" s="3"/>
      <c r="F18" s="3"/>
      <c r="G18" s="3"/>
      <c r="H18" s="3"/>
      <c r="I18" s="3"/>
      <c r="J18" s="3"/>
      <c r="K18" s="3"/>
      <c r="L18" s="3"/>
      <c r="M18" s="3"/>
      <c r="N18" s="3"/>
      <c r="O18" s="3"/>
      <c r="P18" s="3" t="s">
        <v>228</v>
      </c>
    </row>
    <row r="19" spans="1:16" x14ac:dyDescent="0.25">
      <c r="A19" s="43"/>
      <c r="B19" s="43"/>
      <c r="C19" s="43" t="s">
        <v>8</v>
      </c>
      <c r="D19" s="25">
        <v>1</v>
      </c>
      <c r="E19" s="4"/>
      <c r="F19" s="4"/>
      <c r="G19" s="4"/>
      <c r="H19" s="4"/>
      <c r="I19" s="4"/>
      <c r="J19" s="4"/>
      <c r="K19" s="4"/>
      <c r="L19" s="4"/>
      <c r="M19" s="4"/>
      <c r="N19" s="4"/>
      <c r="O19" s="4"/>
      <c r="P19" s="4" t="s">
        <v>229</v>
      </c>
    </row>
    <row r="20" spans="1:16" x14ac:dyDescent="0.25">
      <c r="A20" s="42"/>
      <c r="B20" s="42"/>
      <c r="C20" s="42" t="s">
        <v>9</v>
      </c>
      <c r="D20" s="22">
        <v>0</v>
      </c>
      <c r="E20" s="3"/>
      <c r="F20" s="3"/>
      <c r="G20" s="3"/>
      <c r="H20" s="3"/>
      <c r="I20" s="3"/>
      <c r="J20" s="3"/>
      <c r="K20" s="3"/>
      <c r="L20" s="3"/>
      <c r="M20" s="3"/>
      <c r="N20" s="3"/>
      <c r="O20" s="3"/>
      <c r="P20" s="3"/>
    </row>
    <row r="21" spans="1:16" x14ac:dyDescent="0.25">
      <c r="A21" s="43"/>
      <c r="B21" s="43"/>
      <c r="C21" s="43" t="s">
        <v>10</v>
      </c>
      <c r="D21" s="25">
        <v>1</v>
      </c>
      <c r="E21" s="4"/>
      <c r="F21" s="4"/>
      <c r="G21" s="4"/>
      <c r="H21" s="4"/>
      <c r="I21" s="4"/>
      <c r="J21" s="4"/>
      <c r="K21" s="4"/>
      <c r="L21" s="4"/>
      <c r="M21" s="4"/>
      <c r="N21" s="4"/>
      <c r="O21" s="4"/>
      <c r="P21" s="4" t="s">
        <v>230</v>
      </c>
    </row>
    <row r="22" spans="1:16" x14ac:dyDescent="0.25">
      <c r="A22" s="42"/>
      <c r="B22" s="42"/>
      <c r="C22" s="42" t="s">
        <v>257</v>
      </c>
      <c r="D22" s="22">
        <v>0</v>
      </c>
      <c r="E22" s="3"/>
      <c r="F22" s="3"/>
      <c r="G22" s="3"/>
      <c r="H22" s="3"/>
      <c r="I22" s="3"/>
      <c r="J22" s="3"/>
      <c r="K22" s="3"/>
      <c r="L22" s="3"/>
      <c r="M22" s="3"/>
      <c r="N22" s="3"/>
      <c r="O22" s="3"/>
      <c r="P22" s="3" t="s">
        <v>258</v>
      </c>
    </row>
    <row r="23" spans="1:16" x14ac:dyDescent="0.25">
      <c r="A23" s="43"/>
      <c r="B23" s="43" t="s">
        <v>1418</v>
      </c>
      <c r="C23" s="43" t="s">
        <v>1389</v>
      </c>
      <c r="D23" s="79">
        <v>1</v>
      </c>
      <c r="E23" s="4"/>
      <c r="F23" s="4"/>
      <c r="G23" s="4"/>
      <c r="H23" s="4"/>
      <c r="I23" s="4"/>
      <c r="J23" s="4"/>
      <c r="K23" s="4"/>
      <c r="L23" s="4"/>
      <c r="M23" s="4"/>
      <c r="N23" s="4"/>
      <c r="O23" s="4"/>
      <c r="P23" s="4"/>
    </row>
    <row r="24" spans="1:16" x14ac:dyDescent="0.25">
      <c r="A24" s="42"/>
      <c r="B24" s="42" t="s">
        <v>1418</v>
      </c>
      <c r="C24" s="42" t="s">
        <v>1385</v>
      </c>
      <c r="D24" s="35">
        <v>2</v>
      </c>
      <c r="E24" s="3"/>
      <c r="F24" s="3"/>
      <c r="G24" s="3"/>
      <c r="H24" s="3"/>
      <c r="I24" s="3"/>
      <c r="J24" s="3"/>
      <c r="K24" s="3"/>
      <c r="L24" s="3"/>
      <c r="M24" s="3"/>
      <c r="N24" s="3"/>
      <c r="O24" s="3"/>
      <c r="P24" s="3"/>
    </row>
    <row r="25" spans="1:16" x14ac:dyDescent="0.25">
      <c r="A25" s="43"/>
      <c r="B25" s="43" t="s">
        <v>1418</v>
      </c>
      <c r="C25" s="43" t="s">
        <v>1366</v>
      </c>
      <c r="D25" s="79">
        <v>1</v>
      </c>
      <c r="E25" s="4"/>
      <c r="F25" s="4"/>
      <c r="G25" s="4"/>
      <c r="H25" s="4"/>
      <c r="I25" s="4"/>
      <c r="J25" s="4"/>
      <c r="K25" s="4"/>
      <c r="L25" s="4"/>
      <c r="M25" s="4"/>
      <c r="N25" s="4"/>
      <c r="O25" s="4"/>
      <c r="P25" s="4"/>
    </row>
    <row r="26" spans="1:16" x14ac:dyDescent="0.25">
      <c r="A26" s="42"/>
      <c r="B26" s="42" t="s">
        <v>1418</v>
      </c>
      <c r="C26" s="42" t="s">
        <v>1365</v>
      </c>
      <c r="D26" s="40">
        <v>0</v>
      </c>
      <c r="E26" s="3"/>
      <c r="F26" s="3"/>
      <c r="G26" s="3"/>
      <c r="H26" s="3"/>
      <c r="I26" s="3"/>
      <c r="J26" s="3"/>
      <c r="K26" s="3"/>
      <c r="L26" s="3"/>
      <c r="M26" s="3"/>
      <c r="N26" s="3"/>
      <c r="O26" s="3"/>
      <c r="P26" s="3"/>
    </row>
    <row r="27" spans="1:16" x14ac:dyDescent="0.25">
      <c r="A27" s="43"/>
      <c r="B27" s="43" t="s">
        <v>1418</v>
      </c>
      <c r="C27" s="43" t="s">
        <v>1340</v>
      </c>
      <c r="D27" s="79">
        <v>1</v>
      </c>
      <c r="E27" s="4"/>
      <c r="F27" s="4"/>
      <c r="G27" s="4"/>
      <c r="H27" s="4"/>
      <c r="I27" s="4"/>
      <c r="J27" s="4"/>
      <c r="K27" s="4"/>
      <c r="L27" s="4"/>
      <c r="M27" s="4"/>
      <c r="N27" s="4"/>
      <c r="O27" s="4"/>
      <c r="P27" s="4"/>
    </row>
    <row r="28" spans="1:16" x14ac:dyDescent="0.25">
      <c r="A28" s="42"/>
      <c r="B28" s="42" t="s">
        <v>1418</v>
      </c>
      <c r="C28" s="42" t="s">
        <v>1513</v>
      </c>
      <c r="D28" s="22">
        <v>0</v>
      </c>
      <c r="E28" s="3"/>
      <c r="F28" s="3"/>
      <c r="G28" s="3"/>
      <c r="H28" s="3"/>
      <c r="I28" s="3"/>
      <c r="J28" s="3"/>
      <c r="K28" s="3"/>
      <c r="L28" s="3"/>
      <c r="M28" s="3"/>
      <c r="N28" s="3"/>
      <c r="O28" s="3"/>
      <c r="P28" s="3"/>
    </row>
    <row r="29" spans="1:16" x14ac:dyDescent="0.25">
      <c r="A29" s="43"/>
      <c r="B29" s="43" t="s">
        <v>1418</v>
      </c>
      <c r="C29" s="43" t="s">
        <v>1408</v>
      </c>
      <c r="D29" s="79">
        <v>1</v>
      </c>
      <c r="E29" s="4"/>
      <c r="F29" s="4"/>
      <c r="G29" s="4"/>
      <c r="H29" s="4"/>
      <c r="I29" s="4"/>
      <c r="J29" s="4"/>
      <c r="K29" s="4"/>
      <c r="L29" s="4"/>
      <c r="M29" s="4"/>
      <c r="N29" s="4"/>
      <c r="O29" s="4"/>
      <c r="P29" s="4"/>
    </row>
    <row r="30" spans="1:16" x14ac:dyDescent="0.25">
      <c r="A30" s="42"/>
      <c r="B30" s="42" t="s">
        <v>1418</v>
      </c>
      <c r="C30" s="42" t="s">
        <v>1409</v>
      </c>
      <c r="D30" s="40">
        <v>0</v>
      </c>
      <c r="E30" s="3"/>
      <c r="F30" s="3"/>
      <c r="G30" s="3"/>
      <c r="H30" s="3"/>
      <c r="I30" s="3"/>
      <c r="J30" s="3"/>
      <c r="K30" s="3"/>
      <c r="L30" s="3"/>
      <c r="M30" s="3"/>
      <c r="N30" s="3"/>
      <c r="O30" s="3"/>
      <c r="P30" s="3"/>
    </row>
    <row r="31" spans="1:16" x14ac:dyDescent="0.25">
      <c r="A31" s="43"/>
      <c r="B31" s="43" t="s">
        <v>1418</v>
      </c>
      <c r="C31" s="43" t="s">
        <v>1410</v>
      </c>
      <c r="D31" s="79">
        <v>1</v>
      </c>
      <c r="E31" s="4"/>
      <c r="F31" s="4"/>
      <c r="G31" s="4"/>
      <c r="H31" s="4"/>
      <c r="I31" s="4"/>
      <c r="J31" s="4"/>
      <c r="K31" s="4"/>
      <c r="L31" s="4"/>
      <c r="M31" s="4"/>
      <c r="N31" s="4"/>
      <c r="O31" s="4"/>
      <c r="P31" s="4"/>
    </row>
    <row r="32" spans="1:16" x14ac:dyDescent="0.25">
      <c r="A32" s="42"/>
      <c r="B32" s="42" t="s">
        <v>1418</v>
      </c>
      <c r="C32" s="42" t="s">
        <v>1411</v>
      </c>
      <c r="D32" s="35">
        <v>0.5</v>
      </c>
      <c r="E32" s="3"/>
      <c r="F32" s="3"/>
      <c r="G32" s="3"/>
      <c r="H32" s="3"/>
      <c r="I32" s="3"/>
      <c r="J32" s="3"/>
      <c r="K32" s="3"/>
      <c r="L32" s="3"/>
      <c r="M32" s="3"/>
      <c r="N32" s="3"/>
      <c r="O32" s="3"/>
      <c r="P32" s="3"/>
    </row>
    <row r="33" spans="1:16" x14ac:dyDescent="0.25">
      <c r="A33" s="43"/>
      <c r="B33" s="43" t="s">
        <v>1418</v>
      </c>
      <c r="C33" s="43" t="s">
        <v>1412</v>
      </c>
      <c r="D33" s="58">
        <v>0.5</v>
      </c>
      <c r="E33" s="4"/>
      <c r="F33" s="4"/>
      <c r="G33" s="4"/>
      <c r="H33" s="4"/>
      <c r="I33" s="4"/>
      <c r="J33" s="4"/>
      <c r="K33" s="4"/>
      <c r="L33" s="4"/>
      <c r="M33" s="4"/>
      <c r="N33" s="4"/>
      <c r="O33" s="4"/>
      <c r="P33" s="4"/>
    </row>
    <row r="34" spans="1:16" x14ac:dyDescent="0.25">
      <c r="A34" s="44"/>
      <c r="B34" s="44"/>
      <c r="C34" s="44" t="s">
        <v>1544</v>
      </c>
      <c r="D34" s="33"/>
      <c r="E34" s="5"/>
      <c r="F34" s="5"/>
      <c r="G34" s="5"/>
      <c r="H34" s="5"/>
      <c r="I34" s="5"/>
      <c r="J34" s="5"/>
      <c r="K34" s="5"/>
      <c r="L34" s="5"/>
      <c r="M34" s="5"/>
      <c r="N34" s="5"/>
      <c r="O34" s="5"/>
      <c r="P34" s="5"/>
    </row>
    <row r="35" spans="1:16" x14ac:dyDescent="0.25">
      <c r="A35" s="42"/>
      <c r="B35" s="42" t="s">
        <v>1418</v>
      </c>
      <c r="C35" s="42" t="s">
        <v>1391</v>
      </c>
      <c r="D35" s="40">
        <v>1</v>
      </c>
      <c r="E35" s="3"/>
      <c r="F35" s="3"/>
      <c r="G35" s="3"/>
      <c r="H35" s="3"/>
      <c r="I35" s="3"/>
      <c r="J35" s="3"/>
      <c r="K35" s="3"/>
      <c r="L35" s="3"/>
      <c r="M35" s="3"/>
      <c r="N35" s="3"/>
      <c r="O35" s="3"/>
      <c r="P35" s="3"/>
    </row>
    <row r="36" spans="1:16" x14ac:dyDescent="0.25">
      <c r="A36" s="43"/>
      <c r="B36" s="43" t="s">
        <v>1418</v>
      </c>
      <c r="C36" s="43" t="s">
        <v>1392</v>
      </c>
      <c r="D36" s="58">
        <v>2.5</v>
      </c>
      <c r="E36" s="4"/>
      <c r="F36" s="4"/>
      <c r="G36" s="4"/>
      <c r="H36" s="4"/>
      <c r="I36" s="4"/>
      <c r="J36" s="4"/>
      <c r="K36" s="4"/>
      <c r="L36" s="4"/>
      <c r="M36" s="4"/>
      <c r="N36" s="4"/>
      <c r="O36" s="4"/>
      <c r="P36" s="4"/>
    </row>
    <row r="37" spans="1:16" x14ac:dyDescent="0.25">
      <c r="A37" s="42"/>
      <c r="B37" s="42" t="s">
        <v>1418</v>
      </c>
      <c r="C37" s="42" t="s">
        <v>1393</v>
      </c>
      <c r="D37" s="35">
        <v>1.1000000000000001</v>
      </c>
      <c r="E37" s="3"/>
      <c r="F37" s="3"/>
      <c r="G37" s="3"/>
      <c r="H37" s="3"/>
      <c r="I37" s="3"/>
      <c r="J37" s="3"/>
      <c r="K37" s="3"/>
      <c r="L37" s="3"/>
      <c r="M37" s="3"/>
      <c r="N37" s="3"/>
      <c r="O37" s="3"/>
      <c r="P37" s="3"/>
    </row>
    <row r="38" spans="1:16" x14ac:dyDescent="0.25">
      <c r="A38" s="43"/>
      <c r="B38" s="43" t="s">
        <v>1418</v>
      </c>
      <c r="C38" s="43" t="s">
        <v>1531</v>
      </c>
      <c r="D38" s="58">
        <v>0.5</v>
      </c>
      <c r="E38" s="4"/>
      <c r="F38" s="4"/>
      <c r="G38" s="4"/>
      <c r="H38" s="4"/>
      <c r="I38" s="4"/>
      <c r="J38" s="4"/>
      <c r="K38" s="4"/>
      <c r="L38" s="4"/>
      <c r="M38" s="4"/>
      <c r="N38" s="4"/>
      <c r="O38" s="4"/>
      <c r="P38" s="4"/>
    </row>
    <row r="39" spans="1:16" x14ac:dyDescent="0.25">
      <c r="A39" s="44"/>
      <c r="B39" s="44"/>
      <c r="C39" s="44" t="s">
        <v>373</v>
      </c>
      <c r="D39" s="33"/>
      <c r="E39" s="5"/>
      <c r="F39" s="5"/>
      <c r="G39" s="5"/>
      <c r="H39" s="5"/>
      <c r="I39" s="5"/>
      <c r="J39" s="5"/>
      <c r="K39" s="5"/>
      <c r="L39" s="5"/>
      <c r="M39" s="5"/>
      <c r="N39" s="5"/>
      <c r="O39" s="5"/>
      <c r="P39" s="5"/>
    </row>
    <row r="40" spans="1:16" x14ac:dyDescent="0.25">
      <c r="A40" s="42"/>
      <c r="B40" s="42" t="s">
        <v>1418</v>
      </c>
      <c r="C40" s="42" t="s">
        <v>1387</v>
      </c>
      <c r="D40" s="94" t="s">
        <v>1388</v>
      </c>
      <c r="E40" s="3"/>
      <c r="F40" s="3"/>
      <c r="G40" s="3"/>
      <c r="H40" s="3"/>
      <c r="I40" s="3"/>
      <c r="J40" s="3"/>
      <c r="K40" s="3"/>
      <c r="L40" s="3"/>
      <c r="M40" s="3"/>
      <c r="N40" s="3"/>
      <c r="O40" s="3"/>
      <c r="P40" s="3"/>
    </row>
    <row r="41" spans="1:16" x14ac:dyDescent="0.25">
      <c r="A41" s="43"/>
      <c r="B41" s="43" t="s">
        <v>1418</v>
      </c>
      <c r="C41" s="43" t="s">
        <v>1374</v>
      </c>
      <c r="D41" s="79">
        <v>1</v>
      </c>
      <c r="E41" s="4"/>
      <c r="F41" s="4"/>
      <c r="G41" s="4"/>
      <c r="H41" s="4"/>
      <c r="I41" s="4"/>
      <c r="J41" s="4"/>
      <c r="K41" s="4"/>
      <c r="L41" s="4"/>
      <c r="M41" s="4"/>
      <c r="N41" s="4"/>
      <c r="O41" s="4"/>
      <c r="P41" s="4"/>
    </row>
    <row r="42" spans="1:16" x14ac:dyDescent="0.25">
      <c r="A42" s="42"/>
      <c r="B42" s="42" t="s">
        <v>1418</v>
      </c>
      <c r="C42" s="42" t="s">
        <v>1375</v>
      </c>
      <c r="D42" s="35">
        <v>1</v>
      </c>
      <c r="E42" s="3"/>
      <c r="F42" s="3"/>
      <c r="G42" s="3"/>
      <c r="H42" s="3"/>
      <c r="I42" s="3"/>
      <c r="J42" s="3"/>
      <c r="K42" s="3"/>
      <c r="L42" s="3"/>
      <c r="M42" s="3"/>
      <c r="N42" s="3"/>
      <c r="O42" s="3"/>
      <c r="P42" s="3"/>
    </row>
    <row r="43" spans="1:16" x14ac:dyDescent="0.25">
      <c r="A43" s="43"/>
      <c r="B43" s="43"/>
      <c r="C43" s="43" t="s">
        <v>1493</v>
      </c>
      <c r="D43" s="25" t="s">
        <v>1496</v>
      </c>
      <c r="E43" s="4"/>
      <c r="F43" s="4"/>
      <c r="G43" s="4"/>
      <c r="H43" s="4"/>
      <c r="I43" s="4"/>
      <c r="J43" s="4"/>
      <c r="K43" s="4"/>
      <c r="L43" s="4"/>
      <c r="M43" s="4"/>
      <c r="N43" s="4"/>
      <c r="O43" s="4"/>
      <c r="P43" s="4"/>
    </row>
    <row r="44" spans="1:16" x14ac:dyDescent="0.25">
      <c r="A44" s="42"/>
      <c r="B44" s="42" t="s">
        <v>1418</v>
      </c>
      <c r="C44" s="42" t="s">
        <v>1537</v>
      </c>
      <c r="D44" s="35">
        <v>1</v>
      </c>
      <c r="E44" s="3"/>
      <c r="F44" s="3"/>
      <c r="G44" s="3"/>
      <c r="H44" s="3"/>
      <c r="I44" s="3"/>
      <c r="J44" s="3"/>
      <c r="K44" s="3"/>
      <c r="L44" s="3"/>
      <c r="M44" s="3"/>
      <c r="N44" s="3"/>
      <c r="O44" s="3"/>
      <c r="P44" s="3" t="s">
        <v>231</v>
      </c>
    </row>
    <row r="45" spans="1:16" x14ac:dyDescent="0.25">
      <c r="A45" s="43"/>
      <c r="B45" s="43" t="s">
        <v>1418</v>
      </c>
      <c r="C45" s="43" t="s">
        <v>1538</v>
      </c>
      <c r="D45" s="58">
        <v>0.2</v>
      </c>
      <c r="E45" s="4"/>
      <c r="F45" s="4"/>
      <c r="G45" s="4"/>
      <c r="H45" s="4"/>
      <c r="I45" s="4"/>
      <c r="J45" s="4"/>
      <c r="K45" s="4"/>
      <c r="L45" s="4"/>
      <c r="M45" s="4"/>
      <c r="N45" s="4"/>
      <c r="O45" s="4"/>
      <c r="P45" s="4"/>
    </row>
    <row r="46" spans="1:16" x14ac:dyDescent="0.25">
      <c r="A46" s="42"/>
      <c r="B46" s="42" t="s">
        <v>1418</v>
      </c>
      <c r="C46" s="42" t="s">
        <v>1395</v>
      </c>
      <c r="D46" s="40">
        <v>1</v>
      </c>
      <c r="E46" s="3"/>
      <c r="F46" s="3"/>
      <c r="G46" s="3"/>
      <c r="H46" s="3"/>
      <c r="I46" s="3"/>
      <c r="J46" s="3"/>
      <c r="K46" s="3"/>
      <c r="L46" s="3"/>
      <c r="M46" s="3"/>
      <c r="N46" s="3"/>
      <c r="O46" s="3"/>
      <c r="P46" s="3"/>
    </row>
    <row r="47" spans="1:16" x14ac:dyDescent="0.25">
      <c r="A47" s="43"/>
      <c r="B47" s="43" t="s">
        <v>1418</v>
      </c>
      <c r="C47" s="43" t="s">
        <v>1396</v>
      </c>
      <c r="D47" s="25" t="s">
        <v>1496</v>
      </c>
      <c r="E47" s="4"/>
      <c r="F47" s="4"/>
      <c r="G47" s="4"/>
      <c r="H47" s="4"/>
      <c r="I47" s="4"/>
      <c r="J47" s="4"/>
      <c r="K47" s="4"/>
      <c r="L47" s="4"/>
      <c r="M47" s="4"/>
      <c r="N47" s="4"/>
      <c r="O47" s="4"/>
      <c r="P47" s="4"/>
    </row>
    <row r="48" spans="1:16" x14ac:dyDescent="0.25">
      <c r="A48" s="42"/>
      <c r="B48" s="42" t="s">
        <v>1418</v>
      </c>
      <c r="C48" s="42" t="s">
        <v>1533</v>
      </c>
      <c r="D48" s="22">
        <v>0</v>
      </c>
      <c r="E48" s="3"/>
      <c r="F48" s="3"/>
      <c r="G48" s="3"/>
      <c r="H48" s="3"/>
      <c r="I48" s="3"/>
      <c r="J48" s="3"/>
      <c r="K48" s="3"/>
      <c r="L48" s="3"/>
      <c r="M48" s="3"/>
      <c r="N48" s="3"/>
      <c r="O48" s="3"/>
      <c r="P48" s="3"/>
    </row>
    <row r="49" spans="1:16" x14ac:dyDescent="0.25">
      <c r="A49" s="44"/>
      <c r="B49" s="44"/>
      <c r="C49" s="44" t="s">
        <v>1545</v>
      </c>
      <c r="D49" s="33"/>
      <c r="E49" s="5"/>
      <c r="F49" s="5"/>
      <c r="G49" s="5"/>
      <c r="H49" s="5"/>
      <c r="I49" s="5"/>
      <c r="J49" s="5"/>
      <c r="K49" s="5"/>
      <c r="L49" s="5"/>
      <c r="M49" s="5"/>
      <c r="N49" s="5"/>
      <c r="O49" s="5"/>
      <c r="P49" s="5"/>
    </row>
    <row r="50" spans="1:16" x14ac:dyDescent="0.25">
      <c r="A50" s="42"/>
      <c r="B50" s="42"/>
      <c r="C50" s="42" t="s">
        <v>12</v>
      </c>
      <c r="D50" s="22"/>
      <c r="E50" s="3"/>
      <c r="F50" s="3"/>
      <c r="G50" s="3"/>
      <c r="H50" s="3"/>
      <c r="I50" s="3"/>
      <c r="J50" s="3"/>
      <c r="K50" s="3"/>
      <c r="L50" s="3"/>
      <c r="M50" s="3"/>
      <c r="N50" s="3"/>
      <c r="O50" s="3"/>
      <c r="P50" s="3"/>
    </row>
    <row r="51" spans="1:16" x14ac:dyDescent="0.25">
      <c r="A51" s="43"/>
      <c r="B51" s="43" t="s">
        <v>1418</v>
      </c>
      <c r="C51" s="43" t="s">
        <v>1362</v>
      </c>
      <c r="D51" s="79"/>
      <c r="E51" s="4"/>
      <c r="F51" s="4"/>
      <c r="G51" s="4"/>
      <c r="H51" s="4"/>
      <c r="I51" s="4"/>
      <c r="J51" s="4"/>
      <c r="K51" s="4"/>
      <c r="L51" s="4"/>
      <c r="M51" s="4"/>
      <c r="N51" s="4"/>
      <c r="O51" s="4"/>
      <c r="P51" s="4"/>
    </row>
    <row r="52" spans="1:16" x14ac:dyDescent="0.25">
      <c r="A52" s="42"/>
      <c r="B52" s="42" t="s">
        <v>1418</v>
      </c>
      <c r="C52" s="42" t="s">
        <v>1363</v>
      </c>
      <c r="D52" s="40"/>
      <c r="E52" s="3"/>
      <c r="F52" s="3"/>
      <c r="G52" s="3"/>
      <c r="H52" s="3"/>
      <c r="I52" s="3"/>
      <c r="J52" s="3"/>
      <c r="K52" s="3"/>
      <c r="L52" s="3"/>
      <c r="M52" s="3"/>
      <c r="N52" s="3"/>
      <c r="O52" s="3"/>
      <c r="P52" s="3"/>
    </row>
    <row r="53" spans="1:16" x14ac:dyDescent="0.25">
      <c r="A53" s="43"/>
      <c r="B53" s="43" t="s">
        <v>1418</v>
      </c>
      <c r="C53" s="43" t="s">
        <v>1364</v>
      </c>
      <c r="D53" s="79"/>
      <c r="E53" s="4"/>
      <c r="F53" s="4"/>
      <c r="G53" s="4"/>
      <c r="H53" s="4"/>
      <c r="I53" s="4"/>
      <c r="J53" s="4"/>
      <c r="K53" s="4"/>
      <c r="L53" s="4"/>
      <c r="M53" s="4"/>
      <c r="N53" s="4"/>
      <c r="O53" s="4"/>
      <c r="P53" s="4"/>
    </row>
    <row r="54" spans="1:16" x14ac:dyDescent="0.25">
      <c r="A54" s="42"/>
      <c r="B54" s="42" t="s">
        <v>1418</v>
      </c>
      <c r="C54" s="42" t="s">
        <v>1394</v>
      </c>
      <c r="D54" s="35"/>
      <c r="E54" s="3"/>
      <c r="F54" s="3"/>
      <c r="G54" s="3"/>
      <c r="H54" s="3"/>
      <c r="I54" s="3"/>
      <c r="J54" s="3"/>
      <c r="K54" s="3"/>
      <c r="L54" s="3"/>
      <c r="M54" s="3"/>
      <c r="N54" s="3"/>
      <c r="O54" s="3"/>
      <c r="P54" s="3"/>
    </row>
    <row r="55" spans="1:16" x14ac:dyDescent="0.25">
      <c r="A55" s="44" t="s">
        <v>1546</v>
      </c>
      <c r="B55" s="44"/>
      <c r="C55" s="44" t="s">
        <v>1547</v>
      </c>
      <c r="D55" s="33"/>
      <c r="E55" s="5"/>
      <c r="F55" s="5"/>
      <c r="G55" s="5"/>
      <c r="H55" s="5"/>
      <c r="I55" s="5"/>
      <c r="J55" s="5"/>
      <c r="K55" s="5"/>
      <c r="L55" s="5"/>
      <c r="M55" s="5"/>
      <c r="N55" s="5"/>
      <c r="O55" s="5"/>
      <c r="P55" s="5"/>
    </row>
    <row r="56" spans="1:16" x14ac:dyDescent="0.25">
      <c r="A56" s="42"/>
      <c r="B56" s="42"/>
      <c r="C56" s="42" t="s">
        <v>293</v>
      </c>
      <c r="D56" s="22">
        <v>4.9000000000000002E-2</v>
      </c>
      <c r="E56" s="3"/>
      <c r="F56" s="3"/>
      <c r="G56" s="3"/>
      <c r="H56" s="3"/>
      <c r="I56" s="3"/>
      <c r="J56" s="3"/>
      <c r="K56" s="3"/>
      <c r="L56" s="3"/>
      <c r="M56" s="3"/>
      <c r="N56" s="3"/>
      <c r="O56" s="3"/>
      <c r="P56" s="3"/>
    </row>
    <row r="57" spans="1:16" x14ac:dyDescent="0.25">
      <c r="A57" s="43"/>
      <c r="B57" s="43"/>
      <c r="C57" s="43" t="s">
        <v>92</v>
      </c>
      <c r="D57" s="25">
        <v>2E-3</v>
      </c>
      <c r="E57" s="4"/>
      <c r="F57" s="4"/>
      <c r="G57" s="4"/>
      <c r="H57" s="4"/>
      <c r="I57" s="4"/>
      <c r="J57" s="4"/>
      <c r="K57" s="4"/>
      <c r="L57" s="4"/>
      <c r="M57" s="4"/>
      <c r="N57" s="4"/>
      <c r="O57" s="4"/>
      <c r="P57" s="4"/>
    </row>
    <row r="58" spans="1:16" x14ac:dyDescent="0.25">
      <c r="A58" s="42"/>
      <c r="B58" s="42" t="s">
        <v>1418</v>
      </c>
      <c r="C58" s="42" t="s">
        <v>1386</v>
      </c>
      <c r="D58" s="40">
        <v>1E-4</v>
      </c>
      <c r="E58" s="3"/>
      <c r="F58" s="3"/>
      <c r="G58" s="3"/>
      <c r="H58" s="3"/>
      <c r="I58" s="3"/>
      <c r="J58" s="3"/>
      <c r="K58" s="3"/>
      <c r="L58" s="3"/>
      <c r="M58" s="3"/>
      <c r="N58" s="3"/>
      <c r="O58" s="3"/>
      <c r="P58" s="3"/>
    </row>
    <row r="59" spans="1:16" x14ac:dyDescent="0.25">
      <c r="A59" s="44"/>
      <c r="B59" s="44"/>
      <c r="C59" s="44" t="s">
        <v>1548</v>
      </c>
      <c r="D59" s="33"/>
      <c r="E59" s="5"/>
      <c r="F59" s="5"/>
      <c r="G59" s="5"/>
      <c r="H59" s="5"/>
      <c r="I59" s="5"/>
      <c r="J59" s="5"/>
      <c r="K59" s="5"/>
      <c r="L59" s="5"/>
      <c r="M59" s="5"/>
      <c r="N59" s="5"/>
      <c r="O59" s="5"/>
      <c r="P59" s="5"/>
    </row>
    <row r="60" spans="1:16" x14ac:dyDescent="0.25">
      <c r="A60" s="42"/>
      <c r="B60" s="42" t="s">
        <v>1418</v>
      </c>
      <c r="C60" s="42" t="s">
        <v>1351</v>
      </c>
      <c r="D60" s="40">
        <v>160</v>
      </c>
      <c r="E60" s="3"/>
      <c r="F60" s="3"/>
      <c r="G60" s="3"/>
      <c r="H60" s="3"/>
      <c r="I60" s="3"/>
      <c r="J60" s="3"/>
      <c r="K60" s="3"/>
      <c r="L60" s="3"/>
      <c r="M60" s="3"/>
      <c r="N60" s="3"/>
      <c r="O60" s="3"/>
      <c r="P60" s="3"/>
    </row>
    <row r="61" spans="1:16" x14ac:dyDescent="0.25">
      <c r="A61" s="43"/>
      <c r="B61" s="43" t="s">
        <v>1418</v>
      </c>
      <c r="C61" s="43" t="s">
        <v>1352</v>
      </c>
      <c r="D61" s="79">
        <v>160</v>
      </c>
      <c r="E61" s="4"/>
      <c r="F61" s="4"/>
      <c r="G61" s="4"/>
      <c r="H61" s="4"/>
      <c r="I61" s="4"/>
      <c r="J61" s="4"/>
      <c r="K61" s="4"/>
      <c r="L61" s="4"/>
      <c r="M61" s="4"/>
      <c r="N61" s="4"/>
      <c r="O61" s="4"/>
      <c r="P61" s="4"/>
    </row>
    <row r="62" spans="1:16" x14ac:dyDescent="0.25">
      <c r="A62" s="42"/>
      <c r="B62" s="42" t="s">
        <v>1418</v>
      </c>
      <c r="C62" s="42" t="s">
        <v>1353</v>
      </c>
      <c r="D62" s="40">
        <v>4</v>
      </c>
      <c r="E62" s="3"/>
      <c r="F62" s="3"/>
      <c r="G62" s="3"/>
      <c r="H62" s="3"/>
      <c r="I62" s="3"/>
      <c r="J62" s="3"/>
      <c r="K62" s="3"/>
      <c r="L62" s="3"/>
      <c r="M62" s="3"/>
      <c r="N62" s="3"/>
      <c r="O62" s="3"/>
      <c r="P62" s="3"/>
    </row>
    <row r="63" spans="1:16" x14ac:dyDescent="0.25">
      <c r="A63" s="43"/>
      <c r="B63" s="43" t="s">
        <v>1418</v>
      </c>
      <c r="C63" s="43" t="s">
        <v>1354</v>
      </c>
      <c r="D63" s="79">
        <v>0</v>
      </c>
      <c r="E63" s="4"/>
      <c r="F63" s="4"/>
      <c r="G63" s="4"/>
      <c r="H63" s="4"/>
      <c r="I63" s="4"/>
      <c r="J63" s="4"/>
      <c r="K63" s="4"/>
      <c r="L63" s="4"/>
      <c r="M63" s="4"/>
      <c r="N63" s="4"/>
      <c r="O63" s="4"/>
      <c r="P63" s="4"/>
    </row>
    <row r="64" spans="1:16" x14ac:dyDescent="0.25">
      <c r="A64" s="42"/>
      <c r="B64" s="42" t="s">
        <v>1418</v>
      </c>
      <c r="C64" s="42" t="s">
        <v>1415</v>
      </c>
      <c r="D64" s="40">
        <v>0</v>
      </c>
      <c r="E64" s="3"/>
      <c r="F64" s="3"/>
      <c r="G64" s="3"/>
      <c r="H64" s="3"/>
      <c r="I64" s="3"/>
      <c r="J64" s="3"/>
      <c r="K64" s="3"/>
      <c r="L64" s="3"/>
      <c r="M64" s="3"/>
      <c r="N64" s="3"/>
      <c r="O64" s="3"/>
      <c r="P64" s="3"/>
    </row>
    <row r="65" spans="1:16" x14ac:dyDescent="0.25">
      <c r="A65" s="43"/>
      <c r="B65" s="43"/>
      <c r="C65" s="43" t="s">
        <v>91</v>
      </c>
      <c r="D65" s="25">
        <v>0</v>
      </c>
      <c r="E65" s="4"/>
      <c r="F65" s="4"/>
      <c r="G65" s="4"/>
      <c r="H65" s="4"/>
      <c r="I65" s="4"/>
      <c r="J65" s="4"/>
      <c r="K65" s="4"/>
      <c r="L65" s="4"/>
      <c r="M65" s="4"/>
      <c r="N65" s="4"/>
      <c r="O65" s="4"/>
      <c r="P65" s="4"/>
    </row>
    <row r="66" spans="1:16" x14ac:dyDescent="0.25">
      <c r="A66" s="42"/>
      <c r="B66" s="42" t="s">
        <v>1418</v>
      </c>
      <c r="C66" s="42" t="s">
        <v>1373</v>
      </c>
      <c r="D66" s="40">
        <v>-0.1</v>
      </c>
      <c r="E66" s="3"/>
      <c r="F66" s="3"/>
      <c r="G66" s="3"/>
      <c r="H66" s="3"/>
      <c r="I66" s="3"/>
      <c r="J66" s="3"/>
      <c r="K66" s="3"/>
      <c r="L66" s="3"/>
      <c r="M66" s="3"/>
      <c r="N66" s="3"/>
      <c r="O66" s="3"/>
      <c r="P66" s="3"/>
    </row>
    <row r="67" spans="1:16" x14ac:dyDescent="0.25">
      <c r="A67" s="43"/>
      <c r="B67" s="43" t="s">
        <v>1418</v>
      </c>
      <c r="C67" s="43" t="s">
        <v>1376</v>
      </c>
      <c r="D67" s="25">
        <v>-0.05</v>
      </c>
      <c r="E67" s="4"/>
      <c r="F67" s="4"/>
      <c r="G67" s="4"/>
      <c r="H67" s="4"/>
      <c r="I67" s="4"/>
      <c r="J67" s="4"/>
      <c r="K67" s="4"/>
      <c r="L67" s="4"/>
      <c r="M67" s="4"/>
      <c r="N67" s="4"/>
      <c r="O67" s="4"/>
      <c r="P67" s="4"/>
    </row>
    <row r="68" spans="1:16" x14ac:dyDescent="0.25">
      <c r="A68" s="42"/>
      <c r="B68" s="42" t="s">
        <v>1418</v>
      </c>
      <c r="C68" s="42" t="s">
        <v>1520</v>
      </c>
      <c r="D68" s="22">
        <v>100</v>
      </c>
      <c r="E68" s="3"/>
      <c r="F68" s="3"/>
      <c r="G68" s="3"/>
      <c r="H68" s="3"/>
      <c r="I68" s="3"/>
      <c r="J68" s="3"/>
      <c r="K68" s="3"/>
      <c r="L68" s="3"/>
      <c r="M68" s="3"/>
      <c r="N68" s="3"/>
      <c r="O68" s="3"/>
      <c r="P68" s="3"/>
    </row>
    <row r="69" spans="1:16" x14ac:dyDescent="0.25">
      <c r="A69" s="43"/>
      <c r="B69" s="43" t="s">
        <v>1418</v>
      </c>
      <c r="C69" s="43" t="s">
        <v>1377</v>
      </c>
      <c r="D69" s="79">
        <v>0</v>
      </c>
      <c r="E69" s="4"/>
      <c r="F69" s="4"/>
      <c r="G69" s="4"/>
      <c r="H69" s="4"/>
      <c r="I69" s="4"/>
      <c r="J69" s="4"/>
      <c r="K69" s="4"/>
      <c r="L69" s="4"/>
      <c r="M69" s="4"/>
      <c r="N69" s="4"/>
      <c r="O69" s="4"/>
      <c r="P69" s="4"/>
    </row>
    <row r="70" spans="1:16" x14ac:dyDescent="0.25">
      <c r="A70" s="42"/>
      <c r="B70" s="42" t="s">
        <v>1418</v>
      </c>
      <c r="C70" s="42" t="s">
        <v>1521</v>
      </c>
      <c r="D70" s="22"/>
      <c r="E70" s="3"/>
      <c r="F70" s="3"/>
      <c r="G70" s="3"/>
      <c r="H70" s="3"/>
      <c r="I70" s="3"/>
      <c r="J70" s="3"/>
      <c r="K70" s="3"/>
      <c r="L70" s="3"/>
      <c r="M70" s="3"/>
      <c r="N70" s="3"/>
      <c r="O70" s="3"/>
      <c r="P70" s="3"/>
    </row>
    <row r="71" spans="1:16" x14ac:dyDescent="0.25">
      <c r="A71" s="44"/>
      <c r="B71" s="44"/>
      <c r="C71" s="44" t="s">
        <v>417</v>
      </c>
      <c r="D71" s="33"/>
      <c r="E71" s="5"/>
      <c r="F71" s="5"/>
      <c r="G71" s="5"/>
      <c r="H71" s="5"/>
      <c r="I71" s="5"/>
      <c r="J71" s="5"/>
      <c r="K71" s="5"/>
      <c r="L71" s="5"/>
      <c r="M71" s="5"/>
      <c r="N71" s="5"/>
      <c r="O71" s="5"/>
      <c r="P71" s="5"/>
    </row>
    <row r="72" spans="1:16" x14ac:dyDescent="0.25">
      <c r="A72" s="42"/>
      <c r="B72" s="42"/>
      <c r="C72" s="42" t="s">
        <v>89</v>
      </c>
      <c r="D72" s="22">
        <v>1</v>
      </c>
      <c r="E72" s="3"/>
      <c r="F72" s="3"/>
      <c r="G72" s="3"/>
      <c r="H72" s="3"/>
      <c r="I72" s="3"/>
      <c r="J72" s="3"/>
      <c r="K72" s="3"/>
      <c r="L72" s="3"/>
      <c r="M72" s="3"/>
      <c r="N72" s="3"/>
      <c r="O72" s="3"/>
      <c r="P72" s="3"/>
    </row>
    <row r="73" spans="1:16" x14ac:dyDescent="0.25">
      <c r="A73" s="43"/>
      <c r="B73" s="43" t="s">
        <v>1418</v>
      </c>
      <c r="C73" s="43" t="s">
        <v>1339</v>
      </c>
      <c r="D73" s="79">
        <v>0</v>
      </c>
      <c r="E73" s="4"/>
      <c r="F73" s="4"/>
      <c r="G73" s="4"/>
      <c r="H73" s="4"/>
      <c r="I73" s="4"/>
      <c r="J73" s="4"/>
      <c r="K73" s="4"/>
      <c r="L73" s="4"/>
      <c r="M73" s="4"/>
      <c r="N73" s="4"/>
      <c r="O73" s="4"/>
      <c r="P73" s="4"/>
    </row>
    <row r="74" spans="1:16" x14ac:dyDescent="0.25">
      <c r="A74" s="42"/>
      <c r="B74" s="42"/>
      <c r="C74" s="42" t="s">
        <v>90</v>
      </c>
      <c r="D74" s="22">
        <v>0.2</v>
      </c>
      <c r="E74" s="3"/>
      <c r="F74" s="3"/>
      <c r="G74" s="3"/>
      <c r="H74" s="3"/>
      <c r="I74" s="3"/>
      <c r="J74" s="3"/>
      <c r="K74" s="3"/>
      <c r="L74" s="3"/>
      <c r="M74" s="3"/>
      <c r="N74" s="3"/>
      <c r="O74" s="3"/>
      <c r="P74" s="3"/>
    </row>
    <row r="75" spans="1:16" x14ac:dyDescent="0.25">
      <c r="A75" s="44" t="s">
        <v>219</v>
      </c>
      <c r="B75" s="44"/>
      <c r="C75" s="44" t="s">
        <v>399</v>
      </c>
      <c r="D75" s="33"/>
      <c r="E75" s="5"/>
      <c r="F75" s="5"/>
      <c r="G75" s="5"/>
      <c r="H75" s="5"/>
      <c r="I75" s="5"/>
      <c r="J75" s="5"/>
      <c r="K75" s="5"/>
      <c r="L75" s="5"/>
      <c r="M75" s="5"/>
      <c r="N75" s="5"/>
      <c r="O75" s="5"/>
      <c r="P75" s="5"/>
    </row>
    <row r="76" spans="1:16" x14ac:dyDescent="0.25">
      <c r="A76" s="42"/>
      <c r="B76" s="42"/>
      <c r="C76" s="42" t="s">
        <v>13</v>
      </c>
      <c r="D76" s="35">
        <v>0.13</v>
      </c>
      <c r="E76" s="39"/>
      <c r="F76" s="39"/>
      <c r="G76" s="39"/>
      <c r="H76" s="39"/>
      <c r="I76" s="39"/>
      <c r="J76" s="39"/>
      <c r="K76" s="39"/>
      <c r="L76" s="39"/>
      <c r="M76" s="39"/>
      <c r="N76" s="39"/>
      <c r="O76" s="39"/>
      <c r="P76" s="3"/>
    </row>
    <row r="77" spans="1:16" x14ac:dyDescent="0.25">
      <c r="A77" s="43"/>
      <c r="B77" s="43"/>
      <c r="C77" s="43" t="s">
        <v>14</v>
      </c>
      <c r="D77" s="25" t="s">
        <v>348</v>
      </c>
      <c r="E77" s="4"/>
      <c r="F77" s="4"/>
      <c r="G77" s="4"/>
      <c r="H77" s="4"/>
      <c r="I77" s="4"/>
      <c r="J77" s="4"/>
      <c r="K77" s="4"/>
      <c r="L77" s="4"/>
      <c r="M77" s="4"/>
      <c r="N77" s="4"/>
      <c r="O77" s="4"/>
      <c r="P77" s="4" t="s">
        <v>1305</v>
      </c>
    </row>
    <row r="78" spans="1:16" x14ac:dyDescent="0.25">
      <c r="A78" s="42"/>
      <c r="B78" s="42" t="s">
        <v>1418</v>
      </c>
      <c r="C78" s="42" t="s">
        <v>1522</v>
      </c>
      <c r="D78" s="22" t="s">
        <v>1523</v>
      </c>
      <c r="E78" s="3"/>
      <c r="F78" s="3"/>
      <c r="G78" s="3"/>
      <c r="H78" s="3"/>
      <c r="I78" s="3"/>
      <c r="J78" s="3"/>
      <c r="K78" s="3"/>
      <c r="L78" s="3"/>
      <c r="M78" s="3"/>
      <c r="N78" s="3"/>
      <c r="O78" s="3"/>
      <c r="P78" s="3"/>
    </row>
    <row r="79" spans="1:16" x14ac:dyDescent="0.25">
      <c r="A79" s="43"/>
      <c r="B79" s="43"/>
      <c r="C79" s="43" t="s">
        <v>1497</v>
      </c>
      <c r="D79" s="25">
        <v>2.5</v>
      </c>
      <c r="E79" s="4"/>
      <c r="F79" s="4"/>
      <c r="G79" s="4"/>
      <c r="H79" s="4"/>
      <c r="I79" s="4"/>
      <c r="J79" s="4"/>
      <c r="K79" s="4"/>
      <c r="L79" s="4"/>
      <c r="M79" s="4"/>
      <c r="N79" s="4"/>
      <c r="O79" s="4"/>
      <c r="P79" s="4" t="s">
        <v>232</v>
      </c>
    </row>
    <row r="80" spans="1:16" x14ac:dyDescent="0.25">
      <c r="A80" s="42"/>
      <c r="B80" s="42"/>
      <c r="C80" s="42" t="s">
        <v>1498</v>
      </c>
      <c r="D80" s="22">
        <v>15</v>
      </c>
      <c r="E80" s="3"/>
      <c r="F80" s="3"/>
      <c r="G80" s="3"/>
      <c r="H80" s="3"/>
      <c r="I80" s="3"/>
      <c r="J80" s="3"/>
      <c r="K80" s="3"/>
      <c r="L80" s="3"/>
      <c r="M80" s="3"/>
      <c r="N80" s="3"/>
      <c r="O80" s="3"/>
      <c r="P80" s="3" t="s">
        <v>232</v>
      </c>
    </row>
    <row r="81" spans="1:16" x14ac:dyDescent="0.25">
      <c r="A81" s="43"/>
      <c r="B81" s="43" t="s">
        <v>1418</v>
      </c>
      <c r="C81" s="43" t="s">
        <v>1401</v>
      </c>
      <c r="D81" s="81" t="s">
        <v>1402</v>
      </c>
      <c r="E81" s="4"/>
      <c r="F81" s="4"/>
      <c r="G81" s="4"/>
      <c r="H81" s="4"/>
      <c r="I81" s="4"/>
      <c r="J81" s="4"/>
      <c r="K81" s="4"/>
      <c r="L81" s="4"/>
      <c r="M81" s="4"/>
      <c r="N81" s="4"/>
      <c r="O81" s="4"/>
      <c r="P81" s="4"/>
    </row>
    <row r="82" spans="1:16" x14ac:dyDescent="0.25">
      <c r="A82" s="42"/>
      <c r="B82" s="42" t="s">
        <v>1418</v>
      </c>
      <c r="C82" s="42" t="s">
        <v>1525</v>
      </c>
      <c r="D82" s="22" t="s">
        <v>1523</v>
      </c>
      <c r="E82" s="3"/>
      <c r="F82" s="3"/>
      <c r="G82" s="3"/>
      <c r="H82" s="3"/>
      <c r="I82" s="3"/>
      <c r="J82" s="3"/>
      <c r="K82" s="3"/>
      <c r="L82" s="3"/>
      <c r="M82" s="3"/>
      <c r="N82" s="3"/>
      <c r="O82" s="3"/>
      <c r="P82" s="3"/>
    </row>
    <row r="83" spans="1:16" x14ac:dyDescent="0.25">
      <c r="A83" s="43"/>
      <c r="B83" s="43"/>
      <c r="C83" s="43" t="s">
        <v>351</v>
      </c>
      <c r="D83" s="25" t="s">
        <v>15</v>
      </c>
      <c r="E83" s="4"/>
      <c r="F83" s="4"/>
      <c r="G83" s="4"/>
      <c r="H83" s="4"/>
      <c r="I83" s="4"/>
      <c r="J83" s="4"/>
      <c r="K83" s="4"/>
      <c r="L83" s="4"/>
      <c r="M83" s="4"/>
      <c r="N83" s="4"/>
      <c r="O83" s="4"/>
      <c r="P83" s="4" t="s">
        <v>232</v>
      </c>
    </row>
    <row r="84" spans="1:16" x14ac:dyDescent="0.25">
      <c r="A84" s="42"/>
      <c r="B84" s="42" t="s">
        <v>1418</v>
      </c>
      <c r="C84" s="42" t="s">
        <v>1524</v>
      </c>
      <c r="D84" s="22" t="s">
        <v>1523</v>
      </c>
      <c r="E84" s="3"/>
      <c r="F84" s="3"/>
      <c r="G84" s="3"/>
      <c r="H84" s="3"/>
      <c r="I84" s="3"/>
      <c r="J84" s="3"/>
      <c r="K84" s="3"/>
      <c r="L84" s="3"/>
      <c r="M84" s="3"/>
      <c r="N84" s="3"/>
      <c r="O84" s="3"/>
      <c r="P84" s="3"/>
    </row>
    <row r="85" spans="1:16" x14ac:dyDescent="0.25">
      <c r="A85" s="43"/>
      <c r="B85" s="43"/>
      <c r="C85" s="43" t="s">
        <v>352</v>
      </c>
      <c r="D85" s="25" t="s">
        <v>15</v>
      </c>
      <c r="E85" s="4"/>
      <c r="F85" s="4"/>
      <c r="G85" s="4"/>
      <c r="H85" s="4"/>
      <c r="I85" s="4"/>
      <c r="J85" s="4"/>
      <c r="K85" s="4"/>
      <c r="L85" s="4"/>
      <c r="M85" s="4"/>
      <c r="N85" s="4"/>
      <c r="O85" s="4"/>
      <c r="P85" s="4" t="s">
        <v>232</v>
      </c>
    </row>
    <row r="86" spans="1:16" x14ac:dyDescent="0.25">
      <c r="A86" s="42"/>
      <c r="B86" s="42" t="s">
        <v>1418</v>
      </c>
      <c r="C86" s="42" t="s">
        <v>1526</v>
      </c>
      <c r="D86" s="22" t="s">
        <v>1523</v>
      </c>
      <c r="E86" s="3"/>
      <c r="F86" s="3"/>
      <c r="G86" s="3"/>
      <c r="H86" s="3"/>
      <c r="I86" s="3"/>
      <c r="J86" s="3"/>
      <c r="K86" s="3"/>
      <c r="L86" s="3"/>
      <c r="M86" s="3"/>
      <c r="N86" s="3"/>
      <c r="O86" s="3"/>
      <c r="P86" s="3"/>
    </row>
    <row r="87" spans="1:16" x14ac:dyDescent="0.25">
      <c r="A87" s="44"/>
      <c r="B87" s="44"/>
      <c r="C87" s="44" t="s">
        <v>400</v>
      </c>
      <c r="D87" s="33"/>
      <c r="E87" s="5"/>
      <c r="F87" s="5"/>
      <c r="G87" s="5"/>
      <c r="H87" s="5"/>
      <c r="I87" s="5"/>
      <c r="J87" s="5"/>
      <c r="K87" s="5"/>
      <c r="L87" s="5"/>
      <c r="M87" s="5"/>
      <c r="N87" s="5"/>
      <c r="O87" s="5"/>
      <c r="P87" s="5" t="s">
        <v>233</v>
      </c>
    </row>
    <row r="88" spans="1:16" x14ac:dyDescent="0.25">
      <c r="A88" s="42"/>
      <c r="B88" s="42"/>
      <c r="C88" s="42" t="s">
        <v>16</v>
      </c>
      <c r="D88" s="22">
        <v>1</v>
      </c>
      <c r="E88" s="3"/>
      <c r="F88" s="3"/>
      <c r="G88" s="3"/>
      <c r="H88" s="3"/>
      <c r="I88" s="3"/>
      <c r="J88" s="3"/>
      <c r="K88" s="3"/>
      <c r="L88" s="3"/>
      <c r="M88" s="3"/>
      <c r="N88" s="3"/>
      <c r="O88" s="3"/>
      <c r="P88" s="3" t="s">
        <v>234</v>
      </c>
    </row>
    <row r="89" spans="1:16" x14ac:dyDescent="0.25">
      <c r="A89" s="43"/>
      <c r="B89" s="43"/>
      <c r="C89" s="43" t="s">
        <v>17</v>
      </c>
      <c r="D89" s="25">
        <v>0</v>
      </c>
      <c r="E89" s="4"/>
      <c r="F89" s="4"/>
      <c r="G89" s="4"/>
      <c r="H89" s="4"/>
      <c r="I89" s="4"/>
      <c r="J89" s="4"/>
      <c r="K89" s="4"/>
      <c r="L89" s="4"/>
      <c r="M89" s="4"/>
      <c r="N89" s="4"/>
      <c r="O89" s="4"/>
      <c r="P89" s="4"/>
    </row>
    <row r="90" spans="1:16" x14ac:dyDescent="0.25">
      <c r="A90" s="42"/>
      <c r="B90" s="42" t="s">
        <v>1418</v>
      </c>
      <c r="C90" s="42" t="s">
        <v>1378</v>
      </c>
      <c r="D90" s="40">
        <v>1</v>
      </c>
      <c r="E90" s="3"/>
      <c r="F90" s="3"/>
      <c r="G90" s="3"/>
      <c r="H90" s="3"/>
      <c r="I90" s="3"/>
      <c r="J90" s="3"/>
      <c r="K90" s="3"/>
      <c r="L90" s="3"/>
      <c r="M90" s="3"/>
      <c r="N90" s="3"/>
      <c r="O90" s="3"/>
      <c r="P90" s="3"/>
    </row>
    <row r="91" spans="1:16" x14ac:dyDescent="0.25">
      <c r="A91" s="43"/>
      <c r="B91" s="43" t="s">
        <v>1418</v>
      </c>
      <c r="C91" s="43" t="s">
        <v>1379</v>
      </c>
      <c r="D91" s="81" t="s">
        <v>1458</v>
      </c>
      <c r="E91" s="4"/>
      <c r="F91" s="4"/>
      <c r="G91" s="4"/>
      <c r="H91" s="4"/>
      <c r="I91" s="4"/>
      <c r="J91" s="4"/>
      <c r="K91" s="4"/>
      <c r="L91" s="4"/>
      <c r="M91" s="4"/>
      <c r="N91" s="4"/>
      <c r="O91" s="4"/>
      <c r="P91" s="4"/>
    </row>
    <row r="92" spans="1:16" x14ac:dyDescent="0.25">
      <c r="A92" s="44"/>
      <c r="B92" s="44"/>
      <c r="C92" s="44" t="s">
        <v>373</v>
      </c>
      <c r="D92" s="33"/>
      <c r="E92" s="5"/>
      <c r="F92" s="5"/>
      <c r="G92" s="5"/>
      <c r="H92" s="5"/>
      <c r="I92" s="5"/>
      <c r="J92" s="5"/>
      <c r="K92" s="5"/>
      <c r="L92" s="5"/>
      <c r="M92" s="5"/>
      <c r="N92" s="5"/>
      <c r="O92" s="5"/>
      <c r="P92" s="5"/>
    </row>
    <row r="93" spans="1:16" x14ac:dyDescent="0.25">
      <c r="A93" s="42"/>
      <c r="B93" s="42"/>
      <c r="C93" s="42" t="s">
        <v>18</v>
      </c>
      <c r="D93" s="22">
        <v>0</v>
      </c>
      <c r="E93" s="3"/>
      <c r="F93" s="3"/>
      <c r="G93" s="3"/>
      <c r="H93" s="3"/>
      <c r="I93" s="3"/>
      <c r="J93" s="3"/>
      <c r="K93" s="3"/>
      <c r="L93" s="3"/>
      <c r="M93" s="3"/>
      <c r="N93" s="3"/>
      <c r="O93" s="3"/>
      <c r="P93" s="3"/>
    </row>
    <row r="94" spans="1:16" x14ac:dyDescent="0.25">
      <c r="A94" s="43"/>
      <c r="B94" s="43"/>
      <c r="C94" s="43" t="s">
        <v>19</v>
      </c>
      <c r="D94" s="25">
        <v>45</v>
      </c>
      <c r="E94" s="4"/>
      <c r="F94" s="4"/>
      <c r="G94" s="4"/>
      <c r="H94" s="4"/>
      <c r="I94" s="4"/>
      <c r="J94" s="4"/>
      <c r="K94" s="4"/>
      <c r="L94" s="4"/>
      <c r="M94" s="4"/>
      <c r="N94" s="4"/>
      <c r="O94" s="4"/>
      <c r="P94" s="4"/>
    </row>
    <row r="95" spans="1:16" x14ac:dyDescent="0.25">
      <c r="A95" s="42"/>
      <c r="B95" s="42"/>
      <c r="C95" s="42" t="s">
        <v>20</v>
      </c>
      <c r="D95" s="22">
        <v>0</v>
      </c>
      <c r="E95" s="3"/>
      <c r="F95" s="3"/>
      <c r="G95" s="3"/>
      <c r="H95" s="3"/>
      <c r="I95" s="3"/>
      <c r="J95" s="3"/>
      <c r="K95" s="3"/>
      <c r="L95" s="3"/>
      <c r="M95" s="3"/>
      <c r="N95" s="3"/>
      <c r="O95" s="3"/>
      <c r="P95" s="3" t="s">
        <v>235</v>
      </c>
    </row>
    <row r="96" spans="1:16" x14ac:dyDescent="0.25">
      <c r="A96" s="43"/>
      <c r="B96" s="43"/>
      <c r="C96" s="43" t="s">
        <v>21</v>
      </c>
      <c r="D96" s="25">
        <v>0</v>
      </c>
      <c r="E96" s="4"/>
      <c r="F96" s="4"/>
      <c r="G96" s="4"/>
      <c r="H96" s="4"/>
      <c r="I96" s="4"/>
      <c r="J96" s="4"/>
      <c r="K96" s="4"/>
      <c r="L96" s="4"/>
      <c r="M96" s="4"/>
      <c r="N96" s="4"/>
      <c r="O96" s="4"/>
      <c r="P96" s="4"/>
    </row>
    <row r="97" spans="1:16" x14ac:dyDescent="0.25">
      <c r="A97" s="42"/>
      <c r="B97" s="42" t="s">
        <v>1418</v>
      </c>
      <c r="C97" s="42" t="s">
        <v>1367</v>
      </c>
      <c r="D97" s="40">
        <v>0</v>
      </c>
      <c r="E97" s="3"/>
      <c r="F97" s="3"/>
      <c r="G97" s="3"/>
      <c r="H97" s="3"/>
      <c r="I97" s="3"/>
      <c r="J97" s="3"/>
      <c r="K97" s="3"/>
      <c r="L97" s="3"/>
      <c r="M97" s="3"/>
      <c r="N97" s="3"/>
      <c r="O97" s="3"/>
      <c r="P97" s="3"/>
    </row>
    <row r="98" spans="1:16" x14ac:dyDescent="0.25">
      <c r="A98" s="43"/>
      <c r="B98" s="43" t="s">
        <v>1418</v>
      </c>
      <c r="C98" s="43" t="s">
        <v>1359</v>
      </c>
      <c r="D98" s="58">
        <v>1.5</v>
      </c>
      <c r="E98" s="4"/>
      <c r="F98" s="4"/>
      <c r="G98" s="4"/>
      <c r="H98" s="4"/>
      <c r="I98" s="4"/>
      <c r="J98" s="4"/>
      <c r="K98" s="4"/>
      <c r="L98" s="4"/>
      <c r="M98" s="4"/>
      <c r="N98" s="4"/>
      <c r="O98" s="4"/>
      <c r="P98" s="4"/>
    </row>
    <row r="99" spans="1:16" x14ac:dyDescent="0.25">
      <c r="A99" s="42"/>
      <c r="B99" s="42" t="s">
        <v>1418</v>
      </c>
      <c r="C99" s="42" t="s">
        <v>1342</v>
      </c>
      <c r="D99" s="35">
        <v>2</v>
      </c>
      <c r="E99" s="3"/>
      <c r="F99" s="3"/>
      <c r="G99" s="3"/>
      <c r="H99" s="3"/>
      <c r="I99" s="3"/>
      <c r="J99" s="3"/>
      <c r="K99" s="3"/>
      <c r="L99" s="3"/>
      <c r="M99" s="3"/>
      <c r="N99" s="3"/>
      <c r="O99" s="3"/>
      <c r="P99" s="3"/>
    </row>
    <row r="100" spans="1:16" x14ac:dyDescent="0.25">
      <c r="A100" s="43"/>
      <c r="B100" s="43"/>
      <c r="C100" s="43" t="s">
        <v>22</v>
      </c>
      <c r="D100" s="25">
        <v>0</v>
      </c>
      <c r="E100" s="4"/>
      <c r="F100" s="4"/>
      <c r="G100" s="4"/>
      <c r="H100" s="4"/>
      <c r="I100" s="4"/>
      <c r="J100" s="4"/>
      <c r="K100" s="4"/>
      <c r="L100" s="4"/>
      <c r="M100" s="4"/>
      <c r="N100" s="4"/>
      <c r="O100" s="4"/>
      <c r="P100" s="4"/>
    </row>
    <row r="101" spans="1:16" x14ac:dyDescent="0.25">
      <c r="A101" s="42"/>
      <c r="B101" s="42"/>
      <c r="C101" s="42" t="s">
        <v>23</v>
      </c>
      <c r="D101" s="22">
        <v>0</v>
      </c>
      <c r="E101" s="3"/>
      <c r="F101" s="3"/>
      <c r="G101" s="3"/>
      <c r="H101" s="3"/>
      <c r="I101" s="3"/>
      <c r="J101" s="3"/>
      <c r="K101" s="3"/>
      <c r="L101" s="3"/>
      <c r="M101" s="3"/>
      <c r="N101" s="3"/>
      <c r="O101" s="3"/>
      <c r="P101" s="3"/>
    </row>
    <row r="102" spans="1:16" x14ac:dyDescent="0.25">
      <c r="A102" s="44"/>
      <c r="B102" s="44"/>
      <c r="C102" s="44" t="s">
        <v>1549</v>
      </c>
      <c r="D102" s="33"/>
      <c r="E102" s="5"/>
      <c r="F102" s="5"/>
      <c r="G102" s="5"/>
      <c r="H102" s="5"/>
      <c r="I102" s="5"/>
      <c r="J102" s="5"/>
      <c r="K102" s="5"/>
      <c r="L102" s="5"/>
      <c r="M102" s="5"/>
      <c r="N102" s="5"/>
      <c r="O102" s="5"/>
      <c r="P102" s="5"/>
    </row>
    <row r="103" spans="1:16" x14ac:dyDescent="0.25">
      <c r="A103" s="42"/>
      <c r="B103" s="42" t="s">
        <v>1418</v>
      </c>
      <c r="C103" s="42" t="s">
        <v>1368</v>
      </c>
      <c r="D103" s="35">
        <v>0.15</v>
      </c>
      <c r="E103" s="3"/>
      <c r="F103" s="3"/>
      <c r="G103" s="3"/>
      <c r="H103" s="3"/>
      <c r="I103" s="3"/>
      <c r="J103" s="3"/>
      <c r="K103" s="3"/>
      <c r="L103" s="3"/>
      <c r="M103" s="3"/>
      <c r="N103" s="3"/>
      <c r="O103" s="3"/>
      <c r="P103" s="3"/>
    </row>
    <row r="104" spans="1:16" x14ac:dyDescent="0.25">
      <c r="A104" s="43"/>
      <c r="B104" s="43" t="s">
        <v>1418</v>
      </c>
      <c r="C104" s="43" t="s">
        <v>1369</v>
      </c>
      <c r="D104" s="58">
        <v>0.5</v>
      </c>
      <c r="E104" s="4"/>
      <c r="F104" s="4"/>
      <c r="G104" s="4"/>
      <c r="H104" s="4"/>
      <c r="I104" s="4"/>
      <c r="J104" s="4"/>
      <c r="K104" s="4"/>
      <c r="L104" s="4"/>
      <c r="M104" s="4"/>
      <c r="N104" s="4"/>
      <c r="O104" s="4"/>
      <c r="P104" s="4"/>
    </row>
    <row r="105" spans="1:16" x14ac:dyDescent="0.25">
      <c r="A105" s="44" t="s">
        <v>1306</v>
      </c>
      <c r="B105" s="44"/>
      <c r="C105" s="44" t="s">
        <v>1312</v>
      </c>
      <c r="D105" s="33"/>
      <c r="E105" s="5"/>
      <c r="F105" s="5"/>
      <c r="G105" s="5"/>
      <c r="H105" s="5"/>
      <c r="I105" s="5"/>
      <c r="J105" s="5"/>
      <c r="K105" s="5"/>
      <c r="L105" s="5"/>
      <c r="M105" s="5"/>
      <c r="N105" s="5"/>
      <c r="O105" s="5"/>
      <c r="P105" s="5"/>
    </row>
    <row r="106" spans="1:16" x14ac:dyDescent="0.25">
      <c r="A106" s="42"/>
      <c r="B106" s="42"/>
      <c r="C106" s="42" t="s">
        <v>1311</v>
      </c>
      <c r="D106" s="22">
        <v>0</v>
      </c>
      <c r="E106" s="3"/>
      <c r="F106" s="3"/>
      <c r="G106" s="3"/>
      <c r="H106" s="3"/>
      <c r="I106" s="3"/>
      <c r="J106" s="3"/>
      <c r="K106" s="3"/>
      <c r="L106" s="3"/>
      <c r="M106" s="3"/>
      <c r="N106" s="3"/>
      <c r="O106" s="3"/>
      <c r="P106" s="3"/>
    </row>
    <row r="107" spans="1:16" x14ac:dyDescent="0.25">
      <c r="A107" s="43"/>
      <c r="B107" s="43"/>
      <c r="C107" s="43" t="s">
        <v>1307</v>
      </c>
      <c r="D107" s="25"/>
      <c r="E107" s="4"/>
      <c r="F107" s="4"/>
      <c r="G107" s="4"/>
      <c r="H107" s="4"/>
      <c r="I107" s="4"/>
      <c r="J107" s="4"/>
      <c r="K107" s="4"/>
      <c r="L107" s="4"/>
      <c r="M107" s="4"/>
      <c r="N107" s="4"/>
      <c r="O107" s="4"/>
      <c r="P107" s="4"/>
    </row>
    <row r="108" spans="1:16" x14ac:dyDescent="0.25">
      <c r="A108" s="42"/>
      <c r="B108" s="42"/>
      <c r="C108" s="42" t="s">
        <v>1308</v>
      </c>
      <c r="D108" s="22"/>
      <c r="E108" s="3"/>
      <c r="F108" s="3"/>
      <c r="G108" s="3"/>
      <c r="H108" s="3"/>
      <c r="I108" s="3"/>
      <c r="J108" s="3"/>
      <c r="K108" s="3"/>
      <c r="L108" s="3"/>
      <c r="M108" s="3"/>
      <c r="N108" s="3"/>
      <c r="O108" s="3"/>
      <c r="P108" s="3"/>
    </row>
    <row r="109" spans="1:16" x14ac:dyDescent="0.25">
      <c r="A109" s="43"/>
      <c r="B109" s="43"/>
      <c r="C109" s="43" t="s">
        <v>1309</v>
      </c>
      <c r="D109" s="25">
        <v>0.1</v>
      </c>
      <c r="E109" s="4"/>
      <c r="F109" s="4"/>
      <c r="G109" s="4"/>
      <c r="H109" s="4"/>
      <c r="I109" s="4"/>
      <c r="J109" s="4"/>
      <c r="K109" s="4"/>
      <c r="L109" s="4"/>
      <c r="M109" s="4"/>
      <c r="N109" s="4"/>
      <c r="O109" s="4"/>
      <c r="P109" s="4"/>
    </row>
    <row r="110" spans="1:16" x14ac:dyDescent="0.25">
      <c r="A110" s="42"/>
      <c r="B110" s="42" t="s">
        <v>1418</v>
      </c>
      <c r="C110" s="42" t="s">
        <v>1528</v>
      </c>
      <c r="D110" s="22">
        <v>-1</v>
      </c>
      <c r="E110" s="3"/>
      <c r="F110" s="3"/>
      <c r="G110" s="3"/>
      <c r="H110" s="3"/>
      <c r="I110" s="3"/>
      <c r="J110" s="3"/>
      <c r="K110" s="3"/>
      <c r="L110" s="3"/>
      <c r="M110" s="3"/>
      <c r="N110" s="3"/>
      <c r="O110" s="3"/>
      <c r="P110" s="3"/>
    </row>
    <row r="111" spans="1:16" x14ac:dyDescent="0.25">
      <c r="A111" s="44" t="s">
        <v>220</v>
      </c>
      <c r="B111" s="44"/>
      <c r="C111" s="44" t="s">
        <v>401</v>
      </c>
      <c r="D111" s="33"/>
      <c r="E111" s="5"/>
      <c r="F111" s="5"/>
      <c r="G111" s="5"/>
      <c r="H111" s="5"/>
      <c r="I111" s="5"/>
      <c r="J111" s="5"/>
      <c r="K111" s="5"/>
      <c r="L111" s="5"/>
      <c r="M111" s="5"/>
      <c r="N111" s="5"/>
      <c r="O111" s="5"/>
      <c r="P111" s="5"/>
    </row>
    <row r="112" spans="1:16" x14ac:dyDescent="0.25">
      <c r="A112" s="42"/>
      <c r="B112" s="42"/>
      <c r="C112" s="42" t="s">
        <v>24</v>
      </c>
      <c r="D112" s="22">
        <v>0</v>
      </c>
      <c r="E112" s="3"/>
      <c r="F112" s="3"/>
      <c r="G112" s="3"/>
      <c r="H112" s="3"/>
      <c r="I112" s="3"/>
      <c r="J112" s="3"/>
      <c r="K112" s="3"/>
      <c r="L112" s="3"/>
      <c r="M112" s="3"/>
      <c r="N112" s="3"/>
      <c r="O112" s="3"/>
      <c r="P112" s="3" t="s">
        <v>245</v>
      </c>
    </row>
    <row r="113" spans="1:16" x14ac:dyDescent="0.25">
      <c r="A113" s="43"/>
      <c r="B113" s="43"/>
      <c r="C113" s="43" t="s">
        <v>25</v>
      </c>
      <c r="D113" s="25">
        <v>3</v>
      </c>
      <c r="E113" s="4"/>
      <c r="F113" s="4"/>
      <c r="G113" s="4"/>
      <c r="H113" s="4"/>
      <c r="I113" s="4"/>
      <c r="J113" s="4"/>
      <c r="K113" s="4"/>
      <c r="L113" s="4"/>
      <c r="M113" s="4"/>
      <c r="N113" s="4"/>
      <c r="O113" s="4"/>
      <c r="P113" s="4" t="s">
        <v>248</v>
      </c>
    </row>
    <row r="114" spans="1:16" x14ac:dyDescent="0.25">
      <c r="A114" s="42"/>
      <c r="B114" s="42"/>
      <c r="C114" s="42" t="s">
        <v>26</v>
      </c>
      <c r="D114" s="22">
        <v>1</v>
      </c>
      <c r="E114" s="3"/>
      <c r="F114" s="3"/>
      <c r="G114" s="3"/>
      <c r="H114" s="3"/>
      <c r="I114" s="3"/>
      <c r="J114" s="3"/>
      <c r="K114" s="3"/>
      <c r="L114" s="3"/>
      <c r="M114" s="3"/>
      <c r="N114" s="3"/>
      <c r="O114" s="3"/>
      <c r="P114" s="3" t="s">
        <v>246</v>
      </c>
    </row>
    <row r="115" spans="1:16" x14ac:dyDescent="0.25">
      <c r="A115" s="43"/>
      <c r="B115" s="43" t="s">
        <v>1418</v>
      </c>
      <c r="C115" s="43" t="s">
        <v>1355</v>
      </c>
      <c r="D115" s="79">
        <v>0</v>
      </c>
      <c r="E115" s="4"/>
      <c r="F115" s="4"/>
      <c r="G115" s="4"/>
      <c r="H115" s="4"/>
      <c r="I115" s="4"/>
      <c r="J115" s="4"/>
      <c r="K115" s="4"/>
      <c r="L115" s="4"/>
      <c r="M115" s="4"/>
      <c r="N115" s="4"/>
      <c r="O115" s="4"/>
      <c r="P115" s="4"/>
    </row>
    <row r="116" spans="1:16" x14ac:dyDescent="0.25">
      <c r="A116" s="42"/>
      <c r="B116" s="42"/>
      <c r="C116" s="42" t="s">
        <v>27</v>
      </c>
      <c r="D116" s="22">
        <v>20</v>
      </c>
      <c r="E116" s="3"/>
      <c r="F116" s="3"/>
      <c r="G116" s="3"/>
      <c r="H116" s="3"/>
      <c r="I116" s="3"/>
      <c r="J116" s="3"/>
      <c r="K116" s="3"/>
      <c r="L116" s="3"/>
      <c r="M116" s="3"/>
      <c r="N116" s="3"/>
      <c r="O116" s="3"/>
      <c r="P116" s="3" t="s">
        <v>249</v>
      </c>
    </row>
    <row r="117" spans="1:16" x14ac:dyDescent="0.25">
      <c r="A117" s="44"/>
      <c r="B117" s="44"/>
      <c r="C117" s="44" t="s">
        <v>402</v>
      </c>
      <c r="D117" s="33"/>
      <c r="E117" s="5"/>
      <c r="F117" s="5"/>
      <c r="G117" s="5"/>
      <c r="H117" s="5"/>
      <c r="I117" s="5"/>
      <c r="J117" s="5"/>
      <c r="K117" s="5"/>
      <c r="L117" s="5"/>
      <c r="M117" s="5"/>
      <c r="N117" s="5"/>
      <c r="O117" s="5"/>
      <c r="P117" s="5" t="s">
        <v>247</v>
      </c>
    </row>
    <row r="118" spans="1:16" x14ac:dyDescent="0.25">
      <c r="A118" s="42"/>
      <c r="B118" s="42"/>
      <c r="C118" s="42" t="s">
        <v>28</v>
      </c>
      <c r="D118" s="22">
        <f>IF(SLICER_ID="Super",Nozzle_Diameter*6,Nozzle_Diameter*4)</f>
        <v>3.5999999999999996</v>
      </c>
      <c r="E118" s="3"/>
      <c r="F118" s="3"/>
      <c r="G118" s="3"/>
      <c r="H118" s="3"/>
      <c r="I118" s="3"/>
      <c r="J118" s="3"/>
      <c r="K118" s="3"/>
      <c r="L118" s="3"/>
      <c r="M118" s="3"/>
      <c r="N118" s="3"/>
      <c r="O118" s="3"/>
      <c r="P118" s="3"/>
    </row>
    <row r="119" spans="1:16" x14ac:dyDescent="0.25">
      <c r="A119" s="43"/>
      <c r="B119" s="43" t="s">
        <v>1418</v>
      </c>
      <c r="C119" s="43" t="s">
        <v>1343</v>
      </c>
      <c r="D119" s="79">
        <v>1</v>
      </c>
      <c r="E119" s="4"/>
      <c r="F119" s="4"/>
      <c r="G119" s="4"/>
      <c r="H119" s="4"/>
      <c r="I119" s="4"/>
      <c r="J119" s="4"/>
      <c r="K119" s="4"/>
      <c r="L119" s="4"/>
      <c r="M119" s="4"/>
      <c r="N119" s="4"/>
      <c r="O119" s="4"/>
      <c r="P119" s="4"/>
    </row>
    <row r="120" spans="1:16" x14ac:dyDescent="0.25">
      <c r="A120" s="42"/>
      <c r="B120" s="42" t="s">
        <v>1418</v>
      </c>
      <c r="C120" s="42" t="s">
        <v>1344</v>
      </c>
      <c r="D120" s="40">
        <v>120</v>
      </c>
      <c r="E120" s="3"/>
      <c r="F120" s="3"/>
      <c r="G120" s="3"/>
      <c r="H120" s="3"/>
      <c r="I120" s="3"/>
      <c r="J120" s="3"/>
      <c r="K120" s="3"/>
      <c r="L120" s="3"/>
      <c r="M120" s="3"/>
      <c r="N120" s="3"/>
      <c r="O120" s="3"/>
      <c r="P120" s="3"/>
    </row>
    <row r="121" spans="1:16" x14ac:dyDescent="0.25">
      <c r="A121" s="43"/>
      <c r="B121" s="43" t="s">
        <v>1418</v>
      </c>
      <c r="C121" s="43" t="s">
        <v>1345</v>
      </c>
      <c r="D121" s="81" t="s">
        <v>1244</v>
      </c>
      <c r="E121" s="4"/>
      <c r="F121" s="4"/>
      <c r="G121" s="4"/>
      <c r="H121" s="4"/>
      <c r="I121" s="4"/>
      <c r="J121" s="4"/>
      <c r="K121" s="4"/>
      <c r="L121" s="4"/>
      <c r="M121" s="4"/>
      <c r="N121" s="4"/>
      <c r="O121" s="4"/>
      <c r="P121" s="4"/>
    </row>
    <row r="122" spans="1:16" x14ac:dyDescent="0.25">
      <c r="A122" s="42"/>
      <c r="B122" s="42" t="s">
        <v>1418</v>
      </c>
      <c r="C122" s="42" t="s">
        <v>1346</v>
      </c>
      <c r="D122" s="40">
        <v>0</v>
      </c>
      <c r="E122" s="3"/>
      <c r="F122" s="3"/>
      <c r="G122" s="3"/>
      <c r="H122" s="3"/>
      <c r="I122" s="3"/>
      <c r="J122" s="3"/>
      <c r="K122" s="3"/>
      <c r="L122" s="3"/>
      <c r="M122" s="3"/>
      <c r="N122" s="3"/>
      <c r="O122" s="3"/>
      <c r="P122" s="3"/>
    </row>
    <row r="123" spans="1:16" x14ac:dyDescent="0.25">
      <c r="A123" s="43"/>
      <c r="B123" s="43" t="s">
        <v>1418</v>
      </c>
      <c r="C123" s="43" t="s">
        <v>1347</v>
      </c>
      <c r="D123" s="25">
        <v>0</v>
      </c>
      <c r="E123" s="4"/>
      <c r="F123" s="4"/>
      <c r="G123" s="4"/>
      <c r="H123" s="4"/>
      <c r="I123" s="4"/>
      <c r="J123" s="4"/>
      <c r="K123" s="4"/>
      <c r="L123" s="4"/>
      <c r="M123" s="4"/>
      <c r="N123" s="4"/>
      <c r="O123" s="4"/>
      <c r="P123" s="4"/>
    </row>
    <row r="124" spans="1:16" x14ac:dyDescent="0.25">
      <c r="A124" s="42"/>
      <c r="B124" s="42" t="s">
        <v>1418</v>
      </c>
      <c r="C124" s="42" t="s">
        <v>1348</v>
      </c>
      <c r="D124" s="40">
        <v>0</v>
      </c>
      <c r="E124" s="3"/>
      <c r="F124" s="3"/>
      <c r="G124" s="3"/>
      <c r="H124" s="3"/>
      <c r="I124" s="3"/>
      <c r="J124" s="3"/>
      <c r="K124" s="3"/>
      <c r="L124" s="3"/>
      <c r="M124" s="3"/>
      <c r="N124" s="3"/>
      <c r="O124" s="3"/>
      <c r="P124" s="3"/>
    </row>
    <row r="125" spans="1:16" x14ac:dyDescent="0.25">
      <c r="A125" s="43"/>
      <c r="B125" s="43" t="s">
        <v>1418</v>
      </c>
      <c r="C125" s="43" t="s">
        <v>1515</v>
      </c>
      <c r="D125" s="25">
        <v>1</v>
      </c>
      <c r="E125" s="4"/>
      <c r="F125" s="4"/>
      <c r="G125" s="4"/>
      <c r="H125" s="4"/>
      <c r="I125" s="4"/>
      <c r="J125" s="4"/>
      <c r="K125" s="4"/>
      <c r="L125" s="4"/>
      <c r="M125" s="4"/>
      <c r="N125" s="4"/>
      <c r="O125" s="4"/>
      <c r="P125" s="4"/>
    </row>
    <row r="126" spans="1:16" x14ac:dyDescent="0.25">
      <c r="A126" s="44" t="s">
        <v>221</v>
      </c>
      <c r="B126" s="44"/>
      <c r="C126" s="44" t="s">
        <v>403</v>
      </c>
      <c r="D126" s="33"/>
      <c r="E126" s="5"/>
      <c r="F126" s="5"/>
      <c r="G126" s="5"/>
      <c r="H126" s="5"/>
      <c r="I126" s="5"/>
      <c r="J126" s="5"/>
      <c r="K126" s="5"/>
      <c r="L126" s="5"/>
      <c r="M126" s="5"/>
      <c r="N126" s="5"/>
      <c r="O126" s="5"/>
      <c r="P126" s="5"/>
    </row>
    <row r="127" spans="1:16" x14ac:dyDescent="0.25">
      <c r="A127" s="42"/>
      <c r="B127" s="42"/>
      <c r="C127" s="42" t="s">
        <v>29</v>
      </c>
      <c r="D127" s="22">
        <v>0</v>
      </c>
      <c r="E127" s="3"/>
      <c r="F127" s="3"/>
      <c r="G127" s="3"/>
      <c r="H127" s="3"/>
      <c r="I127" s="3"/>
      <c r="J127" s="3"/>
      <c r="K127" s="3"/>
      <c r="L127" s="3"/>
      <c r="M127" s="3"/>
      <c r="N127" s="3"/>
      <c r="O127" s="3"/>
      <c r="P127" s="3"/>
    </row>
    <row r="128" spans="1:16" x14ac:dyDescent="0.25">
      <c r="A128" s="43"/>
      <c r="B128" s="43"/>
      <c r="C128" s="43" t="s">
        <v>30</v>
      </c>
      <c r="D128" s="25">
        <v>1</v>
      </c>
      <c r="E128" s="4"/>
      <c r="F128" s="4"/>
      <c r="G128" s="4"/>
      <c r="H128" s="4"/>
      <c r="I128" s="4"/>
      <c r="J128" s="4"/>
      <c r="K128" s="4"/>
      <c r="L128" s="4"/>
      <c r="M128" s="4"/>
      <c r="N128" s="4"/>
      <c r="O128" s="4"/>
      <c r="P128" s="4" t="s">
        <v>250</v>
      </c>
    </row>
    <row r="129" spans="1:16" x14ac:dyDescent="0.25">
      <c r="A129" s="42"/>
      <c r="B129" s="42"/>
      <c r="C129" s="42" t="s">
        <v>31</v>
      </c>
      <c r="D129" s="22">
        <v>30</v>
      </c>
      <c r="E129" s="3"/>
      <c r="F129" s="3"/>
      <c r="G129" s="3"/>
      <c r="H129" s="3"/>
      <c r="I129" s="3"/>
      <c r="J129" s="3"/>
      <c r="K129" s="3"/>
      <c r="L129" s="3"/>
      <c r="M129" s="3"/>
      <c r="N129" s="3"/>
      <c r="O129" s="3"/>
      <c r="P129" s="3" t="s">
        <v>251</v>
      </c>
    </row>
    <row r="130" spans="1:16" x14ac:dyDescent="0.25">
      <c r="A130" s="43"/>
      <c r="B130" s="43"/>
      <c r="C130" s="43" t="s">
        <v>32</v>
      </c>
      <c r="D130" s="25">
        <v>1</v>
      </c>
      <c r="E130" s="4"/>
      <c r="F130" s="4"/>
      <c r="G130" s="4"/>
      <c r="H130" s="4"/>
      <c r="I130" s="4"/>
      <c r="J130" s="4"/>
      <c r="K130" s="4"/>
      <c r="L130" s="4"/>
      <c r="M130" s="4"/>
      <c r="N130" s="4"/>
      <c r="O130" s="4"/>
      <c r="P130" s="4"/>
    </row>
    <row r="131" spans="1:16" x14ac:dyDescent="0.25">
      <c r="A131" s="44"/>
      <c r="B131" s="44"/>
      <c r="C131" s="44" t="s">
        <v>404</v>
      </c>
      <c r="D131" s="33"/>
      <c r="E131" s="5"/>
      <c r="F131" s="5"/>
      <c r="G131" s="5"/>
      <c r="H131" s="5"/>
      <c r="I131" s="5"/>
      <c r="J131" s="5"/>
      <c r="K131" s="5"/>
      <c r="L131" s="5"/>
      <c r="M131" s="5"/>
      <c r="N131" s="5"/>
      <c r="O131" s="5"/>
      <c r="P131" s="5"/>
    </row>
    <row r="132" spans="1:16" x14ac:dyDescent="0.25">
      <c r="A132" s="42"/>
      <c r="B132" s="42" t="s">
        <v>1418</v>
      </c>
      <c r="C132" s="42" t="s">
        <v>1407</v>
      </c>
      <c r="D132" s="40">
        <v>1</v>
      </c>
      <c r="E132" s="3"/>
      <c r="F132" s="3"/>
      <c r="G132" s="3"/>
      <c r="H132" s="3"/>
      <c r="I132" s="3"/>
      <c r="J132" s="3"/>
      <c r="K132" s="3"/>
      <c r="L132" s="3"/>
      <c r="M132" s="3"/>
      <c r="N132" s="3"/>
      <c r="O132" s="3"/>
      <c r="P132" s="3"/>
    </row>
    <row r="133" spans="1:16" x14ac:dyDescent="0.25">
      <c r="A133" s="43"/>
      <c r="B133" s="43"/>
      <c r="C133" s="43" t="s">
        <v>33</v>
      </c>
      <c r="D133" s="25">
        <v>0</v>
      </c>
      <c r="E133" s="4"/>
      <c r="F133" s="4"/>
      <c r="G133" s="4"/>
      <c r="H133" s="4"/>
      <c r="I133" s="4"/>
      <c r="J133" s="4"/>
      <c r="K133" s="4"/>
      <c r="L133" s="4"/>
      <c r="M133" s="4"/>
      <c r="N133" s="4"/>
      <c r="O133" s="4"/>
      <c r="P133" s="4"/>
    </row>
    <row r="134" spans="1:16" x14ac:dyDescent="0.25">
      <c r="A134" s="44"/>
      <c r="B134" s="44"/>
      <c r="C134" s="44" t="s">
        <v>405</v>
      </c>
      <c r="D134" s="33"/>
      <c r="E134" s="5"/>
      <c r="F134" s="5"/>
      <c r="G134" s="5"/>
      <c r="H134" s="5"/>
      <c r="I134" s="5"/>
      <c r="J134" s="5"/>
      <c r="K134" s="5"/>
      <c r="L134" s="5"/>
      <c r="M134" s="5"/>
      <c r="N134" s="5"/>
      <c r="O134" s="5"/>
      <c r="P134" s="5"/>
    </row>
    <row r="135" spans="1:16" x14ac:dyDescent="0.25">
      <c r="A135" s="42"/>
      <c r="B135" s="42" t="s">
        <v>1418</v>
      </c>
      <c r="C135" s="42" t="s">
        <v>1403</v>
      </c>
      <c r="D135" s="40">
        <f>D138</f>
        <v>0.2</v>
      </c>
      <c r="E135" s="3">
        <f>E138</f>
        <v>0.24</v>
      </c>
      <c r="F135" s="3">
        <f t="shared" ref="F135:O135" si="1">F138</f>
        <v>0.2</v>
      </c>
      <c r="G135" s="3">
        <f t="shared" si="1"/>
        <v>0.24</v>
      </c>
      <c r="H135" s="3">
        <f t="shared" si="1"/>
        <v>0.28000000000000003</v>
      </c>
      <c r="I135" s="3">
        <f t="shared" si="1"/>
        <v>0.32</v>
      </c>
      <c r="J135" s="3">
        <f t="shared" si="1"/>
        <v>0.4</v>
      </c>
      <c r="K135" s="3">
        <f t="shared" si="1"/>
        <v>0.48</v>
      </c>
      <c r="L135" s="3">
        <f t="shared" si="1"/>
        <v>0.56000000000000005</v>
      </c>
      <c r="M135" s="3">
        <f t="shared" si="1"/>
        <v>0.64</v>
      </c>
      <c r="N135" s="3">
        <f t="shared" si="1"/>
        <v>0.72</v>
      </c>
      <c r="O135" s="3">
        <f t="shared" si="1"/>
        <v>0.8</v>
      </c>
      <c r="P135" s="3"/>
    </row>
    <row r="136" spans="1:16" x14ac:dyDescent="0.25">
      <c r="A136" s="43"/>
      <c r="B136" s="43" t="s">
        <v>1418</v>
      </c>
      <c r="C136" s="43" t="s">
        <v>1404</v>
      </c>
      <c r="D136" s="79">
        <f>D138</f>
        <v>0.2</v>
      </c>
      <c r="E136" s="4">
        <f>E138</f>
        <v>0.24</v>
      </c>
      <c r="F136" s="4">
        <f t="shared" ref="F136:O136" si="2">F138</f>
        <v>0.2</v>
      </c>
      <c r="G136" s="4">
        <f t="shared" si="2"/>
        <v>0.24</v>
      </c>
      <c r="H136" s="4">
        <f t="shared" si="2"/>
        <v>0.28000000000000003</v>
      </c>
      <c r="I136" s="4">
        <f t="shared" si="2"/>
        <v>0.32</v>
      </c>
      <c r="J136" s="4">
        <f t="shared" si="2"/>
        <v>0.4</v>
      </c>
      <c r="K136" s="4">
        <f t="shared" si="2"/>
        <v>0.48</v>
      </c>
      <c r="L136" s="4">
        <f t="shared" si="2"/>
        <v>0.56000000000000005</v>
      </c>
      <c r="M136" s="4">
        <f t="shared" si="2"/>
        <v>0.64</v>
      </c>
      <c r="N136" s="4">
        <f t="shared" si="2"/>
        <v>0.72</v>
      </c>
      <c r="O136" s="4">
        <f t="shared" si="2"/>
        <v>0.8</v>
      </c>
      <c r="P136" s="4"/>
    </row>
    <row r="137" spans="1:16" x14ac:dyDescent="0.25">
      <c r="A137" s="42"/>
      <c r="B137" s="42" t="s">
        <v>1418</v>
      </c>
      <c r="C137" s="42" t="s">
        <v>1405</v>
      </c>
      <c r="D137" s="94" t="s">
        <v>1100</v>
      </c>
      <c r="E137" s="3"/>
      <c r="F137" s="3"/>
      <c r="G137" s="3"/>
      <c r="H137" s="3"/>
      <c r="I137" s="3"/>
      <c r="J137" s="3"/>
      <c r="K137" s="3"/>
      <c r="L137" s="3"/>
      <c r="M137" s="3"/>
      <c r="N137" s="3"/>
      <c r="O137" s="3"/>
      <c r="P137" s="3"/>
    </row>
    <row r="138" spans="1:16" x14ac:dyDescent="0.25">
      <c r="A138" s="43"/>
      <c r="B138" s="43"/>
      <c r="C138" s="43" t="s">
        <v>34</v>
      </c>
      <c r="D138" s="25">
        <v>0.2</v>
      </c>
      <c r="E138" s="4">
        <f>IF(E$6 &gt; 0.16,E$6,E$6*2)</f>
        <v>0.24</v>
      </c>
      <c r="F138" s="4">
        <f t="shared" ref="F138:O138" si="3">IF(F$6 &gt; 0.16,F$6,F$6*2)</f>
        <v>0.2</v>
      </c>
      <c r="G138" s="4">
        <f t="shared" si="3"/>
        <v>0.24</v>
      </c>
      <c r="H138" s="4">
        <f t="shared" si="3"/>
        <v>0.28000000000000003</v>
      </c>
      <c r="I138" s="4">
        <f t="shared" si="3"/>
        <v>0.32</v>
      </c>
      <c r="J138" s="4">
        <f t="shared" si="3"/>
        <v>0.4</v>
      </c>
      <c r="K138" s="4">
        <f t="shared" si="3"/>
        <v>0.48</v>
      </c>
      <c r="L138" s="4">
        <f t="shared" si="3"/>
        <v>0.56000000000000005</v>
      </c>
      <c r="M138" s="4">
        <f t="shared" si="3"/>
        <v>0.64</v>
      </c>
      <c r="N138" s="4">
        <f t="shared" si="3"/>
        <v>0.72</v>
      </c>
      <c r="O138" s="4">
        <f t="shared" si="3"/>
        <v>0.8</v>
      </c>
      <c r="P138" s="4" t="s">
        <v>253</v>
      </c>
    </row>
    <row r="139" spans="1:16" x14ac:dyDescent="0.25">
      <c r="A139" s="42"/>
      <c r="B139" s="42"/>
      <c r="C139" s="42" t="s">
        <v>35</v>
      </c>
      <c r="D139" s="22" t="s">
        <v>15</v>
      </c>
      <c r="E139" s="3"/>
      <c r="F139" s="3"/>
      <c r="G139" s="3"/>
      <c r="H139" s="3"/>
      <c r="I139" s="3"/>
      <c r="J139" s="3"/>
      <c r="K139" s="3"/>
      <c r="L139" s="3"/>
      <c r="M139" s="3"/>
      <c r="N139" s="3"/>
      <c r="O139" s="3"/>
      <c r="P139" s="3"/>
    </row>
    <row r="140" spans="1:16" x14ac:dyDescent="0.25">
      <c r="A140" s="43"/>
      <c r="B140" s="43"/>
      <c r="C140" s="43" t="s">
        <v>36</v>
      </c>
      <c r="D140" s="25">
        <v>0</v>
      </c>
      <c r="E140" s="4"/>
      <c r="F140" s="4"/>
      <c r="G140" s="4"/>
      <c r="H140" s="4"/>
      <c r="I140" s="4"/>
      <c r="J140" s="4"/>
      <c r="K140" s="4"/>
      <c r="L140" s="4"/>
      <c r="M140" s="4"/>
      <c r="N140" s="4"/>
      <c r="O140" s="4"/>
      <c r="P140" s="4"/>
    </row>
    <row r="141" spans="1:16" x14ac:dyDescent="0.25">
      <c r="A141" s="42"/>
      <c r="B141" s="42"/>
      <c r="C141" s="42" t="s">
        <v>37</v>
      </c>
      <c r="D141" s="22">
        <v>1</v>
      </c>
      <c r="E141" s="3"/>
      <c r="F141" s="3"/>
      <c r="G141" s="3"/>
      <c r="H141" s="3"/>
      <c r="I141" s="3"/>
      <c r="J141" s="3"/>
      <c r="K141" s="3"/>
      <c r="L141" s="3"/>
      <c r="M141" s="3"/>
      <c r="N141" s="3"/>
      <c r="O141" s="3"/>
      <c r="P141" s="3" t="s">
        <v>252</v>
      </c>
    </row>
    <row r="142" spans="1:16" x14ac:dyDescent="0.25">
      <c r="A142" s="43"/>
      <c r="B142" s="43"/>
      <c r="C142" s="43" t="s">
        <v>38</v>
      </c>
      <c r="D142" s="25">
        <v>0</v>
      </c>
      <c r="E142" s="4"/>
      <c r="F142" s="4"/>
      <c r="G142" s="4"/>
      <c r="H142" s="4"/>
      <c r="I142" s="4"/>
      <c r="J142" s="4"/>
      <c r="K142" s="4"/>
      <c r="L142" s="4"/>
      <c r="M142" s="4"/>
      <c r="N142" s="4"/>
      <c r="O142" s="4"/>
      <c r="P142" s="4"/>
    </row>
    <row r="143" spans="1:16" x14ac:dyDescent="0.25">
      <c r="A143" s="42"/>
      <c r="B143" s="42"/>
      <c r="C143" s="42" t="s">
        <v>42</v>
      </c>
      <c r="D143" s="22">
        <v>1</v>
      </c>
      <c r="E143" s="3"/>
      <c r="F143" s="3"/>
      <c r="G143" s="3"/>
      <c r="H143" s="3"/>
      <c r="I143" s="3"/>
      <c r="J143" s="3"/>
      <c r="K143" s="3"/>
      <c r="L143" s="3"/>
      <c r="M143" s="3"/>
      <c r="N143" s="3"/>
      <c r="O143" s="3"/>
      <c r="P143" s="3"/>
    </row>
    <row r="144" spans="1:16" x14ac:dyDescent="0.25">
      <c r="A144" s="43"/>
      <c r="B144" s="43"/>
      <c r="C144" s="43" t="s">
        <v>43</v>
      </c>
      <c r="D144" s="79">
        <v>0.6</v>
      </c>
      <c r="E144" s="4"/>
      <c r="F144" s="4"/>
      <c r="G144" s="4"/>
      <c r="H144" s="4"/>
      <c r="I144" s="4"/>
      <c r="J144" s="4"/>
      <c r="K144" s="4"/>
      <c r="L144" s="4"/>
      <c r="M144" s="4"/>
      <c r="N144" s="4"/>
      <c r="O144" s="4"/>
      <c r="P144" s="4"/>
    </row>
    <row r="145" spans="1:16" x14ac:dyDescent="0.25">
      <c r="A145" s="42"/>
      <c r="B145" s="42"/>
      <c r="C145" s="42" t="s">
        <v>11</v>
      </c>
      <c r="D145" s="22">
        <v>1</v>
      </c>
      <c r="E145" s="3"/>
      <c r="F145" s="3"/>
      <c r="G145" s="3"/>
      <c r="H145" s="3"/>
      <c r="I145" s="3"/>
      <c r="J145" s="3"/>
      <c r="K145" s="3"/>
      <c r="L145" s="3"/>
      <c r="M145" s="3"/>
      <c r="N145" s="3"/>
      <c r="O145" s="3"/>
      <c r="P145" s="3" t="s">
        <v>259</v>
      </c>
    </row>
    <row r="146" spans="1:16" x14ac:dyDescent="0.25">
      <c r="A146" s="43"/>
      <c r="B146" s="43"/>
      <c r="C146" s="43" t="s">
        <v>44</v>
      </c>
      <c r="D146" s="25">
        <v>0</v>
      </c>
      <c r="E146" s="4"/>
      <c r="F146" s="4"/>
      <c r="G146" s="4"/>
      <c r="H146" s="4"/>
      <c r="I146" s="4"/>
      <c r="J146" s="4"/>
      <c r="K146" s="4"/>
      <c r="L146" s="4"/>
      <c r="M146" s="4"/>
      <c r="N146" s="4"/>
      <c r="O146" s="4"/>
      <c r="P146" s="4"/>
    </row>
    <row r="147" spans="1:16" x14ac:dyDescent="0.25">
      <c r="A147" s="44"/>
      <c r="B147" s="44"/>
      <c r="C147" s="44" t="s">
        <v>1550</v>
      </c>
      <c r="D147" s="33"/>
      <c r="E147" s="5"/>
      <c r="F147" s="5"/>
      <c r="G147" s="5"/>
      <c r="H147" s="5"/>
      <c r="I147" s="5"/>
      <c r="J147" s="5"/>
      <c r="K147" s="5"/>
      <c r="L147" s="5"/>
      <c r="M147" s="5"/>
      <c r="N147" s="5"/>
      <c r="O147" s="5"/>
      <c r="P147" s="5"/>
    </row>
    <row r="148" spans="1:16" x14ac:dyDescent="0.25">
      <c r="A148" s="42"/>
      <c r="B148" s="42" t="s">
        <v>1418</v>
      </c>
      <c r="C148" s="42" t="s">
        <v>1406</v>
      </c>
      <c r="D148" s="94" t="s">
        <v>1554</v>
      </c>
      <c r="E148" s="3"/>
      <c r="F148" s="3"/>
      <c r="G148" s="3"/>
      <c r="H148" s="3"/>
      <c r="I148" s="3"/>
      <c r="J148" s="3"/>
      <c r="K148" s="3"/>
      <c r="L148" s="3"/>
      <c r="M148" s="3"/>
      <c r="N148" s="3"/>
      <c r="O148" s="3"/>
      <c r="P148" s="3"/>
    </row>
    <row r="149" spans="1:16" x14ac:dyDescent="0.25">
      <c r="A149" s="43"/>
      <c r="B149" s="43"/>
      <c r="C149" s="43" t="s">
        <v>39</v>
      </c>
      <c r="D149" s="25">
        <v>1</v>
      </c>
      <c r="E149" s="4"/>
      <c r="F149" s="4"/>
      <c r="G149" s="4"/>
      <c r="H149" s="4"/>
      <c r="I149" s="4"/>
      <c r="J149" s="4"/>
      <c r="K149" s="4"/>
      <c r="L149" s="4"/>
      <c r="M149" s="4"/>
      <c r="N149" s="4"/>
      <c r="O149" s="4"/>
      <c r="P149" s="4" t="s">
        <v>254</v>
      </c>
    </row>
    <row r="150" spans="1:16" x14ac:dyDescent="0.25">
      <c r="A150" s="42"/>
      <c r="B150" s="42"/>
      <c r="C150" s="42" t="s">
        <v>40</v>
      </c>
      <c r="D150" s="22">
        <v>0.2</v>
      </c>
      <c r="E150" s="3"/>
      <c r="F150" s="3"/>
      <c r="G150" s="3"/>
      <c r="H150" s="3"/>
      <c r="I150" s="3"/>
      <c r="J150" s="3"/>
      <c r="K150" s="3"/>
      <c r="L150" s="3"/>
      <c r="M150" s="3"/>
      <c r="N150" s="3"/>
      <c r="O150" s="3"/>
      <c r="P150" s="3" t="s">
        <v>255</v>
      </c>
    </row>
    <row r="151" spans="1:16" x14ac:dyDescent="0.25">
      <c r="A151" s="43"/>
      <c r="B151" s="43"/>
      <c r="C151" s="43" t="s">
        <v>41</v>
      </c>
      <c r="D151" s="25">
        <v>0</v>
      </c>
      <c r="E151" s="4"/>
      <c r="F151" s="4"/>
      <c r="G151" s="4"/>
      <c r="H151" s="4"/>
      <c r="I151" s="4"/>
      <c r="J151" s="4"/>
      <c r="K151" s="4"/>
      <c r="L151" s="4"/>
      <c r="M151" s="4"/>
      <c r="N151" s="4"/>
      <c r="O151" s="4"/>
      <c r="P151" s="4" t="s">
        <v>256</v>
      </c>
    </row>
    <row r="152" spans="1:16" x14ac:dyDescent="0.25">
      <c r="A152" s="44" t="s">
        <v>222</v>
      </c>
      <c r="B152" s="44"/>
      <c r="C152" s="44" t="s">
        <v>406</v>
      </c>
      <c r="D152" s="33"/>
      <c r="E152" s="5"/>
      <c r="F152" s="5"/>
      <c r="G152" s="5"/>
      <c r="H152" s="5"/>
      <c r="I152" s="5"/>
      <c r="J152" s="5"/>
      <c r="K152" s="5"/>
      <c r="L152" s="5"/>
      <c r="M152" s="5"/>
      <c r="N152" s="5"/>
      <c r="O152" s="5"/>
      <c r="P152" s="5"/>
    </row>
    <row r="153" spans="1:16" x14ac:dyDescent="0.25">
      <c r="A153" s="45"/>
      <c r="B153" s="45"/>
      <c r="C153" s="45" t="s">
        <v>422</v>
      </c>
      <c r="D153" s="34" t="str">
        <f>UPPER(D2)</f>
        <v>ABS</v>
      </c>
      <c r="E153" s="8">
        <f t="shared" ref="E153:O153" si="4">IF(SpeedType &lt;&gt; "ForceVolumetric",E$183, IFERROR(E$184/((Nozzle_Diameter*1.2)*E$1),0))</f>
        <v>127.31481481481482</v>
      </c>
      <c r="F153" s="8">
        <f t="shared" si="4"/>
        <v>76.3888888888889</v>
      </c>
      <c r="G153" s="8">
        <f t="shared" si="4"/>
        <v>63.657407407407412</v>
      </c>
      <c r="H153" s="8">
        <f t="shared" si="4"/>
        <v>54.563492063492063</v>
      </c>
      <c r="I153" s="8">
        <f t="shared" si="4"/>
        <v>47.743055555555557</v>
      </c>
      <c r="J153" s="8">
        <f t="shared" si="4"/>
        <v>38.19444444444445</v>
      </c>
      <c r="K153" s="8">
        <f t="shared" si="4"/>
        <v>31.828703703703706</v>
      </c>
      <c r="L153" s="8">
        <f t="shared" si="4"/>
        <v>27.281746031746032</v>
      </c>
      <c r="M153" s="8">
        <f t="shared" si="4"/>
        <v>23.871527777777779</v>
      </c>
      <c r="N153" s="8">
        <f t="shared" si="4"/>
        <v>21.219135802469136</v>
      </c>
      <c r="O153" s="8">
        <f t="shared" si="4"/>
        <v>19.097222222222225</v>
      </c>
      <c r="P153" s="6"/>
    </row>
    <row r="154" spans="1:16" x14ac:dyDescent="0.25">
      <c r="A154" s="42"/>
      <c r="B154" s="42"/>
      <c r="C154" s="42" t="s">
        <v>45</v>
      </c>
      <c r="D154" s="22">
        <v>45</v>
      </c>
      <c r="E154" s="3">
        <f>GetSpeed($D154,E$183,E$153)</f>
        <v>45</v>
      </c>
      <c r="F154" s="3">
        <f t="shared" ref="F154:O154" si="5">GetSpeed($D154,F$183,F$153)</f>
        <v>45</v>
      </c>
      <c r="G154" s="3">
        <f t="shared" si="5"/>
        <v>45</v>
      </c>
      <c r="H154" s="3">
        <f t="shared" si="5"/>
        <v>45</v>
      </c>
      <c r="I154" s="3">
        <f t="shared" si="5"/>
        <v>45</v>
      </c>
      <c r="J154" s="3">
        <f t="shared" si="5"/>
        <v>38</v>
      </c>
      <c r="K154" s="3">
        <f t="shared" si="5"/>
        <v>32</v>
      </c>
      <c r="L154" s="3">
        <f t="shared" si="5"/>
        <v>27</v>
      </c>
      <c r="M154" s="3">
        <f t="shared" si="5"/>
        <v>24</v>
      </c>
      <c r="N154" s="3">
        <f t="shared" si="5"/>
        <v>21</v>
      </c>
      <c r="O154" s="3">
        <f t="shared" si="5"/>
        <v>19</v>
      </c>
      <c r="P154" s="3"/>
    </row>
    <row r="155" spans="1:16" x14ac:dyDescent="0.25">
      <c r="A155" s="43"/>
      <c r="B155" s="43"/>
      <c r="C155" s="43" t="s">
        <v>46</v>
      </c>
      <c r="D155" s="25">
        <v>40</v>
      </c>
      <c r="E155" s="4">
        <f>GetSpeed($D$155,E$183,E$153)</f>
        <v>40</v>
      </c>
      <c r="F155" s="4">
        <f t="shared" ref="F155:O155" si="6">GetSpeed($D$155,F$183,F$153)</f>
        <v>40</v>
      </c>
      <c r="G155" s="4">
        <f t="shared" si="6"/>
        <v>40</v>
      </c>
      <c r="H155" s="4">
        <f t="shared" si="6"/>
        <v>40</v>
      </c>
      <c r="I155" s="4">
        <f t="shared" si="6"/>
        <v>40</v>
      </c>
      <c r="J155" s="4">
        <f t="shared" si="6"/>
        <v>38</v>
      </c>
      <c r="K155" s="4">
        <f t="shared" si="6"/>
        <v>32</v>
      </c>
      <c r="L155" s="4">
        <f t="shared" si="6"/>
        <v>27</v>
      </c>
      <c r="M155" s="4">
        <f t="shared" si="6"/>
        <v>24</v>
      </c>
      <c r="N155" s="4">
        <f t="shared" si="6"/>
        <v>21</v>
      </c>
      <c r="O155" s="4">
        <f t="shared" si="6"/>
        <v>19</v>
      </c>
      <c r="P155" s="4"/>
    </row>
    <row r="156" spans="1:16" x14ac:dyDescent="0.25">
      <c r="A156" s="42"/>
      <c r="B156" s="42"/>
      <c r="C156" s="42" t="s">
        <v>47</v>
      </c>
      <c r="D156" s="22">
        <v>40</v>
      </c>
      <c r="E156" s="3">
        <f>GetSpeed($D$156,E$183,E$153)</f>
        <v>40</v>
      </c>
      <c r="F156" s="3">
        <f t="shared" ref="F156:O156" si="7">GetSpeed($D$156,F$183,F$153)</f>
        <v>40</v>
      </c>
      <c r="G156" s="3">
        <f t="shared" si="7"/>
        <v>40</v>
      </c>
      <c r="H156" s="3">
        <f t="shared" si="7"/>
        <v>40</v>
      </c>
      <c r="I156" s="3">
        <f t="shared" si="7"/>
        <v>40</v>
      </c>
      <c r="J156" s="3">
        <f t="shared" si="7"/>
        <v>38</v>
      </c>
      <c r="K156" s="3">
        <f t="shared" si="7"/>
        <v>32</v>
      </c>
      <c r="L156" s="3">
        <f t="shared" si="7"/>
        <v>27</v>
      </c>
      <c r="M156" s="3">
        <f t="shared" si="7"/>
        <v>24</v>
      </c>
      <c r="N156" s="3">
        <f t="shared" si="7"/>
        <v>21</v>
      </c>
      <c r="O156" s="3">
        <f t="shared" si="7"/>
        <v>19</v>
      </c>
      <c r="P156" s="3" t="s">
        <v>1132</v>
      </c>
    </row>
    <row r="157" spans="1:16" x14ac:dyDescent="0.25">
      <c r="A157" s="43"/>
      <c r="B157" s="43"/>
      <c r="C157" s="43" t="s">
        <v>48</v>
      </c>
      <c r="D157" s="25">
        <v>45</v>
      </c>
      <c r="E157" s="4">
        <f>GetSpeed($D$157,E$183,E$153)</f>
        <v>45</v>
      </c>
      <c r="F157" s="4">
        <f t="shared" ref="F157:O157" si="8">GetSpeed($D$157,F$183,F$153)</f>
        <v>45</v>
      </c>
      <c r="G157" s="4">
        <f t="shared" si="8"/>
        <v>45</v>
      </c>
      <c r="H157" s="4">
        <f t="shared" si="8"/>
        <v>45</v>
      </c>
      <c r="I157" s="4">
        <f t="shared" si="8"/>
        <v>45</v>
      </c>
      <c r="J157" s="4">
        <f t="shared" si="8"/>
        <v>38</v>
      </c>
      <c r="K157" s="4">
        <f t="shared" si="8"/>
        <v>32</v>
      </c>
      <c r="L157" s="4">
        <f t="shared" si="8"/>
        <v>27</v>
      </c>
      <c r="M157" s="4">
        <f t="shared" si="8"/>
        <v>24</v>
      </c>
      <c r="N157" s="4">
        <f t="shared" si="8"/>
        <v>21</v>
      </c>
      <c r="O157" s="4">
        <f t="shared" si="8"/>
        <v>19</v>
      </c>
      <c r="P157" s="4"/>
    </row>
    <row r="158" spans="1:16" x14ac:dyDescent="0.25">
      <c r="A158" s="42"/>
      <c r="B158" s="42"/>
      <c r="C158" s="42" t="s">
        <v>49</v>
      </c>
      <c r="D158" s="22">
        <v>45</v>
      </c>
      <c r="E158" s="3">
        <f>GetSpeed($D$158,E$183,E$153)</f>
        <v>45</v>
      </c>
      <c r="F158" s="3">
        <f t="shared" ref="F158:O158" si="9">GetSpeed($D$158,F$183,F$153)</f>
        <v>45</v>
      </c>
      <c r="G158" s="3">
        <f t="shared" si="9"/>
        <v>45</v>
      </c>
      <c r="H158" s="3">
        <f t="shared" si="9"/>
        <v>45</v>
      </c>
      <c r="I158" s="3">
        <f t="shared" si="9"/>
        <v>45</v>
      </c>
      <c r="J158" s="3">
        <f t="shared" si="9"/>
        <v>38</v>
      </c>
      <c r="K158" s="3">
        <f t="shared" si="9"/>
        <v>32</v>
      </c>
      <c r="L158" s="3">
        <f t="shared" si="9"/>
        <v>27</v>
      </c>
      <c r="M158" s="3">
        <f t="shared" si="9"/>
        <v>24</v>
      </c>
      <c r="N158" s="3">
        <f t="shared" si="9"/>
        <v>21</v>
      </c>
      <c r="O158" s="3">
        <f t="shared" si="9"/>
        <v>19</v>
      </c>
      <c r="P158" s="3"/>
    </row>
    <row r="159" spans="1:16" x14ac:dyDescent="0.25">
      <c r="A159" s="43"/>
      <c r="B159" s="43"/>
      <c r="C159" s="43" t="s">
        <v>50</v>
      </c>
      <c r="D159" s="25">
        <v>45</v>
      </c>
      <c r="E159" s="4">
        <f>GetSpeed($D$159,E$183,E$153)</f>
        <v>45</v>
      </c>
      <c r="F159" s="4">
        <f t="shared" ref="F159:O159" si="10">GetSpeed($D$159,F$183,F$153)</f>
        <v>45</v>
      </c>
      <c r="G159" s="4">
        <f t="shared" si="10"/>
        <v>45</v>
      </c>
      <c r="H159" s="4">
        <f t="shared" si="10"/>
        <v>45</v>
      </c>
      <c r="I159" s="4">
        <f t="shared" si="10"/>
        <v>45</v>
      </c>
      <c r="J159" s="4">
        <f t="shared" si="10"/>
        <v>38</v>
      </c>
      <c r="K159" s="4">
        <f t="shared" si="10"/>
        <v>32</v>
      </c>
      <c r="L159" s="4">
        <f t="shared" si="10"/>
        <v>27</v>
      </c>
      <c r="M159" s="4">
        <f t="shared" si="10"/>
        <v>24</v>
      </c>
      <c r="N159" s="4">
        <f t="shared" si="10"/>
        <v>21</v>
      </c>
      <c r="O159" s="4">
        <f t="shared" si="10"/>
        <v>19</v>
      </c>
      <c r="P159" s="4"/>
    </row>
    <row r="160" spans="1:16" x14ac:dyDescent="0.25">
      <c r="A160" s="42"/>
      <c r="B160" s="42"/>
      <c r="C160" s="42" t="s">
        <v>51</v>
      </c>
      <c r="D160" s="22">
        <v>45</v>
      </c>
      <c r="E160" s="3">
        <f>GetSpeed($D$160,E$183,E$153)</f>
        <v>45</v>
      </c>
      <c r="F160" s="3">
        <f t="shared" ref="F160:O160" si="11">GetSpeed($D$160,F$183,F$153)</f>
        <v>45</v>
      </c>
      <c r="G160" s="3">
        <f t="shared" si="11"/>
        <v>45</v>
      </c>
      <c r="H160" s="3">
        <f t="shared" si="11"/>
        <v>45</v>
      </c>
      <c r="I160" s="3">
        <f t="shared" si="11"/>
        <v>45</v>
      </c>
      <c r="J160" s="3">
        <f t="shared" si="11"/>
        <v>38</v>
      </c>
      <c r="K160" s="3">
        <f t="shared" si="11"/>
        <v>32</v>
      </c>
      <c r="L160" s="3">
        <f t="shared" si="11"/>
        <v>27</v>
      </c>
      <c r="M160" s="3">
        <f t="shared" si="11"/>
        <v>24</v>
      </c>
      <c r="N160" s="3">
        <f t="shared" si="11"/>
        <v>21</v>
      </c>
      <c r="O160" s="3">
        <f t="shared" si="11"/>
        <v>19</v>
      </c>
      <c r="P160" s="3"/>
    </row>
    <row r="161" spans="1:16" x14ac:dyDescent="0.25">
      <c r="A161" s="43"/>
      <c r="B161" s="43"/>
      <c r="C161" s="43" t="s">
        <v>52</v>
      </c>
      <c r="D161" s="79">
        <v>45</v>
      </c>
      <c r="E161" s="57"/>
      <c r="F161" s="57"/>
      <c r="G161" s="57"/>
      <c r="H161" s="57"/>
      <c r="I161" s="57"/>
      <c r="J161" s="57"/>
      <c r="K161" s="57"/>
      <c r="L161" s="57"/>
      <c r="M161" s="57"/>
      <c r="N161" s="57"/>
      <c r="O161" s="57"/>
      <c r="P161" s="4"/>
    </row>
    <row r="162" spans="1:16" x14ac:dyDescent="0.25">
      <c r="A162" s="42"/>
      <c r="B162" s="42"/>
      <c r="C162" s="42" t="s">
        <v>53</v>
      </c>
      <c r="D162" s="22">
        <v>40</v>
      </c>
      <c r="E162" s="3">
        <f>GetSpeed($D$162,E$183,E$153)</f>
        <v>40</v>
      </c>
      <c r="F162" s="3">
        <f t="shared" ref="F162:O162" si="12">GetSpeed($D$162,F$183,F$153)</f>
        <v>40</v>
      </c>
      <c r="G162" s="3">
        <f t="shared" si="12"/>
        <v>40</v>
      </c>
      <c r="H162" s="3">
        <f t="shared" si="12"/>
        <v>40</v>
      </c>
      <c r="I162" s="3">
        <f t="shared" si="12"/>
        <v>40</v>
      </c>
      <c r="J162" s="3">
        <f t="shared" si="12"/>
        <v>38</v>
      </c>
      <c r="K162" s="3">
        <f t="shared" si="12"/>
        <v>32</v>
      </c>
      <c r="L162" s="3">
        <f t="shared" si="12"/>
        <v>27</v>
      </c>
      <c r="M162" s="3">
        <f t="shared" si="12"/>
        <v>24</v>
      </c>
      <c r="N162" s="3">
        <f t="shared" si="12"/>
        <v>21</v>
      </c>
      <c r="O162" s="3">
        <f t="shared" si="12"/>
        <v>19</v>
      </c>
      <c r="P162" s="3"/>
    </row>
    <row r="163" spans="1:16" x14ac:dyDescent="0.25">
      <c r="A163" s="43"/>
      <c r="B163" s="43" t="s">
        <v>1418</v>
      </c>
      <c r="C163" s="43" t="s">
        <v>1514</v>
      </c>
      <c r="D163" s="58">
        <v>1</v>
      </c>
      <c r="E163" s="4"/>
      <c r="F163" s="4"/>
      <c r="G163" s="4"/>
      <c r="H163" s="4"/>
      <c r="I163" s="4"/>
      <c r="J163" s="4"/>
      <c r="K163" s="4"/>
      <c r="L163" s="4"/>
      <c r="M163" s="4"/>
      <c r="N163" s="4"/>
      <c r="O163" s="4"/>
      <c r="P163" s="4"/>
    </row>
    <row r="164" spans="1:16" x14ac:dyDescent="0.25">
      <c r="A164" s="42"/>
      <c r="B164" s="42" t="s">
        <v>1418</v>
      </c>
      <c r="C164" s="42" t="s">
        <v>1530</v>
      </c>
      <c r="D164" s="35">
        <v>1</v>
      </c>
      <c r="E164" s="3"/>
      <c r="F164" s="3"/>
      <c r="G164" s="3"/>
      <c r="H164" s="3"/>
      <c r="I164" s="3"/>
      <c r="J164" s="3"/>
      <c r="K164" s="3"/>
      <c r="L164" s="3"/>
      <c r="M164" s="3"/>
      <c r="N164" s="3"/>
      <c r="O164" s="3"/>
      <c r="P164" s="3"/>
    </row>
    <row r="165" spans="1:16" x14ac:dyDescent="0.25">
      <c r="A165" s="43"/>
      <c r="B165" s="43" t="s">
        <v>1418</v>
      </c>
      <c r="C165" s="43" t="s">
        <v>1413</v>
      </c>
      <c r="D165" s="79">
        <v>30</v>
      </c>
      <c r="E165" s="4"/>
      <c r="F165" s="4"/>
      <c r="G165" s="4"/>
      <c r="H165" s="4"/>
      <c r="I165" s="4"/>
      <c r="J165" s="4"/>
      <c r="K165" s="4"/>
      <c r="L165" s="4"/>
      <c r="M165" s="4"/>
      <c r="N165" s="4"/>
      <c r="O165" s="4"/>
      <c r="P165" s="4"/>
    </row>
    <row r="166" spans="1:16" x14ac:dyDescent="0.25">
      <c r="A166" s="42"/>
      <c r="B166" s="42"/>
      <c r="C166" s="42" t="s">
        <v>54</v>
      </c>
      <c r="D166" s="22">
        <v>40</v>
      </c>
      <c r="E166" s="3">
        <f t="shared" ref="E166:O166" si="13">GetSpeed($D$166,E$183,E$153)</f>
        <v>40</v>
      </c>
      <c r="F166" s="3">
        <f t="shared" si="13"/>
        <v>40</v>
      </c>
      <c r="G166" s="3">
        <f t="shared" si="13"/>
        <v>40</v>
      </c>
      <c r="H166" s="3">
        <f t="shared" si="13"/>
        <v>40</v>
      </c>
      <c r="I166" s="3">
        <f t="shared" si="13"/>
        <v>40</v>
      </c>
      <c r="J166" s="3">
        <f t="shared" si="13"/>
        <v>38</v>
      </c>
      <c r="K166" s="3">
        <f t="shared" si="13"/>
        <v>32</v>
      </c>
      <c r="L166" s="3">
        <f t="shared" si="13"/>
        <v>27</v>
      </c>
      <c r="M166" s="3">
        <f t="shared" si="13"/>
        <v>24</v>
      </c>
      <c r="N166" s="3">
        <f t="shared" si="13"/>
        <v>21</v>
      </c>
      <c r="O166" s="3">
        <f t="shared" si="13"/>
        <v>19</v>
      </c>
      <c r="P166" s="3"/>
    </row>
    <row r="167" spans="1:16" x14ac:dyDescent="0.25">
      <c r="A167" s="43"/>
      <c r="B167" s="43"/>
      <c r="C167" s="43" t="s">
        <v>1310</v>
      </c>
      <c r="D167" s="25">
        <v>20</v>
      </c>
      <c r="E167" s="4"/>
      <c r="F167" s="4"/>
      <c r="G167" s="4"/>
      <c r="H167" s="4"/>
      <c r="I167" s="4"/>
      <c r="J167" s="4"/>
      <c r="K167" s="4"/>
      <c r="L167" s="4"/>
      <c r="M167" s="4"/>
      <c r="N167" s="4"/>
      <c r="O167" s="4"/>
      <c r="P167" s="4"/>
    </row>
    <row r="168" spans="1:16" x14ac:dyDescent="0.25">
      <c r="A168" s="44"/>
      <c r="B168" s="44"/>
      <c r="C168" s="44" t="s">
        <v>407</v>
      </c>
      <c r="D168" s="33"/>
      <c r="E168" s="5"/>
      <c r="F168" s="5"/>
      <c r="G168" s="5"/>
      <c r="H168" s="5"/>
      <c r="I168" s="5"/>
      <c r="J168" s="5"/>
      <c r="K168" s="5"/>
      <c r="L168" s="5"/>
      <c r="M168" s="5"/>
      <c r="N168" s="5"/>
      <c r="O168" s="5"/>
      <c r="P168" s="5"/>
    </row>
    <row r="169" spans="1:16" x14ac:dyDescent="0.25">
      <c r="A169" s="42"/>
      <c r="B169" s="42"/>
      <c r="C169" s="42" t="s">
        <v>55</v>
      </c>
      <c r="D169" s="22">
        <v>140</v>
      </c>
      <c r="E169" s="3"/>
      <c r="F169" s="3"/>
      <c r="G169" s="3"/>
      <c r="H169" s="3"/>
      <c r="I169" s="3"/>
      <c r="J169" s="3"/>
      <c r="K169" s="3"/>
      <c r="L169" s="3"/>
      <c r="M169" s="3"/>
      <c r="N169" s="3"/>
      <c r="O169" s="3"/>
      <c r="P169" s="3"/>
    </row>
    <row r="170" spans="1:16" x14ac:dyDescent="0.25">
      <c r="A170" s="43"/>
      <c r="B170" s="43" t="s">
        <v>1418</v>
      </c>
      <c r="C170" s="43" t="s">
        <v>1543</v>
      </c>
      <c r="D170" s="25">
        <v>0</v>
      </c>
      <c r="E170" s="4"/>
      <c r="F170" s="4"/>
      <c r="G170" s="4"/>
      <c r="H170" s="4"/>
      <c r="I170" s="4"/>
      <c r="J170" s="4"/>
      <c r="K170" s="4"/>
      <c r="L170" s="4"/>
      <c r="M170" s="4"/>
      <c r="N170" s="4"/>
      <c r="O170" s="4"/>
      <c r="P170" s="4"/>
    </row>
    <row r="171" spans="1:16" x14ac:dyDescent="0.25">
      <c r="A171" s="44"/>
      <c r="B171" s="44"/>
      <c r="C171" s="44" t="s">
        <v>408</v>
      </c>
      <c r="D171" s="33"/>
      <c r="E171" s="5"/>
      <c r="F171" s="5"/>
      <c r="G171" s="5"/>
      <c r="H171" s="5"/>
      <c r="I171" s="5"/>
      <c r="J171" s="5"/>
      <c r="K171" s="5"/>
      <c r="L171" s="5"/>
      <c r="M171" s="5"/>
      <c r="N171" s="5"/>
      <c r="O171" s="5"/>
      <c r="P171" s="5"/>
    </row>
    <row r="172" spans="1:16" x14ac:dyDescent="0.25">
      <c r="A172" s="42"/>
      <c r="B172" s="42"/>
      <c r="C172" s="42" t="s">
        <v>56</v>
      </c>
      <c r="D172" s="22">
        <v>30</v>
      </c>
      <c r="E172" s="3"/>
      <c r="F172" s="3"/>
      <c r="G172" s="3"/>
      <c r="H172" s="3"/>
      <c r="I172" s="3"/>
      <c r="J172" s="3"/>
      <c r="K172" s="3"/>
      <c r="L172" s="3"/>
      <c r="M172" s="3"/>
      <c r="N172" s="3"/>
      <c r="O172" s="3"/>
      <c r="P172" s="3"/>
    </row>
    <row r="173" spans="1:16" x14ac:dyDescent="0.25">
      <c r="A173" s="43"/>
      <c r="B173" s="43" t="s">
        <v>1418</v>
      </c>
      <c r="C173" s="43" t="s">
        <v>1372</v>
      </c>
      <c r="D173" s="79">
        <f>D172</f>
        <v>30</v>
      </c>
      <c r="E173" s="4"/>
      <c r="F173" s="4"/>
      <c r="G173" s="4"/>
      <c r="H173" s="4"/>
      <c r="I173" s="4"/>
      <c r="J173" s="4"/>
      <c r="K173" s="4"/>
      <c r="L173" s="4"/>
      <c r="M173" s="4"/>
      <c r="N173" s="4"/>
      <c r="O173" s="4"/>
      <c r="P173" s="4"/>
    </row>
    <row r="174" spans="1:16" x14ac:dyDescent="0.25">
      <c r="A174" s="42"/>
      <c r="B174" s="42" t="s">
        <v>1418</v>
      </c>
      <c r="C174" s="42" t="s">
        <v>1539</v>
      </c>
      <c r="D174" s="22">
        <v>20</v>
      </c>
      <c r="E174" s="3"/>
      <c r="F174" s="3"/>
      <c r="G174" s="3"/>
      <c r="H174" s="3"/>
      <c r="I174" s="3"/>
      <c r="J174" s="3"/>
      <c r="K174" s="3"/>
      <c r="L174" s="3"/>
      <c r="M174" s="3"/>
      <c r="N174" s="3"/>
      <c r="O174" s="3"/>
      <c r="P174" s="3"/>
    </row>
    <row r="175" spans="1:16" x14ac:dyDescent="0.25">
      <c r="A175" s="43"/>
      <c r="B175" s="43" t="s">
        <v>1418</v>
      </c>
      <c r="C175" s="43" t="s">
        <v>1540</v>
      </c>
      <c r="D175" s="25">
        <v>6</v>
      </c>
      <c r="E175" s="4"/>
      <c r="F175" s="4"/>
      <c r="G175" s="4"/>
      <c r="H175" s="4"/>
      <c r="I175" s="4"/>
      <c r="J175" s="4"/>
      <c r="K175" s="4"/>
      <c r="L175" s="4"/>
      <c r="M175" s="4"/>
      <c r="N175" s="4"/>
      <c r="O175" s="4"/>
      <c r="P175" s="4"/>
    </row>
    <row r="176" spans="1:16" x14ac:dyDescent="0.25">
      <c r="A176" s="44"/>
      <c r="B176" s="44"/>
      <c r="C176" s="44" t="s">
        <v>409</v>
      </c>
      <c r="D176" s="33"/>
      <c r="E176" s="5"/>
      <c r="F176" s="5"/>
      <c r="G176" s="5"/>
      <c r="H176" s="5"/>
      <c r="I176" s="5"/>
      <c r="J176" s="5"/>
      <c r="K176" s="5"/>
      <c r="L176" s="5"/>
      <c r="M176" s="5"/>
      <c r="N176" s="5"/>
      <c r="O176" s="5"/>
      <c r="P176" s="5"/>
    </row>
    <row r="177" spans="1:16" x14ac:dyDescent="0.25">
      <c r="A177" s="42"/>
      <c r="B177" s="42"/>
      <c r="C177" s="42" t="s">
        <v>57</v>
      </c>
      <c r="D177" s="22" t="str">
        <f>Get_Machine_Spec("machine_max_acceleration_extruding")</f>
        <v>1000</v>
      </c>
      <c r="E177" s="3"/>
      <c r="F177" s="3"/>
      <c r="G177" s="3"/>
      <c r="H177" s="3"/>
      <c r="I177" s="3"/>
      <c r="J177" s="3"/>
      <c r="K177" s="3"/>
      <c r="L177" s="3"/>
      <c r="M177" s="3"/>
      <c r="N177" s="3"/>
      <c r="O177" s="3"/>
      <c r="P177" s="3"/>
    </row>
    <row r="178" spans="1:16" x14ac:dyDescent="0.25">
      <c r="A178" s="43"/>
      <c r="B178" s="43"/>
      <c r="C178" s="43" t="s">
        <v>58</v>
      </c>
      <c r="D178" s="25" t="str">
        <f t="shared" ref="D178:D181" si="14">Get_Machine_Spec("machine_max_acceleration_extruding")</f>
        <v>1000</v>
      </c>
      <c r="E178" s="4"/>
      <c r="F178" s="4"/>
      <c r="G178" s="4"/>
      <c r="H178" s="4"/>
      <c r="I178" s="4"/>
      <c r="J178" s="4"/>
      <c r="K178" s="4"/>
      <c r="L178" s="4"/>
      <c r="M178" s="4"/>
      <c r="N178" s="4"/>
      <c r="O178" s="4"/>
      <c r="P178" s="4"/>
    </row>
    <row r="179" spans="1:16" x14ac:dyDescent="0.25">
      <c r="A179" s="42"/>
      <c r="B179" s="42"/>
      <c r="C179" s="42" t="s">
        <v>59</v>
      </c>
      <c r="D179" s="22" t="str">
        <f t="shared" si="14"/>
        <v>1000</v>
      </c>
      <c r="E179" s="3"/>
      <c r="F179" s="3"/>
      <c r="G179" s="3"/>
      <c r="H179" s="3"/>
      <c r="I179" s="3"/>
      <c r="J179" s="3"/>
      <c r="K179" s="3"/>
      <c r="L179" s="3"/>
      <c r="M179" s="3"/>
      <c r="N179" s="3"/>
      <c r="O179" s="3"/>
      <c r="P179" s="3"/>
    </row>
    <row r="180" spans="1:16" x14ac:dyDescent="0.25">
      <c r="A180" s="43"/>
      <c r="B180" s="43"/>
      <c r="C180" s="43" t="s">
        <v>60</v>
      </c>
      <c r="D180" s="25" t="str">
        <f t="shared" si="14"/>
        <v>1000</v>
      </c>
      <c r="E180" s="4"/>
      <c r="F180" s="4"/>
      <c r="G180" s="4"/>
      <c r="H180" s="4"/>
      <c r="I180" s="4"/>
      <c r="J180" s="4"/>
      <c r="K180" s="4"/>
      <c r="L180" s="4"/>
      <c r="M180" s="4"/>
      <c r="N180" s="4"/>
      <c r="O180" s="4"/>
      <c r="P180" s="4"/>
    </row>
    <row r="181" spans="1:16" x14ac:dyDescent="0.25">
      <c r="A181" s="42"/>
      <c r="B181" s="42"/>
      <c r="C181" s="42" t="s">
        <v>61</v>
      </c>
      <c r="D181" s="22" t="str">
        <f t="shared" si="14"/>
        <v>1000</v>
      </c>
      <c r="E181" s="3"/>
      <c r="F181" s="3"/>
      <c r="G181" s="3"/>
      <c r="H181" s="3"/>
      <c r="I181" s="3"/>
      <c r="J181" s="3"/>
      <c r="K181" s="3"/>
      <c r="L181" s="3"/>
      <c r="M181" s="3"/>
      <c r="N181" s="3"/>
      <c r="O181" s="3"/>
      <c r="P181" s="3"/>
    </row>
    <row r="182" spans="1:16" x14ac:dyDescent="0.25">
      <c r="A182" s="44"/>
      <c r="B182" s="44"/>
      <c r="C182" s="44" t="s">
        <v>410</v>
      </c>
      <c r="D182" s="33"/>
      <c r="E182" s="5"/>
      <c r="F182" s="5"/>
      <c r="G182" s="5"/>
      <c r="H182" s="5"/>
      <c r="I182" s="5"/>
      <c r="J182" s="5"/>
      <c r="K182" s="5"/>
      <c r="L182" s="5"/>
      <c r="M182" s="5"/>
      <c r="N182" s="5"/>
      <c r="O182" s="5"/>
      <c r="P182" s="5"/>
    </row>
    <row r="183" spans="1:16" x14ac:dyDescent="0.25">
      <c r="A183" s="42"/>
      <c r="B183" s="42"/>
      <c r="C183" s="42" t="s">
        <v>62</v>
      </c>
      <c r="D183" s="22">
        <v>65</v>
      </c>
      <c r="E183" s="3">
        <v>65</v>
      </c>
      <c r="F183" s="3">
        <v>60</v>
      </c>
      <c r="G183" s="3">
        <v>60</v>
      </c>
      <c r="H183" s="3">
        <v>60</v>
      </c>
      <c r="I183" s="3">
        <v>55</v>
      </c>
      <c r="J183" s="3">
        <v>50</v>
      </c>
      <c r="K183" s="3">
        <v>45</v>
      </c>
      <c r="L183" s="3">
        <v>40</v>
      </c>
      <c r="M183" s="3">
        <v>35</v>
      </c>
      <c r="N183" s="3">
        <v>30</v>
      </c>
      <c r="O183" s="3">
        <v>25</v>
      </c>
      <c r="P183" s="3"/>
    </row>
    <row r="184" spans="1:16" x14ac:dyDescent="0.25">
      <c r="A184" s="43"/>
      <c r="B184" s="43"/>
      <c r="C184" s="43" t="s">
        <v>63</v>
      </c>
      <c r="D184" s="25"/>
      <c r="E184" s="4" t="str">
        <f>IFERROR(Matchfill(INDEX(filament!$A$1:$N$108,MATCH("filament_" &amp; $C$184,filament!$C$1:$C$108,0),MATCH($D$153,filament!$A$1:$N$1,0)),filament!$D$111),"")</f>
        <v>11</v>
      </c>
      <c r="F184" s="4" t="str">
        <f>IFERROR(Matchfill(INDEX(filament!$A$1:$N$108,MATCH("filament_" &amp; $C$184,filament!$C$1:$C$108,0),MATCH($D$153,filament!$A$1:$N$1,0)),filament!$D$111),"")</f>
        <v>11</v>
      </c>
      <c r="G184" s="4" t="str">
        <f>IFERROR(Matchfill(INDEX(filament!$A$1:$N$108,MATCH("filament_" &amp; $C$184,filament!$C$1:$C$108,0),MATCH($D$153,filament!$A$1:$N$1,0)),filament!$D$111),"")</f>
        <v>11</v>
      </c>
      <c r="H184" s="4" t="str">
        <f>IFERROR(Matchfill(INDEX(filament!$A$1:$N$108,MATCH("filament_" &amp; $C$184,filament!$C$1:$C$108,0),MATCH($D$153,filament!$A$1:$N$1,0)),filament!$D$111),"")</f>
        <v>11</v>
      </c>
      <c r="I184" s="4" t="str">
        <f>IFERROR(Matchfill(INDEX(filament!$A$1:$N$108,MATCH("filament_" &amp; $C$184,filament!$C$1:$C$108,0),MATCH($D$153,filament!$A$1:$N$1,0)),filament!$D$111),"")</f>
        <v>11</v>
      </c>
      <c r="J184" s="4" t="str">
        <f>IFERROR(Matchfill(INDEX(filament!$A$1:$N$108,MATCH("filament_" &amp; $C$184,filament!$C$1:$C$108,0),MATCH($D$153,filament!$A$1:$N$1,0)),filament!$D$111),"")</f>
        <v>11</v>
      </c>
      <c r="K184" s="4" t="str">
        <f>IFERROR(Matchfill(INDEX(filament!$A$1:$N$108,MATCH("filament_" &amp; $C$184,filament!$C$1:$C$108,0),MATCH($D$153,filament!$A$1:$N$1,0)),filament!$D$111),"")</f>
        <v>11</v>
      </c>
      <c r="L184" s="4" t="str">
        <f>IFERROR(Matchfill(INDEX(filament!$A$1:$N$108,MATCH("filament_" &amp; $C$184,filament!$C$1:$C$108,0),MATCH($D$153,filament!$A$1:$N$1,0)),filament!$D$111),"")</f>
        <v>11</v>
      </c>
      <c r="M184" s="4" t="str">
        <f>IFERROR(Matchfill(INDEX(filament!$A$1:$N$108,MATCH("filament_" &amp; $C$184,filament!$C$1:$C$108,0),MATCH($D$153,filament!$A$1:$N$1,0)),filament!$D$111),"")</f>
        <v>11</v>
      </c>
      <c r="N184" s="4" t="str">
        <f>IFERROR(Matchfill(INDEX(filament!$A$1:$N$108,MATCH("filament_" &amp; $C$184,filament!$C$1:$C$108,0),MATCH($D$153,filament!$A$1:$N$1,0)),filament!$D$111),"")</f>
        <v>11</v>
      </c>
      <c r="O184" s="4" t="str">
        <f>IFERROR(Matchfill(INDEX(filament!$A$1:$N$108,MATCH("filament_" &amp; $C$184,filament!$C$1:$C$108,0),MATCH($D$153,filament!$A$1:$N$1,0)),filament!$D$111),"")</f>
        <v>11</v>
      </c>
      <c r="P184" s="4"/>
    </row>
    <row r="185" spans="1:16" x14ac:dyDescent="0.25">
      <c r="A185" s="44" t="s">
        <v>223</v>
      </c>
      <c r="B185" s="44"/>
      <c r="C185" s="44" t="s">
        <v>411</v>
      </c>
      <c r="D185" s="33"/>
      <c r="E185" s="5"/>
      <c r="F185" s="5"/>
      <c r="G185" s="5"/>
      <c r="H185" s="5"/>
      <c r="I185" s="5"/>
      <c r="J185" s="5"/>
      <c r="K185" s="5"/>
      <c r="L185" s="5"/>
      <c r="M185" s="5"/>
      <c r="N185" s="5"/>
      <c r="O185" s="5"/>
      <c r="P185" s="5"/>
    </row>
    <row r="186" spans="1:16" x14ac:dyDescent="0.25">
      <c r="A186" s="42"/>
      <c r="B186" s="42"/>
      <c r="C186" s="42" t="s">
        <v>64</v>
      </c>
      <c r="D186" s="22"/>
      <c r="E186" s="3"/>
      <c r="F186" s="3"/>
      <c r="G186" s="3"/>
      <c r="H186" s="3"/>
      <c r="I186" s="3"/>
      <c r="J186" s="3"/>
      <c r="K186" s="3"/>
      <c r="L186" s="3"/>
      <c r="M186" s="3"/>
      <c r="N186" s="3"/>
      <c r="O186" s="3"/>
      <c r="P186" s="3"/>
    </row>
    <row r="187" spans="1:16" x14ac:dyDescent="0.25">
      <c r="A187" s="43"/>
      <c r="B187" s="43"/>
      <c r="C187" s="43" t="s">
        <v>65</v>
      </c>
      <c r="D187" s="25"/>
      <c r="E187" s="4"/>
      <c r="F187" s="4"/>
      <c r="G187" s="4"/>
      <c r="H187" s="4"/>
      <c r="I187" s="4"/>
      <c r="J187" s="4"/>
      <c r="K187" s="4"/>
      <c r="L187" s="4"/>
      <c r="M187" s="4"/>
      <c r="N187" s="4"/>
      <c r="O187" s="4"/>
      <c r="P187" s="4"/>
    </row>
    <row r="188" spans="1:16" x14ac:dyDescent="0.25">
      <c r="A188" s="42"/>
      <c r="B188" s="42"/>
      <c r="C188" s="42" t="s">
        <v>66</v>
      </c>
      <c r="D188" s="22"/>
      <c r="E188" s="3"/>
      <c r="F188" s="3"/>
      <c r="G188" s="3"/>
      <c r="H188" s="3"/>
      <c r="I188" s="3"/>
      <c r="J188" s="3"/>
      <c r="K188" s="3"/>
      <c r="L188" s="3"/>
      <c r="M188" s="3"/>
      <c r="N188" s="3"/>
      <c r="O188" s="3"/>
      <c r="P188" s="3"/>
    </row>
    <row r="189" spans="1:16" x14ac:dyDescent="0.25">
      <c r="A189" s="43"/>
      <c r="B189" s="43"/>
      <c r="C189" s="43" t="s">
        <v>67</v>
      </c>
      <c r="D189" s="25"/>
      <c r="E189" s="4"/>
      <c r="F189" s="4"/>
      <c r="G189" s="4"/>
      <c r="H189" s="4"/>
      <c r="I189" s="4"/>
      <c r="J189" s="4"/>
      <c r="K189" s="4"/>
      <c r="L189" s="4"/>
      <c r="M189" s="4"/>
      <c r="N189" s="4"/>
      <c r="O189" s="4"/>
      <c r="P189" s="4"/>
    </row>
    <row r="190" spans="1:16" x14ac:dyDescent="0.25">
      <c r="A190" s="42"/>
      <c r="B190" s="42"/>
      <c r="C190" s="42" t="s">
        <v>68</v>
      </c>
      <c r="D190" s="22"/>
      <c r="E190" s="3"/>
      <c r="F190" s="3"/>
      <c r="G190" s="3"/>
      <c r="H190" s="3"/>
      <c r="I190" s="3"/>
      <c r="J190" s="3"/>
      <c r="K190" s="3"/>
      <c r="L190" s="3"/>
      <c r="M190" s="3"/>
      <c r="N190" s="3"/>
      <c r="O190" s="3"/>
      <c r="P190" s="3"/>
    </row>
    <row r="191" spans="1:16" x14ac:dyDescent="0.25">
      <c r="A191" s="44"/>
      <c r="B191" s="44"/>
      <c r="C191" s="44" t="s">
        <v>412</v>
      </c>
      <c r="D191" s="33"/>
      <c r="E191" s="5"/>
      <c r="F191" s="5"/>
      <c r="G191" s="5"/>
      <c r="H191" s="5"/>
      <c r="I191" s="5"/>
      <c r="J191" s="5"/>
      <c r="K191" s="5"/>
      <c r="L191" s="5"/>
      <c r="M191" s="5"/>
      <c r="N191" s="5"/>
      <c r="O191" s="5"/>
      <c r="P191" s="5"/>
    </row>
    <row r="192" spans="1:16" x14ac:dyDescent="0.25">
      <c r="A192" s="42"/>
      <c r="B192" s="42"/>
      <c r="C192" s="42" t="s">
        <v>69</v>
      </c>
      <c r="D192" s="22"/>
      <c r="E192" s="3"/>
      <c r="F192" s="3"/>
      <c r="G192" s="3"/>
      <c r="H192" s="3"/>
      <c r="I192" s="3"/>
      <c r="J192" s="3"/>
      <c r="K192" s="3"/>
      <c r="L192" s="3"/>
      <c r="M192" s="3"/>
      <c r="N192" s="3"/>
      <c r="O192" s="3"/>
      <c r="P192" s="3"/>
    </row>
    <row r="193" spans="1:16" x14ac:dyDescent="0.25">
      <c r="A193" s="43"/>
      <c r="B193" s="43"/>
      <c r="C193" s="43" t="s">
        <v>70</v>
      </c>
      <c r="D193" s="25"/>
      <c r="E193" s="4"/>
      <c r="F193" s="4"/>
      <c r="G193" s="4"/>
      <c r="H193" s="4"/>
      <c r="I193" s="4"/>
      <c r="J193" s="4"/>
      <c r="K193" s="4"/>
      <c r="L193" s="4"/>
      <c r="M193" s="4"/>
      <c r="N193" s="4"/>
      <c r="O193" s="4"/>
      <c r="P193" s="4"/>
    </row>
    <row r="194" spans="1:16" x14ac:dyDescent="0.25">
      <c r="A194" s="44"/>
      <c r="B194" s="44"/>
      <c r="C194" s="44" t="s">
        <v>413</v>
      </c>
      <c r="D194" s="33"/>
      <c r="E194" s="5"/>
      <c r="F194" s="5"/>
      <c r="G194" s="5"/>
      <c r="H194" s="5"/>
      <c r="I194" s="5"/>
      <c r="J194" s="5"/>
      <c r="K194" s="5"/>
      <c r="L194" s="5"/>
      <c r="M194" s="5"/>
      <c r="N194" s="5"/>
      <c r="O194" s="5"/>
      <c r="P194" s="5"/>
    </row>
    <row r="195" spans="1:16" x14ac:dyDescent="0.25">
      <c r="A195" s="42"/>
      <c r="B195" s="42"/>
      <c r="C195" s="42" t="s">
        <v>71</v>
      </c>
      <c r="D195" s="22"/>
      <c r="E195" s="3"/>
      <c r="F195" s="3"/>
      <c r="G195" s="3"/>
      <c r="H195" s="3"/>
      <c r="I195" s="3"/>
      <c r="J195" s="3"/>
      <c r="K195" s="3"/>
      <c r="L195" s="3"/>
      <c r="M195" s="3"/>
      <c r="N195" s="3"/>
      <c r="O195" s="3"/>
      <c r="P195" s="3"/>
    </row>
    <row r="196" spans="1:16" x14ac:dyDescent="0.25">
      <c r="A196" s="43"/>
      <c r="B196" s="43"/>
      <c r="C196" s="43" t="s">
        <v>72</v>
      </c>
      <c r="D196" s="25"/>
      <c r="E196" s="4"/>
      <c r="F196" s="4"/>
      <c r="G196" s="4"/>
      <c r="H196" s="4"/>
      <c r="I196" s="4"/>
      <c r="J196" s="4"/>
      <c r="K196" s="4"/>
      <c r="L196" s="4"/>
      <c r="M196" s="4"/>
      <c r="N196" s="4"/>
      <c r="O196" s="4"/>
      <c r="P196" s="4"/>
    </row>
    <row r="197" spans="1:16" x14ac:dyDescent="0.25">
      <c r="A197" s="42"/>
      <c r="B197" s="42"/>
      <c r="C197" s="42" t="s">
        <v>73</v>
      </c>
      <c r="D197" s="22"/>
      <c r="E197" s="3"/>
      <c r="F197" s="3"/>
      <c r="G197" s="3"/>
      <c r="H197" s="3"/>
      <c r="I197" s="3"/>
      <c r="J197" s="3"/>
      <c r="K197" s="3"/>
      <c r="L197" s="3"/>
      <c r="M197" s="3"/>
      <c r="N197" s="3"/>
      <c r="O197" s="3"/>
      <c r="P197" s="3"/>
    </row>
    <row r="198" spans="1:16" x14ac:dyDescent="0.25">
      <c r="A198" s="43"/>
      <c r="B198" s="43"/>
      <c r="C198" s="43" t="s">
        <v>74</v>
      </c>
      <c r="D198" s="25"/>
      <c r="E198" s="4"/>
      <c r="F198" s="4"/>
      <c r="G198" s="4"/>
      <c r="H198" s="4"/>
      <c r="I198" s="4"/>
      <c r="J198" s="4"/>
      <c r="K198" s="4"/>
      <c r="L198" s="4"/>
      <c r="M198" s="4"/>
      <c r="N198" s="4"/>
      <c r="O198" s="4"/>
      <c r="P198" s="4"/>
    </row>
    <row r="199" spans="1:16" x14ac:dyDescent="0.25">
      <c r="A199" s="42"/>
      <c r="B199" s="42"/>
      <c r="C199" s="42" t="s">
        <v>75</v>
      </c>
      <c r="D199" s="22"/>
      <c r="E199" s="3"/>
      <c r="F199" s="3"/>
      <c r="G199" s="3"/>
      <c r="H199" s="3"/>
      <c r="I199" s="3"/>
      <c r="J199" s="3"/>
      <c r="K199" s="3"/>
      <c r="L199" s="3"/>
      <c r="M199" s="3"/>
      <c r="N199" s="3"/>
      <c r="O199" s="3"/>
      <c r="P199" s="3"/>
    </row>
    <row r="200" spans="1:16" x14ac:dyDescent="0.25">
      <c r="A200" s="43"/>
      <c r="B200" s="43"/>
      <c r="C200" s="43" t="s">
        <v>76</v>
      </c>
      <c r="D200" s="25"/>
      <c r="E200" s="4"/>
      <c r="F200" s="4"/>
      <c r="G200" s="4"/>
      <c r="H200" s="4"/>
      <c r="I200" s="4"/>
      <c r="J200" s="4"/>
      <c r="K200" s="4"/>
      <c r="L200" s="4"/>
      <c r="M200" s="4"/>
      <c r="N200" s="4"/>
      <c r="O200" s="4"/>
      <c r="P200" s="4"/>
    </row>
    <row r="201" spans="1:16" x14ac:dyDescent="0.25">
      <c r="A201" s="42"/>
      <c r="B201" s="42"/>
      <c r="C201" s="42" t="s">
        <v>77</v>
      </c>
      <c r="D201" s="22"/>
      <c r="E201" s="3"/>
      <c r="F201" s="3"/>
      <c r="G201" s="3"/>
      <c r="H201" s="3"/>
      <c r="I201" s="3"/>
      <c r="J201" s="3"/>
      <c r="K201" s="3"/>
      <c r="L201" s="3"/>
      <c r="M201" s="3"/>
      <c r="N201" s="3"/>
      <c r="O201" s="3"/>
      <c r="P201" s="3"/>
    </row>
    <row r="202" spans="1:16" x14ac:dyDescent="0.25">
      <c r="A202" s="43"/>
      <c r="B202" s="43"/>
      <c r="C202" s="43" t="s">
        <v>353</v>
      </c>
      <c r="D202" s="25"/>
      <c r="E202" s="4"/>
      <c r="F202" s="4"/>
      <c r="G202" s="4"/>
      <c r="H202" s="4"/>
      <c r="I202" s="4"/>
      <c r="J202" s="4"/>
      <c r="K202" s="4"/>
      <c r="L202" s="4"/>
      <c r="M202" s="4"/>
      <c r="N202" s="4"/>
      <c r="O202" s="4"/>
      <c r="P202" s="4"/>
    </row>
    <row r="203" spans="1:16" x14ac:dyDescent="0.25">
      <c r="A203" s="44"/>
      <c r="B203" s="44"/>
      <c r="C203" s="44" t="s">
        <v>373</v>
      </c>
      <c r="D203" s="33"/>
      <c r="E203" s="5"/>
      <c r="F203" s="5"/>
      <c r="G203" s="5"/>
      <c r="H203" s="5"/>
      <c r="I203" s="5"/>
      <c r="J203" s="5"/>
      <c r="K203" s="5"/>
      <c r="L203" s="5"/>
      <c r="M203" s="5"/>
      <c r="N203" s="5"/>
      <c r="O203" s="5"/>
      <c r="P203" s="5"/>
    </row>
    <row r="204" spans="1:16" x14ac:dyDescent="0.25">
      <c r="A204" s="42"/>
      <c r="B204" s="42"/>
      <c r="C204" s="42" t="s">
        <v>78</v>
      </c>
      <c r="D204" s="22"/>
      <c r="E204" s="3"/>
      <c r="F204" s="3"/>
      <c r="G204" s="3"/>
      <c r="H204" s="3"/>
      <c r="I204" s="3"/>
      <c r="J204" s="3"/>
      <c r="K204" s="3"/>
      <c r="L204" s="3"/>
      <c r="M204" s="3"/>
      <c r="N204" s="3"/>
      <c r="O204" s="3"/>
      <c r="P204" s="3"/>
    </row>
    <row r="205" spans="1:16" x14ac:dyDescent="0.25">
      <c r="A205" s="44" t="s">
        <v>1551</v>
      </c>
      <c r="B205" s="44"/>
      <c r="C205" s="44" t="s">
        <v>414</v>
      </c>
      <c r="D205" s="33"/>
      <c r="E205" s="5"/>
      <c r="F205" s="5"/>
      <c r="G205" s="5"/>
      <c r="H205" s="5"/>
      <c r="I205" s="5"/>
      <c r="J205" s="5"/>
      <c r="K205" s="5"/>
      <c r="L205" s="5"/>
      <c r="M205" s="5"/>
      <c r="N205" s="5"/>
      <c r="O205" s="5"/>
      <c r="P205" s="5"/>
    </row>
    <row r="206" spans="1:16" x14ac:dyDescent="0.25">
      <c r="A206" s="42"/>
      <c r="B206" s="42"/>
      <c r="C206" s="42" t="s">
        <v>79</v>
      </c>
      <c r="D206" s="22">
        <f t="shared" ref="D206:D213" si="15">GetAutoExtrusionWidth($C206,Nozzle_Diameter)</f>
        <v>0.65</v>
      </c>
      <c r="E206" s="3"/>
      <c r="F206" s="3"/>
      <c r="G206" s="3"/>
      <c r="H206" s="3"/>
      <c r="I206" s="3"/>
      <c r="J206" s="3"/>
      <c r="K206" s="3"/>
      <c r="L206" s="3"/>
      <c r="M206" s="3"/>
      <c r="N206" s="3"/>
      <c r="O206" s="3"/>
      <c r="P206" s="3"/>
    </row>
    <row r="207" spans="1:16" x14ac:dyDescent="0.25">
      <c r="A207" s="43"/>
      <c r="B207" s="43"/>
      <c r="C207" s="43" t="s">
        <v>80</v>
      </c>
      <c r="D207" s="25">
        <f t="shared" si="15"/>
        <v>0.65</v>
      </c>
      <c r="E207" s="4"/>
      <c r="F207" s="4"/>
      <c r="G207" s="4"/>
      <c r="H207" s="4"/>
      <c r="I207" s="4"/>
      <c r="J207" s="4"/>
      <c r="K207" s="4"/>
      <c r="L207" s="4"/>
      <c r="M207" s="4"/>
      <c r="N207" s="4"/>
      <c r="O207" s="4"/>
      <c r="P207" s="4"/>
    </row>
    <row r="208" spans="1:16" x14ac:dyDescent="0.25">
      <c r="A208" s="42"/>
      <c r="B208" s="42"/>
      <c r="C208" s="42" t="s">
        <v>81</v>
      </c>
      <c r="D208" s="22">
        <f t="shared" si="15"/>
        <v>0.65</v>
      </c>
      <c r="E208" s="3"/>
      <c r="F208" s="3"/>
      <c r="G208" s="3"/>
      <c r="H208" s="3"/>
      <c r="I208" s="3"/>
      <c r="J208" s="3"/>
      <c r="K208" s="3"/>
      <c r="L208" s="3"/>
      <c r="M208" s="3"/>
      <c r="N208" s="3"/>
      <c r="O208" s="3"/>
      <c r="P208" s="3"/>
    </row>
    <row r="209" spans="1:16" x14ac:dyDescent="0.25">
      <c r="A209" s="43"/>
      <c r="B209" s="43"/>
      <c r="C209" s="43" t="s">
        <v>82</v>
      </c>
      <c r="D209" s="25">
        <f t="shared" si="15"/>
        <v>0.65</v>
      </c>
      <c r="E209" s="4"/>
      <c r="F209" s="4"/>
      <c r="G209" s="4"/>
      <c r="H209" s="4"/>
      <c r="I209" s="4"/>
      <c r="J209" s="4"/>
      <c r="K209" s="4"/>
      <c r="L209" s="4"/>
      <c r="M209" s="4"/>
      <c r="N209" s="4"/>
      <c r="O209" s="4"/>
      <c r="P209" s="4"/>
    </row>
    <row r="210" spans="1:16" x14ac:dyDescent="0.25">
      <c r="A210" s="42"/>
      <c r="B210" s="42"/>
      <c r="C210" s="42" t="s">
        <v>83</v>
      </c>
      <c r="D210" s="22">
        <f t="shared" si="15"/>
        <v>0.65</v>
      </c>
      <c r="E210" s="3"/>
      <c r="F210" s="3"/>
      <c r="G210" s="3"/>
      <c r="H210" s="3"/>
      <c r="I210" s="3"/>
      <c r="J210" s="3"/>
      <c r="K210" s="3"/>
      <c r="L210" s="3"/>
      <c r="M210" s="3"/>
      <c r="N210" s="3"/>
      <c r="O210" s="3"/>
      <c r="P210" s="3"/>
    </row>
    <row r="211" spans="1:16" x14ac:dyDescent="0.25">
      <c r="A211" s="43"/>
      <c r="B211" s="43"/>
      <c r="C211" s="43" t="s">
        <v>84</v>
      </c>
      <c r="D211" s="25">
        <f t="shared" si="15"/>
        <v>0.65</v>
      </c>
      <c r="E211" s="4"/>
      <c r="F211" s="4"/>
      <c r="G211" s="4"/>
      <c r="H211" s="4"/>
      <c r="I211" s="4"/>
      <c r="J211" s="4"/>
      <c r="K211" s="4"/>
      <c r="L211" s="4"/>
      <c r="M211" s="4"/>
      <c r="N211" s="4"/>
      <c r="O211" s="4"/>
      <c r="P211" s="4"/>
    </row>
    <row r="212" spans="1:16" x14ac:dyDescent="0.25">
      <c r="A212" s="42"/>
      <c r="B212" s="42"/>
      <c r="C212" s="42" t="s">
        <v>85</v>
      </c>
      <c r="D212" s="22">
        <f>GetAutoExtrusionWidth($C212,Nozzle_Diameter)</f>
        <v>0.6</v>
      </c>
      <c r="E212" s="3"/>
      <c r="F212" s="3"/>
      <c r="G212" s="3"/>
      <c r="H212" s="3"/>
      <c r="I212" s="3"/>
      <c r="J212" s="3"/>
      <c r="K212" s="3"/>
      <c r="L212" s="3"/>
      <c r="M212" s="3"/>
      <c r="N212" s="3"/>
      <c r="O212" s="3"/>
      <c r="P212" s="3"/>
    </row>
    <row r="213" spans="1:16" x14ac:dyDescent="0.25">
      <c r="A213" s="43"/>
      <c r="B213" s="43"/>
      <c r="C213" s="43" t="s">
        <v>86</v>
      </c>
      <c r="D213" s="25">
        <f t="shared" si="15"/>
        <v>0.55000000000000004</v>
      </c>
      <c r="E213" s="4"/>
      <c r="F213" s="4"/>
      <c r="G213" s="4"/>
      <c r="H213" s="4"/>
      <c r="I213" s="4"/>
      <c r="J213" s="4"/>
      <c r="K213" s="4"/>
      <c r="L213" s="4"/>
      <c r="M213" s="4"/>
      <c r="N213" s="4"/>
      <c r="O213" s="4"/>
      <c r="P213" s="4"/>
    </row>
    <row r="214" spans="1:16" x14ac:dyDescent="0.25">
      <c r="A214" s="42"/>
      <c r="B214" s="42" t="s">
        <v>1418</v>
      </c>
      <c r="C214" s="42" t="s">
        <v>1400</v>
      </c>
      <c r="D214" s="40">
        <f>GetAutoExtrusionWidth($C212,Nozzle_Diameter)</f>
        <v>0.6</v>
      </c>
      <c r="E214" s="3"/>
      <c r="F214" s="3"/>
      <c r="G214" s="3"/>
      <c r="H214" s="3"/>
      <c r="I214" s="3"/>
      <c r="J214" s="3"/>
      <c r="K214" s="3"/>
      <c r="L214" s="3"/>
      <c r="M214" s="3"/>
      <c r="N214" s="3"/>
      <c r="O214" s="3"/>
      <c r="P214" s="3"/>
    </row>
    <row r="215" spans="1:16" x14ac:dyDescent="0.25">
      <c r="A215" s="43"/>
      <c r="B215" s="43" t="s">
        <v>1418</v>
      </c>
      <c r="C215" s="43" t="s">
        <v>1516</v>
      </c>
      <c r="D215" s="58"/>
      <c r="E215" s="4"/>
      <c r="F215" s="4"/>
      <c r="G215" s="4"/>
      <c r="H215" s="4"/>
      <c r="I215" s="4"/>
      <c r="J215" s="4"/>
      <c r="K215" s="4"/>
      <c r="L215" s="4"/>
      <c r="M215" s="4"/>
      <c r="N215" s="4"/>
      <c r="O215" s="4"/>
      <c r="P215" s="4"/>
    </row>
    <row r="216" spans="1:16" x14ac:dyDescent="0.25">
      <c r="A216" s="42"/>
      <c r="B216" s="42" t="s">
        <v>1418</v>
      </c>
      <c r="C216" s="42" t="s">
        <v>1517</v>
      </c>
      <c r="D216" s="35"/>
      <c r="E216" s="3"/>
      <c r="F216" s="3"/>
      <c r="G216" s="3"/>
      <c r="H216" s="3"/>
      <c r="I216" s="3"/>
      <c r="J216" s="3"/>
      <c r="K216" s="3"/>
      <c r="L216" s="3"/>
      <c r="M216" s="3"/>
      <c r="N216" s="3"/>
      <c r="O216" s="3"/>
      <c r="P216" s="3"/>
    </row>
    <row r="217" spans="1:16" x14ac:dyDescent="0.25">
      <c r="A217" s="43"/>
      <c r="B217" s="43" t="s">
        <v>1418</v>
      </c>
      <c r="C217" s="43" t="s">
        <v>1518</v>
      </c>
      <c r="D217" s="58"/>
      <c r="E217" s="4"/>
      <c r="F217" s="4"/>
      <c r="G217" s="4"/>
      <c r="H217" s="4"/>
      <c r="I217" s="4"/>
      <c r="J217" s="4"/>
      <c r="K217" s="4"/>
      <c r="L217" s="4"/>
      <c r="M217" s="4"/>
      <c r="N217" s="4"/>
      <c r="O217" s="4"/>
      <c r="P217" s="4"/>
    </row>
    <row r="218" spans="1:16" x14ac:dyDescent="0.25">
      <c r="A218" s="42"/>
      <c r="B218" s="42" t="s">
        <v>1418</v>
      </c>
      <c r="C218" s="42" t="s">
        <v>1527</v>
      </c>
      <c r="D218" s="35"/>
      <c r="E218" s="3"/>
      <c r="F218" s="3"/>
      <c r="G218" s="3"/>
      <c r="H218" s="3"/>
      <c r="I218" s="3"/>
      <c r="J218" s="3"/>
      <c r="K218" s="3"/>
      <c r="L218" s="3"/>
      <c r="M218" s="3"/>
      <c r="N218" s="3"/>
      <c r="O218" s="3"/>
      <c r="P218" s="3"/>
    </row>
    <row r="219" spans="1:16" x14ac:dyDescent="0.25">
      <c r="A219" s="43"/>
      <c r="B219" s="43" t="s">
        <v>1418</v>
      </c>
      <c r="C219" s="43" t="s">
        <v>1532</v>
      </c>
      <c r="D219" s="58"/>
      <c r="E219" s="4"/>
      <c r="F219" s="4"/>
      <c r="G219" s="4"/>
      <c r="H219" s="4"/>
      <c r="I219" s="4"/>
      <c r="J219" s="4"/>
      <c r="K219" s="4"/>
      <c r="L219" s="4"/>
      <c r="M219" s="4"/>
      <c r="N219" s="4"/>
      <c r="O219" s="4"/>
      <c r="P219" s="4"/>
    </row>
    <row r="220" spans="1:16" x14ac:dyDescent="0.25">
      <c r="A220" s="42"/>
      <c r="B220" s="42" t="s">
        <v>1418</v>
      </c>
      <c r="C220" s="42" t="s">
        <v>1541</v>
      </c>
      <c r="D220" s="35"/>
      <c r="E220" s="3"/>
      <c r="F220" s="3"/>
      <c r="G220" s="3"/>
      <c r="H220" s="3"/>
      <c r="I220" s="3"/>
      <c r="J220" s="3"/>
      <c r="K220" s="3"/>
      <c r="L220" s="3"/>
      <c r="M220" s="3"/>
      <c r="N220" s="3"/>
      <c r="O220" s="3"/>
      <c r="P220" s="3"/>
    </row>
    <row r="221" spans="1:16" x14ac:dyDescent="0.25">
      <c r="A221" s="43"/>
      <c r="B221" s="43" t="s">
        <v>1418</v>
      </c>
      <c r="C221" s="43" t="s">
        <v>1542</v>
      </c>
      <c r="D221" s="58"/>
      <c r="E221" s="4"/>
      <c r="F221" s="4"/>
      <c r="G221" s="4"/>
      <c r="H221" s="4"/>
      <c r="I221" s="4"/>
      <c r="J221" s="4"/>
      <c r="K221" s="4"/>
      <c r="L221" s="4"/>
      <c r="M221" s="4"/>
      <c r="N221" s="4"/>
      <c r="O221" s="4"/>
      <c r="P221" s="4"/>
    </row>
    <row r="222" spans="1:16" x14ac:dyDescent="0.25">
      <c r="A222" s="44"/>
      <c r="B222" s="44"/>
      <c r="C222" s="44" t="s">
        <v>415</v>
      </c>
      <c r="D222" s="33"/>
      <c r="E222" s="5"/>
      <c r="F222" s="5"/>
      <c r="G222" s="5"/>
      <c r="H222" s="5"/>
      <c r="I222" s="5"/>
      <c r="J222" s="5"/>
      <c r="K222" s="5"/>
      <c r="L222" s="5"/>
      <c r="M222" s="5"/>
      <c r="N222" s="5"/>
      <c r="O222" s="5"/>
      <c r="P222" s="5"/>
    </row>
    <row r="223" spans="1:16" x14ac:dyDescent="0.25">
      <c r="A223" s="42"/>
      <c r="B223" s="42"/>
      <c r="C223" s="42" t="s">
        <v>87</v>
      </c>
      <c r="D223" s="35">
        <v>0.2</v>
      </c>
      <c r="E223" s="39"/>
      <c r="F223" s="39"/>
      <c r="G223" s="39"/>
      <c r="H223" s="39"/>
      <c r="I223" s="39"/>
      <c r="J223" s="39"/>
      <c r="K223" s="39"/>
      <c r="L223" s="39"/>
      <c r="M223" s="39"/>
      <c r="N223" s="39"/>
      <c r="O223" s="39"/>
      <c r="P223" s="3"/>
    </row>
    <row r="224" spans="1:16" x14ac:dyDescent="0.25">
      <c r="A224" s="43"/>
      <c r="B224" s="43" t="s">
        <v>1418</v>
      </c>
      <c r="C224" s="43" t="s">
        <v>1397</v>
      </c>
      <c r="D224" s="58">
        <v>1</v>
      </c>
      <c r="E224" s="57"/>
      <c r="F224" s="57"/>
      <c r="G224" s="57"/>
      <c r="H224" s="57"/>
      <c r="I224" s="57"/>
      <c r="J224" s="57"/>
      <c r="K224" s="57"/>
      <c r="L224" s="57"/>
      <c r="M224" s="57"/>
      <c r="N224" s="57"/>
      <c r="O224" s="57"/>
      <c r="P224" s="4"/>
    </row>
    <row r="225" spans="1:16" x14ac:dyDescent="0.25">
      <c r="A225" s="42"/>
      <c r="B225" s="42" t="s">
        <v>1418</v>
      </c>
      <c r="C225" s="42" t="s">
        <v>1361</v>
      </c>
      <c r="D225" s="35">
        <v>1</v>
      </c>
      <c r="E225" s="39"/>
      <c r="F225" s="39"/>
      <c r="G225" s="39"/>
      <c r="H225" s="39"/>
      <c r="I225" s="39"/>
      <c r="J225" s="39"/>
      <c r="K225" s="39"/>
      <c r="L225" s="39"/>
      <c r="M225" s="39"/>
      <c r="N225" s="39"/>
      <c r="O225" s="39"/>
      <c r="P225" s="3"/>
    </row>
    <row r="226" spans="1:16" x14ac:dyDescent="0.25">
      <c r="A226" s="43"/>
      <c r="B226" s="43" t="s">
        <v>1418</v>
      </c>
      <c r="C226" s="43" t="s">
        <v>1341</v>
      </c>
      <c r="D226" s="58">
        <v>1</v>
      </c>
      <c r="E226" s="57"/>
      <c r="F226" s="57"/>
      <c r="G226" s="57"/>
      <c r="H226" s="57"/>
      <c r="I226" s="57"/>
      <c r="J226" s="57"/>
      <c r="K226" s="57"/>
      <c r="L226" s="57"/>
      <c r="M226" s="57"/>
      <c r="N226" s="57"/>
      <c r="O226" s="57"/>
      <c r="P226" s="4"/>
    </row>
    <row r="227" spans="1:16" x14ac:dyDescent="0.25">
      <c r="A227" s="42"/>
      <c r="B227" s="42" t="s">
        <v>1418</v>
      </c>
      <c r="C227" s="42" t="s">
        <v>1519</v>
      </c>
      <c r="D227" s="35">
        <v>1</v>
      </c>
      <c r="E227" s="39"/>
      <c r="F227" s="39"/>
      <c r="G227" s="39"/>
      <c r="H227" s="39"/>
      <c r="I227" s="39"/>
      <c r="J227" s="39"/>
      <c r="K227" s="39"/>
      <c r="L227" s="39"/>
      <c r="M227" s="39"/>
      <c r="N227" s="39"/>
      <c r="O227" s="39"/>
      <c r="P227" s="3"/>
    </row>
    <row r="228" spans="1:16" x14ac:dyDescent="0.25">
      <c r="A228" s="44"/>
      <c r="B228" s="44"/>
      <c r="C228" s="44" t="s">
        <v>416</v>
      </c>
      <c r="D228" s="33"/>
      <c r="E228" s="5"/>
      <c r="F228" s="5"/>
      <c r="G228" s="5"/>
      <c r="H228" s="5"/>
      <c r="I228" s="5"/>
      <c r="J228" s="5"/>
      <c r="K228" s="5"/>
      <c r="L228" s="5"/>
      <c r="M228" s="5"/>
      <c r="N228" s="5"/>
      <c r="O228" s="5"/>
      <c r="P228" s="5"/>
    </row>
    <row r="229" spans="1:16" x14ac:dyDescent="0.25">
      <c r="A229" s="42"/>
      <c r="B229" s="42"/>
      <c r="C229" s="42" t="s">
        <v>88</v>
      </c>
      <c r="D229" s="40" t="str">
        <f>IF(SLICER_ID="super","80%",0.8)</f>
        <v>80%</v>
      </c>
      <c r="E229" s="3"/>
      <c r="F229" s="3"/>
      <c r="G229" s="3"/>
      <c r="H229" s="3"/>
      <c r="I229" s="3"/>
      <c r="J229" s="3"/>
      <c r="K229" s="3"/>
      <c r="L229" s="3"/>
      <c r="M229" s="3"/>
      <c r="N229" s="3"/>
      <c r="O229" s="3"/>
      <c r="P229" s="3"/>
    </row>
    <row r="230" spans="1:16" x14ac:dyDescent="0.25">
      <c r="A230" s="43"/>
      <c r="B230" s="43" t="s">
        <v>1418</v>
      </c>
      <c r="C230" s="43" t="s">
        <v>1390</v>
      </c>
      <c r="D230" s="58">
        <v>1.1000000000000001</v>
      </c>
      <c r="E230" s="4"/>
      <c r="F230" s="4"/>
      <c r="G230" s="4"/>
      <c r="H230" s="4"/>
      <c r="I230" s="4"/>
      <c r="J230" s="4"/>
      <c r="K230" s="4"/>
      <c r="L230" s="4"/>
      <c r="M230" s="4"/>
      <c r="N230" s="4"/>
      <c r="O230" s="4"/>
      <c r="P230" s="4"/>
    </row>
    <row r="231" spans="1:16" x14ac:dyDescent="0.25">
      <c r="A231" s="42"/>
      <c r="B231" s="42" t="s">
        <v>1418</v>
      </c>
      <c r="C231" s="42" t="s">
        <v>1370</v>
      </c>
      <c r="D231" s="35">
        <v>1</v>
      </c>
      <c r="E231" s="3"/>
      <c r="F231" s="3"/>
      <c r="G231" s="3"/>
      <c r="H231" s="3"/>
      <c r="I231" s="3"/>
      <c r="J231" s="3"/>
      <c r="K231" s="3"/>
      <c r="L231" s="3"/>
      <c r="M231" s="3"/>
      <c r="N231" s="3"/>
      <c r="O231" s="3"/>
      <c r="P231" s="3"/>
    </row>
    <row r="232" spans="1:16" x14ac:dyDescent="0.25">
      <c r="A232" s="43"/>
      <c r="B232" s="43" t="s">
        <v>1418</v>
      </c>
      <c r="C232" s="43" t="s">
        <v>1371</v>
      </c>
      <c r="D232" s="58">
        <v>1</v>
      </c>
      <c r="E232" s="4"/>
      <c r="F232" s="4"/>
      <c r="G232" s="4"/>
      <c r="H232" s="4"/>
      <c r="I232" s="4"/>
      <c r="J232" s="4"/>
      <c r="K232" s="4"/>
      <c r="L232" s="4"/>
      <c r="M232" s="4"/>
      <c r="N232" s="4"/>
      <c r="O232" s="4"/>
      <c r="P232" s="4"/>
    </row>
    <row r="233" spans="1:16" x14ac:dyDescent="0.25">
      <c r="A233" s="42"/>
      <c r="B233" s="42" t="s">
        <v>1418</v>
      </c>
      <c r="C233" s="42" t="s">
        <v>1360</v>
      </c>
      <c r="D233" s="35">
        <v>0</v>
      </c>
      <c r="E233" s="3"/>
      <c r="F233" s="3"/>
      <c r="G233" s="3"/>
      <c r="H233" s="3"/>
      <c r="I233" s="3"/>
      <c r="J233" s="3"/>
      <c r="K233" s="3"/>
      <c r="L233" s="3"/>
      <c r="M233" s="3"/>
      <c r="N233" s="3"/>
      <c r="O233" s="3"/>
      <c r="P233" s="3"/>
    </row>
    <row r="234" spans="1:16" x14ac:dyDescent="0.25">
      <c r="A234" s="44" t="s">
        <v>225</v>
      </c>
      <c r="B234" s="44"/>
      <c r="C234" s="44" t="s">
        <v>1552</v>
      </c>
      <c r="D234" s="33"/>
      <c r="E234" s="5"/>
      <c r="F234" s="5"/>
      <c r="G234" s="5"/>
      <c r="H234" s="5"/>
      <c r="I234" s="5"/>
      <c r="J234" s="5"/>
      <c r="K234" s="5"/>
      <c r="L234" s="5"/>
      <c r="M234" s="5"/>
      <c r="N234" s="5"/>
      <c r="O234" s="5"/>
      <c r="P234" s="5"/>
    </row>
    <row r="235" spans="1:16" x14ac:dyDescent="0.25">
      <c r="A235" s="42"/>
      <c r="B235" s="42" t="s">
        <v>1418</v>
      </c>
      <c r="C235" s="42" t="s">
        <v>1356</v>
      </c>
      <c r="D235" s="40">
        <v>6</v>
      </c>
      <c r="E235" s="3"/>
      <c r="F235" s="3"/>
      <c r="G235" s="3"/>
      <c r="H235" s="3"/>
      <c r="I235" s="3"/>
      <c r="J235" s="3"/>
      <c r="K235" s="3"/>
      <c r="L235" s="3"/>
      <c r="M235" s="3"/>
      <c r="N235" s="3"/>
      <c r="O235" s="3"/>
      <c r="P235" s="3"/>
    </row>
    <row r="236" spans="1:16" x14ac:dyDescent="0.25">
      <c r="A236" s="44"/>
      <c r="B236" s="44"/>
      <c r="C236" s="44" t="s">
        <v>418</v>
      </c>
      <c r="D236" s="33"/>
      <c r="E236" s="5"/>
      <c r="F236" s="5"/>
      <c r="G236" s="5"/>
      <c r="H236" s="5"/>
      <c r="I236" s="5"/>
      <c r="J236" s="5"/>
      <c r="K236" s="5"/>
      <c r="L236" s="5"/>
      <c r="M236" s="5"/>
      <c r="N236" s="5"/>
      <c r="O236" s="5"/>
      <c r="P236" s="5"/>
    </row>
    <row r="237" spans="1:16" x14ac:dyDescent="0.25">
      <c r="A237" s="42"/>
      <c r="B237" s="42"/>
      <c r="C237" s="42" t="s">
        <v>93</v>
      </c>
      <c r="D237" s="22"/>
      <c r="E237" s="3"/>
      <c r="F237" s="3"/>
      <c r="G237" s="3"/>
      <c r="H237" s="3"/>
      <c r="I237" s="3"/>
      <c r="J237" s="3"/>
      <c r="K237" s="3"/>
      <c r="L237" s="3"/>
      <c r="M237" s="3"/>
      <c r="N237" s="3"/>
      <c r="O237" s="3"/>
      <c r="P237" s="3"/>
    </row>
    <row r="238" spans="1:16" x14ac:dyDescent="0.25">
      <c r="A238" s="43"/>
      <c r="B238" s="43" t="s">
        <v>1418</v>
      </c>
      <c r="C238" s="43" t="s">
        <v>1349</v>
      </c>
      <c r="D238" s="79">
        <v>0</v>
      </c>
      <c r="E238" s="4"/>
      <c r="F238" s="4"/>
      <c r="G238" s="4"/>
      <c r="H238" s="4"/>
      <c r="I238" s="4"/>
      <c r="J238" s="4"/>
      <c r="K238" s="4"/>
      <c r="L238" s="4"/>
      <c r="M238" s="4"/>
      <c r="N238" s="4"/>
      <c r="O238" s="4"/>
      <c r="P238" s="4"/>
    </row>
    <row r="239" spans="1:16" x14ac:dyDescent="0.25">
      <c r="A239" s="42"/>
      <c r="B239" s="42" t="s">
        <v>1418</v>
      </c>
      <c r="C239" s="42" t="s">
        <v>1350</v>
      </c>
      <c r="D239" s="22"/>
      <c r="E239" s="3"/>
      <c r="F239" s="3"/>
      <c r="G239" s="3"/>
      <c r="H239" s="3"/>
      <c r="I239" s="3"/>
      <c r="J239" s="3"/>
      <c r="K239" s="3"/>
      <c r="L239" s="3"/>
      <c r="M239" s="3"/>
      <c r="N239" s="3"/>
      <c r="O239" s="3"/>
      <c r="P239" s="3"/>
    </row>
    <row r="240" spans="1:16" x14ac:dyDescent="0.25">
      <c r="A240" s="43"/>
      <c r="B240" s="43"/>
      <c r="C240" s="43" t="s">
        <v>94</v>
      </c>
      <c r="D240" s="25">
        <v>20</v>
      </c>
      <c r="E240" s="4"/>
      <c r="F240" s="4"/>
      <c r="G240" s="4"/>
      <c r="H240" s="4"/>
      <c r="I240" s="4"/>
      <c r="J240" s="4"/>
      <c r="K240" s="4"/>
      <c r="L240" s="4"/>
      <c r="M240" s="4"/>
      <c r="N240" s="4"/>
      <c r="O240" s="4"/>
      <c r="P240" s="4"/>
    </row>
    <row r="241" spans="1:16" x14ac:dyDescent="0.25">
      <c r="A241" s="42"/>
      <c r="B241" s="42"/>
      <c r="C241" s="42" t="s">
        <v>95</v>
      </c>
      <c r="D241" s="22">
        <v>20</v>
      </c>
      <c r="E241" s="3"/>
      <c r="F241" s="3"/>
      <c r="G241" s="3"/>
      <c r="H241" s="3"/>
      <c r="I241" s="3"/>
      <c r="J241" s="3"/>
      <c r="K241" s="3"/>
      <c r="L241" s="3"/>
      <c r="M241" s="3"/>
      <c r="N241" s="3"/>
      <c r="O241" s="3"/>
      <c r="P241" s="3"/>
    </row>
    <row r="242" spans="1:16" x14ac:dyDescent="0.25">
      <c r="A242" s="44"/>
      <c r="B242" s="44"/>
      <c r="C242" s="44" t="s">
        <v>419</v>
      </c>
      <c r="D242" s="33"/>
      <c r="E242" s="5"/>
      <c r="F242" s="5"/>
      <c r="G242" s="5"/>
      <c r="H242" s="5"/>
      <c r="I242" s="5"/>
      <c r="J242" s="5"/>
      <c r="K242" s="5"/>
      <c r="L242" s="5"/>
      <c r="M242" s="5"/>
      <c r="N242" s="5"/>
      <c r="O242" s="5"/>
      <c r="P242" s="5"/>
    </row>
    <row r="243" spans="1:16" x14ac:dyDescent="0.25">
      <c r="A243" s="42"/>
      <c r="B243" s="42"/>
      <c r="C243" s="42" t="s">
        <v>96</v>
      </c>
      <c r="D243" s="22" t="str">
        <f>Get_Machine_Spec(C243)</f>
        <v>0</v>
      </c>
      <c r="E243" s="3"/>
      <c r="F243" s="3"/>
      <c r="G243" s="3"/>
      <c r="H243" s="3"/>
      <c r="I243" s="3"/>
      <c r="J243" s="3"/>
      <c r="K243" s="3"/>
      <c r="L243" s="3"/>
      <c r="M243" s="3"/>
      <c r="N243" s="3"/>
      <c r="O243" s="3"/>
      <c r="P243" s="3"/>
    </row>
    <row r="244" spans="1:16" x14ac:dyDescent="0.25">
      <c r="A244" s="43"/>
      <c r="B244" s="43"/>
      <c r="C244" s="43" t="s">
        <v>292</v>
      </c>
      <c r="D244" s="25" t="str">
        <f>Get_Machine_Spec(C244)</f>
        <v>0</v>
      </c>
      <c r="E244" s="4"/>
      <c r="F244" s="4"/>
      <c r="G244" s="4"/>
      <c r="H244" s="4"/>
      <c r="I244" s="4"/>
      <c r="J244" s="4"/>
      <c r="K244" s="4"/>
      <c r="L244" s="4"/>
      <c r="M244" s="4"/>
      <c r="N244" s="4"/>
      <c r="O244" s="4"/>
      <c r="P244" s="4"/>
    </row>
    <row r="245" spans="1:16" x14ac:dyDescent="0.25">
      <c r="A245" s="42"/>
      <c r="B245" s="42"/>
      <c r="C245" s="42" t="s">
        <v>97</v>
      </c>
      <c r="D245" s="22" t="s">
        <v>1486</v>
      </c>
      <c r="E245" s="3"/>
      <c r="F245" s="3"/>
      <c r="G245" s="3"/>
      <c r="H245" s="3"/>
      <c r="I245" s="3"/>
      <c r="J245" s="3"/>
      <c r="K245" s="3"/>
      <c r="L245" s="3"/>
      <c r="M245" s="3"/>
      <c r="N245" s="3"/>
      <c r="O245" s="3"/>
      <c r="P245" s="3"/>
    </row>
    <row r="246" spans="1:16" x14ac:dyDescent="0.25">
      <c r="A246" s="44"/>
      <c r="B246" s="44"/>
      <c r="C246" s="44" t="s">
        <v>1553</v>
      </c>
      <c r="D246" s="33"/>
      <c r="E246" s="5"/>
      <c r="F246" s="5"/>
      <c r="G246" s="5"/>
      <c r="H246" s="5"/>
      <c r="I246" s="5"/>
      <c r="J246" s="5"/>
      <c r="K246" s="5"/>
      <c r="L246" s="5"/>
      <c r="M246" s="5"/>
      <c r="N246" s="5"/>
      <c r="O246" s="5"/>
      <c r="P246" s="5"/>
    </row>
    <row r="247" spans="1:16" x14ac:dyDescent="0.25">
      <c r="A247" s="42"/>
      <c r="B247" s="42" t="s">
        <v>1418</v>
      </c>
      <c r="C247" s="42" t="s">
        <v>1381</v>
      </c>
      <c r="D247" s="22"/>
      <c r="E247" s="3"/>
      <c r="F247" s="3"/>
      <c r="G247" s="3"/>
      <c r="H247" s="3"/>
      <c r="I247" s="3"/>
      <c r="J247" s="3"/>
      <c r="K247" s="3"/>
      <c r="L247" s="3"/>
      <c r="M247" s="3"/>
      <c r="N247" s="3"/>
      <c r="O247" s="3"/>
      <c r="P247" s="3"/>
    </row>
    <row r="248" spans="1:16" x14ac:dyDescent="0.25">
      <c r="A248" s="43"/>
      <c r="B248" s="43" t="s">
        <v>1418</v>
      </c>
      <c r="C248" s="43" t="s">
        <v>1382</v>
      </c>
      <c r="D248" s="25"/>
      <c r="E248" s="4"/>
      <c r="F248" s="4"/>
      <c r="G248" s="4"/>
      <c r="H248" s="4"/>
      <c r="I248" s="4"/>
      <c r="J248" s="4"/>
      <c r="K248" s="4"/>
      <c r="L248" s="4"/>
      <c r="M248" s="4"/>
      <c r="N248" s="4"/>
      <c r="O248" s="4"/>
      <c r="P248" s="4"/>
    </row>
    <row r="249" spans="1:16" x14ac:dyDescent="0.25">
      <c r="A249" s="42"/>
      <c r="B249" s="42" t="s">
        <v>1418</v>
      </c>
      <c r="C249" s="42" t="s">
        <v>1383</v>
      </c>
      <c r="D249" s="22"/>
      <c r="E249" s="3"/>
      <c r="F249" s="3"/>
      <c r="G249" s="3"/>
      <c r="H249" s="3"/>
      <c r="I249" s="3"/>
      <c r="J249" s="3"/>
      <c r="K249" s="3"/>
      <c r="L249" s="3"/>
      <c r="M249" s="3"/>
      <c r="N249" s="3"/>
      <c r="O249" s="3"/>
      <c r="P249" s="3"/>
    </row>
    <row r="250" spans="1:16" x14ac:dyDescent="0.25">
      <c r="A250" s="43"/>
      <c r="B250" s="43" t="s">
        <v>1418</v>
      </c>
      <c r="C250" s="43" t="s">
        <v>1384</v>
      </c>
      <c r="D250" s="25"/>
      <c r="E250" s="4"/>
      <c r="F250" s="4"/>
      <c r="G250" s="4"/>
      <c r="H250" s="4"/>
      <c r="I250" s="4"/>
      <c r="J250" s="4"/>
      <c r="K250" s="4"/>
      <c r="L250" s="4"/>
      <c r="M250" s="4"/>
      <c r="N250" s="4"/>
      <c r="O250" s="4"/>
      <c r="P250" s="4"/>
    </row>
    <row r="251" spans="1:16" x14ac:dyDescent="0.25">
      <c r="A251" s="44"/>
      <c r="B251" s="44"/>
      <c r="C251" s="44" t="s">
        <v>420</v>
      </c>
      <c r="D251" s="33"/>
      <c r="E251" s="5"/>
      <c r="F251" s="5"/>
      <c r="G251" s="5"/>
      <c r="H251" s="5"/>
      <c r="I251" s="5"/>
      <c r="J251" s="5"/>
      <c r="K251" s="5"/>
      <c r="L251" s="5"/>
      <c r="M251" s="5"/>
      <c r="N251" s="5"/>
      <c r="O251" s="5"/>
      <c r="P251" s="5"/>
    </row>
    <row r="252" spans="1:16" x14ac:dyDescent="0.25">
      <c r="A252" s="42"/>
      <c r="B252" s="42"/>
      <c r="C252" s="42" t="s">
        <v>98</v>
      </c>
      <c r="D252" s="22"/>
      <c r="E252" s="3"/>
      <c r="F252" s="3"/>
      <c r="G252" s="3"/>
      <c r="H252" s="3"/>
      <c r="I252" s="3"/>
      <c r="J252" s="3"/>
      <c r="K252" s="3"/>
      <c r="L252" s="3"/>
      <c r="M252" s="3"/>
      <c r="N252" s="3"/>
      <c r="O252" s="3"/>
      <c r="P252" s="3"/>
    </row>
    <row r="253" spans="1:16" x14ac:dyDescent="0.25">
      <c r="A253" s="44" t="s">
        <v>226</v>
      </c>
      <c r="B253" s="44"/>
      <c r="C253" s="44" t="s">
        <v>384</v>
      </c>
      <c r="D253" s="33"/>
      <c r="E253" s="5"/>
      <c r="F253" s="5"/>
      <c r="G253" s="5"/>
      <c r="H253" s="5"/>
      <c r="I253" s="5"/>
      <c r="J253" s="5"/>
      <c r="K253" s="5"/>
      <c r="L253" s="5"/>
      <c r="M253" s="5"/>
      <c r="N253" s="5"/>
      <c r="O253" s="5"/>
      <c r="P253" s="5"/>
    </row>
    <row r="254" spans="1:16" x14ac:dyDescent="0.25">
      <c r="A254" s="42"/>
      <c r="B254" s="42"/>
      <c r="C254" s="42" t="s">
        <v>99</v>
      </c>
      <c r="D254" s="22"/>
      <c r="E254" s="3"/>
      <c r="F254" s="3"/>
      <c r="G254" s="3"/>
      <c r="H254" s="3"/>
      <c r="I254" s="3"/>
      <c r="J254" s="3"/>
      <c r="K254" s="3"/>
      <c r="L254" s="3"/>
      <c r="M254" s="3"/>
      <c r="N254" s="3"/>
      <c r="O254" s="3"/>
      <c r="P254" s="3"/>
    </row>
    <row r="255" spans="1:16" x14ac:dyDescent="0.25">
      <c r="A255" s="44" t="s">
        <v>227</v>
      </c>
      <c r="B255" s="44"/>
      <c r="C255" s="44" t="s">
        <v>421</v>
      </c>
      <c r="D255" s="33"/>
      <c r="E255" s="5"/>
      <c r="F255" s="5"/>
      <c r="G255" s="5"/>
      <c r="H255" s="5"/>
      <c r="I255" s="5"/>
      <c r="J255" s="5"/>
      <c r="K255" s="5"/>
      <c r="L255" s="5"/>
      <c r="M255" s="5"/>
      <c r="N255" s="5"/>
      <c r="O255" s="5"/>
      <c r="P255" s="5"/>
    </row>
    <row r="256" spans="1:16" x14ac:dyDescent="0.25">
      <c r="A256" s="42"/>
      <c r="B256" s="42"/>
      <c r="C256" s="42" t="s">
        <v>138</v>
      </c>
      <c r="D256" s="22" t="str">
        <f>Printer_Name &amp; " " &amp; LOWER(D2)</f>
        <v>AnyCubic E3D V6 0.6 mm abs</v>
      </c>
      <c r="E256" s="3"/>
      <c r="F256" s="3"/>
      <c r="G256" s="3"/>
      <c r="H256" s="3"/>
      <c r="I256" s="3"/>
      <c r="J256" s="3"/>
      <c r="K256" s="3"/>
      <c r="L256" s="3"/>
      <c r="M256" s="3"/>
      <c r="N256" s="3"/>
      <c r="O256" s="3"/>
      <c r="P256" s="3"/>
    </row>
    <row r="257" spans="1:16" x14ac:dyDescent="0.25">
      <c r="A257" s="43"/>
      <c r="B257" s="43"/>
      <c r="C257" s="43" t="s">
        <v>139</v>
      </c>
      <c r="D257" s="25"/>
      <c r="E257" s="4"/>
      <c r="F257" s="4"/>
      <c r="G257" s="4"/>
      <c r="H257" s="4"/>
      <c r="I257" s="4"/>
      <c r="J257" s="4"/>
      <c r="K257" s="4"/>
      <c r="L257" s="4"/>
      <c r="M257" s="4"/>
      <c r="N257" s="4"/>
      <c r="O257" s="4"/>
      <c r="P257" s="4"/>
    </row>
    <row r="258" spans="1:16" x14ac:dyDescent="0.25">
      <c r="A258" s="42"/>
      <c r="B258" s="42"/>
      <c r="C258" s="42" t="s">
        <v>361</v>
      </c>
      <c r="D258" s="22"/>
      <c r="E258" s="3"/>
      <c r="F258" s="3"/>
      <c r="G258" s="3"/>
      <c r="H258" s="3"/>
      <c r="I258" s="3"/>
      <c r="J258" s="3"/>
      <c r="K258" s="3"/>
      <c r="L258" s="3"/>
      <c r="M258" s="3"/>
      <c r="N258" s="3"/>
      <c r="O258" s="3"/>
      <c r="P258" s="3"/>
    </row>
    <row r="259" spans="1:16" x14ac:dyDescent="0.25">
      <c r="A259" s="43"/>
      <c r="B259" s="43"/>
      <c r="C259" s="43" t="s">
        <v>368</v>
      </c>
      <c r="D259" s="25"/>
      <c r="E259" s="4"/>
      <c r="F259" s="4"/>
      <c r="G259" s="4"/>
      <c r="H259" s="4"/>
      <c r="I259" s="4"/>
      <c r="J259" s="4"/>
      <c r="K259" s="4"/>
      <c r="L259" s="4"/>
      <c r="M259" s="4"/>
      <c r="N259" s="4"/>
      <c r="O259" s="4"/>
      <c r="P259" s="4"/>
    </row>
    <row r="260" spans="1:16" x14ac:dyDescent="0.25">
      <c r="A260" s="44"/>
      <c r="B260" s="44"/>
      <c r="C260" s="44" t="s">
        <v>1420</v>
      </c>
      <c r="D260" s="33"/>
      <c r="E260" s="5"/>
      <c r="F260" s="5"/>
      <c r="G260" s="5"/>
      <c r="H260" s="5"/>
      <c r="I260" s="5"/>
      <c r="J260" s="5"/>
      <c r="K260" s="5"/>
      <c r="L260" s="5"/>
      <c r="M260" s="5"/>
      <c r="N260" s="5"/>
      <c r="O260" s="5"/>
      <c r="P260" s="5"/>
    </row>
    <row r="261" spans="1:16" x14ac:dyDescent="0.25">
      <c r="A261" s="44" t="s">
        <v>1419</v>
      </c>
      <c r="B261" s="44" t="s">
        <v>1418</v>
      </c>
      <c r="C261" s="44" t="s">
        <v>1417</v>
      </c>
      <c r="D261" s="33"/>
      <c r="E261" s="5"/>
      <c r="F261" s="5"/>
      <c r="G261" s="5"/>
      <c r="H261" s="5"/>
      <c r="I261" s="5"/>
      <c r="J261" s="5"/>
      <c r="K261" s="5"/>
      <c r="L261" s="5"/>
      <c r="M261" s="5"/>
      <c r="N261" s="5"/>
      <c r="O261" s="5"/>
      <c r="P261" s="5"/>
    </row>
    <row r="262" spans="1:16" x14ac:dyDescent="0.25">
      <c r="A262" s="42"/>
      <c r="B262" s="42" t="s">
        <v>1418</v>
      </c>
      <c r="C262" s="42" t="s">
        <v>1534</v>
      </c>
      <c r="D262" s="22"/>
      <c r="E262" s="3"/>
      <c r="F262" s="3"/>
      <c r="G262" s="3"/>
      <c r="H262" s="3"/>
      <c r="I262" s="3"/>
      <c r="J262" s="3"/>
      <c r="K262" s="3"/>
      <c r="L262" s="3"/>
      <c r="M262" s="3"/>
      <c r="N262" s="3"/>
      <c r="O262" s="3"/>
      <c r="P262" s="3"/>
    </row>
    <row r="263" spans="1:16" x14ac:dyDescent="0.25">
      <c r="A263" s="43"/>
      <c r="B263" s="43" t="s">
        <v>1418</v>
      </c>
      <c r="C263" s="43" t="s">
        <v>1535</v>
      </c>
      <c r="D263" s="25"/>
      <c r="E263" s="4"/>
      <c r="F263" s="4"/>
      <c r="G263" s="4"/>
      <c r="H263" s="4"/>
      <c r="I263" s="4"/>
      <c r="J263" s="4"/>
      <c r="K263" s="4"/>
      <c r="L263" s="4"/>
      <c r="M263" s="4"/>
      <c r="N263" s="4"/>
      <c r="O263" s="4"/>
      <c r="P263" s="4"/>
    </row>
    <row r="264" spans="1:16" x14ac:dyDescent="0.25">
      <c r="A264" s="42"/>
      <c r="B264" s="42" t="s">
        <v>1418</v>
      </c>
      <c r="C264" s="42" t="s">
        <v>1536</v>
      </c>
      <c r="D264" s="22"/>
      <c r="E264" s="3"/>
      <c r="F264" s="3"/>
      <c r="G264" s="3"/>
      <c r="H264" s="3"/>
      <c r="I264" s="3"/>
      <c r="J264" s="3"/>
      <c r="K264" s="3"/>
      <c r="L264" s="3"/>
      <c r="M264" s="3"/>
      <c r="N264" s="3"/>
      <c r="O264" s="3"/>
      <c r="P264" s="3"/>
    </row>
    <row r="265" spans="1:16" x14ac:dyDescent="0.25">
      <c r="A265" s="43"/>
      <c r="B265" s="43" t="s">
        <v>1418</v>
      </c>
      <c r="C265" s="43" t="s">
        <v>1358</v>
      </c>
      <c r="D265" s="79"/>
      <c r="E265" s="4"/>
      <c r="F265" s="4"/>
      <c r="G265" s="4"/>
      <c r="H265" s="4"/>
      <c r="I265" s="4"/>
      <c r="J265" s="4"/>
      <c r="K265" s="4"/>
      <c r="L265" s="4"/>
      <c r="M265" s="4"/>
      <c r="N265" s="4"/>
      <c r="O265" s="4"/>
      <c r="P265" s="4"/>
    </row>
    <row r="266" spans="1:16" x14ac:dyDescent="0.25">
      <c r="A266" s="42"/>
      <c r="B266" s="42" t="s">
        <v>1418</v>
      </c>
      <c r="C266" s="42" t="s">
        <v>1380</v>
      </c>
      <c r="D266" s="40"/>
      <c r="E266" s="3"/>
      <c r="F266" s="3"/>
      <c r="G266" s="3"/>
      <c r="H266" s="3"/>
      <c r="I266" s="3"/>
      <c r="J266" s="3"/>
      <c r="K266" s="3"/>
      <c r="L266" s="3"/>
      <c r="M266" s="3"/>
      <c r="N266" s="3"/>
      <c r="O266" s="3"/>
      <c r="P266" s="3"/>
    </row>
    <row r="267" spans="1:16" x14ac:dyDescent="0.25">
      <c r="A267" s="43"/>
      <c r="B267" s="43" t="s">
        <v>1418</v>
      </c>
      <c r="C267" s="43" t="s">
        <v>1398</v>
      </c>
      <c r="D267" s="58"/>
      <c r="E267" s="4"/>
      <c r="F267" s="4"/>
      <c r="G267" s="4"/>
      <c r="H267" s="4"/>
      <c r="I267" s="4"/>
      <c r="J267" s="4"/>
      <c r="K267" s="4"/>
      <c r="L267" s="4"/>
      <c r="M267" s="4"/>
      <c r="N267" s="4"/>
      <c r="O267" s="4"/>
      <c r="P267" s="4"/>
    </row>
    <row r="268" spans="1:16" x14ac:dyDescent="0.25">
      <c r="A268" s="42"/>
      <c r="B268" s="42" t="s">
        <v>1418</v>
      </c>
      <c r="C268" s="42" t="s">
        <v>1399</v>
      </c>
      <c r="D268" s="40"/>
      <c r="E268" s="3"/>
      <c r="F268" s="3"/>
      <c r="G268" s="3"/>
      <c r="H268" s="3"/>
      <c r="I268" s="3"/>
      <c r="J268" s="3"/>
      <c r="K268" s="3"/>
      <c r="L268" s="3"/>
      <c r="M268" s="3"/>
      <c r="N268" s="3"/>
      <c r="O268" s="3"/>
      <c r="P268" s="3"/>
    </row>
    <row r="269" spans="1:16" x14ac:dyDescent="0.25">
      <c r="A269" s="43"/>
      <c r="B269" s="43" t="s">
        <v>1418</v>
      </c>
      <c r="C269" s="43" t="s">
        <v>1414</v>
      </c>
      <c r="D269" s="58"/>
      <c r="E269" s="4"/>
      <c r="F269" s="4"/>
      <c r="G269" s="4"/>
      <c r="H269" s="4"/>
      <c r="I269" s="4"/>
      <c r="J269" s="4"/>
      <c r="K269" s="4"/>
      <c r="L269" s="4"/>
      <c r="M269" s="4"/>
      <c r="N269" s="4"/>
      <c r="O269" s="4"/>
      <c r="P269" s="4"/>
    </row>
    <row r="270" spans="1:16" x14ac:dyDescent="0.25">
      <c r="A270" s="42"/>
      <c r="B270" s="42" t="s">
        <v>1418</v>
      </c>
      <c r="C270" s="42" t="s">
        <v>1529</v>
      </c>
      <c r="D270" s="22"/>
      <c r="E270" s="3"/>
      <c r="F270" s="3"/>
      <c r="G270" s="3"/>
      <c r="H270" s="3"/>
      <c r="I270" s="3"/>
      <c r="J270" s="3"/>
      <c r="K270" s="3"/>
      <c r="L270" s="3"/>
      <c r="M270" s="3"/>
      <c r="N270" s="3"/>
      <c r="O270" s="3"/>
      <c r="P270" s="3"/>
    </row>
    <row r="271" spans="1:16" x14ac:dyDescent="0.25">
      <c r="A271" s="44"/>
      <c r="B271" s="44" t="s">
        <v>1418</v>
      </c>
      <c r="C271" s="44" t="s">
        <v>1416</v>
      </c>
      <c r="D271" s="33"/>
      <c r="E271" s="5"/>
      <c r="F271" s="5"/>
      <c r="G271" s="5"/>
      <c r="H271" s="5"/>
      <c r="I271" s="5"/>
      <c r="J271" s="5"/>
      <c r="K271" s="5"/>
      <c r="L271" s="5"/>
      <c r="M271" s="5"/>
      <c r="N271" s="5"/>
      <c r="O271" s="5"/>
      <c r="P271" s="5"/>
    </row>
    <row r="272" spans="1:16" x14ac:dyDescent="0.25">
      <c r="A272" s="42"/>
      <c r="B272" s="42"/>
      <c r="C272" s="42"/>
      <c r="D272" s="22"/>
      <c r="E272" s="3"/>
      <c r="F272" s="3"/>
      <c r="G272" s="3"/>
      <c r="H272" s="3"/>
      <c r="I272" s="3"/>
      <c r="J272" s="3"/>
      <c r="K272" s="3"/>
      <c r="L272" s="3"/>
      <c r="M272" s="3"/>
      <c r="N272" s="3"/>
      <c r="O272" s="3"/>
      <c r="P272" s="3"/>
    </row>
    <row r="273" spans="1:16" x14ac:dyDescent="0.25">
      <c r="A273" s="43"/>
      <c r="B273" s="43"/>
      <c r="C273" s="43"/>
      <c r="D273" s="25"/>
      <c r="E273" s="4"/>
      <c r="F273" s="4"/>
      <c r="G273" s="4"/>
      <c r="H273" s="4"/>
      <c r="I273" s="4"/>
      <c r="J273" s="4"/>
      <c r="K273" s="4"/>
      <c r="L273" s="4"/>
      <c r="M273" s="4"/>
      <c r="N273" s="4"/>
      <c r="O273" s="4"/>
      <c r="P273" s="4"/>
    </row>
    <row r="274" spans="1:16" x14ac:dyDescent="0.25">
      <c r="A274" s="42"/>
      <c r="B274" s="42"/>
      <c r="C274" s="42"/>
      <c r="D274" s="22"/>
      <c r="E274" s="3"/>
      <c r="F274" s="3"/>
      <c r="G274" s="3"/>
      <c r="H274" s="3"/>
      <c r="I274" s="3"/>
      <c r="J274" s="3"/>
      <c r="K274" s="3"/>
      <c r="L274" s="3"/>
      <c r="M274" s="3"/>
      <c r="N274" s="3"/>
      <c r="O274" s="3"/>
      <c r="P274" s="3"/>
    </row>
    <row r="275" spans="1:16" x14ac:dyDescent="0.25">
      <c r="A275" s="43"/>
      <c r="B275" s="43"/>
      <c r="C275" s="43"/>
      <c r="D275" s="25"/>
      <c r="E275" s="4"/>
      <c r="F275" s="4"/>
      <c r="G275" s="4"/>
      <c r="H275" s="4"/>
      <c r="I275" s="4"/>
      <c r="J275" s="4"/>
      <c r="K275" s="4"/>
      <c r="L275" s="4"/>
      <c r="M275" s="4"/>
      <c r="N275" s="4"/>
      <c r="O275" s="4"/>
      <c r="P275" s="4"/>
    </row>
    <row r="276" spans="1:16" x14ac:dyDescent="0.25">
      <c r="A276" s="42"/>
      <c r="B276" s="42"/>
      <c r="C276" s="42"/>
      <c r="D276" s="22"/>
      <c r="E276" s="3"/>
      <c r="F276" s="3"/>
      <c r="G276" s="3"/>
      <c r="H276" s="3"/>
      <c r="I276" s="3"/>
      <c r="J276" s="3"/>
      <c r="K276" s="3"/>
      <c r="L276" s="3"/>
      <c r="M276" s="3"/>
      <c r="N276" s="3"/>
      <c r="O276" s="3"/>
      <c r="P276" s="3"/>
    </row>
    <row r="277" spans="1:16" x14ac:dyDescent="0.25">
      <c r="A277" s="43"/>
      <c r="B277" s="43"/>
      <c r="C277" s="43"/>
      <c r="D277" s="25"/>
      <c r="E277" s="4"/>
      <c r="F277" s="4"/>
      <c r="G277" s="4"/>
      <c r="H277" s="4"/>
      <c r="I277" s="4"/>
      <c r="J277" s="4"/>
      <c r="K277" s="4"/>
      <c r="L277" s="4"/>
      <c r="M277" s="4"/>
      <c r="N277" s="4"/>
      <c r="O277" s="4"/>
      <c r="P277" s="4"/>
    </row>
    <row r="278" spans="1:16" x14ac:dyDescent="0.25">
      <c r="A278" s="42"/>
      <c r="B278" s="42"/>
      <c r="C278" s="42"/>
      <c r="D278" s="22"/>
      <c r="E278" s="3"/>
      <c r="F278" s="3"/>
      <c r="G278" s="3"/>
      <c r="H278" s="3"/>
      <c r="I278" s="3"/>
      <c r="J278" s="3"/>
      <c r="K278" s="3"/>
      <c r="L278" s="3"/>
      <c r="M278" s="3"/>
      <c r="N278" s="3"/>
      <c r="O278" s="3"/>
      <c r="P278" s="3"/>
    </row>
    <row r="279" spans="1:16" x14ac:dyDescent="0.25">
      <c r="A279" s="43"/>
      <c r="B279" s="43"/>
      <c r="C279" s="43"/>
      <c r="D279" s="25"/>
      <c r="E279" s="4"/>
      <c r="F279" s="4"/>
      <c r="G279" s="4"/>
      <c r="H279" s="4"/>
      <c r="I279" s="4"/>
      <c r="J279" s="4"/>
      <c r="K279" s="4"/>
      <c r="L279" s="4"/>
      <c r="M279" s="4"/>
      <c r="N279" s="4"/>
      <c r="O279" s="4"/>
      <c r="P279" s="4"/>
    </row>
    <row r="280" spans="1:16" x14ac:dyDescent="0.25">
      <c r="A280" s="42"/>
      <c r="B280" s="42"/>
      <c r="C280" s="42"/>
      <c r="D280" s="22"/>
      <c r="E280" s="3"/>
      <c r="F280" s="3"/>
      <c r="G280" s="3"/>
      <c r="H280" s="3"/>
      <c r="I280" s="3"/>
      <c r="J280" s="3"/>
      <c r="K280" s="3"/>
      <c r="L280" s="3"/>
      <c r="M280" s="3"/>
      <c r="N280" s="3"/>
      <c r="O280" s="3"/>
      <c r="P280" s="3"/>
    </row>
    <row r="281" spans="1:16" x14ac:dyDescent="0.25">
      <c r="A281" s="43"/>
      <c r="B281" s="43"/>
      <c r="C281" s="43"/>
      <c r="D281" s="25"/>
      <c r="E281" s="4"/>
      <c r="F281" s="4"/>
      <c r="G281" s="4"/>
      <c r="H281" s="4"/>
      <c r="I281" s="4"/>
      <c r="J281" s="4"/>
      <c r="K281" s="4"/>
      <c r="L281" s="4"/>
      <c r="M281" s="4"/>
      <c r="N281" s="4"/>
      <c r="O281" s="4"/>
      <c r="P281" s="4"/>
    </row>
    <row r="282" spans="1:16" x14ac:dyDescent="0.25">
      <c r="A282" s="42"/>
      <c r="B282" s="42"/>
      <c r="C282" s="42"/>
      <c r="D282" s="22"/>
      <c r="E282" s="3"/>
      <c r="F282" s="3"/>
      <c r="G282" s="3"/>
      <c r="H282" s="3"/>
      <c r="I282" s="3"/>
      <c r="J282" s="3"/>
      <c r="K282" s="3"/>
      <c r="L282" s="3"/>
      <c r="M282" s="3"/>
      <c r="N282" s="3"/>
      <c r="O282" s="3"/>
      <c r="P282" s="3"/>
    </row>
    <row r="283" spans="1:16" x14ac:dyDescent="0.25">
      <c r="A283" s="43"/>
      <c r="B283" s="43"/>
      <c r="C283" s="43"/>
      <c r="D283" s="25"/>
      <c r="E283" s="4"/>
      <c r="F283" s="4"/>
      <c r="G283" s="4"/>
      <c r="H283" s="4"/>
      <c r="I283" s="4"/>
      <c r="J283" s="4"/>
      <c r="K283" s="4"/>
      <c r="L283" s="4"/>
      <c r="M283" s="4"/>
      <c r="N283" s="4"/>
      <c r="O283" s="4"/>
      <c r="P283" s="4"/>
    </row>
    <row r="284" spans="1:16" x14ac:dyDescent="0.25">
      <c r="A284" s="42"/>
      <c r="B284" s="42"/>
      <c r="C284" s="42"/>
      <c r="D284" s="22"/>
      <c r="E284" s="3"/>
      <c r="F284" s="3"/>
      <c r="G284" s="3"/>
      <c r="H284" s="3"/>
      <c r="I284" s="3"/>
      <c r="J284" s="3"/>
      <c r="K284" s="3"/>
      <c r="L284" s="3"/>
      <c r="M284" s="3"/>
      <c r="N284" s="3"/>
      <c r="O284" s="3"/>
      <c r="P284" s="3"/>
    </row>
    <row r="285" spans="1:16" x14ac:dyDescent="0.25">
      <c r="A285" s="43"/>
      <c r="B285" s="43"/>
      <c r="C285" s="43"/>
      <c r="D285" s="25"/>
      <c r="E285" s="4"/>
      <c r="F285" s="4"/>
      <c r="G285" s="4"/>
      <c r="H285" s="4"/>
      <c r="I285" s="4"/>
      <c r="J285" s="4"/>
      <c r="K285" s="4"/>
      <c r="L285" s="4"/>
      <c r="M285" s="4"/>
      <c r="N285" s="4"/>
      <c r="O285" s="4"/>
      <c r="P285" s="4"/>
    </row>
    <row r="286" spans="1:16" x14ac:dyDescent="0.25">
      <c r="A286" s="42"/>
      <c r="B286" s="42"/>
      <c r="C286" s="42"/>
      <c r="D286" s="22"/>
      <c r="E286" s="3"/>
      <c r="F286" s="3"/>
      <c r="G286" s="3"/>
      <c r="H286" s="3"/>
      <c r="I286" s="3"/>
      <c r="J286" s="3"/>
      <c r="K286" s="3"/>
      <c r="L286" s="3"/>
      <c r="M286" s="3"/>
      <c r="N286" s="3"/>
      <c r="O286" s="3"/>
      <c r="P286" s="3"/>
    </row>
    <row r="287" spans="1:16" x14ac:dyDescent="0.25">
      <c r="A287" s="43"/>
      <c r="B287" s="43"/>
      <c r="C287" s="43"/>
      <c r="D287" s="25"/>
      <c r="E287" s="4"/>
      <c r="F287" s="4"/>
      <c r="G287" s="4"/>
      <c r="H287" s="4"/>
      <c r="I287" s="4"/>
      <c r="J287" s="4"/>
      <c r="K287" s="4"/>
      <c r="L287" s="4"/>
      <c r="M287" s="4"/>
      <c r="N287" s="4"/>
      <c r="O287" s="4"/>
      <c r="P287" s="4"/>
    </row>
    <row r="288" spans="1:16" x14ac:dyDescent="0.25">
      <c r="A288" s="42"/>
      <c r="B288" s="42"/>
      <c r="C288" s="42"/>
      <c r="D288" s="22"/>
      <c r="E288" s="3"/>
      <c r="F288" s="3"/>
      <c r="G288" s="3"/>
      <c r="H288" s="3"/>
      <c r="I288" s="3"/>
      <c r="J288" s="3"/>
      <c r="K288" s="3"/>
      <c r="L288" s="3"/>
      <c r="M288" s="3"/>
      <c r="N288" s="3"/>
      <c r="O288" s="3"/>
      <c r="P288" s="3"/>
    </row>
    <row r="289" spans="1:16" x14ac:dyDescent="0.25">
      <c r="A289" s="43"/>
      <c r="B289" s="43"/>
      <c r="C289" s="43"/>
      <c r="D289" s="25"/>
      <c r="E289" s="4"/>
      <c r="F289" s="4"/>
      <c r="G289" s="4"/>
      <c r="H289" s="4"/>
      <c r="I289" s="4"/>
      <c r="J289" s="4"/>
      <c r="K289" s="4"/>
      <c r="L289" s="4"/>
      <c r="M289" s="4"/>
      <c r="N289" s="4"/>
      <c r="O289" s="4"/>
      <c r="P289" s="4"/>
    </row>
    <row r="290" spans="1:16" x14ac:dyDescent="0.25">
      <c r="A290" s="42"/>
      <c r="B290" s="42"/>
      <c r="C290" s="42"/>
      <c r="D290" s="22"/>
      <c r="E290" s="3"/>
      <c r="F290" s="3"/>
      <c r="G290" s="3"/>
      <c r="H290" s="3"/>
      <c r="I290" s="3"/>
      <c r="J290" s="3"/>
      <c r="K290" s="3"/>
      <c r="L290" s="3"/>
      <c r="M290" s="3"/>
      <c r="N290" s="3"/>
      <c r="O290" s="3"/>
      <c r="P290" s="3"/>
    </row>
    <row r="291" spans="1:16" x14ac:dyDescent="0.25">
      <c r="A291" s="43"/>
      <c r="B291" s="43"/>
      <c r="C291" s="43"/>
      <c r="D291" s="25"/>
      <c r="E291" s="4"/>
      <c r="F291" s="4"/>
      <c r="G291" s="4"/>
      <c r="H291" s="4"/>
      <c r="I291" s="4"/>
      <c r="J291" s="4"/>
      <c r="K291" s="4"/>
      <c r="L291" s="4"/>
      <c r="M291" s="4"/>
      <c r="N291" s="4"/>
      <c r="O291" s="4"/>
      <c r="P291" s="4"/>
    </row>
    <row r="292" spans="1:16" x14ac:dyDescent="0.25">
      <c r="A292" s="42"/>
      <c r="B292" s="42"/>
      <c r="C292" s="42"/>
      <c r="D292" s="22"/>
      <c r="E292" s="3"/>
      <c r="F292" s="3"/>
      <c r="G292" s="3"/>
      <c r="H292" s="3"/>
      <c r="I292" s="3"/>
      <c r="J292" s="3"/>
      <c r="K292" s="3"/>
      <c r="L292" s="3"/>
      <c r="M292" s="3"/>
      <c r="N292" s="3"/>
      <c r="O292" s="3"/>
      <c r="P292" s="3"/>
    </row>
    <row r="293" spans="1:16" x14ac:dyDescent="0.25">
      <c r="A293" s="43"/>
      <c r="B293" s="43"/>
      <c r="C293" s="43"/>
      <c r="D293" s="25"/>
      <c r="E293" s="4"/>
      <c r="F293" s="4"/>
      <c r="G293" s="4"/>
      <c r="H293" s="4"/>
      <c r="I293" s="4"/>
      <c r="J293" s="4"/>
      <c r="K293" s="4"/>
      <c r="L293" s="4"/>
      <c r="M293" s="4"/>
      <c r="N293" s="4"/>
      <c r="O293" s="4"/>
      <c r="P293" s="4"/>
    </row>
    <row r="294" spans="1:16" x14ac:dyDescent="0.25">
      <c r="A294" s="42"/>
      <c r="B294" s="42"/>
      <c r="C294" s="42"/>
      <c r="D294" s="22"/>
      <c r="E294" s="3"/>
      <c r="F294" s="3"/>
      <c r="G294" s="3"/>
      <c r="H294" s="3"/>
      <c r="I294" s="3"/>
      <c r="J294" s="3"/>
      <c r="K294" s="3"/>
      <c r="L294" s="3"/>
      <c r="M294" s="3"/>
      <c r="N294" s="3"/>
      <c r="O294" s="3"/>
      <c r="P294" s="3"/>
    </row>
    <row r="295" spans="1:16" x14ac:dyDescent="0.25">
      <c r="A295" s="43"/>
      <c r="B295" s="43"/>
      <c r="C295" s="43"/>
      <c r="D295" s="25"/>
      <c r="E295" s="4"/>
      <c r="F295" s="4"/>
      <c r="G295" s="4"/>
      <c r="H295" s="4"/>
      <c r="I295" s="4"/>
      <c r="J295" s="4"/>
      <c r="K295" s="4"/>
      <c r="L295" s="4"/>
      <c r="M295" s="4"/>
      <c r="N295" s="4"/>
      <c r="O295" s="4"/>
      <c r="P295" s="4"/>
    </row>
    <row r="296" spans="1:16" x14ac:dyDescent="0.25">
      <c r="A296" s="42"/>
      <c r="B296" s="42"/>
      <c r="C296" s="42"/>
      <c r="D296" s="22"/>
      <c r="E296" s="3"/>
      <c r="F296" s="3"/>
      <c r="G296" s="3"/>
      <c r="H296" s="3"/>
      <c r="I296" s="3"/>
      <c r="J296" s="3"/>
      <c r="K296" s="3"/>
      <c r="L296" s="3"/>
      <c r="M296" s="3"/>
      <c r="N296" s="3"/>
      <c r="O296" s="3"/>
      <c r="P296" s="3"/>
    </row>
    <row r="297" spans="1:16" x14ac:dyDescent="0.25">
      <c r="A297" s="43"/>
      <c r="B297" s="43"/>
      <c r="C297" s="43"/>
      <c r="D297" s="25"/>
      <c r="E297" s="4"/>
      <c r="F297" s="4"/>
      <c r="G297" s="4"/>
      <c r="H297" s="4"/>
      <c r="I297" s="4"/>
      <c r="J297" s="4"/>
      <c r="K297" s="4"/>
      <c r="L297" s="4"/>
      <c r="M297" s="4"/>
      <c r="N297" s="4"/>
      <c r="O297" s="4"/>
      <c r="P297" s="4"/>
    </row>
    <row r="298" spans="1:16" x14ac:dyDescent="0.25">
      <c r="A298" s="42"/>
      <c r="B298" s="42"/>
      <c r="C298" s="42"/>
      <c r="D298" s="22"/>
      <c r="E298" s="3"/>
      <c r="F298" s="3"/>
      <c r="G298" s="3"/>
      <c r="H298" s="3"/>
      <c r="I298" s="3"/>
      <c r="J298" s="3"/>
      <c r="K298" s="3"/>
      <c r="L298" s="3"/>
      <c r="M298" s="3"/>
      <c r="N298" s="3"/>
      <c r="O298" s="3"/>
      <c r="P298" s="3"/>
    </row>
    <row r="299" spans="1:16" x14ac:dyDescent="0.25">
      <c r="A299" s="43"/>
      <c r="B299" s="43"/>
      <c r="C299" s="43"/>
      <c r="D299" s="25"/>
      <c r="E299" s="4"/>
      <c r="F299" s="4"/>
      <c r="G299" s="4"/>
      <c r="H299" s="4"/>
      <c r="I299" s="4"/>
      <c r="J299" s="4"/>
      <c r="K299" s="4"/>
      <c r="L299" s="4"/>
      <c r="M299" s="4"/>
      <c r="N299" s="4"/>
      <c r="O299" s="4"/>
      <c r="P299" s="4"/>
    </row>
    <row r="300" spans="1:16" x14ac:dyDescent="0.25">
      <c r="A300" s="42"/>
      <c r="B300" s="42"/>
      <c r="C300" s="42"/>
      <c r="D300" s="40"/>
      <c r="E300" s="3"/>
      <c r="F300" s="3"/>
      <c r="G300" s="3"/>
      <c r="H300" s="3"/>
      <c r="I300" s="3"/>
      <c r="J300" s="3"/>
      <c r="K300" s="3"/>
      <c r="L300" s="3"/>
      <c r="M300" s="3"/>
      <c r="N300" s="3"/>
      <c r="O300" s="3"/>
      <c r="P300" s="3"/>
    </row>
    <row r="301" spans="1:16" x14ac:dyDescent="0.25">
      <c r="A301" s="43"/>
      <c r="B301" s="43"/>
      <c r="C301" s="43"/>
      <c r="D301" s="79"/>
      <c r="E301" s="4"/>
      <c r="F301" s="4"/>
      <c r="G301" s="4"/>
      <c r="H301" s="4"/>
      <c r="I301" s="4"/>
      <c r="J301" s="4"/>
      <c r="K301" s="4"/>
      <c r="L301" s="4"/>
      <c r="M301" s="4"/>
      <c r="N301" s="4"/>
      <c r="O301" s="4"/>
      <c r="P301" s="4"/>
    </row>
    <row r="302" spans="1:16" x14ac:dyDescent="0.25">
      <c r="A302" s="42"/>
      <c r="B302" s="42"/>
      <c r="C302" s="42"/>
      <c r="D302" s="40"/>
      <c r="E302" s="3"/>
      <c r="F302" s="3"/>
      <c r="G302" s="3"/>
      <c r="H302" s="3"/>
      <c r="I302" s="3"/>
      <c r="J302" s="3"/>
      <c r="K302" s="3"/>
      <c r="L302" s="3"/>
      <c r="M302" s="3"/>
      <c r="N302" s="3"/>
      <c r="O302" s="3"/>
      <c r="P302" s="3"/>
    </row>
    <row r="303" spans="1:16" x14ac:dyDescent="0.25">
      <c r="A303" s="43"/>
      <c r="B303" s="43"/>
      <c r="C303" s="43"/>
      <c r="D303" s="79"/>
      <c r="E303" s="4"/>
      <c r="F303" s="4"/>
      <c r="G303" s="4"/>
      <c r="H303" s="4"/>
      <c r="I303" s="4"/>
      <c r="J303" s="4"/>
      <c r="K303" s="4"/>
      <c r="L303" s="4"/>
      <c r="M303" s="4"/>
      <c r="N303" s="4"/>
      <c r="O303" s="4"/>
      <c r="P303" s="4"/>
    </row>
    <row r="304" spans="1:16" x14ac:dyDescent="0.25">
      <c r="A304" s="42"/>
      <c r="B304" s="42"/>
      <c r="C304" s="42"/>
      <c r="D304" s="22"/>
      <c r="E304" s="3"/>
      <c r="F304" s="3"/>
      <c r="G304" s="3"/>
      <c r="H304" s="3"/>
      <c r="I304" s="3"/>
      <c r="J304" s="3"/>
      <c r="K304" s="3"/>
      <c r="L304" s="3"/>
      <c r="M304" s="3"/>
      <c r="N304" s="3"/>
      <c r="O304" s="3"/>
      <c r="P304" s="3"/>
    </row>
    <row r="305" spans="1:16" x14ac:dyDescent="0.25">
      <c r="A305" s="43"/>
      <c r="B305" s="43"/>
      <c r="C305" s="43"/>
      <c r="D305" s="25"/>
      <c r="E305" s="4"/>
      <c r="F305" s="4"/>
      <c r="G305" s="4"/>
      <c r="H305" s="4"/>
      <c r="I305" s="4"/>
      <c r="J305" s="4"/>
      <c r="K305" s="4"/>
      <c r="L305" s="4"/>
      <c r="M305" s="4"/>
      <c r="N305" s="4"/>
      <c r="O305" s="4"/>
      <c r="P305" s="4"/>
    </row>
    <row r="306" spans="1:16" x14ac:dyDescent="0.25">
      <c r="A306" s="42"/>
      <c r="B306" s="42"/>
      <c r="C306" s="42"/>
      <c r="D306" s="22"/>
      <c r="E306" s="3"/>
      <c r="F306" s="3"/>
      <c r="G306" s="3"/>
      <c r="H306" s="3"/>
      <c r="I306" s="3"/>
      <c r="J306" s="3"/>
      <c r="K306" s="3"/>
      <c r="L306" s="3"/>
      <c r="M306" s="3"/>
      <c r="N306" s="3"/>
      <c r="O306" s="3"/>
      <c r="P306" s="3"/>
    </row>
    <row r="307" spans="1:16" x14ac:dyDescent="0.25">
      <c r="A307" s="43"/>
      <c r="B307" s="43"/>
      <c r="C307" s="43"/>
      <c r="D307" s="25"/>
      <c r="E307" s="4"/>
      <c r="F307" s="4"/>
      <c r="G307" s="4"/>
      <c r="H307" s="4"/>
      <c r="I307" s="4"/>
      <c r="J307" s="4"/>
      <c r="K307" s="4"/>
      <c r="L307" s="4"/>
      <c r="M307" s="4"/>
      <c r="N307" s="4"/>
      <c r="O307" s="4"/>
      <c r="P307" s="4"/>
    </row>
    <row r="308" spans="1:16" x14ac:dyDescent="0.25">
      <c r="A308" s="42"/>
      <c r="B308" s="42"/>
      <c r="C308" s="42"/>
      <c r="D308" s="22"/>
      <c r="E308" s="3"/>
      <c r="F308" s="3"/>
      <c r="G308" s="3"/>
      <c r="H308" s="3"/>
      <c r="I308" s="3"/>
      <c r="J308" s="3"/>
      <c r="K308" s="3"/>
      <c r="L308" s="3"/>
      <c r="M308" s="3"/>
      <c r="N308" s="3"/>
      <c r="O308" s="3"/>
      <c r="P308" s="3"/>
    </row>
    <row r="309" spans="1:16" x14ac:dyDescent="0.25">
      <c r="A309" s="43"/>
      <c r="B309" s="43"/>
      <c r="C309" s="43"/>
      <c r="D309" s="25"/>
      <c r="E309" s="4"/>
      <c r="F309" s="4"/>
      <c r="G309" s="4"/>
      <c r="H309" s="4"/>
      <c r="I309" s="4"/>
      <c r="J309" s="4"/>
      <c r="K309" s="4"/>
      <c r="L309" s="4"/>
      <c r="M309" s="4"/>
      <c r="N309" s="4"/>
      <c r="O309" s="4"/>
      <c r="P309" s="4"/>
    </row>
    <row r="310" spans="1:16" x14ac:dyDescent="0.25">
      <c r="A310" s="42"/>
      <c r="B310" s="42"/>
      <c r="C310" s="42"/>
      <c r="D310" s="22"/>
      <c r="E310" s="3"/>
      <c r="F310" s="3"/>
      <c r="G310" s="3"/>
      <c r="H310" s="3"/>
      <c r="I310" s="3"/>
      <c r="J310" s="3"/>
      <c r="K310" s="3"/>
      <c r="L310" s="3"/>
      <c r="M310" s="3"/>
      <c r="N310" s="3"/>
      <c r="O310" s="3"/>
      <c r="P310" s="3"/>
    </row>
    <row r="311" spans="1:16" x14ac:dyDescent="0.25">
      <c r="A311" s="43"/>
      <c r="B311" s="43"/>
      <c r="C311" s="43"/>
      <c r="D311" s="25"/>
      <c r="E311" s="4"/>
      <c r="F311" s="4"/>
      <c r="G311" s="4"/>
      <c r="H311" s="4"/>
      <c r="I311" s="4"/>
      <c r="J311" s="4"/>
      <c r="K311" s="4"/>
      <c r="L311" s="4"/>
      <c r="M311" s="4"/>
      <c r="N311" s="4"/>
      <c r="O311" s="4"/>
      <c r="P311" s="4"/>
    </row>
    <row r="312" spans="1:16" x14ac:dyDescent="0.25">
      <c r="A312" s="42"/>
      <c r="B312" s="42"/>
      <c r="C312" s="42"/>
      <c r="D312" s="22"/>
      <c r="E312" s="3"/>
      <c r="F312" s="3"/>
      <c r="G312" s="3"/>
      <c r="H312" s="3"/>
      <c r="I312" s="3"/>
      <c r="J312" s="3"/>
      <c r="K312" s="3"/>
      <c r="L312" s="3"/>
      <c r="M312" s="3"/>
      <c r="N312" s="3"/>
      <c r="O312" s="3"/>
      <c r="P312" s="3"/>
    </row>
    <row r="313" spans="1:16" x14ac:dyDescent="0.25">
      <c r="A313" s="43"/>
      <c r="B313" s="43"/>
      <c r="C313" s="43"/>
      <c r="D313" s="25"/>
      <c r="E313" s="4"/>
      <c r="F313" s="4"/>
      <c r="G313" s="4"/>
      <c r="H313" s="4"/>
      <c r="I313" s="4"/>
      <c r="J313" s="4"/>
      <c r="K313" s="4"/>
      <c r="L313" s="4"/>
      <c r="M313" s="4"/>
      <c r="N313" s="4"/>
      <c r="O313" s="4"/>
      <c r="P313" s="4"/>
    </row>
    <row r="314" spans="1:16" x14ac:dyDescent="0.25">
      <c r="A314" s="42"/>
      <c r="B314" s="42"/>
      <c r="C314" s="42"/>
      <c r="D314" s="22"/>
      <c r="E314" s="3"/>
      <c r="F314" s="3"/>
      <c r="G314" s="3"/>
      <c r="H314" s="3"/>
      <c r="I314" s="3"/>
      <c r="J314" s="3"/>
      <c r="K314" s="3"/>
      <c r="L314" s="3"/>
      <c r="M314" s="3"/>
      <c r="N314" s="3"/>
      <c r="O314" s="3"/>
      <c r="P314" s="3"/>
    </row>
    <row r="315" spans="1:16" x14ac:dyDescent="0.25">
      <c r="A315" s="43"/>
      <c r="B315" s="43"/>
      <c r="C315" s="43"/>
      <c r="D315" s="25"/>
      <c r="E315" s="4"/>
      <c r="F315" s="4"/>
      <c r="G315" s="4"/>
      <c r="H315" s="4"/>
      <c r="I315" s="4"/>
      <c r="J315" s="4"/>
      <c r="K315" s="4"/>
      <c r="L315" s="4"/>
      <c r="M315" s="4"/>
      <c r="N315" s="4"/>
      <c r="O315" s="4"/>
      <c r="P315" s="4"/>
    </row>
    <row r="316" spans="1:16" x14ac:dyDescent="0.25">
      <c r="A316" s="42"/>
      <c r="B316" s="42"/>
      <c r="C316" s="42"/>
      <c r="D316" s="22"/>
      <c r="E316" s="3"/>
      <c r="F316" s="3"/>
      <c r="G316" s="3"/>
      <c r="H316" s="3"/>
      <c r="I316" s="3"/>
      <c r="J316" s="3"/>
      <c r="K316" s="3"/>
      <c r="L316" s="3"/>
      <c r="M316" s="3"/>
      <c r="N316" s="3"/>
      <c r="O316" s="3"/>
      <c r="P316" s="3"/>
    </row>
    <row r="317" spans="1:16" x14ac:dyDescent="0.25">
      <c r="A317" s="43"/>
      <c r="B317" s="43"/>
      <c r="C317" s="43"/>
      <c r="D317" s="25"/>
      <c r="E317" s="4"/>
      <c r="F317" s="4"/>
      <c r="G317" s="4"/>
      <c r="H317" s="4"/>
      <c r="I317" s="4"/>
      <c r="J317" s="4"/>
      <c r="K317" s="4"/>
      <c r="L317" s="4"/>
      <c r="M317" s="4"/>
      <c r="N317" s="4"/>
      <c r="O317" s="4"/>
      <c r="P317" s="4"/>
    </row>
    <row r="318" spans="1:16" x14ac:dyDescent="0.25">
      <c r="A318" s="42"/>
      <c r="B318" s="42"/>
      <c r="C318" s="42"/>
      <c r="D318" s="22"/>
      <c r="E318" s="3"/>
      <c r="F318" s="3"/>
      <c r="G318" s="3"/>
      <c r="H318" s="3"/>
      <c r="I318" s="3"/>
      <c r="J318" s="3"/>
      <c r="K318" s="3"/>
      <c r="L318" s="3"/>
      <c r="M318" s="3"/>
      <c r="N318" s="3"/>
      <c r="O318" s="3"/>
      <c r="P318" s="3"/>
    </row>
    <row r="319" spans="1:16" x14ac:dyDescent="0.25">
      <c r="A319" s="43"/>
      <c r="B319" s="43"/>
      <c r="C319" s="43"/>
      <c r="D319" s="25"/>
      <c r="E319" s="4"/>
      <c r="F319" s="4"/>
      <c r="G319" s="4"/>
      <c r="H319" s="4"/>
      <c r="I319" s="4"/>
      <c r="J319" s="4"/>
      <c r="K319" s="4"/>
      <c r="L319" s="4"/>
      <c r="M319" s="4"/>
      <c r="N319" s="4"/>
      <c r="O319" s="4"/>
      <c r="P319" s="4"/>
    </row>
    <row r="320" spans="1:16" x14ac:dyDescent="0.25">
      <c r="A320" s="42"/>
      <c r="B320" s="42"/>
      <c r="C320" s="42"/>
      <c r="D320" s="22"/>
      <c r="E320" s="3"/>
      <c r="F320" s="3"/>
      <c r="G320" s="3"/>
      <c r="H320" s="3"/>
      <c r="I320" s="3"/>
      <c r="J320" s="3"/>
      <c r="K320" s="3"/>
      <c r="L320" s="3"/>
      <c r="M320" s="3"/>
      <c r="N320" s="3"/>
      <c r="O320" s="3"/>
      <c r="P320" s="3"/>
    </row>
    <row r="321" spans="1:16" x14ac:dyDescent="0.25">
      <c r="A321" s="43"/>
      <c r="B321" s="43"/>
      <c r="C321" s="43"/>
      <c r="D321" s="25"/>
      <c r="E321" s="4"/>
      <c r="F321" s="4"/>
      <c r="G321" s="4"/>
      <c r="H321" s="4"/>
      <c r="I321" s="4"/>
      <c r="J321" s="4"/>
      <c r="K321" s="4"/>
      <c r="L321" s="4"/>
      <c r="M321" s="4"/>
      <c r="N321" s="4"/>
      <c r="O321" s="4"/>
      <c r="P321" s="4"/>
    </row>
    <row r="322" spans="1:16" x14ac:dyDescent="0.25">
      <c r="A322" s="42"/>
      <c r="B322" s="42"/>
      <c r="C322" s="42"/>
      <c r="D322" s="22"/>
      <c r="E322" s="3"/>
      <c r="F322" s="3"/>
      <c r="G322" s="3"/>
      <c r="H322" s="3"/>
      <c r="I322" s="3"/>
      <c r="J322" s="3"/>
      <c r="K322" s="3"/>
      <c r="L322" s="3"/>
      <c r="M322" s="3"/>
      <c r="N322" s="3"/>
      <c r="O322" s="3"/>
      <c r="P322" s="3"/>
    </row>
    <row r="323" spans="1:16" x14ac:dyDescent="0.25">
      <c r="A323" s="43"/>
      <c r="B323" s="43"/>
      <c r="C323" s="43"/>
      <c r="D323" s="25"/>
      <c r="E323" s="4"/>
      <c r="F323" s="4"/>
      <c r="G323" s="4"/>
      <c r="H323" s="4"/>
      <c r="I323" s="4"/>
      <c r="J323" s="4"/>
      <c r="K323" s="4"/>
      <c r="L323" s="4"/>
      <c r="M323" s="4"/>
      <c r="N323" s="4"/>
      <c r="O323" s="4"/>
      <c r="P323" s="4"/>
    </row>
    <row r="324" spans="1:16" x14ac:dyDescent="0.25">
      <c r="A324" s="42"/>
      <c r="B324" s="42"/>
      <c r="C324" s="42"/>
      <c r="D324" s="22"/>
      <c r="E324" s="3"/>
      <c r="F324" s="3"/>
      <c r="G324" s="3"/>
      <c r="H324" s="3"/>
      <c r="I324" s="3"/>
      <c r="J324" s="3"/>
      <c r="K324" s="3"/>
      <c r="L324" s="3"/>
      <c r="M324" s="3"/>
      <c r="N324" s="3"/>
      <c r="O324" s="3"/>
      <c r="P324" s="3"/>
    </row>
    <row r="325" spans="1:16" x14ac:dyDescent="0.25">
      <c r="A325" s="43"/>
      <c r="B325" s="43"/>
      <c r="C325" s="43"/>
      <c r="D325" s="25"/>
      <c r="E325" s="4"/>
      <c r="F325" s="4"/>
      <c r="G325" s="4"/>
      <c r="H325" s="4"/>
      <c r="I325" s="4"/>
      <c r="J325" s="4"/>
      <c r="K325" s="4"/>
      <c r="L325" s="4"/>
      <c r="M325" s="4"/>
      <c r="N325" s="4"/>
      <c r="O325" s="4"/>
      <c r="P325" s="4"/>
    </row>
    <row r="326" spans="1:16" x14ac:dyDescent="0.25">
      <c r="A326" s="42"/>
      <c r="B326" s="42"/>
      <c r="C326" s="42"/>
      <c r="D326" s="22"/>
      <c r="E326" s="3"/>
      <c r="F326" s="3"/>
      <c r="G326" s="3"/>
      <c r="H326" s="3"/>
      <c r="I326" s="3"/>
      <c r="J326" s="3"/>
      <c r="K326" s="3"/>
      <c r="L326" s="3"/>
      <c r="M326" s="3"/>
      <c r="N326" s="3"/>
      <c r="O326" s="3"/>
      <c r="P326" s="3"/>
    </row>
    <row r="327" spans="1:16" x14ac:dyDescent="0.25">
      <c r="A327" s="43"/>
      <c r="B327" s="43"/>
      <c r="C327" s="43"/>
      <c r="D327" s="25"/>
      <c r="E327" s="4"/>
      <c r="F327" s="4"/>
      <c r="G327" s="4"/>
      <c r="H327" s="4"/>
      <c r="I327" s="4"/>
      <c r="J327" s="4"/>
      <c r="K327" s="4"/>
      <c r="L327" s="4"/>
      <c r="M327" s="4"/>
      <c r="N327" s="4"/>
      <c r="O327" s="4"/>
      <c r="P327" s="4"/>
    </row>
    <row r="328" spans="1:16" x14ac:dyDescent="0.25">
      <c r="A328" s="42"/>
      <c r="B328" s="42"/>
      <c r="C328" s="42"/>
      <c r="D328" s="22"/>
      <c r="E328" s="3"/>
      <c r="F328" s="3"/>
      <c r="G328" s="3"/>
      <c r="H328" s="3"/>
      <c r="I328" s="3"/>
      <c r="J328" s="3"/>
      <c r="K328" s="3"/>
      <c r="L328" s="3"/>
      <c r="M328" s="3"/>
      <c r="N328" s="3"/>
      <c r="O328" s="3"/>
      <c r="P328" s="3"/>
    </row>
    <row r="329" spans="1:16" x14ac:dyDescent="0.25">
      <c r="A329" s="43"/>
      <c r="B329" s="43"/>
      <c r="C329" s="43"/>
      <c r="D329" s="25"/>
      <c r="E329" s="4"/>
      <c r="F329" s="4"/>
      <c r="G329" s="4"/>
      <c r="H329" s="4"/>
      <c r="I329" s="4"/>
      <c r="J329" s="4"/>
      <c r="K329" s="4"/>
      <c r="L329" s="4"/>
      <c r="M329" s="4"/>
      <c r="N329" s="4"/>
      <c r="O329" s="4"/>
      <c r="P329" s="4"/>
    </row>
    <row r="330" spans="1:16" x14ac:dyDescent="0.25">
      <c r="A330" s="42"/>
      <c r="B330" s="42"/>
      <c r="C330" s="42"/>
      <c r="D330" s="22"/>
      <c r="E330" s="3"/>
      <c r="F330" s="3"/>
      <c r="G330" s="3"/>
      <c r="H330" s="3"/>
      <c r="I330" s="3"/>
      <c r="J330" s="3"/>
      <c r="K330" s="3"/>
      <c r="L330" s="3"/>
      <c r="M330" s="3"/>
      <c r="N330" s="3"/>
      <c r="O330" s="3"/>
      <c r="P330" s="3"/>
    </row>
    <row r="331" spans="1:16" x14ac:dyDescent="0.25">
      <c r="A331" s="43"/>
      <c r="B331" s="43"/>
      <c r="C331" s="43"/>
      <c r="D331" s="25"/>
      <c r="E331" s="4"/>
      <c r="F331" s="4"/>
      <c r="G331" s="4"/>
      <c r="H331" s="4"/>
      <c r="I331" s="4"/>
      <c r="J331" s="4"/>
      <c r="K331" s="4"/>
      <c r="L331" s="4"/>
      <c r="M331" s="4"/>
      <c r="N331" s="4"/>
      <c r="O331" s="4"/>
      <c r="P331" s="4"/>
    </row>
    <row r="332" spans="1:16" x14ac:dyDescent="0.25">
      <c r="A332" s="42"/>
      <c r="B332" s="42"/>
      <c r="C332" s="42"/>
      <c r="D332" s="22"/>
      <c r="E332" s="3"/>
      <c r="F332" s="3"/>
      <c r="G332" s="3"/>
      <c r="H332" s="3"/>
      <c r="I332" s="3"/>
      <c r="J332" s="3"/>
      <c r="K332" s="3"/>
      <c r="L332" s="3"/>
      <c r="M332" s="3"/>
      <c r="N332" s="3"/>
      <c r="O332" s="3"/>
      <c r="P332" s="3"/>
    </row>
    <row r="333" spans="1:16" x14ac:dyDescent="0.25">
      <c r="A333" s="43"/>
      <c r="B333" s="43"/>
      <c r="C333" s="43"/>
      <c r="D333" s="25"/>
      <c r="E333" s="4"/>
      <c r="F333" s="4"/>
      <c r="G333" s="4"/>
      <c r="H333" s="4"/>
      <c r="I333" s="4"/>
      <c r="J333" s="4"/>
      <c r="K333" s="4"/>
      <c r="L333" s="4"/>
      <c r="M333" s="4"/>
      <c r="N333" s="4"/>
      <c r="O333" s="4"/>
      <c r="P333" s="4"/>
    </row>
    <row r="334" spans="1:16" x14ac:dyDescent="0.25">
      <c r="A334" s="42"/>
      <c r="B334" s="42"/>
      <c r="C334" s="42"/>
      <c r="D334" s="22"/>
      <c r="E334" s="3"/>
      <c r="F334" s="3"/>
      <c r="G334" s="3"/>
      <c r="H334" s="3"/>
      <c r="I334" s="3"/>
      <c r="J334" s="3"/>
      <c r="K334" s="3"/>
      <c r="L334" s="3"/>
      <c r="M334" s="3"/>
      <c r="N334" s="3"/>
      <c r="O334" s="3"/>
      <c r="P334" s="3"/>
    </row>
    <row r="335" spans="1:16" x14ac:dyDescent="0.25">
      <c r="A335" s="43"/>
      <c r="B335" s="43"/>
      <c r="C335" s="43"/>
      <c r="D335" s="25"/>
      <c r="E335" s="4"/>
      <c r="F335" s="4"/>
      <c r="G335" s="4"/>
      <c r="H335" s="4"/>
      <c r="I335" s="4"/>
      <c r="J335" s="4"/>
      <c r="K335" s="4"/>
      <c r="L335" s="4"/>
      <c r="M335" s="4"/>
      <c r="N335" s="4"/>
      <c r="O335" s="4"/>
      <c r="P335" s="4"/>
    </row>
    <row r="336" spans="1:16" x14ac:dyDescent="0.25">
      <c r="A336" s="42"/>
      <c r="B336" s="42"/>
      <c r="C336" s="42"/>
      <c r="D336" s="22"/>
      <c r="E336" s="3"/>
      <c r="F336" s="3"/>
      <c r="G336" s="3"/>
      <c r="H336" s="3"/>
      <c r="I336" s="3"/>
      <c r="J336" s="3"/>
      <c r="K336" s="3"/>
      <c r="L336" s="3"/>
      <c r="M336" s="3"/>
      <c r="N336" s="3"/>
      <c r="O336" s="3"/>
      <c r="P336" s="3"/>
    </row>
    <row r="337" spans="1:16" x14ac:dyDescent="0.25">
      <c r="A337" s="43"/>
      <c r="B337" s="43"/>
      <c r="C337" s="43"/>
      <c r="D337" s="25"/>
      <c r="E337" s="4"/>
      <c r="F337" s="4"/>
      <c r="G337" s="4"/>
      <c r="H337" s="4"/>
      <c r="I337" s="4"/>
      <c r="J337" s="4"/>
      <c r="K337" s="4"/>
      <c r="L337" s="4"/>
      <c r="M337" s="4"/>
      <c r="N337" s="4"/>
      <c r="O337" s="4"/>
      <c r="P337" s="4"/>
    </row>
    <row r="338" spans="1:16" x14ac:dyDescent="0.25">
      <c r="A338" s="42"/>
      <c r="B338" s="42"/>
      <c r="C338" s="42"/>
      <c r="D338" s="22"/>
      <c r="E338" s="3"/>
      <c r="F338" s="3"/>
      <c r="G338" s="3"/>
      <c r="H338" s="3"/>
      <c r="I338" s="3"/>
      <c r="J338" s="3"/>
      <c r="K338" s="3"/>
      <c r="L338" s="3"/>
      <c r="M338" s="3"/>
      <c r="N338" s="3"/>
      <c r="O338" s="3"/>
      <c r="P338" s="3"/>
    </row>
    <row r="339" spans="1:16" x14ac:dyDescent="0.25">
      <c r="A339" s="43"/>
      <c r="B339" s="43"/>
      <c r="C339" s="43"/>
      <c r="D339" s="25"/>
      <c r="E339" s="4"/>
      <c r="F339" s="4"/>
      <c r="G339" s="4"/>
      <c r="H339" s="4"/>
      <c r="I339" s="4"/>
      <c r="J339" s="4"/>
      <c r="K339" s="4"/>
      <c r="L339" s="4"/>
      <c r="M339" s="4"/>
      <c r="N339" s="4"/>
      <c r="O339" s="4"/>
      <c r="P339" s="4"/>
    </row>
    <row r="340" spans="1:16" x14ac:dyDescent="0.25">
      <c r="A340" s="42"/>
      <c r="B340" s="42"/>
      <c r="C340" s="42"/>
      <c r="D340" s="22"/>
      <c r="E340" s="3"/>
      <c r="F340" s="3"/>
      <c r="G340" s="3"/>
      <c r="H340" s="3"/>
      <c r="I340" s="3"/>
      <c r="J340" s="3"/>
      <c r="K340" s="3"/>
      <c r="L340" s="3"/>
      <c r="M340" s="3"/>
      <c r="N340" s="3"/>
      <c r="O340" s="3"/>
      <c r="P340" s="3"/>
    </row>
    <row r="341" spans="1:16" x14ac:dyDescent="0.25">
      <c r="A341" s="43"/>
      <c r="B341" s="43"/>
      <c r="C341" s="43"/>
      <c r="D341" s="25"/>
      <c r="E341" s="4"/>
      <c r="F341" s="4"/>
      <c r="G341" s="4"/>
      <c r="H341" s="4"/>
      <c r="I341" s="4"/>
      <c r="J341" s="4"/>
      <c r="K341" s="4"/>
      <c r="L341" s="4"/>
      <c r="M341" s="4"/>
      <c r="N341" s="4"/>
      <c r="O341" s="4"/>
      <c r="P341" s="4"/>
    </row>
    <row r="342" spans="1:16" x14ac:dyDescent="0.25">
      <c r="A342" s="42"/>
      <c r="B342" s="42"/>
      <c r="C342" s="42"/>
      <c r="D342" s="22"/>
      <c r="E342" s="3"/>
      <c r="F342" s="3"/>
      <c r="G342" s="3"/>
      <c r="H342" s="3"/>
      <c r="I342" s="3"/>
      <c r="J342" s="3"/>
      <c r="K342" s="3"/>
      <c r="L342" s="3"/>
      <c r="M342" s="3"/>
      <c r="N342" s="3"/>
      <c r="O342" s="3"/>
      <c r="P342" s="3"/>
    </row>
    <row r="343" spans="1:16" x14ac:dyDescent="0.25">
      <c r="A343" s="43"/>
      <c r="B343" s="43"/>
      <c r="C343" s="43"/>
      <c r="D343" s="25"/>
      <c r="E343" s="4"/>
      <c r="F343" s="4"/>
      <c r="G343" s="4"/>
      <c r="H343" s="4"/>
      <c r="I343" s="4"/>
      <c r="J343" s="4"/>
      <c r="K343" s="4"/>
      <c r="L343" s="4"/>
      <c r="M343" s="4"/>
      <c r="N343" s="4"/>
      <c r="O343" s="4"/>
      <c r="P343" s="4"/>
    </row>
    <row r="344" spans="1:16" x14ac:dyDescent="0.25">
      <c r="A344" s="42"/>
      <c r="B344" s="42"/>
      <c r="C344" s="42"/>
      <c r="D344" s="22"/>
      <c r="E344" s="3"/>
      <c r="F344" s="3"/>
      <c r="G344" s="3"/>
      <c r="H344" s="3"/>
      <c r="I344" s="3"/>
      <c r="J344" s="3"/>
      <c r="K344" s="3"/>
      <c r="L344" s="3"/>
      <c r="M344" s="3"/>
      <c r="N344" s="3"/>
      <c r="O344" s="3"/>
      <c r="P344" s="3"/>
    </row>
    <row r="345" spans="1:16" x14ac:dyDescent="0.25">
      <c r="A345" s="43"/>
      <c r="B345" s="43"/>
      <c r="C345" s="43"/>
      <c r="D345" s="25"/>
      <c r="E345" s="4"/>
      <c r="F345" s="4"/>
      <c r="G345" s="4"/>
      <c r="H345" s="4"/>
      <c r="I345" s="4"/>
      <c r="J345" s="4"/>
      <c r="K345" s="4"/>
      <c r="L345" s="4"/>
      <c r="M345" s="4"/>
      <c r="N345" s="4"/>
      <c r="O345" s="4"/>
      <c r="P345" s="4"/>
    </row>
    <row r="346" spans="1:16" x14ac:dyDescent="0.25">
      <c r="A346" s="42"/>
      <c r="B346" s="42"/>
      <c r="C346" s="42"/>
      <c r="D346" s="22"/>
      <c r="E346" s="3"/>
      <c r="F346" s="3"/>
      <c r="G346" s="3"/>
      <c r="H346" s="3"/>
      <c r="I346" s="3"/>
      <c r="J346" s="3"/>
      <c r="K346" s="3"/>
      <c r="L346" s="3"/>
      <c r="M346" s="3"/>
      <c r="N346" s="3"/>
      <c r="O346" s="3"/>
      <c r="P346" s="3"/>
    </row>
    <row r="347" spans="1:16" x14ac:dyDescent="0.25">
      <c r="A347" s="43"/>
      <c r="B347" s="43"/>
      <c r="C347" s="43"/>
      <c r="D347" s="25"/>
      <c r="E347" s="4"/>
      <c r="F347" s="4"/>
      <c r="G347" s="4"/>
      <c r="H347" s="4"/>
      <c r="I347" s="4"/>
      <c r="J347" s="4"/>
      <c r="K347" s="4"/>
      <c r="L347" s="4"/>
      <c r="M347" s="4"/>
      <c r="N347" s="4"/>
      <c r="O347" s="4"/>
      <c r="P347" s="4"/>
    </row>
    <row r="348" spans="1:16" x14ac:dyDescent="0.25">
      <c r="A348" s="42"/>
      <c r="B348" s="42"/>
      <c r="C348" s="42"/>
      <c r="D348" s="22"/>
      <c r="E348" s="3"/>
      <c r="F348" s="3"/>
      <c r="G348" s="3"/>
      <c r="H348" s="3"/>
      <c r="I348" s="3"/>
      <c r="J348" s="3"/>
      <c r="K348" s="3"/>
      <c r="L348" s="3"/>
      <c r="M348" s="3"/>
      <c r="N348" s="3"/>
      <c r="O348" s="3"/>
      <c r="P348" s="3"/>
    </row>
    <row r="349" spans="1:16" x14ac:dyDescent="0.25">
      <c r="A349" s="43"/>
      <c r="B349" s="43"/>
      <c r="C349" s="43"/>
      <c r="D349" s="25"/>
      <c r="E349" s="4"/>
      <c r="F349" s="4"/>
      <c r="G349" s="4"/>
      <c r="H349" s="4"/>
      <c r="I349" s="4"/>
      <c r="J349" s="4"/>
      <c r="K349" s="4"/>
      <c r="L349" s="4"/>
      <c r="M349" s="4"/>
      <c r="N349" s="4"/>
      <c r="O349" s="4"/>
      <c r="P349" s="4"/>
    </row>
    <row r="350" spans="1:16" x14ac:dyDescent="0.25">
      <c r="A350" s="42"/>
      <c r="B350" s="42"/>
      <c r="C350" s="42"/>
      <c r="D350" s="22"/>
      <c r="E350" s="3"/>
      <c r="F350" s="3"/>
      <c r="G350" s="3"/>
      <c r="H350" s="3"/>
      <c r="I350" s="3"/>
      <c r="J350" s="3"/>
      <c r="K350" s="3"/>
      <c r="L350" s="3"/>
      <c r="M350" s="3"/>
      <c r="N350" s="3"/>
      <c r="O350" s="3"/>
      <c r="P350" s="3"/>
    </row>
    <row r="351" spans="1:16" x14ac:dyDescent="0.25">
      <c r="A351" s="43"/>
      <c r="B351" s="43"/>
      <c r="C351" s="43"/>
      <c r="D351" s="25"/>
      <c r="E351" s="4"/>
      <c r="F351" s="4"/>
      <c r="G351" s="4"/>
      <c r="H351" s="4"/>
      <c r="I351" s="4"/>
      <c r="J351" s="4"/>
      <c r="K351" s="4"/>
      <c r="L351" s="4"/>
      <c r="M351" s="4"/>
      <c r="N351" s="4"/>
      <c r="O351" s="4"/>
      <c r="P351" s="4"/>
    </row>
    <row r="352" spans="1:16" x14ac:dyDescent="0.25">
      <c r="A352" s="42"/>
      <c r="B352" s="42"/>
      <c r="C352" s="42"/>
      <c r="D352" s="22"/>
      <c r="E352" s="3"/>
      <c r="F352" s="3"/>
      <c r="G352" s="3"/>
      <c r="H352" s="3"/>
      <c r="I352" s="3"/>
      <c r="J352" s="3"/>
      <c r="K352" s="3"/>
      <c r="L352" s="3"/>
      <c r="M352" s="3"/>
      <c r="N352" s="3"/>
      <c r="O352" s="3"/>
      <c r="P352" s="3"/>
    </row>
    <row r="353" spans="1:16" x14ac:dyDescent="0.25">
      <c r="A353" s="43"/>
      <c r="B353" s="43"/>
      <c r="C353" s="43"/>
      <c r="D353" s="25"/>
      <c r="E353" s="4"/>
      <c r="F353" s="4"/>
      <c r="G353" s="4"/>
      <c r="H353" s="4"/>
      <c r="I353" s="4"/>
      <c r="J353" s="4"/>
      <c r="K353" s="4"/>
      <c r="L353" s="4"/>
      <c r="M353" s="4"/>
      <c r="N353" s="4"/>
      <c r="O353" s="4"/>
      <c r="P353" s="4"/>
    </row>
    <row r="354" spans="1:16" x14ac:dyDescent="0.25">
      <c r="A354" s="42"/>
      <c r="B354" s="42"/>
      <c r="C354" s="42"/>
      <c r="D354" s="22"/>
      <c r="E354" s="3"/>
      <c r="F354" s="3"/>
      <c r="G354" s="3"/>
      <c r="H354" s="3"/>
      <c r="I354" s="3"/>
      <c r="J354" s="3"/>
      <c r="K354" s="3"/>
      <c r="L354" s="3"/>
      <c r="M354" s="3"/>
      <c r="N354" s="3"/>
      <c r="O354" s="3"/>
      <c r="P354" s="3"/>
    </row>
    <row r="355" spans="1:16" x14ac:dyDescent="0.25">
      <c r="A355" s="43"/>
      <c r="B355" s="43"/>
      <c r="C355" s="43"/>
      <c r="D355" s="25"/>
      <c r="E355" s="4"/>
      <c r="F355" s="4"/>
      <c r="G355" s="4"/>
      <c r="H355" s="4"/>
      <c r="I355" s="4"/>
      <c r="J355" s="4"/>
      <c r="K355" s="4"/>
      <c r="L355" s="4"/>
      <c r="M355" s="4"/>
      <c r="N355" s="4"/>
      <c r="O355" s="4"/>
      <c r="P355" s="4"/>
    </row>
    <row r="356" spans="1:16" x14ac:dyDescent="0.25">
      <c r="A356" s="42"/>
      <c r="B356" s="42"/>
      <c r="C356" s="42"/>
      <c r="D356" s="22"/>
      <c r="E356" s="3"/>
      <c r="F356" s="3"/>
      <c r="G356" s="3"/>
      <c r="H356" s="3"/>
      <c r="I356" s="3"/>
      <c r="J356" s="3"/>
      <c r="K356" s="3"/>
      <c r="L356" s="3"/>
      <c r="M356" s="3"/>
      <c r="N356" s="3"/>
      <c r="O356" s="3"/>
      <c r="P356" s="3"/>
    </row>
    <row r="357" spans="1:16" x14ac:dyDescent="0.25">
      <c r="A357" s="43"/>
      <c r="B357" s="43"/>
      <c r="C357" s="43"/>
      <c r="D357" s="25"/>
      <c r="E357" s="4"/>
      <c r="F357" s="4"/>
      <c r="G357" s="4"/>
      <c r="H357" s="4"/>
      <c r="I357" s="4"/>
      <c r="J357" s="4"/>
      <c r="K357" s="4"/>
      <c r="L357" s="4"/>
      <c r="M357" s="4"/>
      <c r="N357" s="4"/>
      <c r="O357" s="4"/>
      <c r="P357" s="4"/>
    </row>
    <row r="358" spans="1:16" x14ac:dyDescent="0.25">
      <c r="A358" s="42"/>
      <c r="B358" s="42"/>
      <c r="C358" s="42"/>
      <c r="D358" s="22"/>
      <c r="E358" s="3"/>
      <c r="F358" s="3"/>
      <c r="G358" s="3"/>
      <c r="H358" s="3"/>
      <c r="I358" s="3"/>
      <c r="J358" s="3"/>
      <c r="K358" s="3"/>
      <c r="L358" s="3"/>
      <c r="M358" s="3"/>
      <c r="N358" s="3"/>
      <c r="O358" s="3"/>
      <c r="P358" s="3"/>
    </row>
    <row r="359" spans="1:16" x14ac:dyDescent="0.25">
      <c r="A359" s="43"/>
      <c r="B359" s="43"/>
      <c r="C359" s="43"/>
      <c r="D359" s="25"/>
      <c r="E359" s="4"/>
      <c r="F359" s="4"/>
      <c r="G359" s="4"/>
      <c r="H359" s="4"/>
      <c r="I359" s="4"/>
      <c r="J359" s="4"/>
      <c r="K359" s="4"/>
      <c r="L359" s="4"/>
      <c r="M359" s="4"/>
      <c r="N359" s="4"/>
      <c r="O359" s="4"/>
      <c r="P359" s="4"/>
    </row>
    <row r="360" spans="1:16" x14ac:dyDescent="0.25">
      <c r="A360" s="42"/>
      <c r="B360" s="42"/>
      <c r="C360" s="42"/>
      <c r="D360" s="22"/>
      <c r="E360" s="3"/>
      <c r="F360" s="3"/>
      <c r="G360" s="3"/>
      <c r="H360" s="3"/>
      <c r="I360" s="3"/>
      <c r="J360" s="3"/>
      <c r="K360" s="3"/>
      <c r="L360" s="3"/>
      <c r="M360" s="3"/>
      <c r="N360" s="3"/>
      <c r="O360" s="3"/>
      <c r="P360" s="3"/>
    </row>
    <row r="361" spans="1:16" x14ac:dyDescent="0.25">
      <c r="A361" s="43"/>
      <c r="B361" s="43"/>
      <c r="C361" s="43"/>
      <c r="D361" s="25"/>
      <c r="E361" s="4"/>
      <c r="F361" s="4"/>
      <c r="G361" s="4"/>
      <c r="H361" s="4"/>
      <c r="I361" s="4"/>
      <c r="J361" s="4"/>
      <c r="K361" s="4"/>
      <c r="L361" s="4"/>
      <c r="M361" s="4"/>
      <c r="N361" s="4"/>
      <c r="O361" s="4"/>
      <c r="P361" s="4"/>
    </row>
    <row r="362" spans="1:16" x14ac:dyDescent="0.25">
      <c r="A362" s="42"/>
      <c r="B362" s="42"/>
      <c r="C362" s="42"/>
      <c r="D362" s="22"/>
      <c r="E362" s="3"/>
      <c r="F362" s="3"/>
      <c r="G362" s="3"/>
      <c r="H362" s="3"/>
      <c r="I362" s="3"/>
      <c r="J362" s="3"/>
      <c r="K362" s="3"/>
      <c r="L362" s="3"/>
      <c r="M362" s="3"/>
      <c r="N362" s="3"/>
      <c r="O362" s="3"/>
      <c r="P362" s="3"/>
    </row>
    <row r="363" spans="1:16" x14ac:dyDescent="0.25">
      <c r="A363" s="43"/>
      <c r="B363" s="43"/>
      <c r="C363" s="43"/>
      <c r="D363" s="25"/>
      <c r="E363" s="4"/>
      <c r="F363" s="4"/>
      <c r="G363" s="4"/>
      <c r="H363" s="4"/>
      <c r="I363" s="4"/>
      <c r="J363" s="4"/>
      <c r="K363" s="4"/>
      <c r="L363" s="4"/>
      <c r="M363" s="4"/>
      <c r="N363" s="4"/>
      <c r="O363" s="4"/>
      <c r="P363" s="4"/>
    </row>
    <row r="364" spans="1:16" x14ac:dyDescent="0.25">
      <c r="A364" s="42"/>
      <c r="B364" s="42"/>
      <c r="C364" s="42"/>
      <c r="D364" s="22"/>
      <c r="E364" s="3"/>
      <c r="F364" s="3"/>
      <c r="G364" s="3"/>
      <c r="H364" s="3"/>
      <c r="I364" s="3"/>
      <c r="J364" s="3"/>
      <c r="K364" s="3"/>
      <c r="L364" s="3"/>
      <c r="M364" s="3"/>
      <c r="N364" s="3"/>
      <c r="O364" s="3"/>
      <c r="P364" s="3"/>
    </row>
    <row r="365" spans="1:16" x14ac:dyDescent="0.25">
      <c r="A365" s="43"/>
      <c r="B365" s="43"/>
      <c r="C365" s="43"/>
      <c r="D365" s="25"/>
      <c r="E365" s="4"/>
      <c r="F365" s="4"/>
      <c r="G365" s="4"/>
      <c r="H365" s="4"/>
      <c r="I365" s="4"/>
      <c r="J365" s="4"/>
      <c r="K365" s="4"/>
      <c r="L365" s="4"/>
      <c r="M365" s="4"/>
      <c r="N365" s="4"/>
      <c r="O365" s="4"/>
      <c r="P365" s="4"/>
    </row>
    <row r="366" spans="1:16" x14ac:dyDescent="0.25">
      <c r="A366" s="42"/>
      <c r="B366" s="42"/>
      <c r="C366" s="42"/>
      <c r="D366" s="22"/>
      <c r="E366" s="3"/>
      <c r="F366" s="3"/>
      <c r="G366" s="3"/>
      <c r="H366" s="3"/>
      <c r="I366" s="3"/>
      <c r="J366" s="3"/>
      <c r="K366" s="3"/>
      <c r="L366" s="3"/>
      <c r="M366" s="3"/>
      <c r="N366" s="3"/>
      <c r="O366" s="3"/>
      <c r="P366" s="3"/>
    </row>
    <row r="367" spans="1:16" x14ac:dyDescent="0.25">
      <c r="A367" s="43"/>
      <c r="B367" s="43"/>
      <c r="C367" s="43"/>
      <c r="D367" s="25"/>
      <c r="E367" s="4"/>
      <c r="F367" s="4"/>
      <c r="G367" s="4"/>
      <c r="H367" s="4"/>
      <c r="I367" s="4"/>
      <c r="J367" s="4"/>
      <c r="K367" s="4"/>
      <c r="L367" s="4"/>
      <c r="M367" s="4"/>
      <c r="N367" s="4"/>
      <c r="O367" s="4"/>
      <c r="P367" s="4"/>
    </row>
    <row r="368" spans="1:16" x14ac:dyDescent="0.25">
      <c r="A368" s="42"/>
      <c r="B368" s="42"/>
      <c r="C368" s="42"/>
      <c r="D368" s="22"/>
      <c r="E368" s="3"/>
      <c r="F368" s="3"/>
      <c r="G368" s="3"/>
      <c r="H368" s="3"/>
      <c r="I368" s="3"/>
      <c r="J368" s="3"/>
      <c r="K368" s="3"/>
      <c r="L368" s="3"/>
      <c r="M368" s="3"/>
      <c r="N368" s="3"/>
      <c r="O368" s="3"/>
      <c r="P368" s="3"/>
    </row>
    <row r="369" spans="1:16" x14ac:dyDescent="0.25">
      <c r="A369" s="43"/>
      <c r="B369" s="43"/>
      <c r="C369" s="43"/>
      <c r="D369" s="25"/>
      <c r="E369" s="4"/>
      <c r="F369" s="4"/>
      <c r="G369" s="4"/>
      <c r="H369" s="4"/>
      <c r="I369" s="4"/>
      <c r="J369" s="4"/>
      <c r="K369" s="4"/>
      <c r="L369" s="4"/>
      <c r="M369" s="4"/>
      <c r="N369" s="4"/>
      <c r="O369" s="4"/>
      <c r="P369" s="4"/>
    </row>
    <row r="370" spans="1:16" x14ac:dyDescent="0.25">
      <c r="A370" s="42"/>
      <c r="B370" s="42"/>
      <c r="C370" s="42"/>
      <c r="D370" s="22"/>
      <c r="E370" s="3"/>
      <c r="F370" s="3"/>
      <c r="G370" s="3"/>
      <c r="H370" s="3"/>
      <c r="I370" s="3"/>
      <c r="J370" s="3"/>
      <c r="K370" s="3"/>
      <c r="L370" s="3"/>
      <c r="M370" s="3"/>
      <c r="N370" s="3"/>
      <c r="O370" s="3"/>
      <c r="P370" s="3"/>
    </row>
    <row r="371" spans="1:16" x14ac:dyDescent="0.25">
      <c r="A371" s="43"/>
      <c r="B371" s="43"/>
      <c r="C371" s="43"/>
      <c r="D371" s="25"/>
      <c r="E371" s="4"/>
      <c r="F371" s="4"/>
      <c r="G371" s="4"/>
      <c r="H371" s="4"/>
      <c r="I371" s="4"/>
      <c r="J371" s="4"/>
      <c r="K371" s="4"/>
      <c r="L371" s="4"/>
      <c r="M371" s="4"/>
      <c r="N371" s="4"/>
      <c r="O371" s="4"/>
      <c r="P371" s="4"/>
    </row>
    <row r="372" spans="1:16" x14ac:dyDescent="0.25">
      <c r="A372" s="42"/>
      <c r="B372" s="42"/>
      <c r="C372" s="42"/>
      <c r="D372" s="22"/>
      <c r="E372" s="3"/>
      <c r="F372" s="3"/>
      <c r="G372" s="3"/>
      <c r="H372" s="3"/>
      <c r="I372" s="3"/>
      <c r="J372" s="3"/>
      <c r="K372" s="3"/>
      <c r="L372" s="3"/>
      <c r="M372" s="3"/>
      <c r="N372" s="3"/>
      <c r="O372" s="3"/>
      <c r="P372" s="3"/>
    </row>
    <row r="373" spans="1:16" x14ac:dyDescent="0.25">
      <c r="A373" s="43"/>
      <c r="B373" s="43"/>
      <c r="C373" s="43"/>
      <c r="D373" s="25"/>
      <c r="E373" s="4"/>
      <c r="F373" s="4"/>
      <c r="G373" s="4"/>
      <c r="H373" s="4"/>
      <c r="I373" s="4"/>
      <c r="J373" s="4"/>
      <c r="K373" s="4"/>
      <c r="L373" s="4"/>
      <c r="M373" s="4"/>
      <c r="N373" s="4"/>
      <c r="O373" s="4"/>
      <c r="P373" s="4"/>
    </row>
    <row r="374" spans="1:16" x14ac:dyDescent="0.25">
      <c r="A374" s="42"/>
      <c r="B374" s="42"/>
      <c r="C374" s="42"/>
      <c r="D374" s="22"/>
      <c r="E374" s="3"/>
      <c r="F374" s="3"/>
      <c r="G374" s="3"/>
      <c r="H374" s="3"/>
      <c r="I374" s="3"/>
      <c r="J374" s="3"/>
      <c r="K374" s="3"/>
      <c r="L374" s="3"/>
      <c r="M374" s="3"/>
      <c r="N374" s="3"/>
      <c r="O374" s="3"/>
      <c r="P374" s="3"/>
    </row>
    <row r="375" spans="1:16" x14ac:dyDescent="0.25">
      <c r="A375" s="43"/>
      <c r="B375" s="43"/>
      <c r="C375" s="43"/>
      <c r="D375" s="25"/>
      <c r="E375" s="4"/>
      <c r="F375" s="4"/>
      <c r="G375" s="4"/>
      <c r="H375" s="4"/>
      <c r="I375" s="4"/>
      <c r="J375" s="4"/>
      <c r="K375" s="4"/>
      <c r="L375" s="4"/>
      <c r="M375" s="4"/>
      <c r="N375" s="4"/>
      <c r="O375" s="4"/>
      <c r="P375" s="4"/>
    </row>
    <row r="376" spans="1:16" x14ac:dyDescent="0.25">
      <c r="A376" s="42"/>
      <c r="B376" s="42"/>
      <c r="C376" s="42"/>
      <c r="D376" s="22"/>
      <c r="E376" s="3"/>
      <c r="F376" s="3"/>
      <c r="G376" s="3"/>
      <c r="H376" s="3"/>
      <c r="I376" s="3"/>
      <c r="J376" s="3"/>
      <c r="K376" s="3"/>
      <c r="L376" s="3"/>
      <c r="M376" s="3"/>
      <c r="N376" s="3"/>
      <c r="O376" s="3"/>
      <c r="P376" s="3"/>
    </row>
    <row r="377" spans="1:16" x14ac:dyDescent="0.25">
      <c r="A377" s="43"/>
      <c r="B377" s="43"/>
      <c r="C377" s="43"/>
      <c r="D377" s="25"/>
      <c r="E377" s="4"/>
      <c r="F377" s="4"/>
      <c r="G377" s="4"/>
      <c r="H377" s="4"/>
      <c r="I377" s="4"/>
      <c r="J377" s="4"/>
      <c r="K377" s="4"/>
      <c r="L377" s="4"/>
      <c r="M377" s="4"/>
      <c r="N377" s="4"/>
      <c r="O377" s="4"/>
      <c r="P377" s="4"/>
    </row>
    <row r="378" spans="1:16" x14ac:dyDescent="0.25">
      <c r="A378" s="42"/>
      <c r="B378" s="42"/>
      <c r="C378" s="42"/>
      <c r="D378" s="22"/>
      <c r="E378" s="3"/>
      <c r="F378" s="3"/>
      <c r="G378" s="3"/>
      <c r="H378" s="3"/>
      <c r="I378" s="3"/>
      <c r="J378" s="3"/>
      <c r="K378" s="3"/>
      <c r="L378" s="3"/>
      <c r="M378" s="3"/>
      <c r="N378" s="3"/>
      <c r="O378" s="3"/>
      <c r="P378" s="3"/>
    </row>
    <row r="379" spans="1:16" x14ac:dyDescent="0.25">
      <c r="A379" s="43"/>
      <c r="B379" s="43"/>
      <c r="C379" s="43"/>
      <c r="D379" s="25"/>
      <c r="E379" s="4"/>
      <c r="F379" s="4"/>
      <c r="G379" s="4"/>
      <c r="H379" s="4"/>
      <c r="I379" s="4"/>
      <c r="J379" s="4"/>
      <c r="K379" s="4"/>
      <c r="L379" s="4"/>
      <c r="M379" s="4"/>
      <c r="N379" s="4"/>
      <c r="O379" s="4"/>
      <c r="P379" s="4"/>
    </row>
    <row r="380" spans="1:16" x14ac:dyDescent="0.25">
      <c r="A380" s="42"/>
      <c r="B380" s="42"/>
      <c r="C380" s="42"/>
      <c r="D380" s="22"/>
      <c r="E380" s="3"/>
      <c r="F380" s="3"/>
      <c r="G380" s="3"/>
      <c r="H380" s="3"/>
      <c r="I380" s="3"/>
      <c r="J380" s="3"/>
      <c r="K380" s="3"/>
      <c r="L380" s="3"/>
      <c r="M380" s="3"/>
      <c r="N380" s="3"/>
      <c r="O380" s="3"/>
      <c r="P380" s="3"/>
    </row>
    <row r="381" spans="1:16" x14ac:dyDescent="0.25">
      <c r="A381" s="43"/>
      <c r="B381" s="43"/>
      <c r="C381" s="43"/>
      <c r="D381" s="25"/>
      <c r="E381" s="4"/>
      <c r="F381" s="4"/>
      <c r="G381" s="4"/>
      <c r="H381" s="4"/>
      <c r="I381" s="4"/>
      <c r="J381" s="4"/>
      <c r="K381" s="4"/>
      <c r="L381" s="4"/>
      <c r="M381" s="4"/>
      <c r="N381" s="4"/>
      <c r="O381" s="4"/>
      <c r="P381" s="4"/>
    </row>
    <row r="382" spans="1:16" x14ac:dyDescent="0.25">
      <c r="A382" s="42"/>
      <c r="B382" s="42"/>
      <c r="C382" s="42"/>
      <c r="D382" s="22"/>
      <c r="E382" s="3"/>
      <c r="F382" s="3"/>
      <c r="G382" s="3"/>
      <c r="H382" s="3"/>
      <c r="I382" s="3"/>
      <c r="J382" s="3"/>
      <c r="K382" s="3"/>
      <c r="L382" s="3"/>
      <c r="M382" s="3"/>
      <c r="N382" s="3"/>
      <c r="O382" s="3"/>
      <c r="P382" s="3"/>
    </row>
  </sheetData>
  <dataValidations count="13">
    <dataValidation type="list" allowBlank="1" showInputMessage="1" showErrorMessage="1" sqref="D77" xr:uid="{E6FC41C2-36A4-44FE-BB27-FC2C6B6529B9}">
      <formula1>"rectilinear,monotonous,grid,triangles,stars,cubic,line,concentric,honeycomb,3dhoneycomb,gyroid,hilbertcurve,archimedeanchords,octagramspiral"</formula1>
    </dataValidation>
    <dataValidation type="list" allowBlank="1" showInputMessage="1" showErrorMessage="1" sqref="D83 D85" xr:uid="{CE3BB35B-F4D0-4EF0-98E5-24AD26F4111A}">
      <formula1>"rectilinear,concentric,hilbertcurve,archimedeanchords,octagramspiral"</formula1>
    </dataValidation>
    <dataValidation type="list" allowBlank="1" showInputMessage="1" showErrorMessage="1" sqref="D139" xr:uid="{15EC391D-E357-4C18-9980-BB553B2536C4}">
      <formula1>"rectilinear,rectilinear-grid,honeycomb"</formula1>
    </dataValidation>
    <dataValidation type="list" allowBlank="1" showInputMessage="1" showErrorMessage="1" sqref="D43" xr:uid="{F5A8B692-1705-47A4-9EB4-2AC04C30CFA5}">
      <formula1>"random,rear,aligned,nearest"</formula1>
    </dataValidation>
    <dataValidation type="list" allowBlank="1" showInputMessage="1" showErrorMessage="1" sqref="D107" xr:uid="{6E70E2FB-0005-49AA-9470-A9B00E50D74D}">
      <formula1>"top,topmost,solid"</formula1>
    </dataValidation>
    <dataValidation type="list" allowBlank="1" showInputMessage="1" showErrorMessage="1" sqref="D91" xr:uid="{14F9FBC0-B9F4-424F-8186-D32A93095A72}">
      <formula1>"automatic,autosmall,autoenlarged,enlarged"</formula1>
    </dataValidation>
    <dataValidation type="list" allowBlank="1" showInputMessage="1" showErrorMessage="1" sqref="D40" xr:uid="{0A28737E-2696-48D2-8DA2-193BEB7CFEF2}">
      <formula1>"none,noperi,bridges,bridgesoverhangs,filled"</formula1>
    </dataValidation>
    <dataValidation type="list" allowBlank="1" showInputMessage="1" showErrorMessage="1" sqref="D137" xr:uid="{254E4A74-DBFF-4BB4-A67A-C54BEAA373FC}">
      <formula1>"filament,plane,none"</formula1>
    </dataValidation>
    <dataValidation type="list" allowBlank="1" showInputMessage="1" showErrorMessage="1" sqref="D121" xr:uid="{A470E482-374C-47BF-943D-CBCE53653E38}">
      <formula1>"rectilinear,concentric"</formula1>
    </dataValidation>
    <dataValidation type="list" allowBlank="1" showInputMessage="1" showErrorMessage="1" sqref="D81" xr:uid="{C0AF4391-11E9-47A5-9F59-474A6D2BE9B5}">
      <formula1>"rectilinear,grid,triangles,stars,cubic,line,concentric,concentricgapfill,honeycomb,3dhoneycomb,gyroid,hilbertcurve,archimedeanchords,octagramspiral,smooth,smoothtriple,smoothhilbert,rectiwithperimeter,scatteredrectilinear,rectilineargapfill,sawtooth"</formula1>
    </dataValidation>
    <dataValidation type="list" allowBlank="1" showInputMessage="1" showErrorMessage="1" sqref="D148" xr:uid="{E8ED76EC-83B2-4D6A-8F97-76B6BA182B9D}">
      <formula1>"rectilinear,concentric,concentricgapfill,hilbertcurve,sawtooth,smooth"</formula1>
    </dataValidation>
    <dataValidation type="list" allowBlank="1" showInputMessage="1" showErrorMessage="1" sqref="D47" xr:uid="{8BC5C965-6EC0-47EE-8368-8C473B81953B}">
      <formula1>"rear,nearest"</formula1>
    </dataValidation>
    <dataValidation type="list" allowBlank="1" showInputMessage="1" showErrorMessage="1" sqref="D78 D82 D84 D86" xr:uid="{AC24D362-109D-4103-B20D-F8BA9148A4A4}">
      <formula1>"connected,holes,outershell,notconnected"</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P419"/>
  <sheetViews>
    <sheetView workbookViewId="0">
      <pane ySplit="1" topLeftCell="A146" activePane="bottomLeft" state="frozen"/>
      <selection activeCell="B30" sqref="B30"/>
      <selection pane="bottomLeft" activeCell="F175" sqref="F175"/>
    </sheetView>
  </sheetViews>
  <sheetFormatPr defaultRowHeight="15" x14ac:dyDescent="0.25"/>
  <cols>
    <col min="1" max="1" width="19.140625" style="78" bestFit="1" customWidth="1"/>
    <col min="2" max="2" width="19.140625" style="78" customWidth="1"/>
    <col min="3" max="3" width="39.7109375" style="78" customWidth="1"/>
    <col min="4" max="4" width="15" style="36" customWidth="1"/>
    <col min="5" max="5" width="7.7109375" customWidth="1"/>
    <col min="6" max="6" width="6.42578125" bestFit="1" customWidth="1"/>
    <col min="7" max="7" width="8.140625" customWidth="1"/>
    <col min="8" max="8" width="9.7109375" customWidth="1"/>
    <col min="9" max="9" width="8.5703125" customWidth="1"/>
    <col min="10" max="10" width="10.42578125" bestFit="1" customWidth="1"/>
    <col min="11" max="11" width="9.5703125" customWidth="1"/>
    <col min="12" max="12" width="9.42578125" customWidth="1"/>
    <col min="13" max="13" width="10.42578125" bestFit="1" customWidth="1"/>
    <col min="14" max="14" width="9.140625" customWidth="1"/>
    <col min="15" max="15" width="8" customWidth="1"/>
    <col min="16" max="16" width="69.42578125" customWidth="1"/>
    <col min="17" max="17" width="17.28515625" bestFit="1" customWidth="1"/>
  </cols>
  <sheetData>
    <row r="1" spans="1:16" x14ac:dyDescent="0.25">
      <c r="A1" s="75" t="s">
        <v>217</v>
      </c>
      <c r="B1" s="41" t="s">
        <v>1335</v>
      </c>
      <c r="C1" s="75" t="s">
        <v>200</v>
      </c>
      <c r="D1" s="32" t="s">
        <v>100</v>
      </c>
      <c r="E1" s="63" t="s">
        <v>236</v>
      </c>
      <c r="F1" s="63" t="s">
        <v>237</v>
      </c>
      <c r="G1" s="63" t="s">
        <v>667</v>
      </c>
      <c r="H1" s="63" t="s">
        <v>668</v>
      </c>
      <c r="I1" s="63" t="s">
        <v>238</v>
      </c>
      <c r="J1" s="63" t="s">
        <v>239</v>
      </c>
      <c r="K1" s="63" t="s">
        <v>240</v>
      </c>
      <c r="L1" s="63" t="s">
        <v>241</v>
      </c>
      <c r="M1" s="63" t="s">
        <v>242</v>
      </c>
      <c r="N1" s="63" t="s">
        <v>243</v>
      </c>
      <c r="O1" s="63" t="s">
        <v>244</v>
      </c>
      <c r="P1" s="2" t="s">
        <v>206</v>
      </c>
    </row>
    <row r="2" spans="1:16" x14ac:dyDescent="0.25">
      <c r="A2" s="77" t="str">
        <f>Fill_Value(print!A2)</f>
        <v/>
      </c>
      <c r="B2" s="77" t="str">
        <f>Fill_Value(print!B2)</f>
        <v/>
      </c>
      <c r="C2" s="77" t="str">
        <f>Fill_Value(print!C2)</f>
        <v>#filament_type</v>
      </c>
      <c r="D2" s="77" t="str">
        <f>Fill_Value(print!D2)</f>
        <v>ABS</v>
      </c>
      <c r="E2" s="6" t="s">
        <v>207</v>
      </c>
      <c r="F2" s="6" t="s">
        <v>208</v>
      </c>
      <c r="G2" s="6" t="s">
        <v>346</v>
      </c>
      <c r="H2" s="6" t="s">
        <v>347</v>
      </c>
      <c r="I2" s="6" t="s">
        <v>209</v>
      </c>
      <c r="J2" s="6" t="s">
        <v>210</v>
      </c>
      <c r="K2" s="6" t="s">
        <v>211</v>
      </c>
      <c r="L2" s="6" t="s">
        <v>212</v>
      </c>
      <c r="M2" s="6" t="s">
        <v>213</v>
      </c>
      <c r="N2" s="6" t="s">
        <v>214</v>
      </c>
      <c r="O2" s="6" t="s">
        <v>215</v>
      </c>
      <c r="P2" s="6"/>
    </row>
    <row r="3" spans="1:16" x14ac:dyDescent="0.25">
      <c r="A3" s="76" t="str">
        <f>Fill_Value(print!A3)</f>
        <v/>
      </c>
      <c r="B3" s="76" t="str">
        <f>Fill_Value(print!B3)</f>
        <v/>
      </c>
      <c r="C3" s="76" t="str">
        <f>Fill_Value(print!C3)</f>
        <v>##Prusa Slicer Settings Start</v>
      </c>
      <c r="D3" s="76" t="str">
        <f>Fill_Value(print!D3)</f>
        <v>4</v>
      </c>
      <c r="E3" s="76" t="str">
        <f>Fill_Value(print!E3)</f>
        <v/>
      </c>
      <c r="F3" s="76" t="str">
        <f>Fill_Value(print!F3)</f>
        <v/>
      </c>
      <c r="G3" s="76" t="str">
        <f>Fill_Value(print!G3)</f>
        <v/>
      </c>
      <c r="H3" s="76" t="str">
        <f>Fill_Value(print!H3)</f>
        <v/>
      </c>
      <c r="I3" s="76" t="str">
        <f>Fill_Value(print!I3)</f>
        <v/>
      </c>
      <c r="J3" s="76" t="str">
        <f>Fill_Value(print!J3)</f>
        <v/>
      </c>
      <c r="K3" s="76" t="str">
        <f>Fill_Value(print!K3)</f>
        <v/>
      </c>
      <c r="L3" s="76" t="str">
        <f>Fill_Value(print!L3)</f>
        <v/>
      </c>
      <c r="M3" s="76" t="str">
        <f>Fill_Value(print!M3)</f>
        <v/>
      </c>
      <c r="N3" s="76" t="str">
        <f>Fill_Value(print!N3)</f>
        <v/>
      </c>
      <c r="O3" s="76" t="str">
        <f>Fill_Value(print!O3)</f>
        <v/>
      </c>
      <c r="P3" s="5"/>
    </row>
    <row r="4" spans="1:16" x14ac:dyDescent="0.25">
      <c r="A4" s="3" t="str">
        <f>Fill_Value(print!A4)</f>
        <v/>
      </c>
      <c r="B4" s="3" t="str">
        <f>Fill_Value(print!B4)</f>
        <v/>
      </c>
      <c r="C4" s="3" t="str">
        <f>Fill_Value(print!C4)</f>
        <v>threads</v>
      </c>
      <c r="D4" s="3" t="str">
        <f>Fill_Value(print!D4)</f>
        <v>8</v>
      </c>
      <c r="E4" s="3" t="str">
        <f>Fill_Value(print!E4)</f>
        <v/>
      </c>
      <c r="F4" s="3" t="str">
        <f>Fill_Value(print!F4)</f>
        <v/>
      </c>
      <c r="G4" s="3" t="str">
        <f>Fill_Value(print!G4)</f>
        <v/>
      </c>
      <c r="H4" s="3" t="str">
        <f>Fill_Value(print!H4)</f>
        <v/>
      </c>
      <c r="I4" s="3" t="str">
        <f>Fill_Value(print!I4)</f>
        <v/>
      </c>
      <c r="J4" s="3" t="str">
        <f>Fill_Value(print!J4)</f>
        <v/>
      </c>
      <c r="K4" s="3" t="str">
        <f>Fill_Value(print!K4)</f>
        <v/>
      </c>
      <c r="L4" s="3" t="str">
        <f>Fill_Value(print!L4)</f>
        <v/>
      </c>
      <c r="M4" s="3" t="str">
        <f>Fill_Value(print!M4)</f>
        <v/>
      </c>
      <c r="N4" s="3" t="str">
        <f>Fill_Value(print!N4)</f>
        <v/>
      </c>
      <c r="O4" s="3" t="str">
        <f>Fill_Value(print!O4)</f>
        <v/>
      </c>
      <c r="P4" s="3"/>
    </row>
    <row r="5" spans="1:16" x14ac:dyDescent="0.25">
      <c r="A5" s="76" t="str">
        <f>Fill_Value(print!A5)</f>
        <v>Layers and Perimeters</v>
      </c>
      <c r="B5" s="76" t="str">
        <f>Fill_Value(print!B5)</f>
        <v/>
      </c>
      <c r="C5" s="76" t="str">
        <f>Fill_Value(print!C5)</f>
        <v>##Layer height</v>
      </c>
      <c r="D5" s="33"/>
      <c r="E5" s="5"/>
      <c r="F5" s="5"/>
      <c r="G5" s="5"/>
      <c r="H5" s="5"/>
      <c r="I5" s="5"/>
      <c r="J5" s="5"/>
      <c r="K5" s="5"/>
      <c r="L5" s="5"/>
      <c r="M5" s="5"/>
      <c r="N5" s="5"/>
      <c r="O5" s="5"/>
      <c r="P5" s="5"/>
    </row>
    <row r="6" spans="1:16" x14ac:dyDescent="0.25">
      <c r="A6" s="47" t="str">
        <f>Fill_Value(print!A6)</f>
        <v/>
      </c>
      <c r="B6" s="47" t="str">
        <f>Fill_Value(print!B6)</f>
        <v/>
      </c>
      <c r="C6" s="47" t="str">
        <f>Fill_Value(print!C6)</f>
        <v>layer_height</v>
      </c>
      <c r="D6" s="47" t="str">
        <f>Fill_Value(print!D6)</f>
        <v>0.2</v>
      </c>
      <c r="E6" s="47" t="str">
        <f>Fill_Value(print!E6)</f>
        <v>0.12</v>
      </c>
      <c r="F6" s="47" t="str">
        <f>Fill_Value(print!F6)</f>
        <v>0.2</v>
      </c>
      <c r="G6" s="47" t="str">
        <f>Fill_Value(print!G6)</f>
        <v>0.24</v>
      </c>
      <c r="H6" s="47" t="str">
        <f>Fill_Value(print!H6)</f>
        <v>0.28</v>
      </c>
      <c r="I6" s="47" t="str">
        <f>Fill_Value(print!I6)</f>
        <v>0.32</v>
      </c>
      <c r="J6" s="47" t="str">
        <f>Fill_Value(print!J6)</f>
        <v>0.4</v>
      </c>
      <c r="K6" s="47" t="str">
        <f>Fill_Value(print!K6)</f>
        <v>0.48</v>
      </c>
      <c r="L6" s="47" t="str">
        <f>Fill_Value(print!L6)</f>
        <v>0.56</v>
      </c>
      <c r="M6" s="47" t="str">
        <f>Fill_Value(print!M6)</f>
        <v>0.64</v>
      </c>
      <c r="N6" s="47" t="str">
        <f>Fill_Value(print!N6)</f>
        <v>0.72</v>
      </c>
      <c r="O6" s="47" t="str">
        <f>Fill_Value(print!O6)</f>
        <v>0.8</v>
      </c>
      <c r="P6" s="3"/>
    </row>
    <row r="7" spans="1:16" x14ac:dyDescent="0.25">
      <c r="A7" s="59" t="str">
        <f>Fill_Value(print!A7)</f>
        <v/>
      </c>
      <c r="B7" s="59" t="str">
        <f>Fill_Value(print!B7)</f>
        <v/>
      </c>
      <c r="C7" s="59" t="str">
        <f>Fill_Value(print!C7)</f>
        <v>first_layer_height</v>
      </c>
      <c r="D7" s="25"/>
      <c r="E7" s="4"/>
      <c r="F7" s="4"/>
      <c r="G7" s="4"/>
      <c r="H7" s="4"/>
      <c r="I7" s="4"/>
      <c r="J7" s="4"/>
      <c r="K7" s="4"/>
      <c r="L7" s="4"/>
      <c r="M7" s="4"/>
      <c r="N7" s="4"/>
      <c r="O7" s="4"/>
      <c r="P7" s="4"/>
    </row>
    <row r="8" spans="1:16" x14ac:dyDescent="0.25">
      <c r="A8" s="76" t="str">
        <f>Fill_Value(print!A8)</f>
        <v/>
      </c>
      <c r="B8" s="76" t="str">
        <f>Fill_Value(print!B8)</f>
        <v/>
      </c>
      <c r="C8" s="76" t="str">
        <f>Fill_Value(print!C8)</f>
        <v>##Vertical shells</v>
      </c>
      <c r="D8" s="33"/>
      <c r="E8" s="5"/>
      <c r="F8" s="5"/>
      <c r="G8" s="5"/>
      <c r="H8" s="5"/>
      <c r="I8" s="5"/>
      <c r="J8" s="5"/>
      <c r="K8" s="5"/>
      <c r="L8" s="5"/>
      <c r="M8" s="5"/>
      <c r="N8" s="5"/>
      <c r="O8" s="5"/>
      <c r="P8" s="5"/>
    </row>
    <row r="9" spans="1:16" x14ac:dyDescent="0.25">
      <c r="A9" s="47" t="str">
        <f>Fill_Value(print!A9)</f>
        <v/>
      </c>
      <c r="B9" s="47" t="str">
        <f>Fill_Value(print!B9)</f>
        <v/>
      </c>
      <c r="C9" s="47" t="str">
        <f>Fill_Value(print!C9)</f>
        <v>perimeters</v>
      </c>
      <c r="D9" s="22"/>
      <c r="E9" s="3"/>
      <c r="F9" s="3"/>
      <c r="G9" s="3"/>
      <c r="H9" s="3"/>
      <c r="I9" s="3"/>
      <c r="J9" s="3"/>
      <c r="K9" s="3"/>
      <c r="L9" s="3"/>
      <c r="M9" s="3"/>
      <c r="N9" s="3"/>
      <c r="O9" s="3"/>
      <c r="P9" s="3"/>
    </row>
    <row r="10" spans="1:16" x14ac:dyDescent="0.25">
      <c r="A10" s="59" t="str">
        <f>Fill_Value(print!A10)</f>
        <v/>
      </c>
      <c r="B10" s="59" t="str">
        <f>Fill_Value(print!B10)</f>
        <v/>
      </c>
      <c r="C10" s="59" t="str">
        <f>Fill_Value(print!C10)</f>
        <v>spiral_vase</v>
      </c>
      <c r="D10" s="25"/>
      <c r="E10" s="4"/>
      <c r="F10" s="4"/>
      <c r="G10" s="4"/>
      <c r="H10" s="4"/>
      <c r="I10" s="4"/>
      <c r="J10" s="4"/>
      <c r="K10" s="4"/>
      <c r="L10" s="4"/>
      <c r="M10" s="4"/>
      <c r="N10" s="4"/>
      <c r="O10" s="4"/>
      <c r="P10" s="4"/>
    </row>
    <row r="11" spans="1:16" x14ac:dyDescent="0.25">
      <c r="A11" s="76" t="str">
        <f>Fill_Value(print!A11)</f>
        <v/>
      </c>
      <c r="B11" s="76" t="str">
        <f>Fill_Value(print!B11)</f>
        <v/>
      </c>
      <c r="C11" s="76" t="str">
        <f>Fill_Value(print!C11)</f>
        <v>##Horizontal shells</v>
      </c>
      <c r="D11" s="33"/>
      <c r="E11" s="5"/>
      <c r="F11" s="5"/>
      <c r="G11" s="5"/>
      <c r="H11" s="5"/>
      <c r="I11" s="5"/>
      <c r="J11" s="5"/>
      <c r="K11" s="5"/>
      <c r="L11" s="5"/>
      <c r="M11" s="5"/>
      <c r="N11" s="5"/>
      <c r="O11" s="5"/>
      <c r="P11" s="5"/>
    </row>
    <row r="12" spans="1:16" x14ac:dyDescent="0.25">
      <c r="A12" s="47" t="str">
        <f>Fill_Value(print!A12)</f>
        <v/>
      </c>
      <c r="B12" s="47" t="str">
        <f>Fill_Value(print!B12)</f>
        <v/>
      </c>
      <c r="C12" s="47" t="str">
        <f>Fill_Value(print!C12)</f>
        <v>top_solid_layers</v>
      </c>
      <c r="D12" s="22"/>
      <c r="E12" s="3"/>
      <c r="F12" s="3"/>
      <c r="G12" s="3"/>
      <c r="H12" s="3"/>
      <c r="I12" s="3"/>
      <c r="J12" s="3"/>
      <c r="K12" s="3"/>
      <c r="L12" s="3"/>
      <c r="M12" s="3"/>
      <c r="N12" s="3"/>
      <c r="O12" s="3"/>
      <c r="P12" s="3"/>
    </row>
    <row r="13" spans="1:16" x14ac:dyDescent="0.25">
      <c r="A13" s="59" t="str">
        <f>Fill_Value(print!A13)</f>
        <v/>
      </c>
      <c r="B13" s="59" t="str">
        <f>Fill_Value(print!B13)</f>
        <v/>
      </c>
      <c r="C13" s="59" t="str">
        <f>Fill_Value(print!C13)</f>
        <v>bottom_solid_layers</v>
      </c>
      <c r="D13" s="25"/>
      <c r="E13" s="4"/>
      <c r="F13" s="4"/>
      <c r="G13" s="4"/>
      <c r="H13" s="4"/>
      <c r="I13" s="4"/>
      <c r="J13" s="4"/>
      <c r="K13" s="4"/>
      <c r="L13" s="4"/>
      <c r="M13" s="4"/>
      <c r="N13" s="4"/>
      <c r="O13" s="4"/>
      <c r="P13" s="4"/>
    </row>
    <row r="14" spans="1:16" x14ac:dyDescent="0.25">
      <c r="A14" s="47" t="str">
        <f>Fill_Value(print!A14)</f>
        <v/>
      </c>
      <c r="B14" s="47" t="str">
        <f>Fill_Value(print!B14)</f>
        <v/>
      </c>
      <c r="C14" s="47" t="str">
        <f>Fill_Value(print!C14)</f>
        <v>bottom_solid_min_thickness</v>
      </c>
      <c r="D14" s="22"/>
      <c r="E14" s="3"/>
      <c r="F14" s="3"/>
      <c r="G14" s="3"/>
      <c r="H14" s="3"/>
      <c r="I14" s="3"/>
      <c r="J14" s="3"/>
      <c r="K14" s="3"/>
      <c r="L14" s="3"/>
      <c r="M14" s="3"/>
      <c r="N14" s="3"/>
      <c r="O14" s="3"/>
      <c r="P14" s="3"/>
    </row>
    <row r="15" spans="1:16" x14ac:dyDescent="0.25">
      <c r="A15" s="59" t="str">
        <f>Fill_Value(print!A15)</f>
        <v/>
      </c>
      <c r="B15" s="59" t="str">
        <f>Fill_Value(print!B15)</f>
        <v/>
      </c>
      <c r="C15" s="59" t="str">
        <f>Fill_Value(print!C15)</f>
        <v>top_solid_min_thickness</v>
      </c>
      <c r="D15" s="4"/>
      <c r="E15" s="4"/>
      <c r="F15" s="4"/>
      <c r="G15" s="4"/>
      <c r="H15" s="4"/>
      <c r="I15" s="4"/>
      <c r="J15" s="4"/>
      <c r="K15" s="4"/>
      <c r="L15" s="4"/>
      <c r="M15" s="4"/>
      <c r="N15" s="4"/>
      <c r="O15" s="4"/>
      <c r="P15" s="4"/>
    </row>
    <row r="16" spans="1:16" x14ac:dyDescent="0.25">
      <c r="A16" s="47" t="str">
        <f>Fill_Value(print!A16)</f>
        <v/>
      </c>
      <c r="B16" s="47" t="str">
        <f>Fill_Value(print!B16)</f>
        <v>super</v>
      </c>
      <c r="C16" s="47" t="str">
        <f>Fill_Value(print!C16)</f>
        <v>enforce_full_fill_volume</v>
      </c>
      <c r="D16" s="22"/>
      <c r="E16" s="3"/>
      <c r="F16" s="3"/>
      <c r="G16" s="3"/>
      <c r="H16" s="3"/>
      <c r="I16" s="3"/>
      <c r="J16" s="3"/>
      <c r="K16" s="3"/>
      <c r="L16" s="3"/>
      <c r="M16" s="3"/>
      <c r="N16" s="3"/>
      <c r="O16" s="3"/>
      <c r="P16" s="3"/>
    </row>
    <row r="17" spans="1:16" x14ac:dyDescent="0.25">
      <c r="A17" s="76" t="str">
        <f>Fill_Value(print!A17)</f>
        <v/>
      </c>
      <c r="B17" s="76" t="str">
        <f>Fill_Value(print!B17)</f>
        <v/>
      </c>
      <c r="C17" s="76" t="str">
        <f>Fill_Value(print!C17)</f>
        <v>##Quality (slower slicing)</v>
      </c>
      <c r="D17" s="33"/>
      <c r="E17" s="5"/>
      <c r="F17" s="5"/>
      <c r="G17" s="5"/>
      <c r="H17" s="5"/>
      <c r="I17" s="5"/>
      <c r="J17" s="5"/>
      <c r="K17" s="5"/>
      <c r="L17" s="5"/>
      <c r="M17" s="5"/>
      <c r="N17" s="5"/>
      <c r="O17" s="5"/>
      <c r="P17" s="5"/>
    </row>
    <row r="18" spans="1:16" x14ac:dyDescent="0.25">
      <c r="A18" s="47" t="str">
        <f>Fill_Value(print!A18)</f>
        <v/>
      </c>
      <c r="B18" s="47" t="str">
        <f>Fill_Value(print!B18)</f>
        <v/>
      </c>
      <c r="C18" s="47" t="str">
        <f>Fill_Value(print!C18)</f>
        <v>extra_perimeters</v>
      </c>
      <c r="D18" s="22"/>
      <c r="E18" s="3"/>
      <c r="F18" s="3"/>
      <c r="G18" s="3"/>
      <c r="H18" s="3"/>
      <c r="I18" s="3"/>
      <c r="J18" s="3"/>
      <c r="K18" s="3"/>
      <c r="L18" s="3"/>
      <c r="M18" s="3"/>
      <c r="N18" s="3"/>
      <c r="O18" s="3"/>
      <c r="P18" s="3" t="s">
        <v>228</v>
      </c>
    </row>
    <row r="19" spans="1:16" x14ac:dyDescent="0.25">
      <c r="A19" s="59" t="str">
        <f>Fill_Value(print!A19)</f>
        <v/>
      </c>
      <c r="B19" s="59" t="str">
        <f>Fill_Value(print!B19)</f>
        <v/>
      </c>
      <c r="C19" s="59" t="str">
        <f>Fill_Value(print!C19)</f>
        <v>ensure_vertical_shell_thickness</v>
      </c>
      <c r="D19" s="25"/>
      <c r="E19" s="4"/>
      <c r="F19" s="4"/>
      <c r="G19" s="4"/>
      <c r="H19" s="4"/>
      <c r="I19" s="4"/>
      <c r="J19" s="4"/>
      <c r="K19" s="4"/>
      <c r="L19" s="4"/>
      <c r="M19" s="4"/>
      <c r="N19" s="4"/>
      <c r="O19" s="4"/>
      <c r="P19" s="4" t="s">
        <v>229</v>
      </c>
    </row>
    <row r="20" spans="1:16" x14ac:dyDescent="0.25">
      <c r="A20" s="47" t="str">
        <f>Fill_Value(print!A20)</f>
        <v/>
      </c>
      <c r="B20" s="47" t="str">
        <f>Fill_Value(print!B20)</f>
        <v/>
      </c>
      <c r="C20" s="47" t="str">
        <f>Fill_Value(print!C20)</f>
        <v>avoid_crossing_perimeters</v>
      </c>
      <c r="D20" s="22"/>
      <c r="E20" s="3"/>
      <c r="F20" s="3"/>
      <c r="G20" s="3"/>
      <c r="H20" s="3"/>
      <c r="I20" s="3"/>
      <c r="J20" s="3"/>
      <c r="K20" s="3"/>
      <c r="L20" s="3"/>
      <c r="M20" s="3"/>
      <c r="N20" s="3"/>
      <c r="O20" s="3"/>
      <c r="P20" s="3"/>
    </row>
    <row r="21" spans="1:16" x14ac:dyDescent="0.25">
      <c r="A21" s="59" t="str">
        <f>Fill_Value(print!A21)</f>
        <v/>
      </c>
      <c r="B21" s="59" t="str">
        <f>Fill_Value(print!B21)</f>
        <v/>
      </c>
      <c r="C21" s="59" t="str">
        <f>Fill_Value(print!C21)</f>
        <v>thin_walls</v>
      </c>
      <c r="D21" s="25"/>
      <c r="E21" s="4"/>
      <c r="F21" s="4"/>
      <c r="G21" s="4"/>
      <c r="H21" s="4"/>
      <c r="I21" s="4"/>
      <c r="J21" s="4"/>
      <c r="K21" s="4"/>
      <c r="L21" s="4"/>
      <c r="M21" s="4"/>
      <c r="N21" s="4"/>
      <c r="O21" s="4"/>
      <c r="P21" s="4" t="s">
        <v>230</v>
      </c>
    </row>
    <row r="22" spans="1:16" x14ac:dyDescent="0.25">
      <c r="A22" s="47" t="str">
        <f>Fill_Value(print!A22)</f>
        <v/>
      </c>
      <c r="B22" s="47" t="str">
        <f>Fill_Value(print!B22)</f>
        <v/>
      </c>
      <c r="C22" s="47" t="str">
        <f>Fill_Value(print!C22)</f>
        <v>overhangs</v>
      </c>
      <c r="D22" s="22"/>
      <c r="E22" s="3"/>
      <c r="F22" s="3"/>
      <c r="G22" s="3"/>
      <c r="H22" s="3"/>
      <c r="I22" s="3"/>
      <c r="J22" s="3"/>
      <c r="K22" s="3"/>
      <c r="L22" s="3"/>
      <c r="M22" s="3"/>
      <c r="N22" s="3"/>
      <c r="O22" s="3"/>
      <c r="P22" s="3" t="s">
        <v>258</v>
      </c>
    </row>
    <row r="23" spans="1:16" x14ac:dyDescent="0.25">
      <c r="A23" s="59" t="str">
        <f>Fill_Value(print!A23)</f>
        <v/>
      </c>
      <c r="B23" s="59" t="str">
        <f>Fill_Value(print!B23)</f>
        <v>super</v>
      </c>
      <c r="C23" s="59" t="str">
        <f>Fill_Value(print!C23)</f>
        <v>only_one_perimeter_top</v>
      </c>
      <c r="D23" s="25"/>
      <c r="E23" s="4"/>
      <c r="F23" s="4"/>
      <c r="G23" s="4"/>
      <c r="H23" s="4"/>
      <c r="I23" s="4"/>
      <c r="J23" s="4"/>
      <c r="K23" s="4"/>
      <c r="L23" s="4"/>
      <c r="M23" s="4"/>
      <c r="N23" s="4"/>
      <c r="O23" s="4"/>
      <c r="P23" s="4" t="s">
        <v>231</v>
      </c>
    </row>
    <row r="24" spans="1:16" x14ac:dyDescent="0.25">
      <c r="A24" s="47" t="str">
        <f>Fill_Value(print!A24)</f>
        <v/>
      </c>
      <c r="B24" s="47" t="str">
        <f>Fill_Value(print!B24)</f>
        <v>super</v>
      </c>
      <c r="C24" s="47" t="str">
        <f>Fill_Value(print!C24)</f>
        <v>min_width_top_surface</v>
      </c>
      <c r="D24" s="22"/>
      <c r="E24" s="3"/>
      <c r="F24" s="3"/>
      <c r="G24" s="3"/>
      <c r="H24" s="3"/>
      <c r="I24" s="3"/>
      <c r="J24" s="3"/>
      <c r="K24" s="3"/>
      <c r="L24" s="3"/>
      <c r="M24" s="3"/>
      <c r="N24" s="3"/>
      <c r="O24" s="3"/>
      <c r="P24" s="3" t="s">
        <v>231</v>
      </c>
    </row>
    <row r="25" spans="1:16" x14ac:dyDescent="0.25">
      <c r="A25" s="59" t="str">
        <f>Fill_Value(print!A25)</f>
        <v/>
      </c>
      <c r="B25" s="59" t="str">
        <f>Fill_Value(print!B25)</f>
        <v>super</v>
      </c>
      <c r="C25" s="59" t="str">
        <f>Fill_Value(print!C25)</f>
        <v>extra_perimeters_overhangs</v>
      </c>
      <c r="D25" s="25"/>
      <c r="E25" s="4"/>
      <c r="F25" s="4"/>
      <c r="G25" s="4"/>
      <c r="H25" s="4"/>
      <c r="I25" s="4"/>
      <c r="J25" s="4"/>
      <c r="K25" s="4"/>
      <c r="L25" s="4"/>
      <c r="M25" s="4"/>
      <c r="N25" s="4"/>
      <c r="O25" s="4"/>
      <c r="P25" s="4" t="s">
        <v>231</v>
      </c>
    </row>
    <row r="26" spans="1:16" x14ac:dyDescent="0.25">
      <c r="A26" s="47" t="str">
        <f>Fill_Value(print!A26)</f>
        <v/>
      </c>
      <c r="B26" s="47" t="str">
        <f>Fill_Value(print!B26)</f>
        <v>super</v>
      </c>
      <c r="C26" s="47" t="str">
        <f>Fill_Value(print!C26)</f>
        <v>extra_perimeters_odd_layers</v>
      </c>
      <c r="D26" s="22"/>
      <c r="E26" s="3"/>
      <c r="F26" s="3"/>
      <c r="G26" s="3"/>
      <c r="H26" s="3"/>
      <c r="I26" s="3"/>
      <c r="J26" s="3"/>
      <c r="K26" s="3"/>
      <c r="L26" s="3"/>
      <c r="M26" s="3"/>
      <c r="N26" s="3"/>
      <c r="O26" s="3"/>
      <c r="P26" s="3" t="s">
        <v>231</v>
      </c>
    </row>
    <row r="27" spans="1:16" x14ac:dyDescent="0.25">
      <c r="A27" s="59" t="str">
        <f>Fill_Value(print!A27)</f>
        <v/>
      </c>
      <c r="B27" s="59" t="str">
        <f>Fill_Value(print!B27)</f>
        <v>super</v>
      </c>
      <c r="C27" s="59" t="str">
        <f>Fill_Value(print!C27)</f>
        <v>avoid_crossing_not_first_layer</v>
      </c>
      <c r="D27" s="25"/>
      <c r="E27" s="4"/>
      <c r="F27" s="4"/>
      <c r="G27" s="4"/>
      <c r="H27" s="4"/>
      <c r="I27" s="4"/>
      <c r="J27" s="4"/>
      <c r="K27" s="4"/>
      <c r="L27" s="4"/>
      <c r="M27" s="4"/>
      <c r="N27" s="4"/>
      <c r="O27" s="4"/>
      <c r="P27" s="4" t="s">
        <v>231</v>
      </c>
    </row>
    <row r="28" spans="1:16" x14ac:dyDescent="0.25">
      <c r="A28" s="47" t="str">
        <f>Fill_Value(print!A28)</f>
        <v/>
      </c>
      <c r="B28" s="47" t="str">
        <f>Fill_Value(print!B28)</f>
        <v>super</v>
      </c>
      <c r="C28" s="47" t="str">
        <f>Fill_Value(print!C28)</f>
        <v>avoid_crossing_perimeters_max_detour</v>
      </c>
      <c r="D28" s="22"/>
      <c r="E28" s="3"/>
      <c r="F28" s="3"/>
      <c r="G28" s="3"/>
      <c r="H28" s="3"/>
      <c r="I28" s="3"/>
      <c r="J28" s="3"/>
      <c r="K28" s="3"/>
      <c r="L28" s="3"/>
      <c r="M28" s="3"/>
      <c r="N28" s="3"/>
      <c r="O28" s="3"/>
      <c r="P28" s="3" t="s">
        <v>231</v>
      </c>
    </row>
    <row r="29" spans="1:16" x14ac:dyDescent="0.25">
      <c r="A29" s="59" t="str">
        <f>Fill_Value(print!A29)</f>
        <v/>
      </c>
      <c r="B29" s="59" t="str">
        <f>Fill_Value(print!B29)</f>
        <v>super</v>
      </c>
      <c r="C29" s="59" t="str">
        <f>Fill_Value(print!C29)</f>
        <v>thin_perimeters</v>
      </c>
      <c r="D29" s="25"/>
      <c r="E29" s="4"/>
      <c r="F29" s="4"/>
      <c r="G29" s="4"/>
      <c r="H29" s="4"/>
      <c r="I29" s="4"/>
      <c r="J29" s="4"/>
      <c r="K29" s="4"/>
      <c r="L29" s="4"/>
      <c r="M29" s="4"/>
      <c r="N29" s="4"/>
      <c r="O29" s="4"/>
      <c r="P29" s="4" t="s">
        <v>231</v>
      </c>
    </row>
    <row r="30" spans="1:16" x14ac:dyDescent="0.25">
      <c r="A30" s="47" t="str">
        <f>Fill_Value(print!A30)</f>
        <v/>
      </c>
      <c r="B30" s="47" t="str">
        <f>Fill_Value(print!B30)</f>
        <v>super</v>
      </c>
      <c r="C30" s="47" t="str">
        <f>Fill_Value(print!C30)</f>
        <v>thin_perimeters_all</v>
      </c>
      <c r="D30" s="22"/>
      <c r="E30" s="3"/>
      <c r="F30" s="3"/>
      <c r="G30" s="3"/>
      <c r="H30" s="3"/>
      <c r="I30" s="3"/>
      <c r="J30" s="3"/>
      <c r="K30" s="3"/>
      <c r="L30" s="3"/>
      <c r="M30" s="3"/>
      <c r="N30" s="3"/>
      <c r="O30" s="3"/>
      <c r="P30" s="3" t="s">
        <v>231</v>
      </c>
    </row>
    <row r="31" spans="1:16" x14ac:dyDescent="0.25">
      <c r="A31" s="59" t="str">
        <f>Fill_Value(print!A31)</f>
        <v/>
      </c>
      <c r="B31" s="59" t="str">
        <f>Fill_Value(print!B31)</f>
        <v>super</v>
      </c>
      <c r="C31" s="59" t="str">
        <f>Fill_Value(print!C31)</f>
        <v>thin_walls_merge</v>
      </c>
      <c r="D31" s="25"/>
      <c r="E31" s="4"/>
      <c r="F31" s="4"/>
      <c r="G31" s="4"/>
      <c r="H31" s="4"/>
      <c r="I31" s="4"/>
      <c r="J31" s="4"/>
      <c r="K31" s="4"/>
      <c r="L31" s="4"/>
      <c r="M31" s="4"/>
      <c r="N31" s="4"/>
      <c r="O31" s="4"/>
      <c r="P31" s="4" t="s">
        <v>231</v>
      </c>
    </row>
    <row r="32" spans="1:16" x14ac:dyDescent="0.25">
      <c r="A32" s="47" t="str">
        <f>Fill_Value(print!A32)</f>
        <v/>
      </c>
      <c r="B32" s="47" t="str">
        <f>Fill_Value(print!B32)</f>
        <v>super</v>
      </c>
      <c r="C32" s="47" t="str">
        <f>Fill_Value(print!C32)</f>
        <v>thin_walls_min_width</v>
      </c>
      <c r="D32" s="22"/>
      <c r="E32" s="3"/>
      <c r="F32" s="3"/>
      <c r="G32" s="3"/>
      <c r="H32" s="3"/>
      <c r="I32" s="3"/>
      <c r="J32" s="3"/>
      <c r="K32" s="3"/>
      <c r="L32" s="3"/>
      <c r="M32" s="3"/>
      <c r="N32" s="3"/>
      <c r="O32" s="3"/>
      <c r="P32" s="3" t="s">
        <v>231</v>
      </c>
    </row>
    <row r="33" spans="1:16" x14ac:dyDescent="0.25">
      <c r="A33" s="59" t="str">
        <f>Fill_Value(print!A33)</f>
        <v/>
      </c>
      <c r="B33" s="59" t="str">
        <f>Fill_Value(print!B33)</f>
        <v>super</v>
      </c>
      <c r="C33" s="59" t="str">
        <f>Fill_Value(print!C33)</f>
        <v>thin_walls_overlap</v>
      </c>
      <c r="D33" s="25"/>
      <c r="E33" s="4"/>
      <c r="F33" s="4"/>
      <c r="G33" s="4"/>
      <c r="H33" s="4"/>
      <c r="I33" s="4"/>
      <c r="J33" s="4"/>
      <c r="K33" s="4"/>
      <c r="L33" s="4"/>
      <c r="M33" s="4"/>
      <c r="N33" s="4"/>
      <c r="O33" s="4"/>
      <c r="P33" s="4" t="s">
        <v>231</v>
      </c>
    </row>
    <row r="34" spans="1:16" x14ac:dyDescent="0.25">
      <c r="A34" s="76" t="str">
        <f>Fill_Value(print!A34)</f>
        <v/>
      </c>
      <c r="B34" s="76" t="str">
        <f>Fill_Value(print!B34)</f>
        <v/>
      </c>
      <c r="C34" s="76" t="str">
        <f>Fill_Value(print!C34)</f>
        <v>##Overhangs</v>
      </c>
      <c r="D34" s="33"/>
      <c r="E34" s="5"/>
      <c r="F34" s="5"/>
      <c r="G34" s="5"/>
      <c r="H34" s="5"/>
      <c r="I34" s="5"/>
      <c r="J34" s="5"/>
      <c r="K34" s="5"/>
      <c r="L34" s="5"/>
      <c r="M34" s="5"/>
      <c r="N34" s="5"/>
      <c r="O34" s="5"/>
      <c r="P34" s="5" t="s">
        <v>231</v>
      </c>
    </row>
    <row r="35" spans="1:16" x14ac:dyDescent="0.25">
      <c r="A35" s="47" t="str">
        <f>Fill_Value(print!A35)</f>
        <v/>
      </c>
      <c r="B35" s="47" t="str">
        <f>Fill_Value(print!B35)</f>
        <v>super</v>
      </c>
      <c r="C35" s="47" t="str">
        <f>Fill_Value(print!C35)</f>
        <v>overhangs_reverse</v>
      </c>
      <c r="D35" s="22"/>
      <c r="E35" s="3"/>
      <c r="F35" s="3"/>
      <c r="G35" s="3"/>
      <c r="H35" s="3"/>
      <c r="I35" s="3"/>
      <c r="J35" s="3"/>
      <c r="K35" s="3"/>
      <c r="L35" s="3"/>
      <c r="M35" s="3"/>
      <c r="N35" s="3"/>
      <c r="O35" s="3"/>
      <c r="P35" s="3" t="s">
        <v>231</v>
      </c>
    </row>
    <row r="36" spans="1:16" x14ac:dyDescent="0.25">
      <c r="A36" s="59" t="str">
        <f>Fill_Value(print!A36)</f>
        <v/>
      </c>
      <c r="B36" s="59" t="str">
        <f>Fill_Value(print!B36)</f>
        <v>super</v>
      </c>
      <c r="C36" s="59" t="str">
        <f>Fill_Value(print!C36)</f>
        <v>overhangs_reverse_threshold</v>
      </c>
      <c r="D36" s="25"/>
      <c r="E36" s="4"/>
      <c r="F36" s="4"/>
      <c r="G36" s="4"/>
      <c r="H36" s="4"/>
      <c r="I36" s="4"/>
      <c r="J36" s="4"/>
      <c r="K36" s="4"/>
      <c r="L36" s="4"/>
      <c r="M36" s="4"/>
      <c r="N36" s="4"/>
      <c r="O36" s="4"/>
      <c r="P36" s="4" t="s">
        <v>231</v>
      </c>
    </row>
    <row r="37" spans="1:16" x14ac:dyDescent="0.25">
      <c r="A37" s="47" t="str">
        <f>Fill_Value(print!A37)</f>
        <v/>
      </c>
      <c r="B37" s="47" t="str">
        <f>Fill_Value(print!B37)</f>
        <v>super</v>
      </c>
      <c r="C37" s="47" t="str">
        <f>Fill_Value(print!C37)</f>
        <v>overhangs_width</v>
      </c>
      <c r="D37" s="22"/>
      <c r="E37" s="3"/>
      <c r="F37" s="3"/>
      <c r="G37" s="3"/>
      <c r="H37" s="3"/>
      <c r="I37" s="3"/>
      <c r="J37" s="3"/>
      <c r="K37" s="3"/>
      <c r="L37" s="3"/>
      <c r="M37" s="3"/>
      <c r="N37" s="3"/>
      <c r="O37" s="3"/>
      <c r="P37" s="3" t="s">
        <v>231</v>
      </c>
    </row>
    <row r="38" spans="1:16" x14ac:dyDescent="0.25">
      <c r="A38" s="4" t="str">
        <f>Fill_Value(print!A38)</f>
        <v/>
      </c>
      <c r="B38" s="59" t="str">
        <f>Fill_Value(print!B38)</f>
        <v>super</v>
      </c>
      <c r="C38" s="59" t="str">
        <f>Fill_Value(print!C38)</f>
        <v>overhangs_width_speed</v>
      </c>
      <c r="D38" s="25"/>
      <c r="E38" s="4"/>
      <c r="F38" s="4"/>
      <c r="G38" s="4"/>
      <c r="H38" s="4"/>
      <c r="I38" s="4"/>
      <c r="J38" s="4"/>
      <c r="K38" s="4"/>
      <c r="L38" s="4"/>
      <c r="M38" s="4"/>
      <c r="N38" s="4"/>
      <c r="O38" s="4"/>
      <c r="P38" s="4" t="s">
        <v>231</v>
      </c>
    </row>
    <row r="39" spans="1:16" x14ac:dyDescent="0.25">
      <c r="A39" s="76" t="str">
        <f>Fill_Value(print!A39)</f>
        <v/>
      </c>
      <c r="B39" s="76" t="str">
        <f>Fill_Value(print!B39)</f>
        <v/>
      </c>
      <c r="C39" s="76" t="str">
        <f>Fill_Value(print!C39)</f>
        <v>##Advanced</v>
      </c>
      <c r="D39" s="33"/>
      <c r="E39" s="5"/>
      <c r="F39" s="5"/>
      <c r="G39" s="5"/>
      <c r="H39" s="5"/>
      <c r="I39" s="5"/>
      <c r="J39" s="5"/>
      <c r="K39" s="5"/>
      <c r="L39" s="5"/>
      <c r="M39" s="5"/>
      <c r="N39" s="5"/>
      <c r="O39" s="5"/>
      <c r="P39" s="5" t="s">
        <v>231</v>
      </c>
    </row>
    <row r="40" spans="1:16" x14ac:dyDescent="0.25">
      <c r="A40" s="47" t="str">
        <f>Fill_Value(print!A40)</f>
        <v/>
      </c>
      <c r="B40" s="47" t="str">
        <f>Fill_Value(print!B40)</f>
        <v>super</v>
      </c>
      <c r="C40" s="47" t="str">
        <f>Fill_Value(print!C40)</f>
        <v>no_perimeter_unsupported_algo</v>
      </c>
      <c r="D40" s="22"/>
      <c r="E40" s="3"/>
      <c r="F40" s="3"/>
      <c r="G40" s="3"/>
      <c r="H40" s="3"/>
      <c r="I40" s="3"/>
      <c r="J40" s="3"/>
      <c r="K40" s="3"/>
      <c r="L40" s="3"/>
      <c r="M40" s="3"/>
      <c r="N40" s="3"/>
      <c r="O40" s="3"/>
      <c r="P40" s="3" t="s">
        <v>231</v>
      </c>
    </row>
    <row r="41" spans="1:16" x14ac:dyDescent="0.25">
      <c r="A41" s="59" t="str">
        <f>Fill_Value(print!A41)</f>
        <v/>
      </c>
      <c r="B41" s="59" t="str">
        <f>Fill_Value(print!B41)</f>
        <v>super</v>
      </c>
      <c r="C41" s="59" t="str">
        <f>Fill_Value(print!C41)</f>
        <v>gap_fill</v>
      </c>
      <c r="D41" s="25"/>
      <c r="E41" s="4"/>
      <c r="F41" s="4"/>
      <c r="G41" s="4"/>
      <c r="H41" s="4"/>
      <c r="I41" s="4"/>
      <c r="J41" s="4"/>
      <c r="K41" s="4"/>
      <c r="L41" s="4"/>
      <c r="M41" s="4"/>
      <c r="N41" s="4"/>
      <c r="O41" s="4"/>
      <c r="P41" s="4" t="s">
        <v>231</v>
      </c>
    </row>
    <row r="42" spans="1:16" x14ac:dyDescent="0.25">
      <c r="A42" s="47" t="str">
        <f>Fill_Value(print!A42)</f>
        <v/>
      </c>
      <c r="B42" s="47" t="str">
        <f>Fill_Value(print!B42)</f>
        <v>super</v>
      </c>
      <c r="C42" s="47" t="str">
        <f>Fill_Value(print!C42)</f>
        <v>gap_fill_min_area</v>
      </c>
      <c r="D42" s="22"/>
      <c r="E42" s="3"/>
      <c r="F42" s="3"/>
      <c r="G42" s="3"/>
      <c r="H42" s="3"/>
      <c r="I42" s="3"/>
      <c r="J42" s="3"/>
      <c r="K42" s="3"/>
      <c r="L42" s="3"/>
      <c r="M42" s="3"/>
      <c r="N42" s="3"/>
      <c r="O42" s="3"/>
      <c r="P42" s="3" t="s">
        <v>231</v>
      </c>
    </row>
    <row r="43" spans="1:16" x14ac:dyDescent="0.25">
      <c r="A43" s="59" t="str">
        <f>Fill_Value(print!A43)</f>
        <v/>
      </c>
      <c r="B43" s="59" t="str">
        <f>Fill_Value(print!B43)</f>
        <v/>
      </c>
      <c r="C43" s="59" t="str">
        <f>Fill_Value(print!C43)</f>
        <v>seam_position</v>
      </c>
      <c r="D43" s="25"/>
      <c r="E43" s="4"/>
      <c r="F43" s="4"/>
      <c r="G43" s="4"/>
      <c r="H43" s="4"/>
      <c r="I43" s="4"/>
      <c r="J43" s="4"/>
      <c r="K43" s="4"/>
      <c r="L43" s="4"/>
      <c r="M43" s="4"/>
      <c r="N43" s="4"/>
      <c r="O43" s="4"/>
      <c r="P43" s="4" t="s">
        <v>231</v>
      </c>
    </row>
    <row r="44" spans="1:16" x14ac:dyDescent="0.25">
      <c r="A44" s="47" t="str">
        <f>Fill_Value(print!A44)</f>
        <v/>
      </c>
      <c r="B44" s="47" t="str">
        <f>Fill_Value(print!B44)</f>
        <v>super</v>
      </c>
      <c r="C44" s="47" t="str">
        <f>Fill_Value(print!C44)</f>
        <v>seam_angle_cost</v>
      </c>
      <c r="D44" s="22"/>
      <c r="E44" s="3"/>
      <c r="F44" s="3"/>
      <c r="G44" s="3"/>
      <c r="H44" s="3"/>
      <c r="I44" s="3"/>
      <c r="J44" s="3"/>
      <c r="K44" s="3"/>
      <c r="L44" s="3"/>
      <c r="M44" s="3"/>
      <c r="N44" s="3"/>
      <c r="O44" s="3"/>
      <c r="P44" s="3" t="s">
        <v>231</v>
      </c>
    </row>
    <row r="45" spans="1:16" x14ac:dyDescent="0.25">
      <c r="A45" s="59" t="str">
        <f>Fill_Value(print!A45)</f>
        <v/>
      </c>
      <c r="B45" s="59" t="str">
        <f>Fill_Value(print!B45)</f>
        <v>super</v>
      </c>
      <c r="C45" s="59" t="str">
        <f>Fill_Value(print!C45)</f>
        <v>seam_travel_cost</v>
      </c>
      <c r="D45" s="25"/>
      <c r="E45" s="4"/>
      <c r="F45" s="4"/>
      <c r="G45" s="4"/>
      <c r="H45" s="4"/>
      <c r="I45" s="4"/>
      <c r="J45" s="4"/>
      <c r="K45" s="4"/>
      <c r="L45" s="4"/>
      <c r="M45" s="4"/>
      <c r="N45" s="4"/>
      <c r="O45" s="4"/>
      <c r="P45" s="4"/>
    </row>
    <row r="46" spans="1:16" x14ac:dyDescent="0.25">
      <c r="A46" s="47" t="str">
        <f>Fill_Value(print!A46)</f>
        <v/>
      </c>
      <c r="B46" s="47" t="str">
        <f>Fill_Value(print!B46)</f>
        <v>super</v>
      </c>
      <c r="C46" s="47" t="str">
        <f>Fill_Value(print!C46)</f>
        <v>perimeter_loop</v>
      </c>
      <c r="D46" s="22"/>
      <c r="E46" s="3"/>
      <c r="F46" s="3"/>
      <c r="G46" s="3"/>
      <c r="H46" s="3"/>
      <c r="I46" s="3"/>
      <c r="J46" s="3"/>
      <c r="K46" s="3"/>
      <c r="L46" s="3"/>
      <c r="M46" s="3"/>
      <c r="N46" s="3"/>
      <c r="O46" s="3"/>
      <c r="P46" s="3"/>
    </row>
    <row r="47" spans="1:16" x14ac:dyDescent="0.25">
      <c r="A47" s="59" t="str">
        <f>Fill_Value(print!A47)</f>
        <v/>
      </c>
      <c r="B47" s="59" t="str">
        <f>Fill_Value(print!B47)</f>
        <v>super</v>
      </c>
      <c r="C47" s="59" t="str">
        <f>Fill_Value(print!C47)</f>
        <v>perimeter_loop_seam</v>
      </c>
      <c r="D47" s="25"/>
      <c r="E47" s="4"/>
      <c r="F47" s="4"/>
      <c r="G47" s="4"/>
      <c r="H47" s="4"/>
      <c r="I47" s="4"/>
      <c r="J47" s="4"/>
      <c r="K47" s="4"/>
      <c r="L47" s="4"/>
      <c r="M47" s="4"/>
      <c r="N47" s="4"/>
      <c r="O47" s="4"/>
      <c r="P47" s="4"/>
    </row>
    <row r="48" spans="1:16" x14ac:dyDescent="0.25">
      <c r="A48" s="47" t="str">
        <f>Fill_Value(print!A48)</f>
        <v/>
      </c>
      <c r="B48" s="47" t="str">
        <f>Fill_Value(print!B48)</f>
        <v>super</v>
      </c>
      <c r="C48" s="47" t="str">
        <f>Fill_Value(print!C48)</f>
        <v>perimeter_round_corners</v>
      </c>
      <c r="D48" s="22"/>
      <c r="E48" s="3"/>
      <c r="F48" s="3"/>
      <c r="G48" s="3"/>
      <c r="H48" s="3"/>
      <c r="I48" s="3"/>
      <c r="J48" s="3"/>
      <c r="K48" s="3"/>
      <c r="L48" s="3"/>
      <c r="M48" s="3"/>
      <c r="N48" s="3"/>
      <c r="O48" s="3"/>
      <c r="P48" s="3"/>
    </row>
    <row r="49" spans="1:16" x14ac:dyDescent="0.25">
      <c r="A49" s="76" t="str">
        <f>Fill_Value(print!A49)</f>
        <v/>
      </c>
      <c r="B49" s="76" t="str">
        <f>Fill_Value(print!B49)</f>
        <v/>
      </c>
      <c r="C49" s="76" t="str">
        <f>Fill_Value(print!C49)</f>
        <v>##External perimeter first</v>
      </c>
      <c r="D49" s="33"/>
      <c r="E49" s="5"/>
      <c r="F49" s="5"/>
      <c r="G49" s="5"/>
      <c r="H49" s="5"/>
      <c r="I49" s="5"/>
      <c r="J49" s="5"/>
      <c r="K49" s="5"/>
      <c r="L49" s="5"/>
      <c r="M49" s="5"/>
      <c r="N49" s="5"/>
      <c r="O49" s="5"/>
      <c r="P49" s="5"/>
    </row>
    <row r="50" spans="1:16" x14ac:dyDescent="0.25">
      <c r="A50" s="47" t="str">
        <f>Fill_Value(print!A50)</f>
        <v/>
      </c>
      <c r="B50" s="47" t="str">
        <f>Fill_Value(print!B50)</f>
        <v/>
      </c>
      <c r="C50" s="47" t="str">
        <f>Fill_Value(print!C50)</f>
        <v>external_perimeters_first</v>
      </c>
      <c r="D50" s="22"/>
      <c r="E50" s="3"/>
      <c r="F50" s="3"/>
      <c r="G50" s="3"/>
      <c r="H50" s="3"/>
      <c r="I50" s="3"/>
      <c r="J50" s="3"/>
      <c r="K50" s="3"/>
      <c r="L50" s="3"/>
      <c r="M50" s="3"/>
      <c r="N50" s="3"/>
      <c r="O50" s="3"/>
      <c r="P50" s="3"/>
    </row>
    <row r="51" spans="1:16" x14ac:dyDescent="0.25">
      <c r="A51" s="59" t="str">
        <f>Fill_Value(print!A51)</f>
        <v/>
      </c>
      <c r="B51" s="59" t="str">
        <f>Fill_Value(print!B51)</f>
        <v>super</v>
      </c>
      <c r="C51" s="59" t="str">
        <f>Fill_Value(print!C51)</f>
        <v>external_perimeters_hole</v>
      </c>
      <c r="D51" s="25"/>
      <c r="E51" s="4"/>
      <c r="F51" s="4"/>
      <c r="G51" s="4"/>
      <c r="H51" s="4"/>
      <c r="I51" s="4"/>
      <c r="J51" s="4"/>
      <c r="K51" s="4"/>
      <c r="L51" s="4"/>
      <c r="M51" s="4"/>
      <c r="N51" s="4"/>
      <c r="O51" s="4"/>
      <c r="P51" s="4"/>
    </row>
    <row r="52" spans="1:16" x14ac:dyDescent="0.25">
      <c r="A52" s="47" t="str">
        <f>Fill_Value(print!A52)</f>
        <v/>
      </c>
      <c r="B52" s="47" t="str">
        <f>Fill_Value(print!B52)</f>
        <v>super</v>
      </c>
      <c r="C52" s="47" t="str">
        <f>Fill_Value(print!C52)</f>
        <v>external_perimeters_nothole</v>
      </c>
      <c r="D52" s="22"/>
      <c r="E52" s="3"/>
      <c r="F52" s="3"/>
      <c r="G52" s="3"/>
      <c r="H52" s="3"/>
      <c r="I52" s="3"/>
      <c r="J52" s="3"/>
      <c r="K52" s="3"/>
      <c r="L52" s="3"/>
      <c r="M52" s="3"/>
      <c r="N52" s="3"/>
      <c r="O52" s="3"/>
      <c r="P52" s="3"/>
    </row>
    <row r="53" spans="1:16" x14ac:dyDescent="0.25">
      <c r="A53" s="59" t="str">
        <f>Fill_Value(print!A53)</f>
        <v/>
      </c>
      <c r="B53" s="59" t="str">
        <f>Fill_Value(print!B53)</f>
        <v>super</v>
      </c>
      <c r="C53" s="59" t="str">
        <f>Fill_Value(print!C53)</f>
        <v>external_perimeters_vase</v>
      </c>
      <c r="D53" s="25"/>
      <c r="E53" s="4"/>
      <c r="F53" s="4"/>
      <c r="G53" s="4"/>
      <c r="H53" s="4"/>
      <c r="I53" s="4"/>
      <c r="J53" s="4"/>
      <c r="K53" s="4"/>
      <c r="L53" s="4"/>
      <c r="M53" s="4"/>
      <c r="N53" s="4"/>
      <c r="O53" s="4"/>
      <c r="P53" s="4"/>
    </row>
    <row r="54" spans="1:16" x14ac:dyDescent="0.25">
      <c r="A54" s="47" t="str">
        <f>Fill_Value(print!A54)</f>
        <v/>
      </c>
      <c r="B54" s="47" t="str">
        <f>Fill_Value(print!B54)</f>
        <v>super</v>
      </c>
      <c r="C54" s="47" t="str">
        <f>Fill_Value(print!C54)</f>
        <v>perimeter_bonding</v>
      </c>
      <c r="D54" s="22"/>
      <c r="E54" s="3"/>
      <c r="F54" s="3"/>
      <c r="G54" s="3"/>
      <c r="H54" s="3"/>
      <c r="I54" s="3"/>
      <c r="J54" s="3"/>
      <c r="K54" s="3"/>
      <c r="L54" s="3"/>
      <c r="M54" s="3"/>
      <c r="N54" s="3"/>
      <c r="O54" s="3"/>
      <c r="P54" s="3"/>
    </row>
    <row r="55" spans="1:16" x14ac:dyDescent="0.25">
      <c r="A55" s="76" t="str">
        <f>Fill_Value(print!A55)</f>
        <v>Slicing</v>
      </c>
      <c r="B55" s="76" t="str">
        <f>Fill_Value(print!B55)</f>
        <v/>
      </c>
      <c r="C55" s="76" t="str">
        <f>Fill_Value(print!C55)</f>
        <v>##Filtering</v>
      </c>
      <c r="D55" s="33"/>
      <c r="E55" s="5"/>
      <c r="F55" s="5"/>
      <c r="G55" s="5"/>
      <c r="H55" s="5"/>
      <c r="I55" s="5"/>
      <c r="J55" s="5"/>
      <c r="K55" s="5"/>
      <c r="L55" s="5"/>
      <c r="M55" s="5"/>
      <c r="N55" s="5"/>
      <c r="O55" s="5"/>
      <c r="P55" s="5"/>
    </row>
    <row r="56" spans="1:16" x14ac:dyDescent="0.25">
      <c r="A56" s="47" t="str">
        <f>Fill_Value(print!A56)</f>
        <v/>
      </c>
      <c r="B56" s="47" t="str">
        <f>Fill_Value(print!B56)</f>
        <v/>
      </c>
      <c r="C56" s="47" t="str">
        <f>Fill_Value(print!C56)</f>
        <v>slice_closing_radius</v>
      </c>
      <c r="D56" s="22"/>
      <c r="E56" s="3"/>
      <c r="F56" s="3"/>
      <c r="G56" s="3"/>
      <c r="H56" s="3"/>
      <c r="I56" s="3"/>
      <c r="J56" s="3"/>
      <c r="K56" s="3"/>
      <c r="L56" s="3"/>
      <c r="M56" s="3"/>
      <c r="N56" s="3"/>
      <c r="O56" s="3"/>
      <c r="P56" s="3"/>
    </row>
    <row r="57" spans="1:16" x14ac:dyDescent="0.25">
      <c r="A57" s="59" t="str">
        <f>Fill_Value(print!A57)</f>
        <v/>
      </c>
      <c r="B57" s="59" t="str">
        <f>Fill_Value(print!B57)</f>
        <v/>
      </c>
      <c r="C57" s="59" t="str">
        <f>Fill_Value(print!C57)</f>
        <v>resolution</v>
      </c>
      <c r="D57" s="25"/>
      <c r="E57" s="4"/>
      <c r="F57" s="4"/>
      <c r="G57" s="4"/>
      <c r="H57" s="4"/>
      <c r="I57" s="4"/>
      <c r="J57" s="4"/>
      <c r="K57" s="4"/>
      <c r="L57" s="4"/>
      <c r="M57" s="4"/>
      <c r="N57" s="4"/>
      <c r="O57" s="4"/>
      <c r="P57" s="4"/>
    </row>
    <row r="58" spans="1:16" x14ac:dyDescent="0.25">
      <c r="A58" s="47" t="str">
        <f>Fill_Value(print!A58)</f>
        <v/>
      </c>
      <c r="B58" s="47" t="str">
        <f>Fill_Value(print!B58)</f>
        <v>super</v>
      </c>
      <c r="C58" s="47" t="str">
        <f>Fill_Value(print!C58)</f>
        <v>model_precision</v>
      </c>
      <c r="D58" s="22"/>
      <c r="E58" s="3"/>
      <c r="F58" s="3"/>
      <c r="G58" s="3"/>
      <c r="H58" s="3"/>
      <c r="I58" s="3"/>
      <c r="J58" s="3"/>
      <c r="K58" s="3"/>
      <c r="L58" s="3"/>
      <c r="M58" s="3"/>
      <c r="N58" s="3"/>
      <c r="O58" s="3"/>
      <c r="P58" s="3"/>
    </row>
    <row r="59" spans="1:16" x14ac:dyDescent="0.25">
      <c r="A59" s="76" t="str">
        <f>Fill_Value(print!A59)</f>
        <v/>
      </c>
      <c r="B59" s="76" t="str">
        <f>Fill_Value(print!B59)</f>
        <v/>
      </c>
      <c r="C59" s="76" t="str">
        <f>Fill_Value(print!C59)</f>
        <v>##Modifying Slices</v>
      </c>
      <c r="D59" s="33"/>
      <c r="E59" s="5"/>
      <c r="F59" s="5"/>
      <c r="G59" s="5"/>
      <c r="H59" s="5"/>
      <c r="I59" s="5"/>
      <c r="J59" s="5"/>
      <c r="K59" s="5"/>
      <c r="L59" s="5"/>
      <c r="M59" s="5"/>
      <c r="N59" s="5"/>
      <c r="O59" s="5"/>
      <c r="P59" s="5"/>
    </row>
    <row r="60" spans="1:16" x14ac:dyDescent="0.25">
      <c r="A60" s="47" t="str">
        <f>Fill_Value(print!A60)</f>
        <v/>
      </c>
      <c r="B60" s="47" t="str">
        <f>Fill_Value(print!B60)</f>
        <v>super</v>
      </c>
      <c r="C60" s="47" t="str">
        <f>Fill_Value(print!C60)</f>
        <v>curve_smoothing_angle_concave</v>
      </c>
      <c r="D60" s="22"/>
      <c r="E60" s="3"/>
      <c r="F60" s="3"/>
      <c r="G60" s="3"/>
      <c r="H60" s="3"/>
      <c r="I60" s="3"/>
      <c r="J60" s="3"/>
      <c r="K60" s="3"/>
      <c r="L60" s="3"/>
      <c r="M60" s="3"/>
      <c r="N60" s="3"/>
      <c r="O60" s="3"/>
      <c r="P60" s="3"/>
    </row>
    <row r="61" spans="1:16" x14ac:dyDescent="0.25">
      <c r="A61" s="59" t="str">
        <f>Fill_Value(print!A61)</f>
        <v/>
      </c>
      <c r="B61" s="59" t="str">
        <f>Fill_Value(print!B61)</f>
        <v>super</v>
      </c>
      <c r="C61" s="59" t="str">
        <f>Fill_Value(print!C61)</f>
        <v>curve_smoothing_angle_convex</v>
      </c>
      <c r="D61" s="25"/>
      <c r="E61" s="4"/>
      <c r="F61" s="4"/>
      <c r="G61" s="4"/>
      <c r="H61" s="4"/>
      <c r="I61" s="4"/>
      <c r="J61" s="4"/>
      <c r="K61" s="4"/>
      <c r="L61" s="4"/>
      <c r="M61" s="4"/>
      <c r="N61" s="4"/>
      <c r="O61" s="4"/>
      <c r="P61" s="4"/>
    </row>
    <row r="62" spans="1:16" x14ac:dyDescent="0.25">
      <c r="A62" s="47" t="str">
        <f>Fill_Value(print!A62)</f>
        <v/>
      </c>
      <c r="B62" s="47" t="str">
        <f>Fill_Value(print!B62)</f>
        <v>super</v>
      </c>
      <c r="C62" s="47" t="str">
        <f>Fill_Value(print!C62)</f>
        <v>curve_smoothing_cutoff_dist</v>
      </c>
      <c r="D62" s="22"/>
      <c r="E62" s="3"/>
      <c r="F62" s="3"/>
      <c r="G62" s="3"/>
      <c r="H62" s="3"/>
      <c r="I62" s="3"/>
      <c r="J62" s="3"/>
      <c r="K62" s="3"/>
      <c r="L62" s="3"/>
      <c r="M62" s="3"/>
      <c r="N62" s="3"/>
      <c r="O62" s="3"/>
      <c r="P62" s="3"/>
    </row>
    <row r="63" spans="1:16" x14ac:dyDescent="0.25">
      <c r="A63" s="59" t="str">
        <f>Fill_Value(print!A63)</f>
        <v/>
      </c>
      <c r="B63" s="59" t="str">
        <f>Fill_Value(print!B63)</f>
        <v>super</v>
      </c>
      <c r="C63" s="59" t="str">
        <f>Fill_Value(print!C63)</f>
        <v>curve_smoothing_precision</v>
      </c>
      <c r="D63" s="25"/>
      <c r="E63" s="4"/>
      <c r="F63" s="4"/>
      <c r="G63" s="4"/>
      <c r="H63" s="4"/>
      <c r="I63" s="4"/>
      <c r="J63" s="4"/>
      <c r="K63" s="4"/>
      <c r="L63" s="4"/>
      <c r="M63" s="4"/>
      <c r="N63" s="4"/>
      <c r="O63" s="4"/>
      <c r="P63" s="4"/>
    </row>
    <row r="64" spans="1:16" x14ac:dyDescent="0.25">
      <c r="A64" s="47" t="str">
        <f>Fill_Value(print!A64)</f>
        <v/>
      </c>
      <c r="B64" s="47" t="str">
        <f>Fill_Value(print!B64)</f>
        <v>super</v>
      </c>
      <c r="C64" s="47" t="str">
        <f>Fill_Value(print!C64)</f>
        <v>xy_inner_size_compensation</v>
      </c>
      <c r="D64" s="22"/>
      <c r="E64" s="3"/>
      <c r="F64" s="3"/>
      <c r="G64" s="3"/>
      <c r="H64" s="3"/>
      <c r="I64" s="3"/>
      <c r="J64" s="3"/>
      <c r="K64" s="3"/>
      <c r="L64" s="3"/>
      <c r="M64" s="3"/>
      <c r="N64" s="3"/>
      <c r="O64" s="3"/>
      <c r="P64" s="3"/>
    </row>
    <row r="65" spans="1:16" x14ac:dyDescent="0.25">
      <c r="A65" s="59" t="str">
        <f>Fill_Value(print!A65)</f>
        <v/>
      </c>
      <c r="B65" s="59" t="str">
        <f>Fill_Value(print!B65)</f>
        <v/>
      </c>
      <c r="C65" s="59" t="str">
        <f>Fill_Value(print!C65)</f>
        <v>xy_size_compensation</v>
      </c>
      <c r="D65" s="25"/>
      <c r="E65" s="4"/>
      <c r="F65" s="4"/>
      <c r="G65" s="4"/>
      <c r="H65" s="4"/>
      <c r="I65" s="4"/>
      <c r="J65" s="4"/>
      <c r="K65" s="4"/>
      <c r="L65" s="4"/>
      <c r="M65" s="4"/>
      <c r="N65" s="4"/>
      <c r="O65" s="4"/>
      <c r="P65" s="4"/>
    </row>
    <row r="66" spans="1:16" x14ac:dyDescent="0.25">
      <c r="A66" s="47" t="str">
        <f>Fill_Value(print!A66)</f>
        <v/>
      </c>
      <c r="B66" s="47" t="str">
        <f>Fill_Value(print!B66)</f>
        <v>super</v>
      </c>
      <c r="C66" s="47" t="str">
        <f>Fill_Value(print!C66)</f>
        <v>first_layer_size_compensation</v>
      </c>
      <c r="D66" s="22"/>
      <c r="E66" s="3"/>
      <c r="F66" s="3"/>
      <c r="G66" s="3"/>
      <c r="H66" s="3"/>
      <c r="I66" s="3"/>
      <c r="J66" s="3"/>
      <c r="K66" s="3"/>
      <c r="L66" s="3"/>
      <c r="M66" s="3"/>
      <c r="N66" s="3"/>
      <c r="O66" s="3"/>
      <c r="P66" s="3"/>
    </row>
    <row r="67" spans="1:16" x14ac:dyDescent="0.25">
      <c r="A67" s="4" t="str">
        <f>Fill_Value(print!A67)</f>
        <v/>
      </c>
      <c r="B67" s="4" t="str">
        <f>Fill_Value(print!B67)</f>
        <v>super</v>
      </c>
      <c r="C67" s="4" t="str">
        <f>Fill_Value(print!C67)</f>
        <v>hole_size_compensation</v>
      </c>
      <c r="D67" s="25"/>
      <c r="E67" s="4"/>
      <c r="F67" s="4"/>
      <c r="G67" s="4"/>
      <c r="H67" s="4"/>
      <c r="I67" s="4"/>
      <c r="J67" s="4"/>
      <c r="K67" s="4"/>
      <c r="L67" s="4"/>
      <c r="M67" s="4"/>
      <c r="N67" s="4"/>
      <c r="O67" s="4"/>
      <c r="P67" s="4"/>
    </row>
    <row r="68" spans="1:16" x14ac:dyDescent="0.25">
      <c r="A68" s="47" t="str">
        <f>Fill_Value(print!A68)</f>
        <v/>
      </c>
      <c r="B68" s="47" t="str">
        <f>Fill_Value(print!B68)</f>
        <v>super</v>
      </c>
      <c r="C68" s="47" t="str">
        <f>Fill_Value(print!C68)</f>
        <v>hole_size_threshold</v>
      </c>
      <c r="D68" s="22"/>
      <c r="E68" s="3"/>
      <c r="F68" s="3"/>
      <c r="G68" s="3"/>
      <c r="H68" s="3"/>
      <c r="I68" s="3"/>
      <c r="J68" s="3"/>
      <c r="K68" s="3"/>
      <c r="L68" s="3"/>
      <c r="M68" s="3"/>
      <c r="N68" s="3"/>
      <c r="O68" s="3"/>
      <c r="P68" s="3"/>
    </row>
    <row r="69" spans="1:16" x14ac:dyDescent="0.25">
      <c r="A69" s="59" t="str">
        <f>Fill_Value(print!A69)</f>
        <v/>
      </c>
      <c r="B69" s="59" t="str">
        <f>Fill_Value(print!B69)</f>
        <v>super</v>
      </c>
      <c r="C69" s="59" t="str">
        <f>Fill_Value(print!C69)</f>
        <v>hole_to_polyhole</v>
      </c>
      <c r="D69" s="25"/>
      <c r="E69" s="4"/>
      <c r="F69" s="4"/>
      <c r="G69" s="4"/>
      <c r="H69" s="4"/>
      <c r="I69" s="4"/>
      <c r="J69" s="4"/>
      <c r="K69" s="4"/>
      <c r="L69" s="4"/>
      <c r="M69" s="4"/>
      <c r="N69" s="4"/>
      <c r="O69" s="4"/>
      <c r="P69" s="4"/>
    </row>
    <row r="70" spans="1:16" x14ac:dyDescent="0.25">
      <c r="A70" s="47" t="str">
        <f>Fill_Value(print!A70)</f>
        <v/>
      </c>
      <c r="B70" s="47" t="str">
        <f>Fill_Value(print!B70)</f>
        <v>super</v>
      </c>
      <c r="C70" s="47" t="str">
        <f>Fill_Value(print!C70)</f>
        <v>hole_to_polyhole_threshold</v>
      </c>
      <c r="D70" s="22"/>
      <c r="E70" s="3"/>
      <c r="F70" s="3"/>
      <c r="G70" s="3"/>
      <c r="H70" s="3"/>
      <c r="I70" s="3"/>
      <c r="J70" s="3"/>
      <c r="K70" s="3"/>
      <c r="L70" s="3"/>
      <c r="M70" s="3"/>
      <c r="N70" s="3"/>
      <c r="O70" s="3"/>
      <c r="P70" s="3"/>
    </row>
    <row r="71" spans="1:16" x14ac:dyDescent="0.25">
      <c r="A71" s="76" t="str">
        <f>Fill_Value(print!A71)</f>
        <v/>
      </c>
      <c r="B71" s="76" t="str">
        <f>Fill_Value(print!B71)</f>
        <v/>
      </c>
      <c r="C71" s="76" t="str">
        <f>Fill_Value(print!C71)</f>
        <v>##Other</v>
      </c>
      <c r="D71" s="33"/>
      <c r="E71" s="5"/>
      <c r="F71" s="5"/>
      <c r="G71" s="5"/>
      <c r="H71" s="5"/>
      <c r="I71" s="5"/>
      <c r="J71" s="5"/>
      <c r="K71" s="5"/>
      <c r="L71" s="5"/>
      <c r="M71" s="5"/>
      <c r="N71" s="5"/>
      <c r="O71" s="5"/>
      <c r="P71" s="5"/>
    </row>
    <row r="72" spans="1:16" x14ac:dyDescent="0.25">
      <c r="A72" s="47" t="str">
        <f>Fill_Value(print!A72)</f>
        <v/>
      </c>
      <c r="B72" s="47" t="str">
        <f>Fill_Value(print!B72)</f>
        <v/>
      </c>
      <c r="C72" s="47" t="str">
        <f>Fill_Value(print!C72)</f>
        <v>clip_multipart_objects</v>
      </c>
      <c r="D72" s="22"/>
      <c r="E72" s="3"/>
      <c r="F72" s="3"/>
      <c r="G72" s="3"/>
      <c r="H72" s="3"/>
      <c r="I72" s="3"/>
      <c r="J72" s="3"/>
      <c r="K72" s="3"/>
      <c r="L72" s="3"/>
      <c r="M72" s="3"/>
      <c r="N72" s="3"/>
      <c r="O72" s="3"/>
      <c r="P72" s="3"/>
    </row>
    <row r="73" spans="1:16" x14ac:dyDescent="0.25">
      <c r="A73" s="59" t="str">
        <f>Fill_Value(print!A73)</f>
        <v/>
      </c>
      <c r="B73" s="59" t="str">
        <f>Fill_Value(print!B73)</f>
        <v>super</v>
      </c>
      <c r="C73" s="59" t="str">
        <f>Fill_Value(print!C73)</f>
        <v>allow_empty_layers</v>
      </c>
      <c r="D73" s="25"/>
      <c r="E73" s="4"/>
      <c r="F73" s="4"/>
      <c r="G73" s="4"/>
      <c r="H73" s="4"/>
      <c r="I73" s="4"/>
      <c r="J73" s="4"/>
      <c r="K73" s="4"/>
      <c r="L73" s="4"/>
      <c r="M73" s="4"/>
      <c r="N73" s="4"/>
      <c r="O73" s="4"/>
      <c r="P73" s="4"/>
    </row>
    <row r="74" spans="1:16" x14ac:dyDescent="0.25">
      <c r="A74" s="47" t="str">
        <f>Fill_Value(print!A74)</f>
        <v/>
      </c>
      <c r="B74" s="47" t="str">
        <f>Fill_Value(print!B74)</f>
        <v/>
      </c>
      <c r="C74" s="47" t="str">
        <f>Fill_Value(print!C74)</f>
        <v>elefant_foot_compensation</v>
      </c>
      <c r="D74" s="22"/>
      <c r="E74" s="3"/>
      <c r="F74" s="3"/>
      <c r="G74" s="3"/>
      <c r="H74" s="3"/>
      <c r="I74" s="3"/>
      <c r="J74" s="3"/>
      <c r="K74" s="3"/>
      <c r="L74" s="3"/>
      <c r="M74" s="3"/>
      <c r="N74" s="3"/>
      <c r="O74" s="3"/>
      <c r="P74" s="3"/>
    </row>
    <row r="75" spans="1:16" x14ac:dyDescent="0.25">
      <c r="A75" s="76" t="str">
        <f>Fill_Value(print!A75)</f>
        <v>Infill</v>
      </c>
      <c r="B75" s="76" t="str">
        <f>Fill_Value(print!B75)</f>
        <v/>
      </c>
      <c r="C75" s="76" t="str">
        <f>Fill_Value(print!C75)</f>
        <v>##Infill</v>
      </c>
      <c r="D75" s="33"/>
      <c r="E75" s="5"/>
      <c r="F75" s="5"/>
      <c r="G75" s="5"/>
      <c r="H75" s="5"/>
      <c r="I75" s="5"/>
      <c r="J75" s="5"/>
      <c r="K75" s="5"/>
      <c r="L75" s="5"/>
      <c r="M75" s="5"/>
      <c r="N75" s="5"/>
      <c r="O75" s="5"/>
      <c r="P75" s="5"/>
    </row>
    <row r="76" spans="1:16" x14ac:dyDescent="0.25">
      <c r="A76" s="47" t="str">
        <f>Fill_Value(print!A76)</f>
        <v/>
      </c>
      <c r="B76" s="47" t="str">
        <f>Fill_Value(print!B76)</f>
        <v/>
      </c>
      <c r="C76" s="47" t="str">
        <f>Fill_Value(print!C76)</f>
        <v>fill_density</v>
      </c>
      <c r="D76" s="35"/>
      <c r="E76" s="39"/>
      <c r="F76" s="39"/>
      <c r="G76" s="39"/>
      <c r="H76" s="39"/>
      <c r="I76" s="39"/>
      <c r="J76" s="39"/>
      <c r="K76" s="39"/>
      <c r="L76" s="39"/>
      <c r="M76" s="39"/>
      <c r="N76" s="39"/>
      <c r="O76" s="39"/>
      <c r="P76" s="3"/>
    </row>
    <row r="77" spans="1:16" x14ac:dyDescent="0.25">
      <c r="A77" s="59" t="str">
        <f>Fill_Value(print!A77)</f>
        <v/>
      </c>
      <c r="B77" s="59" t="str">
        <f>Fill_Value(print!B77)</f>
        <v/>
      </c>
      <c r="C77" s="59" t="str">
        <f>Fill_Value(print!C77)</f>
        <v>fill_pattern</v>
      </c>
      <c r="D77" s="25"/>
      <c r="E77" s="4"/>
      <c r="F77" s="4"/>
      <c r="G77" s="4"/>
      <c r="H77" s="4"/>
      <c r="I77" s="4"/>
      <c r="J77" s="4"/>
      <c r="K77" s="4"/>
      <c r="L77" s="4"/>
      <c r="M77" s="4"/>
      <c r="N77" s="4"/>
      <c r="O77" s="4"/>
      <c r="P77" s="4" t="s">
        <v>232</v>
      </c>
    </row>
    <row r="78" spans="1:16" x14ac:dyDescent="0.25">
      <c r="A78" s="47" t="str">
        <f>Fill_Value(print!A78)</f>
        <v/>
      </c>
      <c r="B78" s="47" t="str">
        <f>Fill_Value(print!B78)</f>
        <v>super</v>
      </c>
      <c r="C78" s="47" t="str">
        <f>Fill_Value(print!C78)</f>
        <v>infill_connection</v>
      </c>
      <c r="D78" s="22"/>
      <c r="E78" s="3"/>
      <c r="F78" s="3"/>
      <c r="G78" s="3"/>
      <c r="H78" s="3"/>
      <c r="I78" s="3"/>
      <c r="J78" s="3"/>
      <c r="K78" s="3"/>
      <c r="L78" s="3"/>
      <c r="M78" s="3"/>
      <c r="N78" s="3"/>
      <c r="O78" s="3"/>
      <c r="P78" s="3"/>
    </row>
    <row r="79" spans="1:16" x14ac:dyDescent="0.25">
      <c r="A79" s="59" t="str">
        <f>Fill_Value(print!A79)</f>
        <v/>
      </c>
      <c r="B79" s="59" t="str">
        <f>Fill_Value(print!B79)</f>
        <v/>
      </c>
      <c r="C79" s="59" t="str">
        <f>Fill_Value(print!C79)</f>
        <v>infill_anchor</v>
      </c>
      <c r="D79" s="25"/>
      <c r="E79" s="4"/>
      <c r="F79" s="4"/>
      <c r="G79" s="4"/>
      <c r="H79" s="4"/>
      <c r="I79" s="4"/>
      <c r="J79" s="4"/>
      <c r="K79" s="4"/>
      <c r="L79" s="4"/>
      <c r="M79" s="4"/>
      <c r="N79" s="4"/>
      <c r="O79" s="4"/>
      <c r="P79" s="4"/>
    </row>
    <row r="80" spans="1:16" x14ac:dyDescent="0.25">
      <c r="A80" s="47" t="str">
        <f>Fill_Value(print!A80)</f>
        <v/>
      </c>
      <c r="B80" s="47" t="str">
        <f>Fill_Value(print!B80)</f>
        <v/>
      </c>
      <c r="C80" s="47" t="str">
        <f>Fill_Value(print!C80)</f>
        <v>infill_anchor_max</v>
      </c>
      <c r="D80" s="22"/>
      <c r="E80" s="3"/>
      <c r="F80" s="3"/>
      <c r="G80" s="3"/>
      <c r="H80" s="3"/>
      <c r="I80" s="3"/>
      <c r="J80" s="3"/>
      <c r="K80" s="3"/>
      <c r="L80" s="3"/>
      <c r="M80" s="3"/>
      <c r="N80" s="3"/>
      <c r="O80" s="3"/>
      <c r="P80" s="3"/>
    </row>
    <row r="81" spans="1:16" x14ac:dyDescent="0.25">
      <c r="A81" s="59" t="str">
        <f>Fill_Value(print!A81)</f>
        <v/>
      </c>
      <c r="B81" s="59" t="str">
        <f>Fill_Value(print!B81)</f>
        <v>super</v>
      </c>
      <c r="C81" s="59" t="str">
        <f>Fill_Value(print!C81)</f>
        <v>solid_fill_pattern</v>
      </c>
      <c r="D81" s="25"/>
      <c r="E81" s="4"/>
      <c r="F81" s="4"/>
      <c r="G81" s="4"/>
      <c r="H81" s="4"/>
      <c r="I81" s="4"/>
      <c r="J81" s="4"/>
      <c r="K81" s="4"/>
      <c r="L81" s="4"/>
      <c r="M81" s="4"/>
      <c r="N81" s="4"/>
      <c r="O81" s="4"/>
      <c r="P81" s="4"/>
    </row>
    <row r="82" spans="1:16" x14ac:dyDescent="0.25">
      <c r="A82" s="47" t="str">
        <f>Fill_Value(print!A82)</f>
        <v/>
      </c>
      <c r="B82" s="47" t="str">
        <f>Fill_Value(print!B82)</f>
        <v>super</v>
      </c>
      <c r="C82" s="47" t="str">
        <f>Fill_Value(print!C82)</f>
        <v>infill_connection_solid</v>
      </c>
      <c r="D82" s="22"/>
      <c r="E82" s="3"/>
      <c r="F82" s="3"/>
      <c r="G82" s="3"/>
      <c r="H82" s="3"/>
      <c r="I82" s="3"/>
      <c r="J82" s="3"/>
      <c r="K82" s="3"/>
      <c r="L82" s="3"/>
      <c r="M82" s="3"/>
      <c r="N82" s="3"/>
      <c r="O82" s="3"/>
      <c r="P82" s="3"/>
    </row>
    <row r="83" spans="1:16" x14ac:dyDescent="0.25">
      <c r="A83" s="59" t="str">
        <f>Fill_Value(print!A83)</f>
        <v/>
      </c>
      <c r="B83" s="59" t="str">
        <f>Fill_Value(print!B83)</f>
        <v/>
      </c>
      <c r="C83" s="59" t="str">
        <f>Fill_Value(print!C83)</f>
        <v>bottom_fill_pattern</v>
      </c>
      <c r="D83" s="25"/>
      <c r="E83" s="4"/>
      <c r="F83" s="4"/>
      <c r="G83" s="4"/>
      <c r="H83" s="4"/>
      <c r="I83" s="4"/>
      <c r="J83" s="4"/>
      <c r="K83" s="4"/>
      <c r="L83" s="4"/>
      <c r="M83" s="4"/>
      <c r="N83" s="4"/>
      <c r="O83" s="4"/>
      <c r="P83" s="4"/>
    </row>
    <row r="84" spans="1:16" x14ac:dyDescent="0.25">
      <c r="A84" s="47" t="str">
        <f>Fill_Value(print!A84)</f>
        <v/>
      </c>
      <c r="B84" s="47" t="str">
        <f>Fill_Value(print!B84)</f>
        <v>super</v>
      </c>
      <c r="C84" s="47" t="str">
        <f>Fill_Value(print!C84)</f>
        <v>infill_connection_bottom</v>
      </c>
      <c r="D84" s="22"/>
      <c r="E84" s="3"/>
      <c r="F84" s="3"/>
      <c r="G84" s="3"/>
      <c r="H84" s="3"/>
      <c r="I84" s="3"/>
      <c r="J84" s="3"/>
      <c r="K84" s="3"/>
      <c r="L84" s="3"/>
      <c r="M84" s="3"/>
      <c r="N84" s="3"/>
      <c r="O84" s="3"/>
      <c r="P84" s="3"/>
    </row>
    <row r="85" spans="1:16" x14ac:dyDescent="0.25">
      <c r="A85" s="59" t="str">
        <f>Fill_Value(print!A85)</f>
        <v/>
      </c>
      <c r="B85" s="59" t="str">
        <f>Fill_Value(print!B85)</f>
        <v/>
      </c>
      <c r="C85" s="59" t="str">
        <f>Fill_Value(print!C85)</f>
        <v>top_fill_pattern</v>
      </c>
      <c r="D85" s="25"/>
      <c r="E85" s="4"/>
      <c r="F85" s="4"/>
      <c r="G85" s="4"/>
      <c r="H85" s="4"/>
      <c r="I85" s="4"/>
      <c r="J85" s="4"/>
      <c r="K85" s="4"/>
      <c r="L85" s="4"/>
      <c r="M85" s="4"/>
      <c r="N85" s="4"/>
      <c r="O85" s="4"/>
      <c r="P85" s="4"/>
    </row>
    <row r="86" spans="1:16" x14ac:dyDescent="0.25">
      <c r="A86" s="47" t="str">
        <f>Fill_Value(print!A86)</f>
        <v/>
      </c>
      <c r="B86" s="47" t="str">
        <f>Fill_Value(print!B86)</f>
        <v>super</v>
      </c>
      <c r="C86" s="47" t="str">
        <f>Fill_Value(print!C86)</f>
        <v>infill_connection_top</v>
      </c>
      <c r="D86" s="22"/>
      <c r="E86" s="3"/>
      <c r="F86" s="3"/>
      <c r="G86" s="3"/>
      <c r="H86" s="3"/>
      <c r="I86" s="3"/>
      <c r="J86" s="3"/>
      <c r="K86" s="3"/>
      <c r="L86" s="3"/>
      <c r="M86" s="3"/>
      <c r="N86" s="3"/>
      <c r="O86" s="3"/>
      <c r="P86" s="3"/>
    </row>
    <row r="87" spans="1:16" x14ac:dyDescent="0.25">
      <c r="A87" s="76" t="str">
        <f>Fill_Value(print!A87)</f>
        <v/>
      </c>
      <c r="B87" s="76" t="str">
        <f>Fill_Value(print!B87)</f>
        <v/>
      </c>
      <c r="C87" s="76" t="str">
        <f>Fill_Value(print!C87)</f>
        <v>##Reducing print time</v>
      </c>
      <c r="D87" s="33"/>
      <c r="E87" s="5"/>
      <c r="F87" s="5"/>
      <c r="G87" s="5"/>
      <c r="H87" s="5"/>
      <c r="I87" s="5"/>
      <c r="J87" s="5"/>
      <c r="K87" s="5"/>
      <c r="L87" s="5"/>
      <c r="M87" s="5"/>
      <c r="N87" s="5"/>
      <c r="O87" s="5"/>
      <c r="P87" s="5" t="s">
        <v>233</v>
      </c>
    </row>
    <row r="88" spans="1:16" x14ac:dyDescent="0.25">
      <c r="A88" s="47" t="str">
        <f>Fill_Value(print!A88)</f>
        <v/>
      </c>
      <c r="B88" s="47" t="str">
        <f>Fill_Value(print!B88)</f>
        <v/>
      </c>
      <c r="C88" s="47" t="str">
        <f>Fill_Value(print!C88)</f>
        <v>infill_every_layers</v>
      </c>
      <c r="D88" s="22"/>
      <c r="E88" s="3"/>
      <c r="F88" s="3"/>
      <c r="G88" s="3"/>
      <c r="H88" s="3"/>
      <c r="I88" s="3"/>
      <c r="J88" s="3"/>
      <c r="K88" s="3"/>
      <c r="L88" s="3"/>
      <c r="M88" s="3"/>
      <c r="N88" s="3"/>
      <c r="O88" s="3"/>
      <c r="P88" s="3" t="s">
        <v>234</v>
      </c>
    </row>
    <row r="89" spans="1:16" x14ac:dyDescent="0.25">
      <c r="A89" s="59" t="str">
        <f>Fill_Value(print!A89)</f>
        <v/>
      </c>
      <c r="B89" s="59" t="str">
        <f>Fill_Value(print!B89)</f>
        <v/>
      </c>
      <c r="C89" s="59" t="str">
        <f>Fill_Value(print!C89)</f>
        <v>infill_only_where_needed</v>
      </c>
      <c r="D89" s="25"/>
      <c r="E89" s="4"/>
      <c r="F89" s="4"/>
      <c r="G89" s="4"/>
      <c r="H89" s="4"/>
      <c r="I89" s="4"/>
      <c r="J89" s="4"/>
      <c r="K89" s="4"/>
      <c r="L89" s="4"/>
      <c r="M89" s="4"/>
      <c r="N89" s="4"/>
      <c r="O89" s="4"/>
      <c r="P89" s="4"/>
    </row>
    <row r="90" spans="1:16" x14ac:dyDescent="0.25">
      <c r="A90" s="47" t="str">
        <f>Fill_Value(print!A90)</f>
        <v/>
      </c>
      <c r="B90" s="47" t="str">
        <f>Fill_Value(print!B90)</f>
        <v>super</v>
      </c>
      <c r="C90" s="47" t="str">
        <f>Fill_Value(print!C90)</f>
        <v>infill_dense</v>
      </c>
      <c r="D90" s="22"/>
      <c r="E90" s="3"/>
      <c r="F90" s="3"/>
      <c r="G90" s="3"/>
      <c r="H90" s="3"/>
      <c r="I90" s="3"/>
      <c r="J90" s="3"/>
      <c r="K90" s="3"/>
      <c r="L90" s="3"/>
      <c r="M90" s="3"/>
      <c r="N90" s="3"/>
      <c r="O90" s="3"/>
      <c r="P90" s="3"/>
    </row>
    <row r="91" spans="1:16" x14ac:dyDescent="0.25">
      <c r="A91" s="59" t="str">
        <f>Fill_Value(print!A91)</f>
        <v/>
      </c>
      <c r="B91" s="59" t="str">
        <f>Fill_Value(print!B91)</f>
        <v>super</v>
      </c>
      <c r="C91" s="59" t="str">
        <f>Fill_Value(print!C91)</f>
        <v>infill_dense_algo</v>
      </c>
      <c r="D91" s="25"/>
      <c r="E91" s="4"/>
      <c r="F91" s="4"/>
      <c r="G91" s="4"/>
      <c r="H91" s="4"/>
      <c r="I91" s="4"/>
      <c r="J91" s="4"/>
      <c r="K91" s="4"/>
      <c r="L91" s="4"/>
      <c r="M91" s="4"/>
      <c r="N91" s="4"/>
      <c r="O91" s="4"/>
      <c r="P91" s="4"/>
    </row>
    <row r="92" spans="1:16" x14ac:dyDescent="0.25">
      <c r="A92" s="76" t="str">
        <f>Fill_Value(print!A92)</f>
        <v/>
      </c>
      <c r="B92" s="76" t="str">
        <f>Fill_Value(print!B92)</f>
        <v/>
      </c>
      <c r="C92" s="76" t="str">
        <f>Fill_Value(print!C92)</f>
        <v>##Advanced</v>
      </c>
      <c r="D92" s="33"/>
      <c r="E92" s="5"/>
      <c r="F92" s="5"/>
      <c r="G92" s="5"/>
      <c r="H92" s="5"/>
      <c r="I92" s="5"/>
      <c r="J92" s="5"/>
      <c r="K92" s="5"/>
      <c r="L92" s="5"/>
      <c r="M92" s="5"/>
      <c r="N92" s="5"/>
      <c r="O92" s="5"/>
      <c r="P92" s="5"/>
    </row>
    <row r="93" spans="1:16" x14ac:dyDescent="0.25">
      <c r="A93" s="47" t="str">
        <f>Fill_Value(print!A93)</f>
        <v/>
      </c>
      <c r="B93" s="47" t="str">
        <f>Fill_Value(print!B93)</f>
        <v/>
      </c>
      <c r="C93" s="47" t="str">
        <f>Fill_Value(print!C93)</f>
        <v>solid_infill_every_layers</v>
      </c>
      <c r="D93" s="22"/>
      <c r="E93" s="3"/>
      <c r="F93" s="3"/>
      <c r="G93" s="3"/>
      <c r="H93" s="3"/>
      <c r="I93" s="3"/>
      <c r="J93" s="3"/>
      <c r="K93" s="3"/>
      <c r="L93" s="3"/>
      <c r="M93" s="3"/>
      <c r="N93" s="3"/>
      <c r="O93" s="3"/>
      <c r="P93" s="3"/>
    </row>
    <row r="94" spans="1:16" x14ac:dyDescent="0.25">
      <c r="A94" s="59" t="str">
        <f>Fill_Value(print!A94)</f>
        <v/>
      </c>
      <c r="B94" s="59" t="str">
        <f>Fill_Value(print!B94)</f>
        <v/>
      </c>
      <c r="C94" s="59" t="str">
        <f>Fill_Value(print!C94)</f>
        <v>fill_angle</v>
      </c>
      <c r="D94" s="25"/>
      <c r="E94" s="4"/>
      <c r="F94" s="4"/>
      <c r="G94" s="4"/>
      <c r="H94" s="4"/>
      <c r="I94" s="4"/>
      <c r="J94" s="4"/>
      <c r="K94" s="4"/>
      <c r="L94" s="4"/>
      <c r="M94" s="4"/>
      <c r="N94" s="4"/>
      <c r="O94" s="4"/>
      <c r="P94" s="4"/>
    </row>
    <row r="95" spans="1:16" x14ac:dyDescent="0.25">
      <c r="A95" s="47" t="str">
        <f>Fill_Value(print!A95)</f>
        <v/>
      </c>
      <c r="B95" s="47" t="str">
        <f>Fill_Value(print!B95)</f>
        <v/>
      </c>
      <c r="C95" s="47" t="str">
        <f>Fill_Value(print!C95)</f>
        <v>solid_infill_below_area</v>
      </c>
      <c r="D95" s="22"/>
      <c r="E95" s="3"/>
      <c r="F95" s="3"/>
      <c r="G95" s="3"/>
      <c r="H95" s="3"/>
      <c r="I95" s="3"/>
      <c r="J95" s="3"/>
      <c r="K95" s="3"/>
      <c r="L95" s="3"/>
      <c r="M95" s="3"/>
      <c r="N95" s="3"/>
      <c r="O95" s="3"/>
      <c r="P95" s="3" t="s">
        <v>235</v>
      </c>
    </row>
    <row r="96" spans="1:16" x14ac:dyDescent="0.25">
      <c r="A96" s="59" t="str">
        <f>Fill_Value(print!A96)</f>
        <v/>
      </c>
      <c r="B96" s="59" t="str">
        <f>Fill_Value(print!B96)</f>
        <v/>
      </c>
      <c r="C96" s="59" t="str">
        <f>Fill_Value(print!C96)</f>
        <v>bridge_angle</v>
      </c>
      <c r="D96" s="25"/>
      <c r="E96" s="4"/>
      <c r="F96" s="4"/>
      <c r="G96" s="4"/>
      <c r="H96" s="4"/>
      <c r="I96" s="4"/>
      <c r="J96" s="4"/>
      <c r="K96" s="4"/>
      <c r="L96" s="4"/>
      <c r="M96" s="4"/>
      <c r="N96" s="4"/>
      <c r="O96" s="4"/>
      <c r="P96" s="4"/>
    </row>
    <row r="97" spans="1:16" x14ac:dyDescent="0.25">
      <c r="A97" s="47" t="str">
        <f>Fill_Value(print!A97)</f>
        <v/>
      </c>
      <c r="B97" s="47" t="str">
        <f>Fill_Value(print!B97)</f>
        <v>super</v>
      </c>
      <c r="C97" s="47" t="str">
        <f>Fill_Value(print!C97)</f>
        <v>fill_angle_increment</v>
      </c>
      <c r="D97" s="22"/>
      <c r="E97" s="3"/>
      <c r="F97" s="3"/>
      <c r="G97" s="3"/>
      <c r="H97" s="3"/>
      <c r="I97" s="3"/>
      <c r="J97" s="3"/>
      <c r="K97" s="3"/>
      <c r="L97" s="3"/>
      <c r="M97" s="3"/>
      <c r="N97" s="3"/>
      <c r="O97" s="3"/>
      <c r="P97" s="3"/>
    </row>
    <row r="98" spans="1:16" x14ac:dyDescent="0.25">
      <c r="A98" s="59" t="str">
        <f>Fill_Value(print!A98)</f>
        <v/>
      </c>
      <c r="B98" s="59" t="str">
        <f>Fill_Value(print!B98)</f>
        <v>super</v>
      </c>
      <c r="C98" s="59" t="str">
        <f>Fill_Value(print!C98)</f>
        <v>external_infill_margin</v>
      </c>
      <c r="D98" s="25"/>
      <c r="E98" s="4"/>
      <c r="F98" s="4"/>
      <c r="G98" s="4"/>
      <c r="H98" s="4"/>
      <c r="I98" s="4"/>
      <c r="J98" s="4"/>
      <c r="K98" s="4"/>
      <c r="L98" s="4"/>
      <c r="M98" s="4"/>
      <c r="N98" s="4"/>
      <c r="O98" s="4"/>
      <c r="P98" s="4"/>
    </row>
    <row r="99" spans="1:16" x14ac:dyDescent="0.25">
      <c r="A99" s="47" t="str">
        <f>Fill_Value(print!A99)</f>
        <v/>
      </c>
      <c r="B99" s="47" t="str">
        <f>Fill_Value(print!B99)</f>
        <v>super</v>
      </c>
      <c r="C99" s="47" t="str">
        <f>Fill_Value(print!C99)</f>
        <v>bridged_infill_margin</v>
      </c>
      <c r="D99" s="22"/>
      <c r="E99" s="3"/>
      <c r="F99" s="3"/>
      <c r="G99" s="3"/>
      <c r="H99" s="3"/>
      <c r="I99" s="3"/>
      <c r="J99" s="3"/>
      <c r="K99" s="3"/>
      <c r="L99" s="3"/>
      <c r="M99" s="3"/>
      <c r="N99" s="3"/>
      <c r="O99" s="3"/>
      <c r="P99" s="3"/>
    </row>
    <row r="100" spans="1:16" x14ac:dyDescent="0.25">
      <c r="A100" s="59" t="str">
        <f>Fill_Value(print!A100)</f>
        <v/>
      </c>
      <c r="B100" s="59" t="str">
        <f>Fill_Value(print!B100)</f>
        <v/>
      </c>
      <c r="C100" s="59" t="str">
        <f>Fill_Value(print!C100)</f>
        <v>only_retract_when_crossing_perimeters</v>
      </c>
      <c r="D100" s="25"/>
      <c r="E100" s="4"/>
      <c r="F100" s="4"/>
      <c r="G100" s="4"/>
      <c r="H100" s="4"/>
      <c r="I100" s="4"/>
      <c r="J100" s="4"/>
      <c r="K100" s="4"/>
      <c r="L100" s="4"/>
      <c r="M100" s="4"/>
      <c r="N100" s="4"/>
      <c r="O100" s="4"/>
      <c r="P100" s="4"/>
    </row>
    <row r="101" spans="1:16" x14ac:dyDescent="0.25">
      <c r="A101" s="47" t="str">
        <f>Fill_Value(print!A101)</f>
        <v/>
      </c>
      <c r="B101" s="47" t="str">
        <f>Fill_Value(print!B101)</f>
        <v/>
      </c>
      <c r="C101" s="47" t="str">
        <f>Fill_Value(print!C101)</f>
        <v>infill_first</v>
      </c>
      <c r="D101" s="22"/>
      <c r="E101" s="3"/>
      <c r="F101" s="3"/>
      <c r="G101" s="3"/>
      <c r="H101" s="3"/>
      <c r="I101" s="3"/>
      <c r="J101" s="3"/>
      <c r="K101" s="3"/>
      <c r="L101" s="3"/>
      <c r="M101" s="3"/>
      <c r="N101" s="3"/>
      <c r="O101" s="3"/>
      <c r="P101" s="3"/>
    </row>
    <row r="102" spans="1:16" x14ac:dyDescent="0.25">
      <c r="A102" s="76" t="str">
        <f>Fill_Value(print!A102)</f>
        <v/>
      </c>
      <c r="B102" s="76" t="str">
        <f>Fill_Value(print!B102)</f>
        <v/>
      </c>
      <c r="C102" s="76" t="str">
        <f>Fill_Value(print!C102)</f>
        <v>##Advanced infill options</v>
      </c>
      <c r="D102" s="33"/>
      <c r="E102" s="5"/>
      <c r="F102" s="5"/>
      <c r="G102" s="5"/>
      <c r="H102" s="5"/>
      <c r="I102" s="5"/>
      <c r="J102" s="5"/>
      <c r="K102" s="5"/>
      <c r="L102" s="5"/>
      <c r="M102" s="5"/>
      <c r="N102" s="5"/>
      <c r="O102" s="5"/>
      <c r="P102" s="5"/>
    </row>
    <row r="103" spans="1:16" x14ac:dyDescent="0.25">
      <c r="A103" s="47" t="str">
        <f>Fill_Value(print!A103)</f>
        <v/>
      </c>
      <c r="B103" s="47" t="str">
        <f>Fill_Value(print!B103)</f>
        <v>super</v>
      </c>
      <c r="C103" s="47" t="str">
        <f>Fill_Value(print!C103)</f>
        <v>fill_smooth_distribution</v>
      </c>
      <c r="D103" s="22"/>
      <c r="E103" s="3"/>
      <c r="F103" s="3"/>
      <c r="G103" s="3"/>
      <c r="H103" s="3"/>
      <c r="I103" s="3"/>
      <c r="J103" s="3"/>
      <c r="K103" s="3"/>
      <c r="L103" s="3"/>
      <c r="M103" s="3"/>
      <c r="N103" s="3"/>
      <c r="O103" s="3"/>
      <c r="P103" s="3"/>
    </row>
    <row r="104" spans="1:16" x14ac:dyDescent="0.25">
      <c r="A104" s="59" t="str">
        <f>Fill_Value(print!A104)</f>
        <v/>
      </c>
      <c r="B104" s="59" t="str">
        <f>Fill_Value(print!B104)</f>
        <v>super</v>
      </c>
      <c r="C104" s="59" t="str">
        <f>Fill_Value(print!C104)</f>
        <v>fill_smooth_width</v>
      </c>
      <c r="D104" s="25"/>
      <c r="E104" s="4"/>
      <c r="F104" s="4"/>
      <c r="G104" s="4"/>
      <c r="H104" s="4"/>
      <c r="I104" s="4"/>
      <c r="J104" s="4"/>
      <c r="K104" s="4"/>
      <c r="L104" s="4"/>
      <c r="M104" s="4"/>
      <c r="N104" s="4"/>
      <c r="O104" s="4"/>
      <c r="P104" s="4"/>
    </row>
    <row r="105" spans="1:16" x14ac:dyDescent="0.25">
      <c r="A105" s="76" t="str">
        <f>Fill_Value(print!A105)</f>
        <v>Ironing</v>
      </c>
      <c r="B105" s="76" t="str">
        <f>Fill_Value(print!B105)</f>
        <v/>
      </c>
      <c r="C105" s="76" t="str">
        <f>Fill_Value(print!C105)</f>
        <v>##ironing</v>
      </c>
      <c r="D105" s="33"/>
      <c r="E105" s="5"/>
      <c r="F105" s="5"/>
      <c r="G105" s="5"/>
      <c r="H105" s="5"/>
      <c r="I105" s="5"/>
      <c r="J105" s="5"/>
      <c r="K105" s="5"/>
      <c r="L105" s="5"/>
      <c r="M105" s="5"/>
      <c r="N105" s="5"/>
      <c r="O105" s="5"/>
      <c r="P105" s="5"/>
    </row>
    <row r="106" spans="1:16" x14ac:dyDescent="0.25">
      <c r="A106" s="47" t="str">
        <f>Fill_Value(print!A106)</f>
        <v/>
      </c>
      <c r="B106" s="47" t="str">
        <f>Fill_Value(print!B106)</f>
        <v/>
      </c>
      <c r="C106" s="47" t="str">
        <f>Fill_Value(print!C106)</f>
        <v>ironing</v>
      </c>
      <c r="D106" s="22"/>
      <c r="E106" s="3"/>
      <c r="F106" s="3"/>
      <c r="G106" s="3"/>
      <c r="H106" s="3"/>
      <c r="I106" s="3"/>
      <c r="J106" s="3"/>
      <c r="K106" s="3"/>
      <c r="L106" s="3"/>
      <c r="M106" s="3"/>
      <c r="N106" s="3"/>
      <c r="O106" s="3"/>
      <c r="P106" s="3"/>
    </row>
    <row r="107" spans="1:16" x14ac:dyDescent="0.25">
      <c r="A107" s="59" t="str">
        <f>Fill_Value(print!A107)</f>
        <v/>
      </c>
      <c r="B107" s="59" t="str">
        <f>Fill_Value(print!B107)</f>
        <v/>
      </c>
      <c r="C107" s="59" t="str">
        <f>Fill_Value(print!C107)</f>
        <v>ironing_type</v>
      </c>
      <c r="D107" s="25"/>
      <c r="E107" s="4"/>
      <c r="F107" s="4"/>
      <c r="G107" s="4"/>
      <c r="H107" s="4"/>
      <c r="I107" s="4"/>
      <c r="J107" s="4"/>
      <c r="K107" s="4"/>
      <c r="L107" s="4"/>
      <c r="M107" s="4"/>
      <c r="N107" s="4"/>
      <c r="O107" s="4"/>
      <c r="P107" s="4"/>
    </row>
    <row r="108" spans="1:16" x14ac:dyDescent="0.25">
      <c r="A108" s="47" t="str">
        <f>Fill_Value(print!A108)</f>
        <v/>
      </c>
      <c r="B108" s="47" t="str">
        <f>Fill_Value(print!B108)</f>
        <v/>
      </c>
      <c r="C108" s="47" t="str">
        <f>Fill_Value(print!C108)</f>
        <v>ironing_flowrate</v>
      </c>
      <c r="D108" s="22"/>
      <c r="E108" s="3"/>
      <c r="F108" s="3"/>
      <c r="G108" s="3"/>
      <c r="H108" s="3"/>
      <c r="I108" s="3"/>
      <c r="J108" s="3"/>
      <c r="K108" s="3"/>
      <c r="L108" s="3"/>
      <c r="M108" s="3"/>
      <c r="N108" s="3"/>
      <c r="O108" s="3"/>
      <c r="P108" s="3"/>
    </row>
    <row r="109" spans="1:16" x14ac:dyDescent="0.25">
      <c r="A109" s="59" t="str">
        <f>Fill_Value(print!A109)</f>
        <v/>
      </c>
      <c r="B109" s="59" t="str">
        <f>Fill_Value(print!B109)</f>
        <v/>
      </c>
      <c r="C109" s="59" t="str">
        <f>Fill_Value(print!C109)</f>
        <v>ironing_spacing</v>
      </c>
      <c r="D109" s="25"/>
      <c r="E109" s="4"/>
      <c r="F109" s="4"/>
      <c r="G109" s="4"/>
      <c r="H109" s="4"/>
      <c r="I109" s="4"/>
      <c r="J109" s="4"/>
      <c r="K109" s="4"/>
      <c r="L109" s="4"/>
      <c r="M109" s="4"/>
      <c r="N109" s="4"/>
      <c r="O109" s="4"/>
      <c r="P109" s="4"/>
    </row>
    <row r="110" spans="1:16" x14ac:dyDescent="0.25">
      <c r="A110" s="47" t="str">
        <f>Fill_Value(print!A110)</f>
        <v/>
      </c>
      <c r="B110" s="47" t="str">
        <f>Fill_Value(print!B110)</f>
        <v>super</v>
      </c>
      <c r="C110" s="47" t="str">
        <f>Fill_Value(print!C110)</f>
        <v>ironing_angle</v>
      </c>
      <c r="D110" s="22"/>
      <c r="E110" s="3"/>
      <c r="F110" s="3"/>
      <c r="G110" s="3"/>
      <c r="H110" s="3"/>
      <c r="I110" s="3"/>
      <c r="J110" s="3"/>
      <c r="K110" s="3"/>
      <c r="L110" s="3"/>
      <c r="M110" s="3"/>
      <c r="N110" s="3"/>
      <c r="O110" s="3"/>
      <c r="P110" s="3"/>
    </row>
    <row r="111" spans="1:16" x14ac:dyDescent="0.25">
      <c r="A111" s="76" t="str">
        <f>Fill_Value(print!A111)</f>
        <v>Skirt and Brim</v>
      </c>
      <c r="B111" s="76" t="str">
        <f>Fill_Value(print!B111)</f>
        <v/>
      </c>
      <c r="C111" s="76" t="str">
        <f>Fill_Value(print!C111)</f>
        <v>##Skirt</v>
      </c>
      <c r="D111" s="33"/>
      <c r="E111" s="5"/>
      <c r="F111" s="5"/>
      <c r="G111" s="5"/>
      <c r="H111" s="5"/>
      <c r="I111" s="5"/>
      <c r="J111" s="5"/>
      <c r="K111" s="5"/>
      <c r="L111" s="5"/>
      <c r="M111" s="5"/>
      <c r="N111" s="5"/>
      <c r="O111" s="5"/>
      <c r="P111" s="5"/>
    </row>
    <row r="112" spans="1:16" x14ac:dyDescent="0.25">
      <c r="A112" s="47" t="str">
        <f>Fill_Value(print!A112)</f>
        <v/>
      </c>
      <c r="B112" s="47" t="str">
        <f>Fill_Value(print!B112)</f>
        <v/>
      </c>
      <c r="C112" s="47" t="str">
        <f>Fill_Value(print!C112)</f>
        <v>skirts</v>
      </c>
      <c r="D112" s="22"/>
      <c r="E112" s="3"/>
      <c r="F112" s="3"/>
      <c r="G112" s="3"/>
      <c r="H112" s="3"/>
      <c r="I112" s="3"/>
      <c r="J112" s="3"/>
      <c r="K112" s="3"/>
      <c r="L112" s="3"/>
      <c r="M112" s="3"/>
      <c r="N112" s="3"/>
      <c r="O112" s="3"/>
      <c r="P112" s="3" t="s">
        <v>245</v>
      </c>
    </row>
    <row r="113" spans="1:16" x14ac:dyDescent="0.25">
      <c r="A113" s="59" t="str">
        <f>Fill_Value(print!A113)</f>
        <v/>
      </c>
      <c r="B113" s="59" t="str">
        <f>Fill_Value(print!B113)</f>
        <v/>
      </c>
      <c r="C113" s="59" t="str">
        <f>Fill_Value(print!C113)</f>
        <v>skirt_distance</v>
      </c>
      <c r="D113" s="25"/>
      <c r="E113" s="4"/>
      <c r="F113" s="4"/>
      <c r="G113" s="4"/>
      <c r="H113" s="4"/>
      <c r="I113" s="4"/>
      <c r="J113" s="4"/>
      <c r="K113" s="4"/>
      <c r="L113" s="4"/>
      <c r="M113" s="4"/>
      <c r="N113" s="4"/>
      <c r="O113" s="4"/>
      <c r="P113" s="4" t="s">
        <v>248</v>
      </c>
    </row>
    <row r="114" spans="1:16" x14ac:dyDescent="0.25">
      <c r="A114" s="47" t="str">
        <f>Fill_Value(print!A114)</f>
        <v/>
      </c>
      <c r="B114" s="47" t="str">
        <f>Fill_Value(print!B114)</f>
        <v/>
      </c>
      <c r="C114" s="47" t="str">
        <f>Fill_Value(print!C114)</f>
        <v>skirt_height</v>
      </c>
      <c r="D114" s="22"/>
      <c r="E114" s="3"/>
      <c r="F114" s="3"/>
      <c r="G114" s="3"/>
      <c r="H114" s="3"/>
      <c r="I114" s="3"/>
      <c r="J114" s="3"/>
      <c r="K114" s="3"/>
      <c r="L114" s="3"/>
      <c r="M114" s="3"/>
      <c r="N114" s="3"/>
      <c r="O114" s="3"/>
      <c r="P114" s="3" t="s">
        <v>246</v>
      </c>
    </row>
    <row r="115" spans="1:16" x14ac:dyDescent="0.25">
      <c r="A115" s="59" t="str">
        <f>Fill_Value(print!A115)</f>
        <v/>
      </c>
      <c r="B115" s="59" t="str">
        <f>Fill_Value(print!B115)</f>
        <v>super</v>
      </c>
      <c r="C115" s="59" t="str">
        <f>Fill_Value(print!C115)</f>
        <v>draft_shield</v>
      </c>
      <c r="D115" s="25"/>
      <c r="E115" s="4"/>
      <c r="F115" s="4"/>
      <c r="G115" s="4"/>
      <c r="H115" s="4"/>
      <c r="I115" s="4"/>
      <c r="J115" s="4"/>
      <c r="K115" s="4"/>
      <c r="L115" s="4"/>
      <c r="M115" s="4"/>
      <c r="N115" s="4"/>
      <c r="O115" s="4"/>
      <c r="P115" s="4" t="s">
        <v>249</v>
      </c>
    </row>
    <row r="116" spans="1:16" x14ac:dyDescent="0.25">
      <c r="A116" s="47" t="str">
        <f>Fill_Value(print!A116)</f>
        <v/>
      </c>
      <c r="B116" s="47" t="str">
        <f>Fill_Value(print!B116)</f>
        <v/>
      </c>
      <c r="C116" s="47" t="str">
        <f>Fill_Value(print!C116)</f>
        <v>min_skirt_length</v>
      </c>
      <c r="D116" s="22"/>
      <c r="E116" s="3"/>
      <c r="F116" s="3"/>
      <c r="G116" s="3"/>
      <c r="H116" s="3"/>
      <c r="I116" s="3"/>
      <c r="J116" s="3"/>
      <c r="K116" s="3"/>
      <c r="L116" s="3"/>
      <c r="M116" s="3"/>
      <c r="N116" s="3"/>
      <c r="O116" s="3"/>
      <c r="P116" s="3" t="s">
        <v>249</v>
      </c>
    </row>
    <row r="117" spans="1:16" x14ac:dyDescent="0.25">
      <c r="A117" s="76" t="str">
        <f>Fill_Value(print!A117)</f>
        <v/>
      </c>
      <c r="B117" s="76" t="str">
        <f>Fill_Value(print!B117)</f>
        <v/>
      </c>
      <c r="C117" s="76" t="str">
        <f>Fill_Value(print!C117)</f>
        <v>##Brim</v>
      </c>
      <c r="D117" s="33"/>
      <c r="E117" s="5"/>
      <c r="F117" s="5"/>
      <c r="G117" s="5"/>
      <c r="H117" s="5"/>
      <c r="I117" s="5"/>
      <c r="J117" s="5"/>
      <c r="K117" s="5"/>
      <c r="L117" s="5"/>
      <c r="M117" s="5"/>
      <c r="N117" s="5"/>
      <c r="O117" s="5"/>
      <c r="P117" s="5" t="s">
        <v>247</v>
      </c>
    </row>
    <row r="118" spans="1:16" x14ac:dyDescent="0.25">
      <c r="A118" s="47" t="str">
        <f>Fill_Value(print!A118)</f>
        <v/>
      </c>
      <c r="B118" s="47" t="str">
        <f>Fill_Value(print!B118)</f>
        <v/>
      </c>
      <c r="C118" s="47" t="str">
        <f>Fill_Value(print!C118)</f>
        <v>brim_width</v>
      </c>
      <c r="D118" s="22"/>
      <c r="E118" s="3"/>
      <c r="F118" s="3"/>
      <c r="G118" s="3"/>
      <c r="H118" s="3"/>
      <c r="I118" s="3"/>
      <c r="J118" s="3"/>
      <c r="K118" s="3"/>
      <c r="L118" s="3"/>
      <c r="M118" s="3"/>
      <c r="N118" s="3"/>
      <c r="O118" s="3"/>
      <c r="P118" s="3"/>
    </row>
    <row r="119" spans="1:16" x14ac:dyDescent="0.25">
      <c r="A119" s="59" t="str">
        <f>Fill_Value(print!A119)</f>
        <v/>
      </c>
      <c r="B119" s="59" t="str">
        <f>Fill_Value(print!B119)</f>
        <v>super</v>
      </c>
      <c r="C119" s="59" t="str">
        <f>Fill_Value(print!C119)</f>
        <v>brim_ears</v>
      </c>
      <c r="D119" s="25"/>
      <c r="E119" s="4"/>
      <c r="F119" s="4"/>
      <c r="G119" s="4"/>
      <c r="H119" s="4"/>
      <c r="I119" s="4"/>
      <c r="J119" s="4"/>
      <c r="K119" s="4"/>
      <c r="L119" s="4"/>
      <c r="M119" s="4"/>
      <c r="N119" s="4"/>
      <c r="O119" s="4"/>
      <c r="P119" s="4"/>
    </row>
    <row r="120" spans="1:16" x14ac:dyDescent="0.25">
      <c r="A120" s="47" t="str">
        <f>Fill_Value(print!A120)</f>
        <v/>
      </c>
      <c r="B120" s="47" t="str">
        <f>Fill_Value(print!B120)</f>
        <v>super</v>
      </c>
      <c r="C120" s="47" t="str">
        <f>Fill_Value(print!C120)</f>
        <v>brim_ears_max_angle</v>
      </c>
      <c r="D120" s="22"/>
      <c r="E120" s="3"/>
      <c r="F120" s="3"/>
      <c r="G120" s="3"/>
      <c r="H120" s="3"/>
      <c r="I120" s="3"/>
      <c r="J120" s="3"/>
      <c r="K120" s="3"/>
      <c r="L120" s="3"/>
      <c r="M120" s="3"/>
      <c r="N120" s="3"/>
      <c r="O120" s="3"/>
      <c r="P120" s="3"/>
    </row>
    <row r="121" spans="1:16" x14ac:dyDescent="0.25">
      <c r="A121" s="59" t="str">
        <f>Fill_Value(print!A121)</f>
        <v/>
      </c>
      <c r="B121" s="59" t="str">
        <f>Fill_Value(print!B121)</f>
        <v>super</v>
      </c>
      <c r="C121" s="59" t="str">
        <f>Fill_Value(print!C121)</f>
        <v>brim_ears_pattern</v>
      </c>
      <c r="D121" s="25"/>
      <c r="E121" s="4"/>
      <c r="F121" s="4"/>
      <c r="G121" s="4"/>
      <c r="H121" s="4"/>
      <c r="I121" s="4"/>
      <c r="J121" s="4"/>
      <c r="K121" s="4"/>
      <c r="L121" s="4"/>
      <c r="M121" s="4"/>
      <c r="N121" s="4"/>
      <c r="O121" s="4"/>
      <c r="P121" s="4"/>
    </row>
    <row r="122" spans="1:16" x14ac:dyDescent="0.25">
      <c r="A122" s="47" t="str">
        <f>Fill_Value(print!A122)</f>
        <v/>
      </c>
      <c r="B122" s="47" t="str">
        <f>Fill_Value(print!B122)</f>
        <v>super</v>
      </c>
      <c r="C122" s="47" t="str">
        <f>Fill_Value(print!C122)</f>
        <v>brim_inside_holes</v>
      </c>
      <c r="D122" s="22"/>
      <c r="E122" s="3"/>
      <c r="F122" s="3"/>
      <c r="G122" s="3"/>
      <c r="H122" s="3"/>
      <c r="I122" s="3"/>
      <c r="J122" s="3"/>
      <c r="K122" s="3"/>
      <c r="L122" s="3"/>
      <c r="M122" s="3"/>
      <c r="N122" s="3"/>
      <c r="O122" s="3"/>
      <c r="P122" s="3"/>
    </row>
    <row r="123" spans="1:16" x14ac:dyDescent="0.25">
      <c r="A123" s="59" t="str">
        <f>Fill_Value(print!A123)</f>
        <v/>
      </c>
      <c r="B123" s="59" t="str">
        <f>Fill_Value(print!B123)</f>
        <v>super</v>
      </c>
      <c r="C123" s="59" t="str">
        <f>Fill_Value(print!C123)</f>
        <v>brim_offset</v>
      </c>
      <c r="D123" s="25"/>
      <c r="E123" s="4"/>
      <c r="F123" s="4"/>
      <c r="G123" s="4"/>
      <c r="H123" s="4"/>
      <c r="I123" s="4"/>
      <c r="J123" s="4"/>
      <c r="K123" s="4"/>
      <c r="L123" s="4"/>
      <c r="M123" s="4"/>
      <c r="N123" s="4"/>
      <c r="O123" s="4"/>
      <c r="P123" s="4"/>
    </row>
    <row r="124" spans="1:16" x14ac:dyDescent="0.25">
      <c r="A124" s="47" t="str">
        <f>Fill_Value(print!A124)</f>
        <v/>
      </c>
      <c r="B124" s="47" t="str">
        <f>Fill_Value(print!B124)</f>
        <v>super</v>
      </c>
      <c r="C124" s="47" t="str">
        <f>Fill_Value(print!C124)</f>
        <v>brim_width_interior</v>
      </c>
      <c r="D124" s="22"/>
      <c r="E124" s="3"/>
      <c r="F124" s="3"/>
      <c r="G124" s="3"/>
      <c r="H124" s="3"/>
      <c r="I124" s="3"/>
      <c r="J124" s="3"/>
      <c r="K124" s="3"/>
      <c r="L124" s="3"/>
      <c r="M124" s="3"/>
      <c r="N124" s="3"/>
      <c r="O124" s="3"/>
      <c r="P124" s="3"/>
    </row>
    <row r="125" spans="1:16" x14ac:dyDescent="0.25">
      <c r="A125" s="59" t="str">
        <f>Fill_Value(print!A125)</f>
        <v/>
      </c>
      <c r="B125" s="59" t="str">
        <f>Fill_Value(print!B125)</f>
        <v>super</v>
      </c>
      <c r="C125" s="59" t="str">
        <f>Fill_Value(print!C125)</f>
        <v>brim_ears_detection_length</v>
      </c>
      <c r="D125" s="25"/>
      <c r="E125" s="4"/>
      <c r="F125" s="4"/>
      <c r="G125" s="4"/>
      <c r="H125" s="4"/>
      <c r="I125" s="4"/>
      <c r="J125" s="4"/>
      <c r="K125" s="4"/>
      <c r="L125" s="4"/>
      <c r="M125" s="4"/>
      <c r="N125" s="4"/>
      <c r="O125" s="4"/>
      <c r="P125" s="4"/>
    </row>
    <row r="126" spans="1:16" x14ac:dyDescent="0.25">
      <c r="A126" s="76" t="str">
        <f>Fill_Value(print!A126)</f>
        <v>Support material</v>
      </c>
      <c r="B126" s="76" t="str">
        <f>Fill_Value(print!B126)</f>
        <v/>
      </c>
      <c r="C126" s="76" t="str">
        <f>Fill_Value(print!C126)</f>
        <v>##Support material</v>
      </c>
      <c r="D126" s="33"/>
      <c r="E126" s="5"/>
      <c r="F126" s="5"/>
      <c r="G126" s="5"/>
      <c r="H126" s="5"/>
      <c r="I126" s="5"/>
      <c r="J126" s="5"/>
      <c r="K126" s="5"/>
      <c r="L126" s="5"/>
      <c r="M126" s="5"/>
      <c r="N126" s="5"/>
      <c r="O126" s="5"/>
      <c r="P126" s="5"/>
    </row>
    <row r="127" spans="1:16" x14ac:dyDescent="0.25">
      <c r="A127" s="47" t="str">
        <f>Fill_Value(print!A127)</f>
        <v/>
      </c>
      <c r="B127" s="47" t="str">
        <f>Fill_Value(print!B127)</f>
        <v/>
      </c>
      <c r="C127" s="47" t="str">
        <f>Fill_Value(print!C127)</f>
        <v>support_material</v>
      </c>
      <c r="D127" s="22"/>
      <c r="E127" s="3"/>
      <c r="F127" s="3"/>
      <c r="G127" s="3"/>
      <c r="H127" s="3"/>
      <c r="I127" s="3"/>
      <c r="J127" s="3"/>
      <c r="K127" s="3"/>
      <c r="L127" s="3"/>
      <c r="M127" s="3"/>
      <c r="N127" s="3"/>
      <c r="O127" s="3"/>
      <c r="P127" s="3"/>
    </row>
    <row r="128" spans="1:16" x14ac:dyDescent="0.25">
      <c r="A128" s="59" t="str">
        <f>Fill_Value(print!A128)</f>
        <v/>
      </c>
      <c r="B128" s="59" t="str">
        <f>Fill_Value(print!B128)</f>
        <v/>
      </c>
      <c r="C128" s="59" t="str">
        <f>Fill_Value(print!C128)</f>
        <v>support_material_auto</v>
      </c>
      <c r="D128" s="25"/>
      <c r="E128" s="4"/>
      <c r="F128" s="4"/>
      <c r="G128" s="4"/>
      <c r="H128" s="4"/>
      <c r="I128" s="4"/>
      <c r="J128" s="4"/>
      <c r="K128" s="4"/>
      <c r="L128" s="4"/>
      <c r="M128" s="4"/>
      <c r="N128" s="4"/>
      <c r="O128" s="4"/>
      <c r="P128" s="4" t="s">
        <v>250</v>
      </c>
    </row>
    <row r="129" spans="1:16" x14ac:dyDescent="0.25">
      <c r="A129" s="47" t="str">
        <f>Fill_Value(print!A129)</f>
        <v/>
      </c>
      <c r="B129" s="47" t="str">
        <f>Fill_Value(print!B129)</f>
        <v/>
      </c>
      <c r="C129" s="47" t="str">
        <f>Fill_Value(print!C129)</f>
        <v>support_material_threshold</v>
      </c>
      <c r="D129" s="22"/>
      <c r="E129" s="3"/>
      <c r="F129" s="3"/>
      <c r="G129" s="3"/>
      <c r="H129" s="3"/>
      <c r="I129" s="3"/>
      <c r="J129" s="3"/>
      <c r="K129" s="3"/>
      <c r="L129" s="3"/>
      <c r="M129" s="3"/>
      <c r="N129" s="3"/>
      <c r="O129" s="3"/>
      <c r="P129" s="3" t="s">
        <v>251</v>
      </c>
    </row>
    <row r="130" spans="1:16" x14ac:dyDescent="0.25">
      <c r="A130" s="59" t="str">
        <f>Fill_Value(print!A130)</f>
        <v/>
      </c>
      <c r="B130" s="59" t="str">
        <f>Fill_Value(print!B130)</f>
        <v/>
      </c>
      <c r="C130" s="59" t="str">
        <f>Fill_Value(print!C130)</f>
        <v>support_material_enforce_layers</v>
      </c>
      <c r="D130" s="25"/>
      <c r="E130" s="4"/>
      <c r="F130" s="4"/>
      <c r="G130" s="4"/>
      <c r="H130" s="4"/>
      <c r="I130" s="4"/>
      <c r="J130" s="4"/>
      <c r="K130" s="4"/>
      <c r="L130" s="4"/>
      <c r="M130" s="4"/>
      <c r="N130" s="4"/>
      <c r="O130" s="4"/>
      <c r="P130" s="4"/>
    </row>
    <row r="131" spans="1:16" x14ac:dyDescent="0.25">
      <c r="A131" s="76" t="str">
        <f>Fill_Value(print!A131)</f>
        <v/>
      </c>
      <c r="B131" s="76" t="str">
        <f>Fill_Value(print!B131)</f>
        <v/>
      </c>
      <c r="C131" s="76" t="str">
        <f>Fill_Value(print!C131)</f>
        <v>##Raft</v>
      </c>
      <c r="D131" s="33"/>
      <c r="E131" s="5"/>
      <c r="F131" s="5"/>
      <c r="G131" s="5"/>
      <c r="H131" s="5"/>
      <c r="I131" s="5"/>
      <c r="J131" s="5"/>
      <c r="K131" s="5"/>
      <c r="L131" s="5"/>
      <c r="M131" s="5"/>
      <c r="N131" s="5"/>
      <c r="O131" s="5"/>
      <c r="P131" s="5"/>
    </row>
    <row r="132" spans="1:16" x14ac:dyDescent="0.25">
      <c r="A132" s="47" t="str">
        <f>Fill_Value(print!A132)</f>
        <v/>
      </c>
      <c r="B132" s="47" t="str">
        <f>Fill_Value(print!B132)</f>
        <v>super</v>
      </c>
      <c r="C132" s="47" t="str">
        <f>Fill_Value(print!C132)</f>
        <v>support_material_solid_first_layer</v>
      </c>
      <c r="D132" s="22"/>
      <c r="E132" s="3"/>
      <c r="F132" s="3"/>
      <c r="G132" s="3"/>
      <c r="H132" s="3"/>
      <c r="I132" s="3"/>
      <c r="J132" s="3"/>
      <c r="K132" s="3"/>
      <c r="L132" s="3"/>
      <c r="M132" s="3"/>
      <c r="N132" s="3"/>
      <c r="O132" s="3"/>
      <c r="P132" s="3"/>
    </row>
    <row r="133" spans="1:16" x14ac:dyDescent="0.25">
      <c r="A133" s="59" t="str">
        <f>Fill_Value(print!A133)</f>
        <v/>
      </c>
      <c r="B133" s="59" t="str">
        <f>Fill_Value(print!B133)</f>
        <v/>
      </c>
      <c r="C133" s="59" t="str">
        <f>Fill_Value(print!C133)</f>
        <v>raft_layers</v>
      </c>
      <c r="D133" s="25"/>
      <c r="E133" s="4"/>
      <c r="F133" s="4"/>
      <c r="G133" s="4"/>
      <c r="H133" s="4"/>
      <c r="I133" s="4"/>
      <c r="J133" s="4"/>
      <c r="K133" s="4"/>
      <c r="L133" s="4"/>
      <c r="M133" s="4"/>
      <c r="N133" s="4"/>
      <c r="O133" s="4"/>
      <c r="P133" s="4"/>
    </row>
    <row r="134" spans="1:16" x14ac:dyDescent="0.25">
      <c r="A134" s="76" t="str">
        <f>Fill_Value(print!A134)</f>
        <v/>
      </c>
      <c r="B134" s="76" t="str">
        <f>Fill_Value(print!B134)</f>
        <v/>
      </c>
      <c r="C134" s="76" t="str">
        <f>Fill_Value(print!C134)</f>
        <v>##Options for support material and raft</v>
      </c>
      <c r="D134" s="33"/>
      <c r="E134" s="5"/>
      <c r="F134" s="5"/>
      <c r="G134" s="5"/>
      <c r="H134" s="5"/>
      <c r="I134" s="5"/>
      <c r="J134" s="5"/>
      <c r="K134" s="5"/>
      <c r="L134" s="5"/>
      <c r="M134" s="5"/>
      <c r="N134" s="5"/>
      <c r="O134" s="5"/>
      <c r="P134" s="5"/>
    </row>
    <row r="135" spans="1:16" x14ac:dyDescent="0.25">
      <c r="A135" s="47" t="str">
        <f>Fill_Value(print!A135)</f>
        <v/>
      </c>
      <c r="B135" s="47" t="str">
        <f>Fill_Value(print!B135)</f>
        <v>super</v>
      </c>
      <c r="C135" s="47" t="str">
        <f>Fill_Value(print!C135)</f>
        <v>support_material_contact_distance_bottom</v>
      </c>
      <c r="D135" s="22"/>
      <c r="E135" s="3"/>
      <c r="F135" s="3"/>
      <c r="G135" s="3"/>
      <c r="H135" s="3"/>
      <c r="I135" s="3"/>
      <c r="J135" s="3"/>
      <c r="K135" s="3"/>
      <c r="L135" s="3"/>
      <c r="M135" s="3"/>
      <c r="N135" s="3"/>
      <c r="O135" s="3"/>
      <c r="P135" s="3" t="s">
        <v>253</v>
      </c>
    </row>
    <row r="136" spans="1:16" x14ac:dyDescent="0.25">
      <c r="A136" s="59" t="str">
        <f>Fill_Value(print!A136)</f>
        <v/>
      </c>
      <c r="B136" s="59" t="str">
        <f>Fill_Value(print!B136)</f>
        <v>super</v>
      </c>
      <c r="C136" s="59" t="str">
        <f>Fill_Value(print!C136)</f>
        <v>support_material_contact_distance_top</v>
      </c>
      <c r="D136" s="25"/>
      <c r="E136" s="4"/>
      <c r="F136" s="4"/>
      <c r="G136" s="4"/>
      <c r="H136" s="4"/>
      <c r="I136" s="4"/>
      <c r="J136" s="4"/>
      <c r="K136" s="4"/>
      <c r="L136" s="4"/>
      <c r="M136" s="4"/>
      <c r="N136" s="4"/>
      <c r="O136" s="4"/>
      <c r="P136" s="4" t="s">
        <v>253</v>
      </c>
    </row>
    <row r="137" spans="1:16" x14ac:dyDescent="0.25">
      <c r="A137" s="47" t="str">
        <f>Fill_Value(print!A137)</f>
        <v/>
      </c>
      <c r="B137" s="47" t="str">
        <f>Fill_Value(print!B137)</f>
        <v>super</v>
      </c>
      <c r="C137" s="47" t="str">
        <f>Fill_Value(print!C137)</f>
        <v>support_material_contact_distance_type</v>
      </c>
      <c r="D137" s="22"/>
      <c r="E137" s="3"/>
      <c r="F137" s="3"/>
      <c r="G137" s="3"/>
      <c r="H137" s="3"/>
      <c r="I137" s="3"/>
      <c r="J137" s="3"/>
      <c r="K137" s="3"/>
      <c r="L137" s="3"/>
      <c r="M137" s="3"/>
      <c r="N137" s="3"/>
      <c r="O137" s="3"/>
      <c r="P137" s="3" t="s">
        <v>253</v>
      </c>
    </row>
    <row r="138" spans="1:16" x14ac:dyDescent="0.25">
      <c r="A138" s="59" t="str">
        <f>Fill_Value(print!A138)</f>
        <v/>
      </c>
      <c r="B138" s="59" t="str">
        <f>Fill_Value(print!B138)</f>
        <v/>
      </c>
      <c r="C138" s="59" t="str">
        <f>Fill_Value(print!C138)</f>
        <v>support_material_contact_distance</v>
      </c>
      <c r="D138" s="25"/>
      <c r="E138" s="4"/>
      <c r="F138" s="4"/>
      <c r="G138" s="4"/>
      <c r="H138" s="4"/>
      <c r="I138" s="4"/>
      <c r="J138" s="4"/>
      <c r="K138" s="4"/>
      <c r="L138" s="4"/>
      <c r="M138" s="4"/>
      <c r="N138" s="4"/>
      <c r="O138" s="4"/>
      <c r="P138" s="4" t="s">
        <v>253</v>
      </c>
    </row>
    <row r="139" spans="1:16" x14ac:dyDescent="0.25">
      <c r="A139" s="47" t="str">
        <f>Fill_Value(print!A139)</f>
        <v/>
      </c>
      <c r="B139" s="47" t="str">
        <f>Fill_Value(print!B139)</f>
        <v/>
      </c>
      <c r="C139" s="47" t="str">
        <f>Fill_Value(print!C139)</f>
        <v>support_material_pattern</v>
      </c>
      <c r="D139" s="22"/>
      <c r="E139" s="3"/>
      <c r="F139" s="3"/>
      <c r="G139" s="3"/>
      <c r="H139" s="3"/>
      <c r="I139" s="3"/>
      <c r="J139" s="3"/>
      <c r="K139" s="3"/>
      <c r="L139" s="3"/>
      <c r="M139" s="3"/>
      <c r="N139" s="3"/>
      <c r="O139" s="3"/>
      <c r="P139" s="3"/>
    </row>
    <row r="140" spans="1:16" x14ac:dyDescent="0.25">
      <c r="A140" s="59" t="str">
        <f>Fill_Value(print!A140)</f>
        <v/>
      </c>
      <c r="B140" s="59" t="str">
        <f>Fill_Value(print!B140)</f>
        <v/>
      </c>
      <c r="C140" s="59" t="str">
        <f>Fill_Value(print!C140)</f>
        <v>support_material_with_sheath</v>
      </c>
      <c r="D140" s="25"/>
      <c r="E140" s="4"/>
      <c r="F140" s="4"/>
      <c r="G140" s="4"/>
      <c r="H140" s="4"/>
      <c r="I140" s="4"/>
      <c r="J140" s="4"/>
      <c r="K140" s="4"/>
      <c r="L140" s="4"/>
      <c r="M140" s="4"/>
      <c r="N140" s="4"/>
      <c r="O140" s="4"/>
      <c r="P140" s="4"/>
    </row>
    <row r="141" spans="1:16" x14ac:dyDescent="0.25">
      <c r="A141" s="47" t="str">
        <f>Fill_Value(print!A141)</f>
        <v/>
      </c>
      <c r="B141" s="47" t="str">
        <f>Fill_Value(print!B141)</f>
        <v/>
      </c>
      <c r="C141" s="47" t="str">
        <f>Fill_Value(print!C141)</f>
        <v>support_material_spacing</v>
      </c>
      <c r="D141" s="22"/>
      <c r="E141" s="3"/>
      <c r="F141" s="3"/>
      <c r="G141" s="3"/>
      <c r="H141" s="3"/>
      <c r="I141" s="3"/>
      <c r="J141" s="3"/>
      <c r="K141" s="3"/>
      <c r="L141" s="3"/>
      <c r="M141" s="3"/>
      <c r="N141" s="3"/>
      <c r="O141" s="3"/>
      <c r="P141" s="3" t="s">
        <v>318</v>
      </c>
    </row>
    <row r="142" spans="1:16" x14ac:dyDescent="0.25">
      <c r="A142" s="59" t="str">
        <f>Fill_Value(print!A142)</f>
        <v/>
      </c>
      <c r="B142" s="59" t="str">
        <f>Fill_Value(print!B142)</f>
        <v/>
      </c>
      <c r="C142" s="59" t="str">
        <f>Fill_Value(print!C142)</f>
        <v>support_material_angle</v>
      </c>
      <c r="D142" s="25"/>
      <c r="E142" s="4"/>
      <c r="F142" s="4"/>
      <c r="G142" s="4"/>
      <c r="H142" s="4"/>
      <c r="I142" s="4"/>
      <c r="J142" s="4"/>
      <c r="K142" s="4"/>
      <c r="L142" s="4"/>
      <c r="M142" s="4"/>
      <c r="N142" s="4"/>
      <c r="O142" s="4"/>
      <c r="P142" s="4"/>
    </row>
    <row r="143" spans="1:16" x14ac:dyDescent="0.25">
      <c r="A143" s="47" t="str">
        <f>Fill_Value(print!A143)</f>
        <v/>
      </c>
      <c r="B143" s="47" t="str">
        <f>Fill_Value(print!B143)</f>
        <v/>
      </c>
      <c r="C143" s="47" t="str">
        <f>Fill_Value(print!C143)</f>
        <v>support_material_buildplate_only</v>
      </c>
      <c r="D143" s="22"/>
      <c r="E143" s="3"/>
      <c r="F143" s="3"/>
      <c r="G143" s="3"/>
      <c r="H143" s="3"/>
      <c r="I143" s="3"/>
      <c r="J143" s="3"/>
      <c r="K143" s="3"/>
      <c r="L143" s="3"/>
      <c r="M143" s="3"/>
      <c r="N143" s="3"/>
      <c r="O143" s="3"/>
      <c r="P143" s="3"/>
    </row>
    <row r="144" spans="1:16" x14ac:dyDescent="0.25">
      <c r="A144" s="59" t="str">
        <f>Fill_Value(print!A144)</f>
        <v/>
      </c>
      <c r="B144" s="59" t="str">
        <f>Fill_Value(print!B144)</f>
        <v/>
      </c>
      <c r="C144" s="59" t="str">
        <f>Fill_Value(print!C144)</f>
        <v>support_material_xy_spacing</v>
      </c>
      <c r="D144" s="25"/>
      <c r="E144" s="4"/>
      <c r="F144" s="4"/>
      <c r="G144" s="4"/>
      <c r="H144" s="4"/>
      <c r="I144" s="4"/>
      <c r="J144" s="4"/>
      <c r="K144" s="4"/>
      <c r="L144" s="4"/>
      <c r="M144" s="4"/>
      <c r="N144" s="4"/>
      <c r="O144" s="4"/>
      <c r="P144" s="4" t="s">
        <v>319</v>
      </c>
    </row>
    <row r="145" spans="1:16" x14ac:dyDescent="0.25">
      <c r="A145" s="47" t="str">
        <f>Fill_Value(print!A145)</f>
        <v/>
      </c>
      <c r="B145" s="47" t="str">
        <f>Fill_Value(print!B145)</f>
        <v/>
      </c>
      <c r="C145" s="47" t="str">
        <f>Fill_Value(print!C145)</f>
        <v>dont_support_bridges</v>
      </c>
      <c r="D145" s="22"/>
      <c r="E145" s="3"/>
      <c r="F145" s="3"/>
      <c r="G145" s="3"/>
      <c r="H145" s="3"/>
      <c r="I145" s="3"/>
      <c r="J145" s="3"/>
      <c r="K145" s="3"/>
      <c r="L145" s="3"/>
      <c r="M145" s="3"/>
      <c r="N145" s="3"/>
      <c r="O145" s="3"/>
      <c r="P145" s="3" t="s">
        <v>259</v>
      </c>
    </row>
    <row r="146" spans="1:16" x14ac:dyDescent="0.25">
      <c r="A146" s="59" t="str">
        <f>Fill_Value(print!A146)</f>
        <v/>
      </c>
      <c r="B146" s="59" t="str">
        <f>Fill_Value(print!B146)</f>
        <v/>
      </c>
      <c r="C146" s="59" t="str">
        <f>Fill_Value(print!C146)</f>
        <v>support_material_synchronize_layers</v>
      </c>
      <c r="D146" s="25"/>
      <c r="E146" s="4"/>
      <c r="F146" s="4"/>
      <c r="G146" s="4"/>
      <c r="H146" s="4"/>
      <c r="I146" s="4"/>
      <c r="J146" s="4"/>
      <c r="K146" s="4"/>
      <c r="L146" s="4"/>
      <c r="M146" s="4"/>
      <c r="N146" s="4"/>
      <c r="O146" s="4"/>
      <c r="P146" s="4"/>
    </row>
    <row r="147" spans="1:16" x14ac:dyDescent="0.25">
      <c r="A147" s="76" t="str">
        <f>Fill_Value(print!A147)</f>
        <v/>
      </c>
      <c r="B147" s="76" t="str">
        <f>Fill_Value(print!B147)</f>
        <v/>
      </c>
      <c r="C147" s="76" t="str">
        <f>Fill_Value(print!C147)</f>
        <v>##Options for support material interface</v>
      </c>
      <c r="D147" s="33"/>
      <c r="E147" s="5"/>
      <c r="F147" s="5"/>
      <c r="G147" s="5"/>
      <c r="H147" s="5"/>
      <c r="I147" s="5"/>
      <c r="J147" s="5"/>
      <c r="K147" s="5"/>
      <c r="L147" s="5"/>
      <c r="M147" s="5"/>
      <c r="N147" s="5"/>
      <c r="O147" s="5"/>
      <c r="P147" s="5"/>
    </row>
    <row r="148" spans="1:16" x14ac:dyDescent="0.25">
      <c r="A148" s="47" t="str">
        <f>Fill_Value(print!A148)</f>
        <v/>
      </c>
      <c r="B148" s="47" t="str">
        <f>Fill_Value(print!B148)</f>
        <v>super</v>
      </c>
      <c r="C148" s="47" t="str">
        <f>Fill_Value(print!C148)</f>
        <v>support_material_interface_pattern</v>
      </c>
      <c r="D148" s="22"/>
      <c r="E148" s="3"/>
      <c r="F148" s="3"/>
      <c r="G148" s="3"/>
      <c r="H148" s="3"/>
      <c r="I148" s="3"/>
      <c r="J148" s="3"/>
      <c r="K148" s="3"/>
      <c r="L148" s="3"/>
      <c r="M148" s="3"/>
      <c r="N148" s="3"/>
      <c r="O148" s="3"/>
      <c r="P148" s="3"/>
    </row>
    <row r="149" spans="1:16" x14ac:dyDescent="0.25">
      <c r="A149" s="59" t="str">
        <f>Fill_Value(print!A149)</f>
        <v/>
      </c>
      <c r="B149" s="59" t="str">
        <f>Fill_Value(print!B149)</f>
        <v/>
      </c>
      <c r="C149" s="59" t="str">
        <f>Fill_Value(print!C149)</f>
        <v>support_material_interface_layers</v>
      </c>
      <c r="D149" s="25"/>
      <c r="E149" s="4"/>
      <c r="F149" s="4"/>
      <c r="G149" s="4"/>
      <c r="H149" s="4"/>
      <c r="I149" s="4"/>
      <c r="J149" s="4"/>
      <c r="K149" s="4"/>
      <c r="L149" s="4"/>
      <c r="M149" s="4"/>
      <c r="N149" s="4"/>
      <c r="O149" s="4"/>
      <c r="P149" s="4"/>
    </row>
    <row r="150" spans="1:16" x14ac:dyDescent="0.25">
      <c r="A150" s="47" t="str">
        <f>Fill_Value(print!A150)</f>
        <v/>
      </c>
      <c r="B150" s="47" t="str">
        <f>Fill_Value(print!B150)</f>
        <v/>
      </c>
      <c r="C150" s="47" t="str">
        <f>Fill_Value(print!C150)</f>
        <v>support_material_interface_spacing</v>
      </c>
      <c r="D150" s="22"/>
      <c r="E150" s="3"/>
      <c r="F150" s="3"/>
      <c r="G150" s="3"/>
      <c r="H150" s="3"/>
      <c r="I150" s="3"/>
      <c r="J150" s="3"/>
      <c r="K150" s="3"/>
      <c r="L150" s="3"/>
      <c r="M150" s="3"/>
      <c r="N150" s="3"/>
      <c r="O150" s="3"/>
      <c r="P150" s="3"/>
    </row>
    <row r="151" spans="1:16" x14ac:dyDescent="0.25">
      <c r="A151" s="59" t="str">
        <f>Fill_Value(print!A151)</f>
        <v/>
      </c>
      <c r="B151" s="59" t="str">
        <f>Fill_Value(print!B151)</f>
        <v/>
      </c>
      <c r="C151" s="59" t="str">
        <f>Fill_Value(print!C151)</f>
        <v>support_material_interface_contact_loops</v>
      </c>
      <c r="D151" s="25"/>
      <c r="E151" s="4"/>
      <c r="F151" s="4"/>
      <c r="G151" s="4"/>
      <c r="H151" s="4"/>
      <c r="I151" s="4"/>
      <c r="J151" s="4"/>
      <c r="K151" s="4"/>
      <c r="L151" s="4"/>
      <c r="M151" s="4"/>
      <c r="N151" s="4"/>
      <c r="O151" s="4"/>
      <c r="P151" s="4"/>
    </row>
    <row r="152" spans="1:16" x14ac:dyDescent="0.25">
      <c r="A152" s="76" t="str">
        <f>Fill_Value(print!A152)</f>
        <v>Speed</v>
      </c>
      <c r="B152" s="76" t="str">
        <f>Fill_Value(print!B152)</f>
        <v/>
      </c>
      <c r="C152" s="76" t="str">
        <f>Fill_Value(print!C152)</f>
        <v>##Speed for print moves</v>
      </c>
      <c r="D152" s="33"/>
      <c r="E152" s="5"/>
      <c r="F152" s="5"/>
      <c r="G152" s="5"/>
      <c r="H152" s="5"/>
      <c r="I152" s="5"/>
      <c r="J152" s="5"/>
      <c r="K152" s="5"/>
      <c r="L152" s="5"/>
      <c r="M152" s="5"/>
      <c r="N152" s="5"/>
      <c r="O152" s="5"/>
      <c r="P152" s="5"/>
    </row>
    <row r="153" spans="1:16" x14ac:dyDescent="0.25">
      <c r="A153" s="77" t="str">
        <f>Fill_Value(print!A153)</f>
        <v/>
      </c>
      <c r="B153" s="77" t="str">
        <f>Fill_Value(print!B153)</f>
        <v/>
      </c>
      <c r="C153" s="77" t="str">
        <f>Fill_Value(print!C153)</f>
        <v>#cut off speed</v>
      </c>
      <c r="D153" s="34" t="str">
        <f ca="1">IF(Get_Filament_Name(CELL("filename",A3),"print_") = "print","PLA",Get_Filament_Name(CELL("filename",A3),"print_"))</f>
        <v>PETG</v>
      </c>
      <c r="E153" s="8">
        <f t="shared" ref="E153:O153" ca="1" si="0" xml:space="preserve"> IF(SpeedType &lt;&gt; "ForceVolumetric",E$183, IFERROR(E$184/((Nozzle_Diameter*1.2)*E$1),0))</f>
        <v>92.592592592592609</v>
      </c>
      <c r="F153" s="8">
        <f t="shared" ca="1" si="0"/>
        <v>55.555555555555557</v>
      </c>
      <c r="G153" s="8">
        <f t="shared" ca="1" si="0"/>
        <v>46.296296296296305</v>
      </c>
      <c r="H153" s="8">
        <f t="shared" ca="1" si="0"/>
        <v>39.682539682539684</v>
      </c>
      <c r="I153" s="8">
        <f t="shared" ca="1" si="0"/>
        <v>34.722222222222221</v>
      </c>
      <c r="J153" s="8">
        <f t="shared" ca="1" si="0"/>
        <v>27.777777777777779</v>
      </c>
      <c r="K153" s="8">
        <f t="shared" ca="1" si="0"/>
        <v>23.148148148148152</v>
      </c>
      <c r="L153" s="8">
        <f t="shared" ca="1" si="0"/>
        <v>19.841269841269842</v>
      </c>
      <c r="M153" s="8">
        <f t="shared" ca="1" si="0"/>
        <v>17.361111111111111</v>
      </c>
      <c r="N153" s="8">
        <f t="shared" ca="1" si="0"/>
        <v>15.4320987654321</v>
      </c>
      <c r="O153" s="8">
        <f t="shared" ca="1" si="0"/>
        <v>13.888888888888889</v>
      </c>
      <c r="P153" s="6"/>
    </row>
    <row r="154" spans="1:16" x14ac:dyDescent="0.25">
      <c r="A154" s="47" t="str">
        <f>Fill_Value(print!A154)</f>
        <v/>
      </c>
      <c r="B154" s="47" t="str">
        <f>Fill_Value(print!B154)</f>
        <v/>
      </c>
      <c r="C154" s="47" t="str">
        <f>Fill_Value(print!C154)</f>
        <v>perimeter_speed</v>
      </c>
      <c r="D154" s="22">
        <v>40</v>
      </c>
      <c r="E154" s="3">
        <f ca="1">GetSpeed($D154,E$183,E$153)</f>
        <v>40</v>
      </c>
      <c r="F154" s="3">
        <f t="shared" ref="F154:O154" ca="1" si="1">GetSpeed($D154,F$183,F$153)</f>
        <v>40</v>
      </c>
      <c r="G154" s="3">
        <f t="shared" ca="1" si="1"/>
        <v>40</v>
      </c>
      <c r="H154" s="3">
        <f t="shared" ca="1" si="1"/>
        <v>40</v>
      </c>
      <c r="I154" s="3">
        <f t="shared" ca="1" si="1"/>
        <v>35</v>
      </c>
      <c r="J154" s="3">
        <f t="shared" ca="1" si="1"/>
        <v>28</v>
      </c>
      <c r="K154" s="3">
        <f t="shared" ca="1" si="1"/>
        <v>23</v>
      </c>
      <c r="L154" s="3">
        <f t="shared" ca="1" si="1"/>
        <v>20</v>
      </c>
      <c r="M154" s="3">
        <f t="shared" ca="1" si="1"/>
        <v>17</v>
      </c>
      <c r="N154" s="3">
        <f t="shared" ca="1" si="1"/>
        <v>15</v>
      </c>
      <c r="O154" s="3">
        <f t="shared" ca="1" si="1"/>
        <v>14</v>
      </c>
      <c r="P154" s="3">
        <v>45</v>
      </c>
    </row>
    <row r="155" spans="1:16" x14ac:dyDescent="0.25">
      <c r="A155" s="59" t="str">
        <f>Fill_Value(print!A155)</f>
        <v/>
      </c>
      <c r="B155" s="59" t="str">
        <f>Fill_Value(print!B155)</f>
        <v/>
      </c>
      <c r="C155" s="59" t="str">
        <f>Fill_Value(print!C155)</f>
        <v>small_perimeter_speed</v>
      </c>
      <c r="D155" s="25">
        <v>30</v>
      </c>
      <c r="E155" s="4">
        <f ca="1">GetSpeed($D$155,E$183,E$153)</f>
        <v>30</v>
      </c>
      <c r="F155" s="4">
        <f t="shared" ref="F155:O155" ca="1" si="2">GetSpeed($D$155,F$183,F$153)</f>
        <v>30</v>
      </c>
      <c r="G155" s="4">
        <f t="shared" ca="1" si="2"/>
        <v>30</v>
      </c>
      <c r="H155" s="4">
        <f t="shared" ca="1" si="2"/>
        <v>30</v>
      </c>
      <c r="I155" s="4">
        <f t="shared" ca="1" si="2"/>
        <v>30</v>
      </c>
      <c r="J155" s="4">
        <f t="shared" ca="1" si="2"/>
        <v>28</v>
      </c>
      <c r="K155" s="4">
        <f t="shared" ca="1" si="2"/>
        <v>23</v>
      </c>
      <c r="L155" s="4">
        <f t="shared" ca="1" si="2"/>
        <v>20</v>
      </c>
      <c r="M155" s="4">
        <f t="shared" ca="1" si="2"/>
        <v>17</v>
      </c>
      <c r="N155" s="4">
        <f t="shared" ca="1" si="2"/>
        <v>15</v>
      </c>
      <c r="O155" s="4">
        <f t="shared" ca="1" si="2"/>
        <v>14</v>
      </c>
      <c r="P155" s="4">
        <v>25</v>
      </c>
    </row>
    <row r="156" spans="1:16" x14ac:dyDescent="0.25">
      <c r="A156" s="47" t="str">
        <f>Fill_Value(print!A156)</f>
        <v/>
      </c>
      <c r="B156" s="47" t="str">
        <f>Fill_Value(print!B156)</f>
        <v/>
      </c>
      <c r="C156" s="47" t="str">
        <f>Fill_Value(print!C156)</f>
        <v>external_perimeter_speed</v>
      </c>
      <c r="D156" s="22">
        <v>35</v>
      </c>
      <c r="E156" s="3">
        <f ca="1">GetSpeed($D$156,E$183,E$153)</f>
        <v>35</v>
      </c>
      <c r="F156" s="3">
        <f t="shared" ref="F156:O156" ca="1" si="3">GetSpeed($D$156,F$183,F$153)</f>
        <v>35</v>
      </c>
      <c r="G156" s="3">
        <f t="shared" ca="1" si="3"/>
        <v>35</v>
      </c>
      <c r="H156" s="3">
        <f t="shared" ca="1" si="3"/>
        <v>35</v>
      </c>
      <c r="I156" s="3">
        <f t="shared" ca="1" si="3"/>
        <v>35</v>
      </c>
      <c r="J156" s="3">
        <f t="shared" ca="1" si="3"/>
        <v>28</v>
      </c>
      <c r="K156" s="3">
        <f t="shared" ca="1" si="3"/>
        <v>23</v>
      </c>
      <c r="L156" s="3">
        <f t="shared" ca="1" si="3"/>
        <v>20</v>
      </c>
      <c r="M156" s="3">
        <f t="shared" ca="1" si="3"/>
        <v>17</v>
      </c>
      <c r="N156" s="3">
        <f t="shared" ca="1" si="3"/>
        <v>15</v>
      </c>
      <c r="O156" s="3">
        <f t="shared" ca="1" si="3"/>
        <v>14</v>
      </c>
      <c r="P156" s="3">
        <v>35</v>
      </c>
    </row>
    <row r="157" spans="1:16" x14ac:dyDescent="0.25">
      <c r="A157" s="59" t="str">
        <f>Fill_Value(print!A157)</f>
        <v/>
      </c>
      <c r="B157" s="59" t="str">
        <f>Fill_Value(print!B157)</f>
        <v/>
      </c>
      <c r="C157" s="59" t="str">
        <f>Fill_Value(print!C157)</f>
        <v>infill_speed</v>
      </c>
      <c r="D157" s="25">
        <v>40</v>
      </c>
      <c r="E157" s="4">
        <f ca="1">GetSpeed($D$157,E$183,E$153)</f>
        <v>40</v>
      </c>
      <c r="F157" s="4">
        <f t="shared" ref="F157:O157" ca="1" si="4">GetSpeed($D$157,F$183,F$153)</f>
        <v>40</v>
      </c>
      <c r="G157" s="4">
        <f t="shared" ca="1" si="4"/>
        <v>40</v>
      </c>
      <c r="H157" s="4">
        <f t="shared" ca="1" si="4"/>
        <v>40</v>
      </c>
      <c r="I157" s="4">
        <f t="shared" ca="1" si="4"/>
        <v>35</v>
      </c>
      <c r="J157" s="4">
        <f t="shared" ca="1" si="4"/>
        <v>28</v>
      </c>
      <c r="K157" s="4">
        <f t="shared" ca="1" si="4"/>
        <v>23</v>
      </c>
      <c r="L157" s="4">
        <f t="shared" ca="1" si="4"/>
        <v>20</v>
      </c>
      <c r="M157" s="4">
        <f t="shared" ca="1" si="4"/>
        <v>17</v>
      </c>
      <c r="N157" s="4">
        <f t="shared" ca="1" si="4"/>
        <v>15</v>
      </c>
      <c r="O157" s="4">
        <f t="shared" ca="1" si="4"/>
        <v>14</v>
      </c>
      <c r="P157" s="4">
        <v>60</v>
      </c>
    </row>
    <row r="158" spans="1:16" x14ac:dyDescent="0.25">
      <c r="A158" s="47" t="str">
        <f>Fill_Value(print!A158)</f>
        <v/>
      </c>
      <c r="B158" s="47" t="str">
        <f>Fill_Value(print!B158)</f>
        <v/>
      </c>
      <c r="C158" s="47" t="str">
        <f>Fill_Value(print!C158)</f>
        <v>solid_infill_speed</v>
      </c>
      <c r="D158" s="22">
        <v>40</v>
      </c>
      <c r="E158" s="3">
        <f ca="1">GetSpeed($D$158,E$183,E$153)</f>
        <v>40</v>
      </c>
      <c r="F158" s="3">
        <f t="shared" ref="F158:O158" ca="1" si="5">GetSpeed($D$158,F$183,F$153)</f>
        <v>40</v>
      </c>
      <c r="G158" s="3">
        <f t="shared" ca="1" si="5"/>
        <v>40</v>
      </c>
      <c r="H158" s="3">
        <f t="shared" ca="1" si="5"/>
        <v>40</v>
      </c>
      <c r="I158" s="3">
        <f t="shared" ca="1" si="5"/>
        <v>35</v>
      </c>
      <c r="J158" s="3">
        <f t="shared" ca="1" si="5"/>
        <v>28</v>
      </c>
      <c r="K158" s="3">
        <f t="shared" ca="1" si="5"/>
        <v>23</v>
      </c>
      <c r="L158" s="3">
        <f t="shared" ca="1" si="5"/>
        <v>20</v>
      </c>
      <c r="M158" s="3">
        <f t="shared" ca="1" si="5"/>
        <v>17</v>
      </c>
      <c r="N158" s="3">
        <f t="shared" ca="1" si="5"/>
        <v>15</v>
      </c>
      <c r="O158" s="3">
        <f t="shared" ca="1" si="5"/>
        <v>14</v>
      </c>
      <c r="P158" s="3">
        <v>45</v>
      </c>
    </row>
    <row r="159" spans="1:16" x14ac:dyDescent="0.25">
      <c r="A159" s="59" t="str">
        <f>Fill_Value(print!A159)</f>
        <v/>
      </c>
      <c r="B159" s="59" t="str">
        <f>Fill_Value(print!B159)</f>
        <v/>
      </c>
      <c r="C159" s="59" t="str">
        <f>Fill_Value(print!C159)</f>
        <v>top_solid_infill_speed</v>
      </c>
      <c r="D159" s="25">
        <v>35</v>
      </c>
      <c r="E159" s="4">
        <f ca="1">GetSpeed($D$159,E$183,E$153)</f>
        <v>35</v>
      </c>
      <c r="F159" s="4">
        <f t="shared" ref="F159:O159" ca="1" si="6">GetSpeed($D$159,F$183,F$153)</f>
        <v>35</v>
      </c>
      <c r="G159" s="4">
        <f t="shared" ca="1" si="6"/>
        <v>35</v>
      </c>
      <c r="H159" s="4">
        <f t="shared" ca="1" si="6"/>
        <v>35</v>
      </c>
      <c r="I159" s="4">
        <f t="shared" ca="1" si="6"/>
        <v>35</v>
      </c>
      <c r="J159" s="4">
        <f t="shared" ca="1" si="6"/>
        <v>28</v>
      </c>
      <c r="K159" s="4">
        <f t="shared" ca="1" si="6"/>
        <v>23</v>
      </c>
      <c r="L159" s="4">
        <f t="shared" ca="1" si="6"/>
        <v>20</v>
      </c>
      <c r="M159" s="4">
        <f t="shared" ca="1" si="6"/>
        <v>17</v>
      </c>
      <c r="N159" s="4">
        <f t="shared" ca="1" si="6"/>
        <v>15</v>
      </c>
      <c r="O159" s="4">
        <f t="shared" ca="1" si="6"/>
        <v>14</v>
      </c>
      <c r="P159" s="4">
        <v>35</v>
      </c>
    </row>
    <row r="160" spans="1:16" x14ac:dyDescent="0.25">
      <c r="A160" s="47" t="str">
        <f>Fill_Value(print!A160)</f>
        <v/>
      </c>
      <c r="B160" s="47" t="str">
        <f>Fill_Value(print!B160)</f>
        <v/>
      </c>
      <c r="C160" s="47" t="str">
        <f>Fill_Value(print!C160)</f>
        <v>support_material_speed</v>
      </c>
      <c r="D160" s="22">
        <v>40</v>
      </c>
      <c r="E160" s="3">
        <f ca="1">GetSpeed($D$160,E$183,E$153)</f>
        <v>40</v>
      </c>
      <c r="F160" s="3">
        <f t="shared" ref="F160:O160" ca="1" si="7">GetSpeed($D$160,F$183,F$153)</f>
        <v>40</v>
      </c>
      <c r="G160" s="3">
        <f t="shared" ca="1" si="7"/>
        <v>40</v>
      </c>
      <c r="H160" s="3">
        <f t="shared" ca="1" si="7"/>
        <v>40</v>
      </c>
      <c r="I160" s="3">
        <f t="shared" ca="1" si="7"/>
        <v>35</v>
      </c>
      <c r="J160" s="3">
        <f t="shared" ca="1" si="7"/>
        <v>28</v>
      </c>
      <c r="K160" s="3">
        <f t="shared" ca="1" si="7"/>
        <v>23</v>
      </c>
      <c r="L160" s="3">
        <f t="shared" ca="1" si="7"/>
        <v>20</v>
      </c>
      <c r="M160" s="3">
        <f t="shared" ca="1" si="7"/>
        <v>17</v>
      </c>
      <c r="N160" s="3">
        <f t="shared" ca="1" si="7"/>
        <v>15</v>
      </c>
      <c r="O160" s="3">
        <f t="shared" ca="1" si="7"/>
        <v>14</v>
      </c>
      <c r="P160" s="3">
        <v>45</v>
      </c>
    </row>
    <row r="161" spans="1:16" x14ac:dyDescent="0.25">
      <c r="A161" s="59" t="str">
        <f>Fill_Value(print!A161)</f>
        <v/>
      </c>
      <c r="B161" s="59" t="str">
        <f>Fill_Value(print!B161)</f>
        <v/>
      </c>
      <c r="C161" s="59" t="str">
        <f>Fill_Value(print!C161)</f>
        <v>support_material_interface_speed</v>
      </c>
      <c r="D161" s="58">
        <v>1</v>
      </c>
      <c r="E161" s="57"/>
      <c r="F161" s="57"/>
      <c r="G161" s="57"/>
      <c r="H161" s="57"/>
      <c r="I161" s="57"/>
      <c r="J161" s="57"/>
      <c r="K161" s="57"/>
      <c r="L161" s="57"/>
      <c r="M161" s="57"/>
      <c r="N161" s="57"/>
      <c r="O161" s="57"/>
      <c r="P161" s="4"/>
    </row>
    <row r="162" spans="1:16" x14ac:dyDescent="0.25">
      <c r="A162" s="47" t="str">
        <f>Fill_Value(print!A162)</f>
        <v/>
      </c>
      <c r="B162" s="47" t="str">
        <f>Fill_Value(print!B162)</f>
        <v/>
      </c>
      <c r="C162" s="47" t="str">
        <f>Fill_Value(print!C162)</f>
        <v>bridge_speed</v>
      </c>
      <c r="D162" s="22">
        <v>35</v>
      </c>
      <c r="E162" s="3">
        <f ca="1">GetSpeed($D$162,E$183,E$153)</f>
        <v>35</v>
      </c>
      <c r="F162" s="3">
        <f t="shared" ref="F162:O162" ca="1" si="8">GetSpeed($D$162,F$183,F$153)</f>
        <v>35</v>
      </c>
      <c r="G162" s="3">
        <f t="shared" ca="1" si="8"/>
        <v>35</v>
      </c>
      <c r="H162" s="3">
        <f t="shared" ca="1" si="8"/>
        <v>35</v>
      </c>
      <c r="I162" s="3">
        <f t="shared" ca="1" si="8"/>
        <v>35</v>
      </c>
      <c r="J162" s="3">
        <f t="shared" ca="1" si="8"/>
        <v>28</v>
      </c>
      <c r="K162" s="3">
        <f t="shared" ca="1" si="8"/>
        <v>23</v>
      </c>
      <c r="L162" s="3">
        <f t="shared" ca="1" si="8"/>
        <v>20</v>
      </c>
      <c r="M162" s="3">
        <f t="shared" ca="1" si="8"/>
        <v>17</v>
      </c>
      <c r="N162" s="3">
        <f t="shared" ca="1" si="8"/>
        <v>15</v>
      </c>
      <c r="O162" s="3">
        <f t="shared" ca="1" si="8"/>
        <v>14</v>
      </c>
      <c r="P162" s="3">
        <v>30</v>
      </c>
    </row>
    <row r="163" spans="1:16" x14ac:dyDescent="0.25">
      <c r="A163" s="59" t="str">
        <f>Fill_Value(print!A163)</f>
        <v/>
      </c>
      <c r="B163" s="59" t="str">
        <f>Fill_Value(print!B163)</f>
        <v>super</v>
      </c>
      <c r="C163" s="59" t="str">
        <f>Fill_Value(print!C163)</f>
        <v>bridge_speed_internal</v>
      </c>
      <c r="D163" s="58">
        <v>1</v>
      </c>
      <c r="E163" s="4"/>
      <c r="F163" s="4"/>
      <c r="G163" s="4"/>
      <c r="H163" s="4"/>
      <c r="I163" s="4"/>
      <c r="J163" s="4"/>
      <c r="K163" s="4"/>
      <c r="L163" s="4"/>
      <c r="M163" s="4"/>
      <c r="N163" s="4"/>
      <c r="O163" s="4"/>
      <c r="P163" s="4">
        <v>20</v>
      </c>
    </row>
    <row r="164" spans="1:16" x14ac:dyDescent="0.25">
      <c r="A164" s="47" t="str">
        <f>Fill_Value(print!A164)</f>
        <v/>
      </c>
      <c r="B164" s="47" t="str">
        <f>Fill_Value(print!B164)</f>
        <v>super</v>
      </c>
      <c r="C164" s="47" t="str">
        <f>Fill_Value(print!C164)</f>
        <v>overhangs_speed</v>
      </c>
      <c r="D164" s="35">
        <v>1</v>
      </c>
      <c r="E164" s="3"/>
      <c r="F164" s="3"/>
      <c r="G164" s="3"/>
      <c r="H164" s="3"/>
      <c r="I164" s="3"/>
      <c r="J164" s="3"/>
      <c r="K164" s="3"/>
      <c r="L164" s="3"/>
      <c r="M164" s="3"/>
      <c r="N164" s="3"/>
      <c r="O164" s="3"/>
      <c r="P164" s="3">
        <v>20</v>
      </c>
    </row>
    <row r="165" spans="1:16" x14ac:dyDescent="0.25">
      <c r="A165" s="59" t="str">
        <f>Fill_Value(print!A165)</f>
        <v/>
      </c>
      <c r="B165" s="59" t="str">
        <f>Fill_Value(print!B165)</f>
        <v>super</v>
      </c>
      <c r="C165" s="59" t="str">
        <f>Fill_Value(print!C165)</f>
        <v>thin_walls_speed</v>
      </c>
      <c r="D165" s="25">
        <v>30</v>
      </c>
      <c r="E165" s="4">
        <f ca="1">GetSpeed($D$165,E$183,E$153)</f>
        <v>30</v>
      </c>
      <c r="F165" s="4">
        <f t="shared" ref="F165:O165" ca="1" si="9">GetSpeed($D$165,F$183,F$153)</f>
        <v>30</v>
      </c>
      <c r="G165" s="4">
        <f t="shared" ca="1" si="9"/>
        <v>30</v>
      </c>
      <c r="H165" s="4">
        <f t="shared" ca="1" si="9"/>
        <v>30</v>
      </c>
      <c r="I165" s="4">
        <f t="shared" ca="1" si="9"/>
        <v>30</v>
      </c>
      <c r="J165" s="4">
        <f t="shared" ca="1" si="9"/>
        <v>28</v>
      </c>
      <c r="K165" s="4">
        <f t="shared" ca="1" si="9"/>
        <v>23</v>
      </c>
      <c r="L165" s="4">
        <f t="shared" ca="1" si="9"/>
        <v>20</v>
      </c>
      <c r="M165" s="4">
        <f t="shared" ca="1" si="9"/>
        <v>17</v>
      </c>
      <c r="N165" s="4">
        <f t="shared" ca="1" si="9"/>
        <v>15</v>
      </c>
      <c r="O165" s="4">
        <f t="shared" ca="1" si="9"/>
        <v>14</v>
      </c>
      <c r="P165" s="4">
        <v>20</v>
      </c>
    </row>
    <row r="166" spans="1:16" x14ac:dyDescent="0.25">
      <c r="A166" s="47" t="str">
        <f>Fill_Value(print!A166)</f>
        <v/>
      </c>
      <c r="B166" s="47" t="str">
        <f>Fill_Value(print!B166)</f>
        <v/>
      </c>
      <c r="C166" s="47" t="str">
        <f>Fill_Value(print!C166)</f>
        <v>gap_fill_speed</v>
      </c>
      <c r="D166" s="22">
        <v>40</v>
      </c>
      <c r="E166" s="3">
        <f ca="1">GetSpeed($D$166,E$183,E$153)</f>
        <v>40</v>
      </c>
      <c r="F166" s="3">
        <f t="shared" ref="F166:O166" ca="1" si="10">GetSpeed($D$166,F$183,F$153)</f>
        <v>40</v>
      </c>
      <c r="G166" s="3">
        <f t="shared" ca="1" si="10"/>
        <v>40</v>
      </c>
      <c r="H166" s="3">
        <f t="shared" ca="1" si="10"/>
        <v>40</v>
      </c>
      <c r="I166" s="3">
        <f t="shared" ca="1" si="10"/>
        <v>35</v>
      </c>
      <c r="J166" s="3">
        <f t="shared" ca="1" si="10"/>
        <v>28</v>
      </c>
      <c r="K166" s="3">
        <f t="shared" ca="1" si="10"/>
        <v>23</v>
      </c>
      <c r="L166" s="3">
        <f t="shared" ca="1" si="10"/>
        <v>20</v>
      </c>
      <c r="M166" s="3">
        <f t="shared" ca="1" si="10"/>
        <v>17</v>
      </c>
      <c r="N166" s="3">
        <f t="shared" ca="1" si="10"/>
        <v>15</v>
      </c>
      <c r="O166" s="3">
        <f t="shared" ca="1" si="10"/>
        <v>14</v>
      </c>
      <c r="P166" s="3">
        <v>20</v>
      </c>
    </row>
    <row r="167" spans="1:16" x14ac:dyDescent="0.25">
      <c r="A167" s="59" t="str">
        <f>Fill_Value(print!A167)</f>
        <v/>
      </c>
      <c r="B167" s="59" t="str">
        <f>Fill_Value(print!B167)</f>
        <v/>
      </c>
      <c r="C167" s="59" t="str">
        <f>Fill_Value(print!C167)</f>
        <v>ironing_speed</v>
      </c>
      <c r="D167" s="25">
        <v>20</v>
      </c>
      <c r="E167" s="4">
        <f ca="1">GetSpeed($D$167,E$183,E$153)</f>
        <v>20</v>
      </c>
      <c r="F167" s="4">
        <f t="shared" ref="F167:O167" ca="1" si="11">GetSpeed($D$167,F$183,F$153)</f>
        <v>20</v>
      </c>
      <c r="G167" s="4">
        <f t="shared" ca="1" si="11"/>
        <v>20</v>
      </c>
      <c r="H167" s="4">
        <f t="shared" ca="1" si="11"/>
        <v>20</v>
      </c>
      <c r="I167" s="4">
        <f t="shared" ca="1" si="11"/>
        <v>20</v>
      </c>
      <c r="J167" s="4">
        <f t="shared" ca="1" si="11"/>
        <v>20</v>
      </c>
      <c r="K167" s="4">
        <f t="shared" ca="1" si="11"/>
        <v>20</v>
      </c>
      <c r="L167" s="4">
        <f t="shared" ca="1" si="11"/>
        <v>20</v>
      </c>
      <c r="M167" s="4">
        <f t="shared" ca="1" si="11"/>
        <v>17</v>
      </c>
      <c r="N167" s="4">
        <f t="shared" ca="1" si="11"/>
        <v>15</v>
      </c>
      <c r="O167" s="4">
        <f t="shared" ca="1" si="11"/>
        <v>14</v>
      </c>
      <c r="P167" s="4">
        <v>20</v>
      </c>
    </row>
    <row r="168" spans="1:16" x14ac:dyDescent="0.25">
      <c r="A168" s="76" t="str">
        <f>Fill_Value(print!A168)</f>
        <v/>
      </c>
      <c r="B168" s="76" t="str">
        <f>Fill_Value(print!B168)</f>
        <v/>
      </c>
      <c r="C168" s="76" t="str">
        <f>Fill_Value(print!C168)</f>
        <v>##Speed for non-print moves</v>
      </c>
      <c r="D168" s="33"/>
      <c r="E168" s="5"/>
      <c r="F168" s="5"/>
      <c r="G168" s="5"/>
      <c r="H168" s="5"/>
      <c r="I168" s="5"/>
      <c r="J168" s="5"/>
      <c r="K168" s="5"/>
      <c r="L168" s="5"/>
      <c r="M168" s="5"/>
      <c r="N168" s="5"/>
      <c r="O168" s="5"/>
      <c r="P168" s="5"/>
    </row>
    <row r="169" spans="1:16" x14ac:dyDescent="0.25">
      <c r="A169" s="47" t="str">
        <f>Fill_Value(print!A169)</f>
        <v/>
      </c>
      <c r="B169" s="47" t="str">
        <f>Fill_Value(print!B169)</f>
        <v/>
      </c>
      <c r="C169" s="47" t="str">
        <f>Fill_Value(print!C169)</f>
        <v>travel_speed</v>
      </c>
      <c r="D169" s="22"/>
      <c r="E169" s="3"/>
      <c r="F169" s="3"/>
      <c r="G169" s="3"/>
      <c r="H169" s="3"/>
      <c r="I169" s="3"/>
      <c r="J169" s="3"/>
      <c r="K169" s="3"/>
      <c r="L169" s="3"/>
      <c r="M169" s="3"/>
      <c r="N169" s="3"/>
      <c r="O169" s="3"/>
      <c r="P169" s="3"/>
    </row>
    <row r="170" spans="1:16" x14ac:dyDescent="0.25">
      <c r="A170" s="59" t="str">
        <f>Fill_Value(print!A170)</f>
        <v/>
      </c>
      <c r="B170" s="59" t="str">
        <f>Fill_Value(print!B170)</f>
        <v>super</v>
      </c>
      <c r="C170" s="59" t="str">
        <f>Fill_Value(print!C170)</f>
        <v>travel_speed_z</v>
      </c>
      <c r="D170" s="25"/>
      <c r="E170" s="4"/>
      <c r="F170" s="4"/>
      <c r="G170" s="4"/>
      <c r="H170" s="4"/>
      <c r="I170" s="4"/>
      <c r="J170" s="4"/>
      <c r="K170" s="4"/>
      <c r="L170" s="4"/>
      <c r="M170" s="4"/>
      <c r="N170" s="4"/>
      <c r="O170" s="4"/>
      <c r="P170" s="4"/>
    </row>
    <row r="171" spans="1:16" x14ac:dyDescent="0.25">
      <c r="A171" s="76" t="str">
        <f>Fill_Value(print!A171)</f>
        <v/>
      </c>
      <c r="B171" s="76" t="str">
        <f>Fill_Value(print!B171)</f>
        <v/>
      </c>
      <c r="C171" s="76" t="str">
        <f>Fill_Value(print!C171)</f>
        <v>##Modifiers</v>
      </c>
      <c r="D171" s="33"/>
      <c r="E171" s="5"/>
      <c r="F171" s="5"/>
      <c r="G171" s="5"/>
      <c r="H171" s="5"/>
      <c r="I171" s="5"/>
      <c r="J171" s="5"/>
      <c r="K171" s="5"/>
      <c r="L171" s="5"/>
      <c r="M171" s="5"/>
      <c r="N171" s="5"/>
      <c r="O171" s="5"/>
      <c r="P171" s="5"/>
    </row>
    <row r="172" spans="1:16" x14ac:dyDescent="0.25">
      <c r="A172" s="47" t="str">
        <f>Fill_Value(print!A172)</f>
        <v/>
      </c>
      <c r="B172" s="47" t="str">
        <f>Fill_Value(print!B172)</f>
        <v/>
      </c>
      <c r="C172" s="47" t="str">
        <f>Fill_Value(print!C172)</f>
        <v>first_layer_speed</v>
      </c>
      <c r="D172" s="22"/>
      <c r="E172" s="3"/>
      <c r="F172" s="3"/>
      <c r="G172" s="3"/>
      <c r="H172" s="3"/>
      <c r="I172" s="3"/>
      <c r="J172" s="3"/>
      <c r="K172" s="3"/>
      <c r="L172" s="3"/>
      <c r="M172" s="3"/>
      <c r="N172" s="3"/>
      <c r="O172" s="3"/>
      <c r="P172" s="3"/>
    </row>
    <row r="173" spans="1:16" x14ac:dyDescent="0.25">
      <c r="A173" s="59" t="str">
        <f>Fill_Value(print!A173)</f>
        <v/>
      </c>
      <c r="B173" s="59" t="str">
        <f>Fill_Value(print!B173)</f>
        <v>super</v>
      </c>
      <c r="C173" s="59" t="str">
        <f>Fill_Value(print!C173)</f>
        <v>first_layer_infill_speed</v>
      </c>
      <c r="D173" s="25"/>
      <c r="E173" s="4"/>
      <c r="F173" s="4"/>
      <c r="G173" s="4"/>
      <c r="H173" s="4"/>
      <c r="I173" s="4"/>
      <c r="J173" s="4"/>
      <c r="K173" s="4"/>
      <c r="L173" s="4"/>
      <c r="M173" s="4"/>
      <c r="N173" s="4"/>
      <c r="O173" s="4"/>
      <c r="P173" s="4"/>
    </row>
    <row r="174" spans="1:16" x14ac:dyDescent="0.25">
      <c r="A174" s="47" t="str">
        <f>Fill_Value(print!A174)</f>
        <v/>
      </c>
      <c r="B174" s="47" t="str">
        <f>Fill_Value(print!B174)</f>
        <v>super</v>
      </c>
      <c r="C174" s="47" t="str">
        <f>Fill_Value(print!C174)</f>
        <v>small_perimeter_max_length</v>
      </c>
      <c r="D174" s="22"/>
      <c r="E174" s="3"/>
      <c r="F174" s="3"/>
      <c r="G174" s="3"/>
      <c r="H174" s="3"/>
      <c r="I174" s="3"/>
      <c r="J174" s="3"/>
      <c r="K174" s="3"/>
      <c r="L174" s="3"/>
      <c r="M174" s="3"/>
      <c r="N174" s="3"/>
      <c r="O174" s="3"/>
      <c r="P174" s="3"/>
    </row>
    <row r="175" spans="1:16" x14ac:dyDescent="0.25">
      <c r="A175" s="59" t="str">
        <f>Fill_Value(print!A175)</f>
        <v/>
      </c>
      <c r="B175" s="59" t="str">
        <f>Fill_Value(print!B175)</f>
        <v>super</v>
      </c>
      <c r="C175" s="59" t="str">
        <f>Fill_Value(print!C175)</f>
        <v>small_perimeter_min_length</v>
      </c>
      <c r="D175" s="25"/>
      <c r="E175" s="4"/>
      <c r="F175" s="4"/>
      <c r="G175" s="4"/>
      <c r="H175" s="4"/>
      <c r="I175" s="4"/>
      <c r="J175" s="4"/>
      <c r="K175" s="4"/>
      <c r="L175" s="4"/>
      <c r="M175" s="4"/>
      <c r="N175" s="4"/>
      <c r="O175" s="4"/>
      <c r="P175" s="4"/>
    </row>
    <row r="176" spans="1:16" x14ac:dyDescent="0.25">
      <c r="A176" s="76" t="str">
        <f>Fill_Value(print!A176)</f>
        <v/>
      </c>
      <c r="B176" s="76" t="str">
        <f>Fill_Value(print!B176)</f>
        <v/>
      </c>
      <c r="C176" s="76" t="str">
        <f>Fill_Value(print!C176)</f>
        <v>##Acceleration control (advanced)</v>
      </c>
      <c r="D176" s="33"/>
      <c r="E176" s="5"/>
      <c r="F176" s="5"/>
      <c r="G176" s="5"/>
      <c r="H176" s="5"/>
      <c r="I176" s="5"/>
      <c r="J176" s="5"/>
      <c r="K176" s="5"/>
      <c r="L176" s="5"/>
      <c r="M176" s="5"/>
      <c r="N176" s="5"/>
      <c r="O176" s="5"/>
      <c r="P176" s="5"/>
    </row>
    <row r="177" spans="1:16" x14ac:dyDescent="0.25">
      <c r="A177" s="47" t="str">
        <f>Fill_Value(print!A177)</f>
        <v/>
      </c>
      <c r="B177" s="47" t="str">
        <f>Fill_Value(print!B177)</f>
        <v/>
      </c>
      <c r="C177" s="47" t="str">
        <f>Fill_Value(print!C177)</f>
        <v>perimeter_acceleration</v>
      </c>
      <c r="D177" s="22"/>
      <c r="E177" s="3"/>
      <c r="F177" s="3"/>
      <c r="G177" s="3"/>
      <c r="H177" s="3"/>
      <c r="I177" s="3"/>
      <c r="J177" s="3"/>
      <c r="K177" s="3"/>
      <c r="L177" s="3"/>
      <c r="M177" s="3"/>
      <c r="N177" s="3"/>
      <c r="O177" s="3"/>
      <c r="P177" s="3"/>
    </row>
    <row r="178" spans="1:16" x14ac:dyDescent="0.25">
      <c r="A178" s="59" t="str">
        <f>Fill_Value(print!A178)</f>
        <v/>
      </c>
      <c r="B178" s="59" t="str">
        <f>Fill_Value(print!B178)</f>
        <v/>
      </c>
      <c r="C178" s="59" t="str">
        <f>Fill_Value(print!C178)</f>
        <v>infill_acceleration</v>
      </c>
      <c r="D178" s="25"/>
      <c r="E178" s="4"/>
      <c r="F178" s="4"/>
      <c r="G178" s="4"/>
      <c r="H178" s="4"/>
      <c r="I178" s="4"/>
      <c r="J178" s="4"/>
      <c r="K178" s="4"/>
      <c r="L178" s="4"/>
      <c r="M178" s="4"/>
      <c r="N178" s="4"/>
      <c r="O178" s="4"/>
      <c r="P178" s="4"/>
    </row>
    <row r="179" spans="1:16" x14ac:dyDescent="0.25">
      <c r="A179" s="47" t="str">
        <f>Fill_Value(print!A179)</f>
        <v/>
      </c>
      <c r="B179" s="47" t="str">
        <f>Fill_Value(print!B179)</f>
        <v/>
      </c>
      <c r="C179" s="47" t="str">
        <f>Fill_Value(print!C179)</f>
        <v>bridge_acceleration</v>
      </c>
      <c r="D179" s="22"/>
      <c r="E179" s="3"/>
      <c r="F179" s="3"/>
      <c r="G179" s="3"/>
      <c r="H179" s="3"/>
      <c r="I179" s="3"/>
      <c r="J179" s="3"/>
      <c r="K179" s="3"/>
      <c r="L179" s="3"/>
      <c r="M179" s="3"/>
      <c r="N179" s="3"/>
      <c r="O179" s="3"/>
      <c r="P179" s="3"/>
    </row>
    <row r="180" spans="1:16" x14ac:dyDescent="0.25">
      <c r="A180" s="59" t="str">
        <f>Fill_Value(print!A180)</f>
        <v/>
      </c>
      <c r="B180" s="59" t="str">
        <f>Fill_Value(print!B180)</f>
        <v/>
      </c>
      <c r="C180" s="59" t="str">
        <f>Fill_Value(print!C180)</f>
        <v>first_layer_acceleration</v>
      </c>
      <c r="D180" s="25"/>
      <c r="E180" s="4"/>
      <c r="F180" s="4"/>
      <c r="G180" s="4"/>
      <c r="H180" s="4"/>
      <c r="I180" s="4"/>
      <c r="J180" s="4"/>
      <c r="K180" s="4"/>
      <c r="L180" s="4"/>
      <c r="M180" s="4"/>
      <c r="N180" s="4"/>
      <c r="O180" s="4"/>
      <c r="P180" s="4"/>
    </row>
    <row r="181" spans="1:16" x14ac:dyDescent="0.25">
      <c r="A181" s="47" t="str">
        <f>Fill_Value(print!A181)</f>
        <v/>
      </c>
      <c r="B181" s="47" t="str">
        <f>Fill_Value(print!B181)</f>
        <v/>
      </c>
      <c r="C181" s="47" t="str">
        <f>Fill_Value(print!C181)</f>
        <v>default_acceleration</v>
      </c>
      <c r="D181" s="22"/>
      <c r="E181" s="3"/>
      <c r="F181" s="3"/>
      <c r="G181" s="3"/>
      <c r="H181" s="3"/>
      <c r="I181" s="3"/>
      <c r="J181" s="3"/>
      <c r="K181" s="3"/>
      <c r="L181" s="3"/>
      <c r="M181" s="3"/>
      <c r="N181" s="3"/>
      <c r="O181" s="3"/>
      <c r="P181" s="3"/>
    </row>
    <row r="182" spans="1:16" x14ac:dyDescent="0.25">
      <c r="A182" s="76" t="str">
        <f>Fill_Value(print!A182)</f>
        <v/>
      </c>
      <c r="B182" s="76" t="str">
        <f>Fill_Value(print!B182)</f>
        <v/>
      </c>
      <c r="C182" s="76" t="str">
        <f>Fill_Value(print!C182)</f>
        <v>##Autospeed (advanced)</v>
      </c>
      <c r="D182" s="33"/>
      <c r="E182" s="5"/>
      <c r="F182" s="5"/>
      <c r="G182" s="5"/>
      <c r="H182" s="5"/>
      <c r="I182" s="5"/>
      <c r="J182" s="5"/>
      <c r="K182" s="5"/>
      <c r="L182" s="5"/>
      <c r="M182" s="5"/>
      <c r="N182" s="5"/>
      <c r="O182" s="5"/>
      <c r="P182" s="5"/>
    </row>
    <row r="183" spans="1:16" x14ac:dyDescent="0.25">
      <c r="A183" s="47" t="str">
        <f>Fill_Value(print!A183)</f>
        <v/>
      </c>
      <c r="B183" s="47" t="str">
        <f>Fill_Value(print!B183)</f>
        <v/>
      </c>
      <c r="C183" s="47" t="str">
        <f>Fill_Value(print!C183)</f>
        <v>max_print_speed</v>
      </c>
      <c r="D183" s="22">
        <v>60</v>
      </c>
      <c r="E183" s="3">
        <v>60</v>
      </c>
      <c r="F183" s="3">
        <v>60</v>
      </c>
      <c r="G183" s="3">
        <v>60</v>
      </c>
      <c r="H183" s="3">
        <v>60</v>
      </c>
      <c r="I183" s="3">
        <v>60</v>
      </c>
      <c r="J183" s="3">
        <v>60</v>
      </c>
      <c r="K183" s="3">
        <v>60</v>
      </c>
      <c r="L183" s="3">
        <v>60</v>
      </c>
      <c r="M183" s="3">
        <v>60</v>
      </c>
      <c r="N183" s="3">
        <v>60</v>
      </c>
      <c r="O183" s="3">
        <v>60</v>
      </c>
      <c r="P183" s="3"/>
    </row>
    <row r="184" spans="1:16" x14ac:dyDescent="0.25">
      <c r="A184" s="59" t="str">
        <f>Fill_Value(print!A184)</f>
        <v/>
      </c>
      <c r="B184" s="59" t="str">
        <f>Fill_Value(print!B184)</f>
        <v/>
      </c>
      <c r="C184" s="59" t="str">
        <f>Fill_Value(print!C184)</f>
        <v>max_volumetric_speed</v>
      </c>
      <c r="D184" s="25"/>
      <c r="E184" s="4" t="str">
        <f ca="1">IF(SpeedType = "Manual","",Matchfill(INDEX(filament!$A$1:$N$108,MATCH("filament_" &amp; $C$184,filament!$C$1:$C$108,0),MATCH($D$153,filament!$A$1:$N$1,0)),filament!$D$112))</f>
        <v>8</v>
      </c>
      <c r="F184" s="4" t="str">
        <f ca="1">IF(SpeedType = "Manual","",Matchfill(INDEX(filament!$A$1:$N$108,MATCH("filament_" &amp; $C$184,filament!$C$1:$C$108,0),MATCH($D$153,filament!$A$1:$N$1,0)),filament!$D$112))</f>
        <v>8</v>
      </c>
      <c r="G184" s="4" t="str">
        <f ca="1">IF(SpeedType = "Manual","",Matchfill(INDEX(filament!$A$1:$N$108,MATCH("filament_" &amp; $C$184,filament!$C$1:$C$108,0),MATCH($D$153,filament!$A$1:$N$1,0)),filament!$D$112))</f>
        <v>8</v>
      </c>
      <c r="H184" s="4" t="str">
        <f ca="1">IF(SpeedType = "Manual","",Matchfill(INDEX(filament!$A$1:$N$108,MATCH("filament_" &amp; $C$184,filament!$C$1:$C$108,0),MATCH($D$153,filament!$A$1:$N$1,0)),filament!$D$112))</f>
        <v>8</v>
      </c>
      <c r="I184" s="4" t="str">
        <f ca="1">IF(SpeedType = "Manual","",Matchfill(INDEX(filament!$A$1:$N$108,MATCH("filament_" &amp; $C$184,filament!$C$1:$C$108,0),MATCH($D$153,filament!$A$1:$N$1,0)),filament!$D$112))</f>
        <v>8</v>
      </c>
      <c r="J184" s="4" t="str">
        <f ca="1">IF(SpeedType = "Manual","",Matchfill(INDEX(filament!$A$1:$N$108,MATCH("filament_" &amp; $C$184,filament!$C$1:$C$108,0),MATCH($D$153,filament!$A$1:$N$1,0)),filament!$D$112))</f>
        <v>8</v>
      </c>
      <c r="K184" s="4" t="str">
        <f ca="1">IF(SpeedType = "Manual","",Matchfill(INDEX(filament!$A$1:$N$108,MATCH("filament_" &amp; $C$184,filament!$C$1:$C$108,0),MATCH($D$153,filament!$A$1:$N$1,0)),filament!$D$112))</f>
        <v>8</v>
      </c>
      <c r="L184" s="4" t="str">
        <f ca="1">IF(SpeedType = "Manual","",Matchfill(INDEX(filament!$A$1:$N$108,MATCH("filament_" &amp; $C$184,filament!$C$1:$C$108,0),MATCH($D$153,filament!$A$1:$N$1,0)),filament!$D$112))</f>
        <v>8</v>
      </c>
      <c r="M184" s="4" t="str">
        <f ca="1">IF(SpeedType = "Manual","",Matchfill(INDEX(filament!$A$1:$N$108,MATCH("filament_" &amp; $C$184,filament!$C$1:$C$108,0),MATCH($D$153,filament!$A$1:$N$1,0)),filament!$D$112))</f>
        <v>8</v>
      </c>
      <c r="N184" s="4" t="str">
        <f ca="1">IF(SpeedType = "Manual","",Matchfill(INDEX(filament!$A$1:$N$108,MATCH("filament_" &amp; $C$184,filament!$C$1:$C$108,0),MATCH($D$153,filament!$A$1:$N$1,0)),filament!$D$112))</f>
        <v>8</v>
      </c>
      <c r="O184" s="4" t="str">
        <f ca="1">IF(SpeedType = "Manual","",Matchfill(INDEX(filament!$A$1:$N$108,MATCH("filament_" &amp; $C$184,filament!$C$1:$C$108,0),MATCH($D$153,filament!$A$1:$N$1,0)),filament!$D$112))</f>
        <v>8</v>
      </c>
      <c r="P184" s="4"/>
    </row>
    <row r="185" spans="1:16" x14ac:dyDescent="0.25">
      <c r="A185" s="76" t="str">
        <f>Fill_Value(print!A185)</f>
        <v>Multiple Extruders</v>
      </c>
      <c r="B185" s="76" t="str">
        <f>Fill_Value(print!B185)</f>
        <v/>
      </c>
      <c r="C185" s="76" t="str">
        <f>Fill_Value(print!C185)</f>
        <v>##Extruders</v>
      </c>
      <c r="D185" s="33"/>
      <c r="E185" s="5"/>
      <c r="F185" s="5"/>
      <c r="G185" s="5"/>
      <c r="H185" s="5"/>
      <c r="I185" s="5"/>
      <c r="J185" s="5"/>
      <c r="K185" s="5"/>
      <c r="L185" s="5"/>
      <c r="M185" s="5"/>
      <c r="N185" s="5"/>
      <c r="O185" s="5"/>
      <c r="P185" s="5"/>
    </row>
    <row r="186" spans="1:16" x14ac:dyDescent="0.25">
      <c r="A186" s="47" t="str">
        <f>Fill_Value(print!A186)</f>
        <v/>
      </c>
      <c r="B186" s="47" t="str">
        <f>Fill_Value(print!B186)</f>
        <v/>
      </c>
      <c r="C186" s="47" t="str">
        <f>Fill_Value(print!C186)</f>
        <v>perimeter_extruder</v>
      </c>
      <c r="D186" s="22"/>
      <c r="E186" s="3"/>
      <c r="F186" s="3"/>
      <c r="G186" s="3"/>
      <c r="H186" s="3"/>
      <c r="I186" s="3"/>
      <c r="J186" s="3"/>
      <c r="K186" s="3"/>
      <c r="L186" s="3"/>
      <c r="M186" s="3"/>
      <c r="N186" s="3"/>
      <c r="O186" s="3"/>
      <c r="P186" s="3"/>
    </row>
    <row r="187" spans="1:16" x14ac:dyDescent="0.25">
      <c r="A187" s="59" t="str">
        <f>Fill_Value(print!A187)</f>
        <v/>
      </c>
      <c r="B187" s="59" t="str">
        <f>Fill_Value(print!B187)</f>
        <v/>
      </c>
      <c r="C187" s="59" t="str">
        <f>Fill_Value(print!C187)</f>
        <v>infill_extruder</v>
      </c>
      <c r="D187" s="25"/>
      <c r="E187" s="4"/>
      <c r="F187" s="4"/>
      <c r="G187" s="4"/>
      <c r="H187" s="4"/>
      <c r="I187" s="4"/>
      <c r="J187" s="4"/>
      <c r="K187" s="4"/>
      <c r="L187" s="4"/>
      <c r="M187" s="4"/>
      <c r="N187" s="4"/>
      <c r="O187" s="4"/>
      <c r="P187" s="4"/>
    </row>
    <row r="188" spans="1:16" x14ac:dyDescent="0.25">
      <c r="A188" s="47" t="str">
        <f>Fill_Value(print!A188)</f>
        <v/>
      </c>
      <c r="B188" s="47" t="str">
        <f>Fill_Value(print!B188)</f>
        <v/>
      </c>
      <c r="C188" s="47" t="str">
        <f>Fill_Value(print!C188)</f>
        <v>solid_infill_extruder</v>
      </c>
      <c r="D188" s="22"/>
      <c r="E188" s="3"/>
      <c r="F188" s="3"/>
      <c r="G188" s="3"/>
      <c r="H188" s="3"/>
      <c r="I188" s="3"/>
      <c r="J188" s="3"/>
      <c r="K188" s="3"/>
      <c r="L188" s="3"/>
      <c r="M188" s="3"/>
      <c r="N188" s="3"/>
      <c r="O188" s="3"/>
      <c r="P188" s="3"/>
    </row>
    <row r="189" spans="1:16" x14ac:dyDescent="0.25">
      <c r="A189" s="59" t="str">
        <f>Fill_Value(print!A189)</f>
        <v/>
      </c>
      <c r="B189" s="59" t="str">
        <f>Fill_Value(print!B189)</f>
        <v/>
      </c>
      <c r="C189" s="59" t="str">
        <f>Fill_Value(print!C189)</f>
        <v>support_material_extruder</v>
      </c>
      <c r="D189" s="25"/>
      <c r="E189" s="4"/>
      <c r="F189" s="4"/>
      <c r="G189" s="4"/>
      <c r="H189" s="4"/>
      <c r="I189" s="4"/>
      <c r="J189" s="4"/>
      <c r="K189" s="4"/>
      <c r="L189" s="4"/>
      <c r="M189" s="4"/>
      <c r="N189" s="4"/>
      <c r="O189" s="4"/>
      <c r="P189" s="4"/>
    </row>
    <row r="190" spans="1:16" x14ac:dyDescent="0.25">
      <c r="A190" s="47" t="str">
        <f>Fill_Value(print!A190)</f>
        <v/>
      </c>
      <c r="B190" s="47" t="str">
        <f>Fill_Value(print!B190)</f>
        <v/>
      </c>
      <c r="C190" s="47" t="str">
        <f>Fill_Value(print!C190)</f>
        <v>support_material_interface_extruder</v>
      </c>
      <c r="D190" s="22"/>
      <c r="E190" s="3"/>
      <c r="F190" s="3"/>
      <c r="G190" s="3"/>
      <c r="H190" s="3"/>
      <c r="I190" s="3"/>
      <c r="J190" s="3"/>
      <c r="K190" s="3"/>
      <c r="L190" s="3"/>
      <c r="M190" s="3"/>
      <c r="N190" s="3"/>
      <c r="O190" s="3"/>
      <c r="P190" s="3"/>
    </row>
    <row r="191" spans="1:16" x14ac:dyDescent="0.25">
      <c r="A191" s="76" t="str">
        <f>Fill_Value(print!A191)</f>
        <v/>
      </c>
      <c r="B191" s="76" t="str">
        <f>Fill_Value(print!B191)</f>
        <v/>
      </c>
      <c r="C191" s="76" t="str">
        <f>Fill_Value(print!C191)</f>
        <v>##Ooze prevention</v>
      </c>
      <c r="D191" s="33"/>
      <c r="E191" s="5"/>
      <c r="F191" s="5"/>
      <c r="G191" s="5"/>
      <c r="H191" s="5"/>
      <c r="I191" s="5"/>
      <c r="J191" s="5"/>
      <c r="K191" s="5"/>
      <c r="L191" s="5"/>
      <c r="M191" s="5"/>
      <c r="N191" s="5"/>
      <c r="O191" s="5"/>
      <c r="P191" s="5"/>
    </row>
    <row r="192" spans="1:16" x14ac:dyDescent="0.25">
      <c r="A192" s="47" t="str">
        <f>Fill_Value(print!A192)</f>
        <v/>
      </c>
      <c r="B192" s="47" t="str">
        <f>Fill_Value(print!B192)</f>
        <v/>
      </c>
      <c r="C192" s="47" t="str">
        <f>Fill_Value(print!C192)</f>
        <v>ooze_prevention</v>
      </c>
      <c r="D192" s="22"/>
      <c r="E192" s="3"/>
      <c r="F192" s="3"/>
      <c r="G192" s="3"/>
      <c r="H192" s="3"/>
      <c r="I192" s="3"/>
      <c r="J192" s="3"/>
      <c r="K192" s="3"/>
      <c r="L192" s="3"/>
      <c r="M192" s="3"/>
      <c r="N192" s="3"/>
      <c r="O192" s="3"/>
      <c r="P192" s="3"/>
    </row>
    <row r="193" spans="1:16" x14ac:dyDescent="0.25">
      <c r="A193" s="59" t="str">
        <f>Fill_Value(print!A193)</f>
        <v/>
      </c>
      <c r="B193" s="59" t="str">
        <f>Fill_Value(print!B193)</f>
        <v/>
      </c>
      <c r="C193" s="59" t="str">
        <f>Fill_Value(print!C193)</f>
        <v>standby_temperature_delta</v>
      </c>
      <c r="D193" s="25"/>
      <c r="E193" s="4"/>
      <c r="F193" s="4"/>
      <c r="G193" s="4"/>
      <c r="H193" s="4"/>
      <c r="I193" s="4"/>
      <c r="J193" s="4"/>
      <c r="K193" s="4"/>
      <c r="L193" s="4"/>
      <c r="M193" s="4"/>
      <c r="N193" s="4"/>
      <c r="O193" s="4"/>
      <c r="P193" s="4"/>
    </row>
    <row r="194" spans="1:16" x14ac:dyDescent="0.25">
      <c r="A194" s="76" t="str">
        <f>Fill_Value(print!A194)</f>
        <v/>
      </c>
      <c r="B194" s="76" t="str">
        <f>Fill_Value(print!B194)</f>
        <v/>
      </c>
      <c r="C194" s="76" t="str">
        <f>Fill_Value(print!C194)</f>
        <v>##Wiper tower</v>
      </c>
      <c r="D194" s="33"/>
      <c r="E194" s="5"/>
      <c r="F194" s="5"/>
      <c r="G194" s="5"/>
      <c r="H194" s="5"/>
      <c r="I194" s="5"/>
      <c r="J194" s="5"/>
      <c r="K194" s="5"/>
      <c r="L194" s="5"/>
      <c r="M194" s="5"/>
      <c r="N194" s="5"/>
      <c r="O194" s="5"/>
      <c r="P194" s="5"/>
    </row>
    <row r="195" spans="1:16" x14ac:dyDescent="0.25">
      <c r="A195" s="47" t="str">
        <f>Fill_Value(print!A195)</f>
        <v/>
      </c>
      <c r="B195" s="47" t="str">
        <f>Fill_Value(print!B195)</f>
        <v/>
      </c>
      <c r="C195" s="47" t="str">
        <f>Fill_Value(print!C195)</f>
        <v>wipe_tower</v>
      </c>
      <c r="D195" s="22"/>
      <c r="E195" s="3"/>
      <c r="F195" s="3"/>
      <c r="G195" s="3"/>
      <c r="H195" s="3"/>
      <c r="I195" s="3"/>
      <c r="J195" s="3"/>
      <c r="K195" s="3"/>
      <c r="L195" s="3"/>
      <c r="M195" s="3"/>
      <c r="N195" s="3"/>
      <c r="O195" s="3"/>
      <c r="P195" s="3"/>
    </row>
    <row r="196" spans="1:16" x14ac:dyDescent="0.25">
      <c r="A196" s="59" t="str">
        <f>Fill_Value(print!A196)</f>
        <v/>
      </c>
      <c r="B196" s="59" t="str">
        <f>Fill_Value(print!B196)</f>
        <v/>
      </c>
      <c r="C196" s="59" t="str">
        <f>Fill_Value(print!C196)</f>
        <v>wipe_tower_x</v>
      </c>
      <c r="D196" s="25"/>
      <c r="E196" s="4"/>
      <c r="F196" s="4"/>
      <c r="G196" s="4"/>
      <c r="H196" s="4"/>
      <c r="I196" s="4"/>
      <c r="J196" s="4"/>
      <c r="K196" s="4"/>
      <c r="L196" s="4"/>
      <c r="M196" s="4"/>
      <c r="N196" s="4"/>
      <c r="O196" s="4"/>
      <c r="P196" s="4"/>
    </row>
    <row r="197" spans="1:16" x14ac:dyDescent="0.25">
      <c r="A197" s="47" t="str">
        <f>Fill_Value(print!A197)</f>
        <v/>
      </c>
      <c r="B197" s="47" t="str">
        <f>Fill_Value(print!B197)</f>
        <v/>
      </c>
      <c r="C197" s="47" t="str">
        <f>Fill_Value(print!C197)</f>
        <v>wipe_tower_y</v>
      </c>
      <c r="D197" s="22"/>
      <c r="E197" s="3"/>
      <c r="F197" s="3"/>
      <c r="G197" s="3"/>
      <c r="H197" s="3"/>
      <c r="I197" s="3"/>
      <c r="J197" s="3"/>
      <c r="K197" s="3"/>
      <c r="L197" s="3"/>
      <c r="M197" s="3"/>
      <c r="N197" s="3"/>
      <c r="O197" s="3"/>
      <c r="P197" s="3"/>
    </row>
    <row r="198" spans="1:16" x14ac:dyDescent="0.25">
      <c r="A198" s="59" t="str">
        <f>Fill_Value(print!A198)</f>
        <v/>
      </c>
      <c r="B198" s="59" t="str">
        <f>Fill_Value(print!B198)</f>
        <v/>
      </c>
      <c r="C198" s="59" t="str">
        <f>Fill_Value(print!C198)</f>
        <v>wipe_tower_width</v>
      </c>
      <c r="D198" s="25"/>
      <c r="E198" s="4"/>
      <c r="F198" s="4"/>
      <c r="G198" s="4"/>
      <c r="H198" s="4"/>
      <c r="I198" s="4"/>
      <c r="J198" s="4"/>
      <c r="K198" s="4"/>
      <c r="L198" s="4"/>
      <c r="M198" s="4"/>
      <c r="N198" s="4"/>
      <c r="O198" s="4"/>
      <c r="P198" s="4"/>
    </row>
    <row r="199" spans="1:16" x14ac:dyDescent="0.25">
      <c r="A199" s="47" t="str">
        <f>Fill_Value(print!A199)</f>
        <v/>
      </c>
      <c r="B199" s="47" t="str">
        <f>Fill_Value(print!B199)</f>
        <v/>
      </c>
      <c r="C199" s="47" t="str">
        <f>Fill_Value(print!C199)</f>
        <v>wipe_tower_rotation_angle</v>
      </c>
      <c r="D199" s="22"/>
      <c r="E199" s="3"/>
      <c r="F199" s="3"/>
      <c r="G199" s="3"/>
      <c r="H199" s="3"/>
      <c r="I199" s="3"/>
      <c r="J199" s="3"/>
      <c r="K199" s="3"/>
      <c r="L199" s="3"/>
      <c r="M199" s="3"/>
      <c r="N199" s="3"/>
      <c r="O199" s="3"/>
      <c r="P199" s="3"/>
    </row>
    <row r="200" spans="1:16" x14ac:dyDescent="0.25">
      <c r="A200" s="59" t="str">
        <f>Fill_Value(print!A200)</f>
        <v/>
      </c>
      <c r="B200" s="59" t="str">
        <f>Fill_Value(print!B200)</f>
        <v/>
      </c>
      <c r="C200" s="59" t="str">
        <f>Fill_Value(print!C200)</f>
        <v>wipe_tower_bridging</v>
      </c>
      <c r="D200" s="25"/>
      <c r="E200" s="4"/>
      <c r="F200" s="4"/>
      <c r="G200" s="4"/>
      <c r="H200" s="4"/>
      <c r="I200" s="4"/>
      <c r="J200" s="4"/>
      <c r="K200" s="4"/>
      <c r="L200" s="4"/>
      <c r="M200" s="4"/>
      <c r="N200" s="4"/>
      <c r="O200" s="4"/>
      <c r="P200" s="4"/>
    </row>
    <row r="201" spans="1:16" x14ac:dyDescent="0.25">
      <c r="A201" s="47" t="str">
        <f>Fill_Value(print!A201)</f>
        <v/>
      </c>
      <c r="B201" s="47" t="str">
        <f>Fill_Value(print!B201)</f>
        <v/>
      </c>
      <c r="C201" s="47" t="str">
        <f>Fill_Value(print!C201)</f>
        <v>single_extruder_multi_material_priming</v>
      </c>
      <c r="D201" s="22"/>
      <c r="E201" s="3"/>
      <c r="F201" s="3"/>
      <c r="G201" s="3"/>
      <c r="H201" s="3"/>
      <c r="I201" s="3"/>
      <c r="J201" s="3"/>
      <c r="K201" s="3"/>
      <c r="L201" s="3"/>
      <c r="M201" s="3"/>
      <c r="N201" s="3"/>
      <c r="O201" s="3"/>
      <c r="P201" s="3"/>
    </row>
    <row r="202" spans="1:16" x14ac:dyDescent="0.25">
      <c r="A202" s="59" t="str">
        <f>Fill_Value(print!A202)</f>
        <v/>
      </c>
      <c r="B202" s="59" t="str">
        <f>Fill_Value(print!B202)</f>
        <v/>
      </c>
      <c r="C202" s="59" t="str">
        <f>Fill_Value(print!C202)</f>
        <v>wipe_tower_no_sparse_layers</v>
      </c>
      <c r="D202" s="25"/>
      <c r="E202" s="4"/>
      <c r="F202" s="4"/>
      <c r="G202" s="4"/>
      <c r="H202" s="4"/>
      <c r="I202" s="4"/>
      <c r="J202" s="4"/>
      <c r="K202" s="4"/>
      <c r="L202" s="4"/>
      <c r="M202" s="4"/>
      <c r="N202" s="4"/>
      <c r="O202" s="4"/>
      <c r="P202" s="4"/>
    </row>
    <row r="203" spans="1:16" x14ac:dyDescent="0.25">
      <c r="A203" s="76" t="str">
        <f>Fill_Value(print!A203)</f>
        <v/>
      </c>
      <c r="B203" s="76" t="str">
        <f>Fill_Value(print!B203)</f>
        <v/>
      </c>
      <c r="C203" s="76" t="str">
        <f>Fill_Value(print!C203)</f>
        <v>##Advanced</v>
      </c>
      <c r="D203" s="33"/>
      <c r="E203" s="5"/>
      <c r="F203" s="5"/>
      <c r="G203" s="5"/>
      <c r="H203" s="5"/>
      <c r="I203" s="5"/>
      <c r="J203" s="5"/>
      <c r="K203" s="5"/>
      <c r="L203" s="5"/>
      <c r="M203" s="5"/>
      <c r="N203" s="5"/>
      <c r="O203" s="5"/>
      <c r="P203" s="5"/>
    </row>
    <row r="204" spans="1:16" x14ac:dyDescent="0.25">
      <c r="A204" s="47" t="str">
        <f>Fill_Value(print!A204)</f>
        <v/>
      </c>
      <c r="B204" s="47" t="str">
        <f>Fill_Value(print!B204)</f>
        <v/>
      </c>
      <c r="C204" s="47" t="str">
        <f>Fill_Value(print!C204)</f>
        <v>interface_shells</v>
      </c>
      <c r="D204" s="22"/>
      <c r="E204" s="3"/>
      <c r="F204" s="3"/>
      <c r="G204" s="3"/>
      <c r="H204" s="3"/>
      <c r="I204" s="3"/>
      <c r="J204" s="3"/>
      <c r="K204" s="3"/>
      <c r="L204" s="3"/>
      <c r="M204" s="3"/>
      <c r="N204" s="3"/>
      <c r="O204" s="3"/>
      <c r="P204" s="3"/>
    </row>
    <row r="205" spans="1:16" x14ac:dyDescent="0.25">
      <c r="A205" s="76" t="str">
        <f>Fill_Value(print!A205)</f>
        <v>Advanced / Width &amp; Flow</v>
      </c>
      <c r="B205" s="76" t="str">
        <f>Fill_Value(print!B205)</f>
        <v/>
      </c>
      <c r="C205" s="76" t="str">
        <f>Fill_Value(print!C205)</f>
        <v>##Extrusion width</v>
      </c>
      <c r="D205" s="33"/>
      <c r="E205" s="5"/>
      <c r="F205" s="5"/>
      <c r="G205" s="5"/>
      <c r="H205" s="5"/>
      <c r="I205" s="5"/>
      <c r="J205" s="5"/>
      <c r="K205" s="5"/>
      <c r="L205" s="5"/>
      <c r="M205" s="5"/>
      <c r="N205" s="5"/>
      <c r="O205" s="5"/>
      <c r="P205" s="5"/>
    </row>
    <row r="206" spans="1:16" x14ac:dyDescent="0.25">
      <c r="A206" s="47" t="str">
        <f>Fill_Value(print!A206)</f>
        <v/>
      </c>
      <c r="B206" s="47" t="str">
        <f>Fill_Value(print!B206)</f>
        <v/>
      </c>
      <c r="C206" s="47" t="str">
        <f>Fill_Value(print!C206)</f>
        <v>extrusion_width</v>
      </c>
      <c r="D206" s="22"/>
      <c r="E206" s="3"/>
      <c r="F206" s="3"/>
      <c r="G206" s="3"/>
      <c r="H206" s="3"/>
      <c r="I206" s="3"/>
      <c r="J206" s="3"/>
      <c r="K206" s="3"/>
      <c r="L206" s="3"/>
      <c r="M206" s="3"/>
      <c r="N206" s="3"/>
      <c r="O206" s="3"/>
      <c r="P206" s="3"/>
    </row>
    <row r="207" spans="1:16" x14ac:dyDescent="0.25">
      <c r="A207" s="59" t="str">
        <f>Fill_Value(print!A207)</f>
        <v/>
      </c>
      <c r="B207" s="59" t="str">
        <f>Fill_Value(print!B207)</f>
        <v/>
      </c>
      <c r="C207" s="59" t="str">
        <f>Fill_Value(print!C207)</f>
        <v>first_layer_extrusion_width</v>
      </c>
      <c r="D207" s="25"/>
      <c r="E207" s="4"/>
      <c r="F207" s="4"/>
      <c r="G207" s="4"/>
      <c r="H207" s="4"/>
      <c r="I207" s="4"/>
      <c r="J207" s="4"/>
      <c r="K207" s="4"/>
      <c r="L207" s="4"/>
      <c r="M207" s="4"/>
      <c r="N207" s="4"/>
      <c r="O207" s="4"/>
      <c r="P207" s="4"/>
    </row>
    <row r="208" spans="1:16" ht="14.25" customHeight="1" x14ac:dyDescent="0.25">
      <c r="A208" s="47" t="str">
        <f>Fill_Value(print!A208)</f>
        <v/>
      </c>
      <c r="B208" s="47" t="str">
        <f>Fill_Value(print!B208)</f>
        <v/>
      </c>
      <c r="C208" s="47" t="str">
        <f>Fill_Value(print!C208)</f>
        <v>perimeter_extrusion_width</v>
      </c>
      <c r="D208" s="22"/>
      <c r="E208" s="3"/>
      <c r="F208" s="3"/>
      <c r="G208" s="3"/>
      <c r="H208" s="3"/>
      <c r="I208" s="3"/>
      <c r="J208" s="3"/>
      <c r="K208" s="3"/>
      <c r="L208" s="3"/>
      <c r="M208" s="3"/>
      <c r="N208" s="3"/>
      <c r="O208" s="3"/>
      <c r="P208" s="3"/>
    </row>
    <row r="209" spans="1:16" x14ac:dyDescent="0.25">
      <c r="A209" s="59" t="str">
        <f>Fill_Value(print!A209)</f>
        <v/>
      </c>
      <c r="B209" s="59" t="str">
        <f>Fill_Value(print!B209)</f>
        <v/>
      </c>
      <c r="C209" s="59" t="str">
        <f>Fill_Value(print!C209)</f>
        <v>external_perimeter_extrusion_width</v>
      </c>
      <c r="D209" s="25"/>
      <c r="E209" s="4"/>
      <c r="F209" s="4"/>
      <c r="G209" s="4"/>
      <c r="H209" s="4"/>
      <c r="I209" s="4"/>
      <c r="J209" s="4"/>
      <c r="K209" s="4"/>
      <c r="L209" s="4"/>
      <c r="M209" s="4"/>
      <c r="N209" s="4"/>
      <c r="O209" s="4"/>
      <c r="P209" s="4"/>
    </row>
    <row r="210" spans="1:16" x14ac:dyDescent="0.25">
      <c r="A210" s="47" t="str">
        <f>Fill_Value(print!A210)</f>
        <v/>
      </c>
      <c r="B210" s="47" t="str">
        <f>Fill_Value(print!B210)</f>
        <v/>
      </c>
      <c r="C210" s="47" t="str">
        <f>Fill_Value(print!C210)</f>
        <v>infill_extrusion_width</v>
      </c>
      <c r="D210" s="22"/>
      <c r="E210" s="3"/>
      <c r="F210" s="3"/>
      <c r="G210" s="3"/>
      <c r="H210" s="3"/>
      <c r="I210" s="3"/>
      <c r="J210" s="3"/>
      <c r="K210" s="3"/>
      <c r="L210" s="3"/>
      <c r="M210" s="3"/>
      <c r="N210" s="3"/>
      <c r="O210" s="3"/>
      <c r="P210" s="3"/>
    </row>
    <row r="211" spans="1:16" x14ac:dyDescent="0.25">
      <c r="A211" s="59" t="str">
        <f>Fill_Value(print!A211)</f>
        <v/>
      </c>
      <c r="B211" s="59" t="str">
        <f>Fill_Value(print!B211)</f>
        <v/>
      </c>
      <c r="C211" s="59" t="str">
        <f>Fill_Value(print!C211)</f>
        <v>solid_infill_extrusion_width</v>
      </c>
      <c r="D211" s="25"/>
      <c r="E211" s="4"/>
      <c r="F211" s="4"/>
      <c r="G211" s="4"/>
      <c r="H211" s="4"/>
      <c r="I211" s="4"/>
      <c r="J211" s="4"/>
      <c r="K211" s="4"/>
      <c r="L211" s="4"/>
      <c r="M211" s="4"/>
      <c r="N211" s="4"/>
      <c r="O211" s="4"/>
      <c r="P211" s="4"/>
    </row>
    <row r="212" spans="1:16" x14ac:dyDescent="0.25">
      <c r="A212" s="47" t="str">
        <f>Fill_Value(print!A212)</f>
        <v/>
      </c>
      <c r="B212" s="47" t="str">
        <f>Fill_Value(print!B212)</f>
        <v/>
      </c>
      <c r="C212" s="47" t="str">
        <f>Fill_Value(print!C212)</f>
        <v>top_infill_extrusion_width</v>
      </c>
      <c r="D212" s="22"/>
      <c r="E212" s="47"/>
      <c r="F212" s="3"/>
      <c r="G212" s="3"/>
      <c r="H212" s="3"/>
      <c r="I212" s="3"/>
      <c r="J212" s="3"/>
      <c r="K212" s="3"/>
      <c r="L212" s="3"/>
      <c r="M212" s="3"/>
      <c r="N212" s="3"/>
      <c r="O212" s="3"/>
      <c r="P212" s="3"/>
    </row>
    <row r="213" spans="1:16" x14ac:dyDescent="0.25">
      <c r="A213" s="59" t="str">
        <f>Fill_Value(print!A213)</f>
        <v/>
      </c>
      <c r="B213" s="59" t="str">
        <f>Fill_Value(print!B213)</f>
        <v/>
      </c>
      <c r="C213" s="59" t="str">
        <f>Fill_Value(print!C213)</f>
        <v>support_material_extrusion_width</v>
      </c>
      <c r="D213" s="25"/>
      <c r="E213" s="4"/>
      <c r="F213" s="4"/>
      <c r="G213" s="4"/>
      <c r="H213" s="4"/>
      <c r="I213" s="4"/>
      <c r="J213" s="4"/>
      <c r="K213" s="4"/>
      <c r="L213" s="4"/>
      <c r="M213" s="4"/>
      <c r="N213" s="4"/>
      <c r="O213" s="4"/>
      <c r="P213" s="4"/>
    </row>
    <row r="214" spans="1:16" x14ac:dyDescent="0.25">
      <c r="A214" s="47" t="str">
        <f>Fill_Value(print!A214)</f>
        <v/>
      </c>
      <c r="B214" s="47" t="str">
        <f>Fill_Value(print!B214)</f>
        <v>super</v>
      </c>
      <c r="C214" s="47" t="str">
        <f>Fill_Value(print!C214)</f>
        <v>skirt_extrusion_width</v>
      </c>
      <c r="D214" s="22"/>
      <c r="E214" s="3"/>
      <c r="F214" s="3"/>
      <c r="G214" s="3"/>
      <c r="H214" s="3"/>
      <c r="I214" s="3"/>
      <c r="J214" s="3"/>
      <c r="K214" s="3"/>
      <c r="L214" s="3"/>
      <c r="M214" s="3"/>
      <c r="N214" s="3"/>
      <c r="O214" s="3"/>
      <c r="P214" s="3"/>
    </row>
    <row r="215" spans="1:16" x14ac:dyDescent="0.25">
      <c r="A215" s="59" t="str">
        <f>Fill_Value(print!A215)</f>
        <v/>
      </c>
      <c r="B215" s="59" t="str">
        <f>Fill_Value(print!B215)</f>
        <v>super</v>
      </c>
      <c r="C215" s="59" t="str">
        <f>Fill_Value(print!C215)</f>
        <v>external_perimeter_extrusion_spacing</v>
      </c>
      <c r="D215" s="25"/>
      <c r="E215" s="4"/>
      <c r="F215" s="4"/>
      <c r="G215" s="4"/>
      <c r="H215" s="4"/>
      <c r="I215" s="4"/>
      <c r="J215" s="4"/>
      <c r="K215" s="4"/>
      <c r="L215" s="4"/>
      <c r="M215" s="4"/>
      <c r="N215" s="4"/>
      <c r="O215" s="4"/>
      <c r="P215" s="4"/>
    </row>
    <row r="216" spans="1:16" x14ac:dyDescent="0.25">
      <c r="A216" s="47" t="str">
        <f>Fill_Value(print!A216)</f>
        <v/>
      </c>
      <c r="B216" s="47" t="str">
        <f>Fill_Value(print!B216)</f>
        <v>super</v>
      </c>
      <c r="C216" s="47" t="str">
        <f>Fill_Value(print!C216)</f>
        <v>extrusion_spacing</v>
      </c>
      <c r="D216" s="22"/>
      <c r="E216" s="3"/>
      <c r="F216" s="3"/>
      <c r="G216" s="3"/>
      <c r="H216" s="3"/>
      <c r="I216" s="3"/>
      <c r="J216" s="3"/>
      <c r="K216" s="3"/>
      <c r="L216" s="3"/>
      <c r="M216" s="3"/>
      <c r="N216" s="3"/>
      <c r="O216" s="3"/>
      <c r="P216" s="3"/>
    </row>
    <row r="217" spans="1:16" x14ac:dyDescent="0.25">
      <c r="A217" s="59" t="str">
        <f>Fill_Value(print!A217)</f>
        <v/>
      </c>
      <c r="B217" s="59" t="str">
        <f>Fill_Value(print!B217)</f>
        <v>super</v>
      </c>
      <c r="C217" s="59" t="str">
        <f>Fill_Value(print!C217)</f>
        <v>first_layer_extrusion_spacing</v>
      </c>
      <c r="D217" s="25"/>
      <c r="E217" s="4"/>
      <c r="F217" s="4"/>
      <c r="G217" s="4"/>
      <c r="H217" s="4"/>
      <c r="I217" s="4"/>
      <c r="J217" s="4"/>
      <c r="K217" s="4"/>
      <c r="L217" s="4"/>
      <c r="M217" s="4"/>
      <c r="N217" s="4"/>
      <c r="O217" s="4"/>
      <c r="P217" s="4"/>
    </row>
    <row r="218" spans="1:16" x14ac:dyDescent="0.25">
      <c r="A218" s="47" t="str">
        <f>Fill_Value(print!A218)</f>
        <v/>
      </c>
      <c r="B218" s="47" t="str">
        <f>Fill_Value(print!B218)</f>
        <v>super</v>
      </c>
      <c r="C218" s="47" t="str">
        <f>Fill_Value(print!C218)</f>
        <v>infill_extrusion_spacing</v>
      </c>
      <c r="D218" s="22"/>
      <c r="E218" s="3"/>
      <c r="F218" s="3"/>
      <c r="G218" s="3"/>
      <c r="H218" s="3"/>
      <c r="I218" s="3"/>
      <c r="J218" s="3"/>
      <c r="K218" s="3"/>
      <c r="L218" s="3"/>
      <c r="M218" s="3"/>
      <c r="N218" s="3"/>
      <c r="O218" s="3"/>
      <c r="P218" s="3"/>
    </row>
    <row r="219" spans="1:16" x14ac:dyDescent="0.25">
      <c r="A219" s="59" t="str">
        <f>Fill_Value(print!A219)</f>
        <v/>
      </c>
      <c r="B219" s="59" t="str">
        <f>Fill_Value(print!B219)</f>
        <v>super</v>
      </c>
      <c r="C219" s="59" t="str">
        <f>Fill_Value(print!C219)</f>
        <v>perimeter_extrusion_spacing</v>
      </c>
      <c r="D219" s="25"/>
      <c r="E219" s="4"/>
      <c r="F219" s="4"/>
      <c r="G219" s="4"/>
      <c r="H219" s="4"/>
      <c r="I219" s="4"/>
      <c r="J219" s="4"/>
      <c r="K219" s="4"/>
      <c r="L219" s="4"/>
      <c r="M219" s="4"/>
      <c r="N219" s="4"/>
      <c r="O219" s="4"/>
      <c r="P219" s="4"/>
    </row>
    <row r="220" spans="1:16" x14ac:dyDescent="0.25">
      <c r="A220" s="47" t="str">
        <f>Fill_Value(print!A220)</f>
        <v/>
      </c>
      <c r="B220" s="47" t="str">
        <f>Fill_Value(print!B220)</f>
        <v>super</v>
      </c>
      <c r="C220" s="47" t="str">
        <f>Fill_Value(print!C220)</f>
        <v>solid_infill_extrusion_spacing</v>
      </c>
      <c r="D220" s="22"/>
      <c r="E220" s="3"/>
      <c r="F220" s="3"/>
      <c r="G220" s="3"/>
      <c r="H220" s="3"/>
      <c r="I220" s="3"/>
      <c r="J220" s="3"/>
      <c r="K220" s="3"/>
      <c r="L220" s="3"/>
      <c r="M220" s="3"/>
      <c r="N220" s="3"/>
      <c r="O220" s="3"/>
      <c r="P220" s="3"/>
    </row>
    <row r="221" spans="1:16" x14ac:dyDescent="0.25">
      <c r="A221" s="59" t="str">
        <f>Fill_Value(print!A221)</f>
        <v/>
      </c>
      <c r="B221" s="59" t="str">
        <f>Fill_Value(print!B221)</f>
        <v>super</v>
      </c>
      <c r="C221" s="59" t="str">
        <f>Fill_Value(print!C221)</f>
        <v>top_infill_extrusion_spacing</v>
      </c>
      <c r="D221" s="25"/>
      <c r="E221" s="4"/>
      <c r="F221" s="4"/>
      <c r="G221" s="4"/>
      <c r="H221" s="4"/>
      <c r="I221" s="4"/>
      <c r="J221" s="4"/>
      <c r="K221" s="4"/>
      <c r="L221" s="4"/>
      <c r="M221" s="4"/>
      <c r="N221" s="4"/>
      <c r="O221" s="4"/>
      <c r="P221" s="4"/>
    </row>
    <row r="222" spans="1:16" x14ac:dyDescent="0.25">
      <c r="A222" s="76" t="str">
        <f>Fill_Value(print!A222)</f>
        <v/>
      </c>
      <c r="B222" s="76" t="str">
        <f>Fill_Value(print!B222)</f>
        <v/>
      </c>
      <c r="C222" s="76" t="str">
        <f>Fill_Value(print!C222)</f>
        <v>##Overlap</v>
      </c>
      <c r="D222" s="33"/>
      <c r="E222" s="5"/>
      <c r="F222" s="5"/>
      <c r="G222" s="5"/>
      <c r="H222" s="5"/>
      <c r="I222" s="5"/>
      <c r="J222" s="5"/>
      <c r="K222" s="5"/>
      <c r="L222" s="5"/>
      <c r="M222" s="5"/>
      <c r="N222" s="5"/>
      <c r="O222" s="5"/>
      <c r="P222" s="5"/>
    </row>
    <row r="223" spans="1:16" x14ac:dyDescent="0.25">
      <c r="A223" s="47" t="str">
        <f>Fill_Value(print!A223)</f>
        <v/>
      </c>
      <c r="B223" s="47" t="str">
        <f>Fill_Value(print!B223)</f>
        <v/>
      </c>
      <c r="C223" s="47" t="str">
        <f>Fill_Value(print!C223)</f>
        <v>infill_overlap</v>
      </c>
      <c r="D223" s="35"/>
      <c r="E223" s="39"/>
      <c r="F223" s="39"/>
      <c r="G223" s="39"/>
      <c r="H223" s="39"/>
      <c r="I223" s="39"/>
      <c r="J223" s="39"/>
      <c r="K223" s="39"/>
      <c r="L223" s="39"/>
      <c r="M223" s="39"/>
      <c r="N223" s="39"/>
      <c r="O223" s="39"/>
      <c r="P223" s="3"/>
    </row>
    <row r="224" spans="1:16" x14ac:dyDescent="0.25">
      <c r="A224" s="59" t="str">
        <f>Fill_Value(print!A224)</f>
        <v/>
      </c>
      <c r="B224" s="59" t="str">
        <f>Fill_Value(print!B224)</f>
        <v>super</v>
      </c>
      <c r="C224" s="59" t="str">
        <f>Fill_Value(print!C224)</f>
        <v>perimeter_overlap</v>
      </c>
      <c r="D224" s="58"/>
      <c r="E224" s="57"/>
      <c r="F224" s="57"/>
      <c r="G224" s="57"/>
      <c r="H224" s="57"/>
      <c r="I224" s="57"/>
      <c r="J224" s="57"/>
      <c r="K224" s="57"/>
      <c r="L224" s="57"/>
      <c r="M224" s="57"/>
      <c r="N224" s="57"/>
      <c r="O224" s="57"/>
      <c r="P224" s="4"/>
    </row>
    <row r="225" spans="1:16" x14ac:dyDescent="0.25">
      <c r="A225" s="47" t="str">
        <f>Fill_Value(print!A225)</f>
        <v/>
      </c>
      <c r="B225" s="47" t="str">
        <f>Fill_Value(print!B225)</f>
        <v>super</v>
      </c>
      <c r="C225" s="47" t="str">
        <f>Fill_Value(print!C225)</f>
        <v>external_perimeter_overlap</v>
      </c>
      <c r="D225" s="35"/>
      <c r="E225" s="39"/>
      <c r="F225" s="39"/>
      <c r="G225" s="39"/>
      <c r="H225" s="39"/>
      <c r="I225" s="39"/>
      <c r="J225" s="39"/>
      <c r="K225" s="39"/>
      <c r="L225" s="39"/>
      <c r="M225" s="39"/>
      <c r="N225" s="39"/>
      <c r="O225" s="39"/>
      <c r="P225" s="3"/>
    </row>
    <row r="226" spans="1:16" x14ac:dyDescent="0.25">
      <c r="A226" s="59" t="str">
        <f>Fill_Value(print!A226)</f>
        <v/>
      </c>
      <c r="B226" s="59" t="str">
        <f>Fill_Value(print!B226)</f>
        <v>super</v>
      </c>
      <c r="C226" s="59" t="str">
        <f>Fill_Value(print!C226)</f>
        <v>bridge_overlap</v>
      </c>
      <c r="D226" s="58"/>
      <c r="E226" s="57"/>
      <c r="F226" s="57"/>
      <c r="G226" s="57"/>
      <c r="H226" s="57"/>
      <c r="I226" s="57"/>
      <c r="J226" s="57"/>
      <c r="K226" s="57"/>
      <c r="L226" s="57"/>
      <c r="M226" s="57"/>
      <c r="N226" s="57"/>
      <c r="O226" s="57"/>
      <c r="P226" s="4"/>
    </row>
    <row r="227" spans="1:16" x14ac:dyDescent="0.25">
      <c r="A227" s="47" t="str">
        <f>Fill_Value(print!A227)</f>
        <v/>
      </c>
      <c r="B227" s="47" t="str">
        <f>Fill_Value(print!B227)</f>
        <v>super</v>
      </c>
      <c r="C227" s="47" t="str">
        <f>Fill_Value(print!C227)</f>
        <v>gap_fill_overlap</v>
      </c>
      <c r="D227" s="35"/>
      <c r="E227" s="39"/>
      <c r="F227" s="39"/>
      <c r="G227" s="39"/>
      <c r="H227" s="39"/>
      <c r="I227" s="39"/>
      <c r="J227" s="39"/>
      <c r="K227" s="39"/>
      <c r="L227" s="39"/>
      <c r="M227" s="39"/>
      <c r="N227" s="39"/>
      <c r="O227" s="39"/>
      <c r="P227" s="3"/>
    </row>
    <row r="228" spans="1:16" x14ac:dyDescent="0.25">
      <c r="A228" s="76" t="str">
        <f>Fill_Value(print!A228)</f>
        <v/>
      </c>
      <c r="B228" s="76" t="str">
        <f>Fill_Value(print!B228)</f>
        <v/>
      </c>
      <c r="C228" s="76" t="str">
        <f>Fill_Value(print!C228)</f>
        <v>##Flow</v>
      </c>
      <c r="D228" s="33"/>
      <c r="E228" s="5"/>
      <c r="F228" s="5"/>
      <c r="G228" s="5"/>
      <c r="H228" s="5"/>
      <c r="I228" s="5"/>
      <c r="J228" s="5"/>
      <c r="K228" s="5"/>
      <c r="L228" s="5"/>
      <c r="M228" s="5"/>
      <c r="N228" s="5"/>
      <c r="O228" s="5"/>
      <c r="P228" s="5"/>
    </row>
    <row r="229" spans="1:16" x14ac:dyDescent="0.25">
      <c r="A229" s="47" t="str">
        <f>Fill_Value(print!A229)</f>
        <v/>
      </c>
      <c r="B229" s="47" t="str">
        <f>Fill_Value(print!B229)</f>
        <v/>
      </c>
      <c r="C229" s="47" t="str">
        <f>Fill_Value(print!C229)</f>
        <v>bridge_flow_ratio</v>
      </c>
      <c r="D229" s="40"/>
      <c r="E229" s="3"/>
      <c r="F229" s="3"/>
      <c r="G229" s="3"/>
      <c r="H229" s="3"/>
      <c r="I229" s="3"/>
      <c r="J229" s="3"/>
      <c r="K229" s="3"/>
      <c r="L229" s="3"/>
      <c r="M229" s="3"/>
      <c r="N229" s="3"/>
      <c r="O229" s="3"/>
      <c r="P229" s="3"/>
    </row>
    <row r="230" spans="1:16" x14ac:dyDescent="0.25">
      <c r="A230" s="59" t="str">
        <f>Fill_Value(print!A230)</f>
        <v/>
      </c>
      <c r="B230" s="59" t="str">
        <f>Fill_Value(print!B230)</f>
        <v>super</v>
      </c>
      <c r="C230" s="59" t="str">
        <f>Fill_Value(print!C230)</f>
        <v>over_bridge_flow_ratio</v>
      </c>
      <c r="D230" s="25"/>
      <c r="E230" s="4"/>
      <c r="F230" s="4"/>
      <c r="G230" s="4"/>
      <c r="H230" s="4"/>
      <c r="I230" s="4"/>
      <c r="J230" s="4"/>
      <c r="K230" s="4"/>
      <c r="L230" s="4"/>
      <c r="M230" s="4"/>
      <c r="N230" s="4"/>
      <c r="O230" s="4"/>
      <c r="P230" s="4"/>
    </row>
    <row r="231" spans="1:16" x14ac:dyDescent="0.25">
      <c r="A231" s="47" t="str">
        <f>Fill_Value(print!A231)</f>
        <v/>
      </c>
      <c r="B231" s="47" t="str">
        <f>Fill_Value(print!B231)</f>
        <v>super</v>
      </c>
      <c r="C231" s="47" t="str">
        <f>Fill_Value(print!C231)</f>
        <v>fill_top_flow_ratio</v>
      </c>
      <c r="D231" s="22"/>
      <c r="E231" s="3"/>
      <c r="F231" s="3"/>
      <c r="G231" s="3"/>
      <c r="H231" s="3"/>
      <c r="I231" s="3"/>
      <c r="J231" s="3"/>
      <c r="K231" s="3"/>
      <c r="L231" s="3"/>
      <c r="M231" s="3"/>
      <c r="N231" s="3"/>
      <c r="O231" s="3"/>
      <c r="P231" s="3"/>
    </row>
    <row r="232" spans="1:16" x14ac:dyDescent="0.25">
      <c r="A232" s="59" t="str">
        <f>Fill_Value(print!A232)</f>
        <v/>
      </c>
      <c r="B232" s="59" t="str">
        <f>Fill_Value(print!B232)</f>
        <v>super</v>
      </c>
      <c r="C232" s="59" t="str">
        <f>Fill_Value(print!C232)</f>
        <v>first_layer_flow_ratio</v>
      </c>
      <c r="D232" s="25"/>
      <c r="E232" s="4"/>
      <c r="F232" s="4"/>
      <c r="G232" s="4"/>
      <c r="H232" s="4"/>
      <c r="I232" s="4"/>
      <c r="J232" s="4"/>
      <c r="K232" s="4"/>
      <c r="L232" s="4"/>
      <c r="M232" s="4"/>
      <c r="N232" s="4"/>
      <c r="O232" s="4"/>
      <c r="P232" s="4"/>
    </row>
    <row r="233" spans="1:16" x14ac:dyDescent="0.25">
      <c r="A233" s="47" t="str">
        <f>Fill_Value(print!A233)</f>
        <v/>
      </c>
      <c r="B233" s="47" t="str">
        <f>Fill_Value(print!B233)</f>
        <v>super</v>
      </c>
      <c r="C233" s="47" t="str">
        <f>Fill_Value(print!C233)</f>
        <v>external_perimeter_cut_corners</v>
      </c>
      <c r="D233" s="22"/>
      <c r="E233" s="3"/>
      <c r="F233" s="3"/>
      <c r="G233" s="3"/>
      <c r="H233" s="3"/>
      <c r="I233" s="3"/>
      <c r="J233" s="3"/>
      <c r="K233" s="3"/>
      <c r="L233" s="3"/>
      <c r="M233" s="3"/>
      <c r="N233" s="3"/>
      <c r="O233" s="3"/>
      <c r="P233" s="3"/>
    </row>
    <row r="234" spans="1:16" x14ac:dyDescent="0.25">
      <c r="A234" s="76" t="str">
        <f>Fill_Value(print!A234)</f>
        <v>Output options</v>
      </c>
      <c r="B234" s="76" t="str">
        <f>Fill_Value(print!B234)</f>
        <v/>
      </c>
      <c r="C234" s="76" t="str">
        <f>Fill_Value(print!C234)</f>
        <v>##Plater</v>
      </c>
      <c r="D234" s="33"/>
      <c r="E234" s="5"/>
      <c r="F234" s="5"/>
      <c r="G234" s="5"/>
      <c r="H234" s="5"/>
      <c r="I234" s="5"/>
      <c r="J234" s="5"/>
      <c r="K234" s="5"/>
      <c r="L234" s="5"/>
      <c r="M234" s="5"/>
      <c r="N234" s="5"/>
      <c r="O234" s="5"/>
      <c r="P234" s="5"/>
    </row>
    <row r="235" spans="1:16" x14ac:dyDescent="0.25">
      <c r="A235" s="47" t="str">
        <f>Fill_Value(print!A235)</f>
        <v/>
      </c>
      <c r="B235" s="47" t="str">
        <f>Fill_Value(print!B235)</f>
        <v>super</v>
      </c>
      <c r="C235" s="47" t="str">
        <f>Fill_Value(print!C235)</f>
        <v>duplicate_distance</v>
      </c>
      <c r="D235" s="22"/>
      <c r="E235" s="3"/>
      <c r="F235" s="3"/>
      <c r="G235" s="3"/>
      <c r="H235" s="3"/>
      <c r="I235" s="3"/>
      <c r="J235" s="3"/>
      <c r="K235" s="3"/>
      <c r="L235" s="3"/>
      <c r="M235" s="3"/>
      <c r="N235" s="3"/>
      <c r="O235" s="3"/>
      <c r="P235" s="3"/>
    </row>
    <row r="236" spans="1:16" x14ac:dyDescent="0.25">
      <c r="A236" s="76" t="str">
        <f>Fill_Value(print!A236)</f>
        <v/>
      </c>
      <c r="B236" s="76" t="str">
        <f>Fill_Value(print!B236)</f>
        <v/>
      </c>
      <c r="C236" s="76" t="str">
        <f>Fill_Value(print!C236)</f>
        <v>##Sequential printing</v>
      </c>
      <c r="D236" s="33"/>
      <c r="E236" s="5"/>
      <c r="F236" s="5"/>
      <c r="G236" s="5"/>
      <c r="H236" s="5"/>
      <c r="I236" s="5"/>
      <c r="J236" s="5"/>
      <c r="K236" s="5"/>
      <c r="L236" s="5"/>
      <c r="M236" s="5"/>
      <c r="N236" s="5"/>
      <c r="O236" s="5"/>
      <c r="P236" s="5"/>
    </row>
    <row r="237" spans="1:16" x14ac:dyDescent="0.25">
      <c r="A237" s="47" t="str">
        <f>Fill_Value(print!A237)</f>
        <v/>
      </c>
      <c r="B237" s="47" t="str">
        <f>Fill_Value(print!B237)</f>
        <v/>
      </c>
      <c r="C237" s="47" t="str">
        <f>Fill_Value(print!C237)</f>
        <v>complete_objects</v>
      </c>
      <c r="D237" s="22"/>
      <c r="E237" s="3"/>
      <c r="F237" s="3"/>
      <c r="G237" s="3"/>
      <c r="H237" s="3"/>
      <c r="I237" s="3"/>
      <c r="J237" s="3"/>
      <c r="K237" s="3"/>
      <c r="L237" s="3"/>
      <c r="M237" s="3"/>
      <c r="N237" s="3"/>
      <c r="O237" s="3"/>
      <c r="P237" s="3"/>
    </row>
    <row r="238" spans="1:16" x14ac:dyDescent="0.25">
      <c r="A238" s="59" t="str">
        <f>Fill_Value(print!A238)</f>
        <v/>
      </c>
      <c r="B238" s="59" t="str">
        <f>Fill_Value(print!B238)</f>
        <v>super</v>
      </c>
      <c r="C238" s="59" t="str">
        <f>Fill_Value(print!C238)</f>
        <v>complete_objects_one_skirt</v>
      </c>
      <c r="D238" s="25"/>
      <c r="E238" s="4"/>
      <c r="F238" s="4"/>
      <c r="G238" s="4"/>
      <c r="H238" s="4"/>
      <c r="I238" s="4"/>
      <c r="J238" s="4"/>
      <c r="K238" s="4"/>
      <c r="L238" s="4"/>
      <c r="M238" s="4"/>
      <c r="N238" s="4"/>
      <c r="O238" s="4"/>
      <c r="P238" s="4"/>
    </row>
    <row r="239" spans="1:16" x14ac:dyDescent="0.25">
      <c r="A239" s="47" t="str">
        <f>Fill_Value(print!A239)</f>
        <v/>
      </c>
      <c r="B239" s="47" t="str">
        <f>Fill_Value(print!B239)</f>
        <v>super</v>
      </c>
      <c r="C239" s="47" t="str">
        <f>Fill_Value(print!C239)</f>
        <v>complete_objects_sort</v>
      </c>
      <c r="D239" s="22"/>
      <c r="E239" s="3"/>
      <c r="F239" s="3"/>
      <c r="G239" s="3"/>
      <c r="H239" s="3"/>
      <c r="I239" s="3"/>
      <c r="J239" s="3"/>
      <c r="K239" s="3"/>
      <c r="L239" s="3"/>
      <c r="M239" s="3"/>
      <c r="N239" s="3"/>
      <c r="O239" s="3"/>
      <c r="P239" s="3"/>
    </row>
    <row r="240" spans="1:16" x14ac:dyDescent="0.25">
      <c r="A240" s="59" t="str">
        <f>Fill_Value(print!A240)</f>
        <v/>
      </c>
      <c r="B240" s="59" t="str">
        <f>Fill_Value(print!B240)</f>
        <v/>
      </c>
      <c r="C240" s="59" t="str">
        <f>Fill_Value(print!C240)</f>
        <v>extruder_clearance_height</v>
      </c>
      <c r="D240" s="25"/>
      <c r="E240" s="4"/>
      <c r="F240" s="4"/>
      <c r="G240" s="4"/>
      <c r="H240" s="4"/>
      <c r="I240" s="4"/>
      <c r="J240" s="4"/>
      <c r="K240" s="4"/>
      <c r="L240" s="4"/>
      <c r="M240" s="4"/>
      <c r="N240" s="4"/>
      <c r="O240" s="4"/>
      <c r="P240" s="4"/>
    </row>
    <row r="241" spans="1:16" x14ac:dyDescent="0.25">
      <c r="A241" s="47" t="str">
        <f>Fill_Value(print!A241)</f>
        <v/>
      </c>
      <c r="B241" s="47" t="str">
        <f>Fill_Value(print!B241)</f>
        <v/>
      </c>
      <c r="C241" s="47" t="str">
        <f>Fill_Value(print!C241)</f>
        <v>extruder_clearance_radius</v>
      </c>
      <c r="D241" s="22"/>
      <c r="E241" s="3"/>
      <c r="F241" s="3"/>
      <c r="G241" s="3"/>
      <c r="H241" s="3"/>
      <c r="I241" s="3"/>
      <c r="J241" s="3"/>
      <c r="K241" s="3"/>
      <c r="L241" s="3"/>
      <c r="M241" s="3"/>
      <c r="N241" s="3"/>
      <c r="O241" s="3"/>
      <c r="P241" s="3"/>
    </row>
    <row r="242" spans="1:16" x14ac:dyDescent="0.25">
      <c r="A242" s="76" t="str">
        <f>Fill_Value(print!A242)</f>
        <v/>
      </c>
      <c r="B242" s="76" t="str">
        <f>Fill_Value(print!B242)</f>
        <v/>
      </c>
      <c r="C242" s="76" t="str">
        <f>Fill_Value(print!C242)</f>
        <v>##Output file</v>
      </c>
      <c r="D242" s="33"/>
      <c r="E242" s="5"/>
      <c r="F242" s="5"/>
      <c r="G242" s="5"/>
      <c r="H242" s="5"/>
      <c r="I242" s="5"/>
      <c r="J242" s="5"/>
      <c r="K242" s="5"/>
      <c r="L242" s="5"/>
      <c r="M242" s="5"/>
      <c r="N242" s="5"/>
      <c r="O242" s="5"/>
      <c r="P242" s="5"/>
    </row>
    <row r="243" spans="1:16" x14ac:dyDescent="0.25">
      <c r="A243" s="47" t="str">
        <f>Fill_Value(print!A243)</f>
        <v/>
      </c>
      <c r="B243" s="47" t="str">
        <f>Fill_Value(print!B243)</f>
        <v/>
      </c>
      <c r="C243" s="47" t="str">
        <f>Fill_Value(print!C243)</f>
        <v>gcode_comments</v>
      </c>
      <c r="D243" s="22"/>
      <c r="E243" s="3"/>
      <c r="F243" s="3"/>
      <c r="G243" s="3"/>
      <c r="H243" s="3"/>
      <c r="I243" s="3"/>
      <c r="J243" s="3"/>
      <c r="K243" s="3"/>
      <c r="L243" s="3"/>
      <c r="M243" s="3"/>
      <c r="N243" s="3"/>
      <c r="O243" s="3"/>
      <c r="P243" s="3"/>
    </row>
    <row r="244" spans="1:16" x14ac:dyDescent="0.25">
      <c r="A244" s="59" t="str">
        <f>Fill_Value(print!A244)</f>
        <v/>
      </c>
      <c r="B244" s="59" t="str">
        <f>Fill_Value(print!B244)</f>
        <v/>
      </c>
      <c r="C244" s="59" t="str">
        <f>Fill_Value(print!C244)</f>
        <v>gcode_label_objects</v>
      </c>
      <c r="D244" s="25"/>
      <c r="E244" s="4"/>
      <c r="F244" s="4"/>
      <c r="G244" s="4"/>
      <c r="H244" s="4"/>
      <c r="I244" s="4"/>
      <c r="J244" s="4"/>
      <c r="K244" s="4"/>
      <c r="L244" s="4"/>
      <c r="M244" s="4"/>
      <c r="N244" s="4"/>
      <c r="O244" s="4"/>
      <c r="P244" s="4"/>
    </row>
    <row r="245" spans="1:16" x14ac:dyDescent="0.25">
      <c r="A245" s="47" t="str">
        <f>Fill_Value(print!A245)</f>
        <v/>
      </c>
      <c r="B245" s="47" t="str">
        <f>Fill_Value(print!B245)</f>
        <v/>
      </c>
      <c r="C245" s="47" t="str">
        <f>Fill_Value(print!C245)</f>
        <v>output_filename_format</v>
      </c>
      <c r="D245" s="22"/>
      <c r="E245" s="3"/>
      <c r="F245" s="3"/>
      <c r="G245" s="3"/>
      <c r="H245" s="3"/>
      <c r="I245" s="3"/>
      <c r="J245" s="3"/>
      <c r="K245" s="3"/>
      <c r="L245" s="3"/>
      <c r="M245" s="3"/>
      <c r="N245" s="3"/>
      <c r="O245" s="3"/>
      <c r="P245" s="3"/>
    </row>
    <row r="246" spans="1:16" x14ac:dyDescent="0.25">
      <c r="A246" s="76" t="str">
        <f>Fill_Value(print!A246)</f>
        <v/>
      </c>
      <c r="B246" s="76" t="str">
        <f>Fill_Value(print!B246)</f>
        <v/>
      </c>
      <c r="C246" s="76" t="str">
        <f>Fill_Value(print!C246)</f>
        <v>##Post-Processing milling</v>
      </c>
      <c r="D246" s="33"/>
      <c r="E246" s="5"/>
      <c r="F246" s="5"/>
      <c r="G246" s="5"/>
      <c r="H246" s="5"/>
      <c r="I246" s="5"/>
      <c r="J246" s="5"/>
      <c r="K246" s="5"/>
      <c r="L246" s="5"/>
      <c r="M246" s="5"/>
      <c r="N246" s="5"/>
      <c r="O246" s="5"/>
      <c r="P246" s="5"/>
    </row>
    <row r="247" spans="1:16" x14ac:dyDescent="0.25">
      <c r="A247" s="47" t="str">
        <f>Fill_Value(print!A247)</f>
        <v/>
      </c>
      <c r="B247" s="47" t="str">
        <f>Fill_Value(print!B247)</f>
        <v>super</v>
      </c>
      <c r="C247" s="47" t="str">
        <f>Fill_Value(print!C247)</f>
        <v>milling_after_z</v>
      </c>
      <c r="D247" s="22"/>
      <c r="E247" s="3"/>
      <c r="F247" s="3"/>
      <c r="G247" s="3"/>
      <c r="H247" s="3"/>
      <c r="I247" s="3"/>
      <c r="J247" s="3"/>
      <c r="K247" s="3"/>
      <c r="L247" s="3"/>
      <c r="M247" s="3"/>
      <c r="N247" s="3"/>
      <c r="O247" s="3"/>
      <c r="P247" s="3"/>
    </row>
    <row r="248" spans="1:16" x14ac:dyDescent="0.25">
      <c r="A248" s="59" t="str">
        <f>Fill_Value(print!A248)</f>
        <v/>
      </c>
      <c r="B248" s="59" t="str">
        <f>Fill_Value(print!B248)</f>
        <v>super</v>
      </c>
      <c r="C248" s="59" t="str">
        <f>Fill_Value(print!C248)</f>
        <v>milling_extra_size</v>
      </c>
      <c r="D248" s="25"/>
      <c r="E248" s="4"/>
      <c r="F248" s="4"/>
      <c r="G248" s="4"/>
      <c r="H248" s="4"/>
      <c r="I248" s="4"/>
      <c r="J248" s="4"/>
      <c r="K248" s="4"/>
      <c r="L248" s="4"/>
      <c r="M248" s="4"/>
      <c r="N248" s="4"/>
      <c r="O248" s="4"/>
      <c r="P248" s="4"/>
    </row>
    <row r="249" spans="1:16" x14ac:dyDescent="0.25">
      <c r="A249" s="47" t="str">
        <f>Fill_Value(print!A249)</f>
        <v/>
      </c>
      <c r="B249" s="47" t="str">
        <f>Fill_Value(print!B249)</f>
        <v>super</v>
      </c>
      <c r="C249" s="47" t="str">
        <f>Fill_Value(print!C249)</f>
        <v>milling_post_process</v>
      </c>
      <c r="D249" s="22"/>
      <c r="E249" s="3"/>
      <c r="F249" s="3"/>
      <c r="G249" s="3"/>
      <c r="H249" s="3"/>
      <c r="I249" s="3"/>
      <c r="J249" s="3"/>
      <c r="K249" s="3"/>
      <c r="L249" s="3"/>
      <c r="M249" s="3"/>
      <c r="N249" s="3"/>
      <c r="O249" s="3"/>
      <c r="P249" s="3"/>
    </row>
    <row r="250" spans="1:16" x14ac:dyDescent="0.25">
      <c r="A250" s="59" t="str">
        <f>Fill_Value(print!A250)</f>
        <v/>
      </c>
      <c r="B250" s="59" t="str">
        <f>Fill_Value(print!B250)</f>
        <v>super</v>
      </c>
      <c r="C250" s="59" t="str">
        <f>Fill_Value(print!C250)</f>
        <v>milling_speed</v>
      </c>
      <c r="D250" s="25"/>
      <c r="E250" s="4"/>
      <c r="F250" s="4"/>
      <c r="G250" s="4"/>
      <c r="H250" s="4"/>
      <c r="I250" s="4"/>
      <c r="J250" s="4"/>
      <c r="K250" s="4"/>
      <c r="L250" s="4"/>
      <c r="M250" s="4"/>
      <c r="N250" s="4"/>
      <c r="O250" s="4"/>
      <c r="P250" s="4"/>
    </row>
    <row r="251" spans="1:16" x14ac:dyDescent="0.25">
      <c r="A251" s="76" t="str">
        <f>Fill_Value(print!A251)</f>
        <v/>
      </c>
      <c r="B251" s="76" t="str">
        <f>Fill_Value(print!B251)</f>
        <v/>
      </c>
      <c r="C251" s="76" t="str">
        <f>Fill_Value(print!C251)</f>
        <v>##Post Processing Scripts</v>
      </c>
      <c r="D251" s="33"/>
      <c r="E251" s="5"/>
      <c r="F251" s="5"/>
      <c r="G251" s="5"/>
      <c r="H251" s="5"/>
      <c r="I251" s="5"/>
      <c r="J251" s="5"/>
      <c r="K251" s="5"/>
      <c r="L251" s="5"/>
      <c r="M251" s="5"/>
      <c r="N251" s="5"/>
      <c r="O251" s="5"/>
      <c r="P251" s="5"/>
    </row>
    <row r="252" spans="1:16" x14ac:dyDescent="0.25">
      <c r="A252" s="47" t="str">
        <f>Fill_Value(print!A252)</f>
        <v/>
      </c>
      <c r="B252" s="47" t="str">
        <f>Fill_Value(print!B252)</f>
        <v/>
      </c>
      <c r="C252" s="47" t="str">
        <f>Fill_Value(print!C252)</f>
        <v>post_process</v>
      </c>
      <c r="D252" s="22"/>
      <c r="E252" s="3"/>
      <c r="F252" s="3"/>
      <c r="G252" s="3"/>
      <c r="H252" s="3"/>
      <c r="I252" s="3"/>
      <c r="J252" s="3"/>
      <c r="K252" s="3"/>
      <c r="L252" s="3"/>
      <c r="M252" s="3"/>
      <c r="N252" s="3"/>
      <c r="O252" s="3"/>
      <c r="P252" s="3"/>
    </row>
    <row r="253" spans="1:16" x14ac:dyDescent="0.25">
      <c r="A253" s="76" t="str">
        <f>Fill_Value(print!A253)</f>
        <v>Notes</v>
      </c>
      <c r="B253" s="76" t="str">
        <f>Fill_Value(print!B253)</f>
        <v/>
      </c>
      <c r="C253" s="76" t="str">
        <f>Fill_Value(print!C253)</f>
        <v>##notes</v>
      </c>
      <c r="D253" s="33"/>
      <c r="E253" s="5"/>
      <c r="F253" s="5"/>
      <c r="G253" s="5"/>
      <c r="H253" s="5"/>
      <c r="I253" s="5"/>
      <c r="J253" s="5"/>
      <c r="K253" s="5"/>
      <c r="L253" s="5"/>
      <c r="M253" s="5"/>
      <c r="N253" s="5"/>
      <c r="O253" s="5"/>
      <c r="P253" s="5"/>
    </row>
    <row r="254" spans="1:16" x14ac:dyDescent="0.25">
      <c r="A254" s="47" t="str">
        <f>Fill_Value(print!A254)</f>
        <v/>
      </c>
      <c r="B254" s="47" t="str">
        <f>Fill_Value(print!B254)</f>
        <v/>
      </c>
      <c r="C254" s="47" t="str">
        <f>Fill_Value(print!C254)</f>
        <v>notes</v>
      </c>
      <c r="D254" s="22"/>
      <c r="E254" s="3"/>
      <c r="F254" s="3"/>
      <c r="G254" s="3"/>
      <c r="H254" s="3"/>
      <c r="I254" s="3"/>
      <c r="J254" s="3"/>
      <c r="K254" s="3"/>
      <c r="L254" s="3"/>
      <c r="M254" s="3"/>
      <c r="N254" s="3"/>
      <c r="O254" s="3"/>
      <c r="P254" s="3"/>
    </row>
    <row r="255" spans="1:16" x14ac:dyDescent="0.25">
      <c r="A255" s="76" t="str">
        <f>Fill_Value(print!A255)</f>
        <v>Dependencies</v>
      </c>
      <c r="B255" s="76" t="str">
        <f>Fill_Value(print!B255)</f>
        <v/>
      </c>
      <c r="C255" s="76" t="str">
        <f>Fill_Value(print!C255)</f>
        <v>##Profile dependencies</v>
      </c>
      <c r="D255" s="33"/>
      <c r="E255" s="5"/>
      <c r="F255" s="5"/>
      <c r="G255" s="5"/>
      <c r="H255" s="5"/>
      <c r="I255" s="5"/>
      <c r="J255" s="5"/>
      <c r="K255" s="5"/>
      <c r="L255" s="5"/>
      <c r="M255" s="5"/>
      <c r="N255" s="5"/>
      <c r="O255" s="5"/>
      <c r="P255" s="5"/>
    </row>
    <row r="256" spans="1:16" x14ac:dyDescent="0.25">
      <c r="A256" s="47" t="str">
        <f>Fill_Value(print!A256)</f>
        <v/>
      </c>
      <c r="B256" s="47" t="str">
        <f>Fill_Value(print!B256)</f>
        <v/>
      </c>
      <c r="C256" s="47" t="str">
        <f>Fill_Value(print!C256)</f>
        <v>compatible_printers</v>
      </c>
      <c r="D256" s="22"/>
      <c r="E256" s="3"/>
      <c r="F256" s="3"/>
      <c r="G256" s="3"/>
      <c r="H256" s="3"/>
      <c r="I256" s="3"/>
      <c r="J256" s="3"/>
      <c r="K256" s="3"/>
      <c r="L256" s="3"/>
      <c r="M256" s="3"/>
      <c r="N256" s="3"/>
      <c r="O256" s="3"/>
      <c r="P256" s="3"/>
    </row>
    <row r="257" spans="1:16" x14ac:dyDescent="0.25">
      <c r="A257" s="59" t="str">
        <f>Fill_Value(print!A257)</f>
        <v/>
      </c>
      <c r="B257" s="59" t="str">
        <f>Fill_Value(print!B257)</f>
        <v/>
      </c>
      <c r="C257" s="59" t="str">
        <f>Fill_Value(print!C257)</f>
        <v>compatible_printers_condition</v>
      </c>
      <c r="D257" s="25"/>
      <c r="E257" s="4"/>
      <c r="F257" s="4"/>
      <c r="G257" s="4"/>
      <c r="H257" s="4"/>
      <c r="I257" s="4"/>
      <c r="J257" s="4"/>
      <c r="K257" s="4"/>
      <c r="L257" s="4"/>
      <c r="M257" s="4"/>
      <c r="N257" s="4"/>
      <c r="O257" s="4"/>
      <c r="P257" s="4"/>
    </row>
    <row r="258" spans="1:16" x14ac:dyDescent="0.25">
      <c r="A258" s="47" t="str">
        <f>Fill_Value(print!A258)</f>
        <v/>
      </c>
      <c r="B258" s="47" t="str">
        <f>Fill_Value(print!B258)</f>
        <v/>
      </c>
      <c r="C258" s="47" t="str">
        <f>Fill_Value(print!C258)</f>
        <v>inherits</v>
      </c>
      <c r="D258" s="22"/>
      <c r="E258" s="3"/>
      <c r="F258" s="3"/>
      <c r="G258" s="3"/>
      <c r="H258" s="3"/>
      <c r="I258" s="3"/>
      <c r="J258" s="3"/>
      <c r="K258" s="3"/>
      <c r="L258" s="3"/>
      <c r="M258" s="3"/>
      <c r="N258" s="3"/>
      <c r="O258" s="3"/>
      <c r="P258" s="3"/>
    </row>
    <row r="259" spans="1:16" x14ac:dyDescent="0.25">
      <c r="A259" s="59" t="str">
        <f>Fill_Value(print!A259)</f>
        <v/>
      </c>
      <c r="B259" s="59" t="str">
        <f>Fill_Value(print!B259)</f>
        <v/>
      </c>
      <c r="C259" s="59" t="str">
        <f>Fill_Value(print!C259)</f>
        <v>print_settings_id</v>
      </c>
      <c r="D259" s="25"/>
      <c r="E259" s="4"/>
      <c r="F259" s="4"/>
      <c r="G259" s="4"/>
      <c r="H259" s="4"/>
      <c r="I259" s="4"/>
      <c r="J259" s="4"/>
      <c r="K259" s="4"/>
      <c r="L259" s="4"/>
      <c r="M259" s="4"/>
      <c r="N259" s="4"/>
      <c r="O259" s="4"/>
      <c r="P259" s="4"/>
    </row>
    <row r="260" spans="1:16" x14ac:dyDescent="0.25">
      <c r="A260" s="76" t="str">
        <f>Fill_Value(print!A260)</f>
        <v/>
      </c>
      <c r="B260" s="76" t="str">
        <f>Fill_Value(print!B260)</f>
        <v/>
      </c>
      <c r="C260" s="76" t="str">
        <f>Fill_Value(print!C260)</f>
        <v>##Prusa Slicer Settings End</v>
      </c>
      <c r="D260" s="33"/>
      <c r="E260" s="5"/>
      <c r="F260" s="5"/>
      <c r="G260" s="5"/>
      <c r="H260" s="5"/>
      <c r="I260" s="5"/>
      <c r="J260" s="5"/>
      <c r="K260" s="5"/>
      <c r="L260" s="5"/>
      <c r="M260" s="5"/>
      <c r="N260" s="5"/>
      <c r="O260" s="5"/>
      <c r="P260" s="5"/>
    </row>
    <row r="261" spans="1:16" x14ac:dyDescent="0.25">
      <c r="A261" s="76" t="str">
        <f>Fill_Value(print!A261)</f>
        <v>Super Slicer</v>
      </c>
      <c r="B261" s="76" t="str">
        <f>Fill_Value(print!B261)</f>
        <v>super</v>
      </c>
      <c r="C261" s="76" t="str">
        <f>Fill_Value(print!C261)</f>
        <v>##Super Slicer Settings Start</v>
      </c>
      <c r="D261" s="33"/>
      <c r="E261" s="5"/>
      <c r="F261" s="5"/>
      <c r="G261" s="5"/>
      <c r="H261" s="5"/>
      <c r="I261" s="5"/>
      <c r="J261" s="5"/>
      <c r="K261" s="5"/>
      <c r="L261" s="5"/>
      <c r="M261" s="5"/>
      <c r="N261" s="5"/>
      <c r="O261" s="5"/>
      <c r="P261" s="5"/>
    </row>
    <row r="262" spans="1:16" x14ac:dyDescent="0.25">
      <c r="A262" s="47" t="str">
        <f>Fill_Value(print!A262)</f>
        <v/>
      </c>
      <c r="B262" s="47" t="str">
        <f>Fill_Value(print!B262)</f>
        <v>super</v>
      </c>
      <c r="C262" s="47" t="str">
        <f>Fill_Value(print!C262)</f>
        <v>print_retract_length</v>
      </c>
      <c r="D262" s="22"/>
      <c r="E262" s="3"/>
      <c r="F262" s="3"/>
      <c r="G262" s="3"/>
      <c r="H262" s="3"/>
      <c r="I262" s="3"/>
      <c r="J262" s="3"/>
      <c r="K262" s="3"/>
      <c r="L262" s="3"/>
      <c r="M262" s="3"/>
      <c r="N262" s="3"/>
      <c r="O262" s="3"/>
      <c r="P262" s="3"/>
    </row>
    <row r="263" spans="1:16" x14ac:dyDescent="0.25">
      <c r="A263" s="59" t="str">
        <f>Fill_Value(print!A263)</f>
        <v/>
      </c>
      <c r="B263" s="59" t="str">
        <f>Fill_Value(print!B263)</f>
        <v>super</v>
      </c>
      <c r="C263" s="59" t="str">
        <f>Fill_Value(print!C263)</f>
        <v>print_retract_lift</v>
      </c>
      <c r="D263" s="25"/>
      <c r="E263" s="4"/>
      <c r="F263" s="4"/>
      <c r="G263" s="4"/>
      <c r="H263" s="4"/>
      <c r="I263" s="4"/>
      <c r="J263" s="4"/>
      <c r="K263" s="4"/>
      <c r="L263" s="4"/>
      <c r="M263" s="4"/>
      <c r="N263" s="4"/>
      <c r="O263" s="4"/>
      <c r="P263" s="4"/>
    </row>
    <row r="264" spans="1:16" x14ac:dyDescent="0.25">
      <c r="A264" s="47" t="str">
        <f>Fill_Value(print!A264)</f>
        <v/>
      </c>
      <c r="B264" s="47" t="str">
        <f>Fill_Value(print!B264)</f>
        <v>super</v>
      </c>
      <c r="C264" s="47" t="str">
        <f>Fill_Value(print!C264)</f>
        <v>print_temperature</v>
      </c>
      <c r="D264" s="22"/>
      <c r="E264" s="3"/>
      <c r="F264" s="3"/>
      <c r="G264" s="3"/>
      <c r="H264" s="3"/>
      <c r="I264" s="3"/>
      <c r="J264" s="3"/>
      <c r="K264" s="3"/>
      <c r="L264" s="3"/>
      <c r="M264" s="3"/>
      <c r="N264" s="3"/>
      <c r="O264" s="3"/>
      <c r="P264" s="3"/>
    </row>
    <row r="265" spans="1:16" x14ac:dyDescent="0.25">
      <c r="A265" s="59" t="str">
        <f>Fill_Value(print!A265)</f>
        <v/>
      </c>
      <c r="B265" s="59" t="str">
        <f>Fill_Value(print!B265)</f>
        <v>super</v>
      </c>
      <c r="C265" s="59" t="str">
        <f>Fill_Value(print!C265)</f>
        <v>exact_last_layer_height</v>
      </c>
      <c r="D265" s="25"/>
      <c r="E265" s="4"/>
      <c r="F265" s="4"/>
      <c r="G265" s="4"/>
      <c r="H265" s="4"/>
      <c r="I265" s="4"/>
      <c r="J265" s="4"/>
      <c r="K265" s="4"/>
      <c r="L265" s="4"/>
      <c r="M265" s="4"/>
      <c r="N265" s="4"/>
      <c r="O265" s="4"/>
      <c r="P265" s="4"/>
    </row>
    <row r="266" spans="1:16" x14ac:dyDescent="0.25">
      <c r="A266" s="47" t="str">
        <f>Fill_Value(print!A266)</f>
        <v/>
      </c>
      <c r="B266" s="47" t="str">
        <f>Fill_Value(print!B266)</f>
        <v>super</v>
      </c>
      <c r="C266" s="47" t="str">
        <f>Fill_Value(print!C266)</f>
        <v>infill_not_connected</v>
      </c>
      <c r="D266" s="22"/>
      <c r="E266" s="3"/>
      <c r="F266" s="3"/>
      <c r="G266" s="3"/>
      <c r="H266" s="3"/>
      <c r="I266" s="3"/>
      <c r="J266" s="3"/>
      <c r="K266" s="3"/>
      <c r="L266" s="3"/>
      <c r="M266" s="3"/>
      <c r="N266" s="3"/>
      <c r="O266" s="3"/>
      <c r="P266" s="3"/>
    </row>
    <row r="267" spans="1:16" x14ac:dyDescent="0.25">
      <c r="A267" s="59" t="str">
        <f>Fill_Value(print!A267)</f>
        <v/>
      </c>
      <c r="B267" s="59" t="str">
        <f>Fill_Value(print!B267)</f>
        <v>super</v>
      </c>
      <c r="C267" s="59" t="str">
        <f>Fill_Value(print!C267)</f>
        <v>print_extrusion_multiplier</v>
      </c>
      <c r="D267" s="25"/>
      <c r="E267" s="4"/>
      <c r="F267" s="4"/>
      <c r="G267" s="4"/>
      <c r="H267" s="4"/>
      <c r="I267" s="4"/>
      <c r="J267" s="4"/>
      <c r="K267" s="4"/>
      <c r="L267" s="4"/>
      <c r="M267" s="4"/>
      <c r="N267" s="4"/>
      <c r="O267" s="4"/>
      <c r="P267" s="4"/>
    </row>
    <row r="268" spans="1:16" x14ac:dyDescent="0.25">
      <c r="A268" s="47" t="str">
        <f>Fill_Value(print!A268)</f>
        <v/>
      </c>
      <c r="B268" s="47" t="str">
        <f>Fill_Value(print!B268)</f>
        <v>super</v>
      </c>
      <c r="C268" s="47" t="str">
        <f>Fill_Value(print!C268)</f>
        <v>seam_travel</v>
      </c>
      <c r="D268" s="22"/>
      <c r="E268" s="3"/>
      <c r="F268" s="3"/>
      <c r="G268" s="3"/>
      <c r="H268" s="3"/>
      <c r="I268" s="3"/>
      <c r="J268" s="3"/>
      <c r="K268" s="3"/>
      <c r="L268" s="3"/>
      <c r="M268" s="3"/>
      <c r="N268" s="3"/>
      <c r="O268" s="3"/>
      <c r="P268" s="3"/>
    </row>
    <row r="269" spans="1:16" x14ac:dyDescent="0.25">
      <c r="A269" s="59" t="str">
        <f>Fill_Value(print!A269)</f>
        <v/>
      </c>
      <c r="B269" s="59" t="str">
        <f>Fill_Value(print!B269)</f>
        <v>super</v>
      </c>
      <c r="C269" s="59" t="str">
        <f>Fill_Value(print!C269)</f>
        <v>wipe_tower_brim</v>
      </c>
      <c r="D269" s="25"/>
      <c r="E269" s="4"/>
      <c r="F269" s="4"/>
      <c r="G269" s="4"/>
      <c r="H269" s="4"/>
      <c r="I269" s="4"/>
      <c r="J269" s="4"/>
      <c r="K269" s="4"/>
      <c r="L269" s="4"/>
      <c r="M269" s="4"/>
      <c r="N269" s="4"/>
      <c r="O269" s="4"/>
      <c r="P269" s="4"/>
    </row>
    <row r="270" spans="1:16" x14ac:dyDescent="0.25">
      <c r="A270" s="47" t="str">
        <f>Fill_Value(print!A270)</f>
        <v/>
      </c>
      <c r="B270" s="47" t="str">
        <f>Fill_Value(print!B270)</f>
        <v>super</v>
      </c>
      <c r="C270" s="47" t="str">
        <f>Fill_Value(print!C270)</f>
        <v>only_one_perimeter_top_other_algo</v>
      </c>
      <c r="D270" s="22"/>
      <c r="E270" s="3"/>
      <c r="F270" s="3"/>
      <c r="G270" s="3"/>
      <c r="H270" s="3"/>
      <c r="I270" s="3"/>
      <c r="J270" s="3"/>
      <c r="K270" s="3"/>
      <c r="L270" s="3"/>
      <c r="M270" s="3"/>
      <c r="N270" s="3"/>
      <c r="O270" s="3"/>
      <c r="P270" s="3"/>
    </row>
    <row r="271" spans="1:16" x14ac:dyDescent="0.25">
      <c r="A271" s="76" t="str">
        <f>Fill_Value(print!A271)</f>
        <v/>
      </c>
      <c r="B271" s="76" t="str">
        <f>Fill_Value(print!B271)</f>
        <v>super</v>
      </c>
      <c r="C271" s="76" t="str">
        <f>Fill_Value(print!C271)</f>
        <v>##Super Slicer Settings End</v>
      </c>
      <c r="D271" s="33"/>
      <c r="E271" s="5"/>
      <c r="F271" s="5"/>
      <c r="G271" s="5"/>
      <c r="H271" s="5"/>
      <c r="I271" s="5"/>
      <c r="J271" s="5"/>
      <c r="K271" s="5"/>
      <c r="L271" s="5"/>
      <c r="M271" s="5"/>
      <c r="N271" s="5"/>
      <c r="O271" s="5"/>
      <c r="P271" s="5"/>
    </row>
    <row r="272" spans="1:16" x14ac:dyDescent="0.25">
      <c r="A272" s="47" t="str">
        <f>Fill_Value(print!A272)</f>
        <v/>
      </c>
      <c r="B272" s="47" t="str">
        <f>Fill_Value(print!B272)</f>
        <v/>
      </c>
      <c r="C272" s="47" t="str">
        <f>Fill_Value(print!C272)</f>
        <v/>
      </c>
      <c r="D272" s="22"/>
      <c r="E272" s="3"/>
      <c r="F272" s="3"/>
      <c r="G272" s="3"/>
      <c r="H272" s="3"/>
      <c r="I272" s="3"/>
      <c r="J272" s="3"/>
      <c r="K272" s="3"/>
      <c r="L272" s="3"/>
      <c r="M272" s="3"/>
      <c r="N272" s="3"/>
      <c r="O272" s="3"/>
      <c r="P272" s="3"/>
    </row>
    <row r="273" spans="1:16" x14ac:dyDescent="0.25">
      <c r="A273" s="59" t="str">
        <f>Fill_Value(print!A273)</f>
        <v/>
      </c>
      <c r="B273" s="59" t="str">
        <f>Fill_Value(print!B273)</f>
        <v/>
      </c>
      <c r="C273" s="59" t="str">
        <f>Fill_Value(print!C273)</f>
        <v/>
      </c>
      <c r="D273" s="25"/>
      <c r="E273" s="4"/>
      <c r="F273" s="4"/>
      <c r="G273" s="4"/>
      <c r="H273" s="4"/>
      <c r="I273" s="4"/>
      <c r="J273" s="4"/>
      <c r="K273" s="4"/>
      <c r="L273" s="4"/>
      <c r="M273" s="4"/>
      <c r="N273" s="4"/>
      <c r="O273" s="4"/>
      <c r="P273" s="4"/>
    </row>
    <row r="274" spans="1:16" x14ac:dyDescent="0.25">
      <c r="A274" s="47" t="str">
        <f>Fill_Value(print!A274)</f>
        <v/>
      </c>
      <c r="B274" s="47" t="str">
        <f>Fill_Value(print!B274)</f>
        <v/>
      </c>
      <c r="C274" s="47" t="str">
        <f>Fill_Value(print!C274)</f>
        <v/>
      </c>
      <c r="D274" s="22"/>
      <c r="E274" s="3"/>
      <c r="F274" s="3"/>
      <c r="G274" s="3"/>
      <c r="H274" s="3"/>
      <c r="I274" s="3"/>
      <c r="J274" s="3"/>
      <c r="K274" s="3"/>
      <c r="L274" s="3"/>
      <c r="M274" s="3"/>
      <c r="N274" s="3"/>
      <c r="O274" s="3"/>
      <c r="P274" s="3"/>
    </row>
    <row r="275" spans="1:16" x14ac:dyDescent="0.25">
      <c r="A275" s="59" t="str">
        <f>Fill_Value(print!A275)</f>
        <v/>
      </c>
      <c r="B275" s="59" t="str">
        <f>Fill_Value(print!B275)</f>
        <v/>
      </c>
      <c r="C275" s="59" t="str">
        <f>Fill_Value(print!C275)</f>
        <v/>
      </c>
      <c r="D275" s="25"/>
      <c r="E275" s="4"/>
      <c r="F275" s="4"/>
      <c r="G275" s="4"/>
      <c r="H275" s="4"/>
      <c r="I275" s="4"/>
      <c r="J275" s="4"/>
      <c r="K275" s="4"/>
      <c r="L275" s="4"/>
      <c r="M275" s="4"/>
      <c r="N275" s="4"/>
      <c r="O275" s="4"/>
      <c r="P275" s="4"/>
    </row>
    <row r="276" spans="1:16" x14ac:dyDescent="0.25">
      <c r="A276" s="47" t="str">
        <f>Fill_Value(print!A276)</f>
        <v/>
      </c>
      <c r="B276" s="47" t="str">
        <f>Fill_Value(print!B276)</f>
        <v/>
      </c>
      <c r="C276" s="47" t="str">
        <f>Fill_Value(print!C276)</f>
        <v/>
      </c>
      <c r="D276" s="22"/>
      <c r="E276" s="3"/>
      <c r="F276" s="3"/>
      <c r="G276" s="3"/>
      <c r="H276" s="3"/>
      <c r="I276" s="3"/>
      <c r="J276" s="3"/>
      <c r="K276" s="3"/>
      <c r="L276" s="3"/>
      <c r="M276" s="3"/>
      <c r="N276" s="3"/>
      <c r="O276" s="3"/>
      <c r="P276" s="3"/>
    </row>
    <row r="277" spans="1:16" x14ac:dyDescent="0.25">
      <c r="A277" s="59" t="str">
        <f>Fill_Value(print!A277)</f>
        <v/>
      </c>
      <c r="B277" s="59" t="str">
        <f>Fill_Value(print!B277)</f>
        <v/>
      </c>
      <c r="C277" s="59" t="str">
        <f>Fill_Value(print!C277)</f>
        <v/>
      </c>
      <c r="D277" s="25"/>
      <c r="E277" s="4"/>
      <c r="F277" s="4"/>
      <c r="G277" s="4"/>
      <c r="H277" s="4"/>
      <c r="I277" s="4"/>
      <c r="J277" s="4"/>
      <c r="K277" s="4"/>
      <c r="L277" s="4"/>
      <c r="M277" s="4"/>
      <c r="N277" s="4"/>
      <c r="O277" s="4"/>
      <c r="P277" s="4"/>
    </row>
    <row r="278" spans="1:16" x14ac:dyDescent="0.25">
      <c r="A278" s="47" t="str">
        <f>Fill_Value(print!A278)</f>
        <v/>
      </c>
      <c r="B278" s="47" t="str">
        <f>Fill_Value(print!B278)</f>
        <v/>
      </c>
      <c r="C278" s="47" t="str">
        <f>Fill_Value(print!C278)</f>
        <v/>
      </c>
      <c r="D278" s="22"/>
      <c r="E278" s="3"/>
      <c r="F278" s="3"/>
      <c r="G278" s="3"/>
      <c r="H278" s="3"/>
      <c r="I278" s="3"/>
      <c r="J278" s="3"/>
      <c r="K278" s="3"/>
      <c r="L278" s="3"/>
      <c r="M278" s="3"/>
      <c r="N278" s="3"/>
      <c r="O278" s="3"/>
      <c r="P278" s="3"/>
    </row>
    <row r="279" spans="1:16" x14ac:dyDescent="0.25">
      <c r="A279" s="59" t="str">
        <f>Fill_Value(print!A279)</f>
        <v/>
      </c>
      <c r="B279" s="59" t="str">
        <f>Fill_Value(print!B279)</f>
        <v/>
      </c>
      <c r="C279" s="59" t="str">
        <f>Fill_Value(print!C279)</f>
        <v/>
      </c>
      <c r="D279" s="25"/>
      <c r="E279" s="4"/>
      <c r="F279" s="4"/>
      <c r="G279" s="4"/>
      <c r="H279" s="4"/>
      <c r="I279" s="4"/>
      <c r="J279" s="4"/>
      <c r="K279" s="4"/>
      <c r="L279" s="4"/>
      <c r="M279" s="4"/>
      <c r="N279" s="4"/>
      <c r="O279" s="4"/>
      <c r="P279" s="4"/>
    </row>
    <row r="280" spans="1:16" x14ac:dyDescent="0.25">
      <c r="A280" s="47" t="str">
        <f>Fill_Value(print!A280)</f>
        <v/>
      </c>
      <c r="B280" s="47" t="str">
        <f>Fill_Value(print!B280)</f>
        <v/>
      </c>
      <c r="C280" s="47" t="str">
        <f>Fill_Value(print!C280)</f>
        <v/>
      </c>
      <c r="D280" s="22"/>
      <c r="E280" s="3"/>
      <c r="F280" s="3"/>
      <c r="G280" s="3"/>
      <c r="H280" s="3"/>
      <c r="I280" s="3"/>
      <c r="J280" s="3"/>
      <c r="K280" s="3"/>
      <c r="L280" s="3"/>
      <c r="M280" s="3"/>
      <c r="N280" s="3"/>
      <c r="O280" s="3"/>
      <c r="P280" s="3"/>
    </row>
    <row r="281" spans="1:16" x14ac:dyDescent="0.25">
      <c r="A281" s="59" t="str">
        <f>Fill_Value(print!A281)</f>
        <v/>
      </c>
      <c r="B281" s="59" t="str">
        <f>Fill_Value(print!B281)</f>
        <v/>
      </c>
      <c r="C281" s="59" t="str">
        <f>Fill_Value(print!C281)</f>
        <v/>
      </c>
      <c r="D281" s="25"/>
      <c r="E281" s="4"/>
      <c r="F281" s="4"/>
      <c r="G281" s="4"/>
      <c r="H281" s="4"/>
      <c r="I281" s="4"/>
      <c r="J281" s="4"/>
      <c r="K281" s="4"/>
      <c r="L281" s="4"/>
      <c r="M281" s="4"/>
      <c r="N281" s="4"/>
      <c r="O281" s="4"/>
      <c r="P281" s="4"/>
    </row>
    <row r="282" spans="1:16" x14ac:dyDescent="0.25">
      <c r="A282" s="47" t="str">
        <f>Fill_Value(print!A282)</f>
        <v/>
      </c>
      <c r="B282" s="47" t="str">
        <f>Fill_Value(print!B282)</f>
        <v/>
      </c>
      <c r="C282" s="47" t="str">
        <f>Fill_Value(print!C282)</f>
        <v/>
      </c>
      <c r="D282" s="22"/>
      <c r="E282" s="3"/>
      <c r="F282" s="3"/>
      <c r="G282" s="3"/>
      <c r="H282" s="3"/>
      <c r="I282" s="3"/>
      <c r="J282" s="3"/>
      <c r="K282" s="3"/>
      <c r="L282" s="3"/>
      <c r="M282" s="3"/>
      <c r="N282" s="3"/>
      <c r="O282" s="3"/>
      <c r="P282" s="3"/>
    </row>
    <row r="283" spans="1:16" x14ac:dyDescent="0.25">
      <c r="A283" s="59" t="str">
        <f>Fill_Value(print!A283)</f>
        <v/>
      </c>
      <c r="B283" s="59" t="str">
        <f>Fill_Value(print!B283)</f>
        <v/>
      </c>
      <c r="C283" s="59" t="str">
        <f>Fill_Value(print!C283)</f>
        <v/>
      </c>
      <c r="D283" s="25"/>
      <c r="E283" s="4"/>
      <c r="F283" s="4"/>
      <c r="G283" s="4"/>
      <c r="H283" s="4"/>
      <c r="I283" s="4"/>
      <c r="J283" s="4"/>
      <c r="K283" s="4"/>
      <c r="L283" s="4"/>
      <c r="M283" s="4"/>
      <c r="N283" s="4"/>
      <c r="O283" s="4"/>
      <c r="P283" s="4"/>
    </row>
    <row r="284" spans="1:16" x14ac:dyDescent="0.25">
      <c r="A284" s="47" t="str">
        <f>Fill_Value(print!A284)</f>
        <v/>
      </c>
      <c r="B284" s="47" t="str">
        <f>Fill_Value(print!B284)</f>
        <v/>
      </c>
      <c r="C284" s="47" t="str">
        <f>Fill_Value(print!C284)</f>
        <v/>
      </c>
      <c r="D284" s="22"/>
      <c r="E284" s="3"/>
      <c r="F284" s="3"/>
      <c r="G284" s="3"/>
      <c r="H284" s="3"/>
      <c r="I284" s="3"/>
      <c r="J284" s="3"/>
      <c r="K284" s="3"/>
      <c r="L284" s="3"/>
      <c r="M284" s="3"/>
      <c r="N284" s="3"/>
      <c r="O284" s="3"/>
      <c r="P284" s="3"/>
    </row>
    <row r="285" spans="1:16" x14ac:dyDescent="0.25">
      <c r="A285" s="59" t="str">
        <f>Fill_Value(print!A285)</f>
        <v/>
      </c>
      <c r="B285" s="59" t="str">
        <f>Fill_Value(print!B285)</f>
        <v/>
      </c>
      <c r="C285" s="59" t="str">
        <f>Fill_Value(print!C285)</f>
        <v/>
      </c>
      <c r="D285" s="25"/>
      <c r="E285" s="4"/>
      <c r="F285" s="4"/>
      <c r="G285" s="4"/>
      <c r="H285" s="4"/>
      <c r="I285" s="4"/>
      <c r="J285" s="4"/>
      <c r="K285" s="4"/>
      <c r="L285" s="4"/>
      <c r="M285" s="4"/>
      <c r="N285" s="4"/>
      <c r="O285" s="4"/>
      <c r="P285" s="4"/>
    </row>
    <row r="286" spans="1:16" x14ac:dyDescent="0.25">
      <c r="A286" s="47" t="str">
        <f>Fill_Value(print!A286)</f>
        <v/>
      </c>
      <c r="B286" s="47" t="str">
        <f>Fill_Value(print!B286)</f>
        <v/>
      </c>
      <c r="C286" s="47" t="str">
        <f>Fill_Value(print!C286)</f>
        <v/>
      </c>
      <c r="D286" s="22"/>
      <c r="E286" s="3"/>
      <c r="F286" s="3"/>
      <c r="G286" s="3"/>
      <c r="H286" s="3"/>
      <c r="I286" s="3"/>
      <c r="J286" s="3"/>
      <c r="K286" s="3"/>
      <c r="L286" s="3"/>
      <c r="M286" s="3"/>
      <c r="N286" s="3"/>
      <c r="O286" s="3"/>
      <c r="P286" s="3"/>
    </row>
    <row r="287" spans="1:16" x14ac:dyDescent="0.25">
      <c r="A287" s="59" t="str">
        <f>Fill_Value(print!A287)</f>
        <v/>
      </c>
      <c r="B287" s="59" t="str">
        <f>Fill_Value(print!B287)</f>
        <v/>
      </c>
      <c r="C287" s="59" t="str">
        <f>Fill_Value(print!C287)</f>
        <v/>
      </c>
      <c r="D287" s="25"/>
      <c r="E287" s="4"/>
      <c r="F287" s="4"/>
      <c r="G287" s="4"/>
      <c r="H287" s="4"/>
      <c r="I287" s="4"/>
      <c r="J287" s="4"/>
      <c r="K287" s="4"/>
      <c r="L287" s="4"/>
      <c r="M287" s="4"/>
      <c r="N287" s="4"/>
      <c r="O287" s="4"/>
      <c r="P287" s="4"/>
    </row>
    <row r="288" spans="1:16" x14ac:dyDescent="0.25">
      <c r="A288" s="47" t="str">
        <f>Fill_Value(print!A288)</f>
        <v/>
      </c>
      <c r="B288" s="47" t="str">
        <f>Fill_Value(print!B288)</f>
        <v/>
      </c>
      <c r="C288" s="47" t="str">
        <f>Fill_Value(print!C288)</f>
        <v/>
      </c>
      <c r="D288" s="22"/>
      <c r="E288" s="3"/>
      <c r="F288" s="3"/>
      <c r="G288" s="3"/>
      <c r="H288" s="3"/>
      <c r="I288" s="3"/>
      <c r="J288" s="3"/>
      <c r="K288" s="3"/>
      <c r="L288" s="3"/>
      <c r="M288" s="3"/>
      <c r="N288" s="3"/>
      <c r="O288" s="3"/>
      <c r="P288" s="3"/>
    </row>
    <row r="289" spans="1:16" x14ac:dyDescent="0.25">
      <c r="A289" s="59" t="str">
        <f>Fill_Value(print!A289)</f>
        <v/>
      </c>
      <c r="B289" s="59" t="str">
        <f>Fill_Value(print!B289)</f>
        <v/>
      </c>
      <c r="C289" s="59" t="str">
        <f>Fill_Value(print!C289)</f>
        <v/>
      </c>
      <c r="D289" s="25"/>
      <c r="E289" s="4"/>
      <c r="F289" s="4"/>
      <c r="G289" s="4"/>
      <c r="H289" s="4"/>
      <c r="I289" s="4"/>
      <c r="J289" s="4"/>
      <c r="K289" s="4"/>
      <c r="L289" s="4"/>
      <c r="M289" s="4"/>
      <c r="N289" s="4"/>
      <c r="O289" s="4"/>
      <c r="P289" s="4"/>
    </row>
    <row r="290" spans="1:16" x14ac:dyDescent="0.25">
      <c r="A290" s="47" t="str">
        <f>Fill_Value(print!A290)</f>
        <v/>
      </c>
      <c r="B290" s="47" t="str">
        <f>Fill_Value(print!B290)</f>
        <v/>
      </c>
      <c r="C290" s="47" t="str">
        <f>Fill_Value(print!C290)</f>
        <v/>
      </c>
      <c r="D290" s="22"/>
      <c r="E290" s="3"/>
      <c r="F290" s="3"/>
      <c r="G290" s="3"/>
      <c r="H290" s="3"/>
      <c r="I290" s="3"/>
      <c r="J290" s="3"/>
      <c r="K290" s="3"/>
      <c r="L290" s="3"/>
      <c r="M290" s="3"/>
      <c r="N290" s="3"/>
      <c r="O290" s="3"/>
      <c r="P290" s="3"/>
    </row>
    <row r="291" spans="1:16" x14ac:dyDescent="0.25">
      <c r="A291" s="59" t="str">
        <f>Fill_Value(print!A291)</f>
        <v/>
      </c>
      <c r="B291" s="59" t="str">
        <f>Fill_Value(print!B291)</f>
        <v/>
      </c>
      <c r="C291" s="59" t="str">
        <f>Fill_Value(print!C291)</f>
        <v/>
      </c>
      <c r="D291" s="25"/>
      <c r="E291" s="4"/>
      <c r="F291" s="4"/>
      <c r="G291" s="4"/>
      <c r="H291" s="4"/>
      <c r="I291" s="4"/>
      <c r="J291" s="4"/>
      <c r="K291" s="4"/>
      <c r="L291" s="4"/>
      <c r="M291" s="4"/>
      <c r="N291" s="4"/>
      <c r="O291" s="4"/>
      <c r="P291" s="4"/>
    </row>
    <row r="292" spans="1:16" x14ac:dyDescent="0.25">
      <c r="A292" s="47" t="str">
        <f>Fill_Value(print!A292)</f>
        <v/>
      </c>
      <c r="B292" s="47" t="str">
        <f>Fill_Value(print!B292)</f>
        <v/>
      </c>
      <c r="C292" s="47" t="str">
        <f>Fill_Value(print!C292)</f>
        <v/>
      </c>
      <c r="D292" s="22"/>
      <c r="E292" s="3"/>
      <c r="F292" s="3"/>
      <c r="G292" s="3"/>
      <c r="H292" s="3"/>
      <c r="I292" s="3"/>
      <c r="J292" s="3"/>
      <c r="K292" s="3"/>
      <c r="L292" s="3"/>
      <c r="M292" s="3"/>
      <c r="N292" s="3"/>
      <c r="O292" s="3"/>
      <c r="P292" s="3"/>
    </row>
    <row r="293" spans="1:16" x14ac:dyDescent="0.25">
      <c r="A293" s="59" t="str">
        <f>Fill_Value(print!A293)</f>
        <v/>
      </c>
      <c r="B293" s="59" t="str">
        <f>Fill_Value(print!B293)</f>
        <v/>
      </c>
      <c r="C293" s="59" t="str">
        <f>Fill_Value(print!C293)</f>
        <v/>
      </c>
      <c r="D293" s="25"/>
      <c r="E293" s="4"/>
      <c r="F293" s="4"/>
      <c r="G293" s="4"/>
      <c r="H293" s="4"/>
      <c r="I293" s="4"/>
      <c r="J293" s="4"/>
      <c r="K293" s="4"/>
      <c r="L293" s="4"/>
      <c r="M293" s="4"/>
      <c r="N293" s="4"/>
      <c r="O293" s="4"/>
      <c r="P293" s="4"/>
    </row>
    <row r="294" spans="1:16" x14ac:dyDescent="0.25">
      <c r="A294" s="47" t="str">
        <f>Fill_Value(print!A294)</f>
        <v/>
      </c>
      <c r="B294" s="47" t="str">
        <f>Fill_Value(print!B294)</f>
        <v/>
      </c>
      <c r="C294" s="47" t="str">
        <f>Fill_Value(print!C294)</f>
        <v/>
      </c>
      <c r="D294" s="22"/>
      <c r="E294" s="3"/>
      <c r="F294" s="3"/>
      <c r="G294" s="3"/>
      <c r="H294" s="3"/>
      <c r="I294" s="3"/>
      <c r="J294" s="3"/>
      <c r="K294" s="3"/>
      <c r="L294" s="3"/>
      <c r="M294" s="3"/>
      <c r="N294" s="3"/>
      <c r="O294" s="3"/>
      <c r="P294" s="3"/>
    </row>
    <row r="295" spans="1:16" x14ac:dyDescent="0.25">
      <c r="A295" s="59" t="str">
        <f>Fill_Value(print!A295)</f>
        <v/>
      </c>
      <c r="B295" s="59" t="str">
        <f>Fill_Value(print!B295)</f>
        <v/>
      </c>
      <c r="C295" s="59" t="str">
        <f>Fill_Value(print!C295)</f>
        <v/>
      </c>
      <c r="D295" s="25"/>
      <c r="E295" s="4"/>
      <c r="F295" s="4"/>
      <c r="G295" s="4"/>
      <c r="H295" s="4"/>
      <c r="I295" s="4"/>
      <c r="J295" s="4"/>
      <c r="K295" s="4"/>
      <c r="L295" s="4"/>
      <c r="M295" s="4"/>
      <c r="N295" s="4"/>
      <c r="O295" s="4"/>
      <c r="P295" s="4"/>
    </row>
    <row r="296" spans="1:16" x14ac:dyDescent="0.25">
      <c r="A296" s="47" t="str">
        <f>Fill_Value(print!A296)</f>
        <v/>
      </c>
      <c r="B296" s="47" t="str">
        <f>Fill_Value(print!B296)</f>
        <v/>
      </c>
      <c r="C296" s="47" t="str">
        <f>Fill_Value(print!C296)</f>
        <v/>
      </c>
      <c r="D296" s="22"/>
      <c r="E296" s="3"/>
      <c r="F296" s="3"/>
      <c r="G296" s="3"/>
      <c r="H296" s="3"/>
      <c r="I296" s="3"/>
      <c r="J296" s="3"/>
      <c r="K296" s="3"/>
      <c r="L296" s="3"/>
      <c r="M296" s="3"/>
      <c r="N296" s="3"/>
      <c r="O296" s="3"/>
      <c r="P296" s="3"/>
    </row>
    <row r="297" spans="1:16" x14ac:dyDescent="0.25">
      <c r="A297" s="59" t="str">
        <f>Fill_Value(print!A297)</f>
        <v/>
      </c>
      <c r="B297" s="59" t="str">
        <f>Fill_Value(print!B297)</f>
        <v/>
      </c>
      <c r="C297" s="59" t="str">
        <f>Fill_Value(print!C297)</f>
        <v/>
      </c>
      <c r="D297" s="25"/>
      <c r="E297" s="4"/>
      <c r="F297" s="4"/>
      <c r="G297" s="4"/>
      <c r="H297" s="4"/>
      <c r="I297" s="4"/>
      <c r="J297" s="4"/>
      <c r="K297" s="4"/>
      <c r="L297" s="4"/>
      <c r="M297" s="4"/>
      <c r="N297" s="4"/>
      <c r="O297" s="4"/>
      <c r="P297" s="4"/>
    </row>
    <row r="298" spans="1:16" x14ac:dyDescent="0.25">
      <c r="A298" s="47" t="str">
        <f>Fill_Value(print!A298)</f>
        <v/>
      </c>
      <c r="B298" s="47" t="str">
        <f>Fill_Value(print!B298)</f>
        <v/>
      </c>
      <c r="C298" s="47" t="str">
        <f>Fill_Value(print!C298)</f>
        <v/>
      </c>
      <c r="D298" s="22"/>
      <c r="E298" s="3"/>
      <c r="F298" s="3"/>
      <c r="G298" s="3"/>
      <c r="H298" s="3"/>
      <c r="I298" s="3"/>
      <c r="J298" s="3"/>
      <c r="K298" s="3"/>
      <c r="L298" s="3"/>
      <c r="M298" s="3"/>
      <c r="N298" s="3"/>
      <c r="O298" s="3"/>
      <c r="P298" s="3"/>
    </row>
    <row r="299" spans="1:16" x14ac:dyDescent="0.25">
      <c r="A299" s="59" t="str">
        <f>Fill_Value(print!A299)</f>
        <v/>
      </c>
      <c r="B299" s="59" t="str">
        <f>Fill_Value(print!B299)</f>
        <v/>
      </c>
      <c r="C299" s="59" t="str">
        <f>Fill_Value(print!C299)</f>
        <v/>
      </c>
      <c r="D299" s="25"/>
      <c r="E299" s="4"/>
      <c r="F299" s="4"/>
      <c r="G299" s="4"/>
      <c r="H299" s="4"/>
      <c r="I299" s="4"/>
      <c r="J299" s="4"/>
      <c r="K299" s="4"/>
      <c r="L299" s="4"/>
      <c r="M299" s="4"/>
      <c r="N299" s="4"/>
      <c r="O299" s="4"/>
      <c r="P299" s="4"/>
    </row>
    <row r="300" spans="1:16" x14ac:dyDescent="0.25">
      <c r="A300" s="47" t="str">
        <f>Fill_Value(print!A300)</f>
        <v/>
      </c>
      <c r="B300" s="47" t="str">
        <f>Fill_Value(print!B300)</f>
        <v/>
      </c>
      <c r="C300" s="47" t="str">
        <f>Fill_Value(print!C300)</f>
        <v/>
      </c>
      <c r="D300" s="22"/>
      <c r="E300" s="3"/>
      <c r="F300" s="3"/>
      <c r="G300" s="3"/>
      <c r="H300" s="3"/>
      <c r="I300" s="3"/>
      <c r="J300" s="3"/>
      <c r="K300" s="3"/>
      <c r="L300" s="3"/>
      <c r="M300" s="3"/>
      <c r="N300" s="3"/>
      <c r="O300" s="3"/>
      <c r="P300" s="3"/>
    </row>
    <row r="301" spans="1:16" x14ac:dyDescent="0.25">
      <c r="A301" s="59" t="str">
        <f>Fill_Value(print!A301)</f>
        <v/>
      </c>
      <c r="B301" s="59" t="str">
        <f>Fill_Value(print!B301)</f>
        <v/>
      </c>
      <c r="C301" s="59" t="str">
        <f>Fill_Value(print!C301)</f>
        <v/>
      </c>
      <c r="D301" s="25"/>
      <c r="E301" s="4"/>
      <c r="F301" s="4"/>
      <c r="G301" s="4"/>
      <c r="H301" s="4"/>
      <c r="I301" s="4"/>
      <c r="J301" s="4"/>
      <c r="K301" s="4"/>
      <c r="L301" s="4"/>
      <c r="M301" s="4"/>
      <c r="N301" s="4"/>
      <c r="O301" s="4"/>
      <c r="P301" s="4"/>
    </row>
    <row r="302" spans="1:16" x14ac:dyDescent="0.25">
      <c r="A302" s="47" t="str">
        <f>Fill_Value(print!A302)</f>
        <v/>
      </c>
      <c r="B302" s="47" t="str">
        <f>Fill_Value(print!B302)</f>
        <v/>
      </c>
      <c r="C302" s="47" t="str">
        <f>Fill_Value(print!C302)</f>
        <v/>
      </c>
      <c r="D302" s="22"/>
      <c r="E302" s="3"/>
      <c r="F302" s="3"/>
      <c r="G302" s="3"/>
      <c r="H302" s="3"/>
      <c r="I302" s="3"/>
      <c r="J302" s="3"/>
      <c r="K302" s="3"/>
      <c r="L302" s="3"/>
      <c r="M302" s="3"/>
      <c r="N302" s="3"/>
      <c r="O302" s="3"/>
      <c r="P302" s="3"/>
    </row>
    <row r="303" spans="1:16" x14ac:dyDescent="0.25">
      <c r="A303" s="59" t="str">
        <f>Fill_Value(print!A303)</f>
        <v/>
      </c>
      <c r="B303" s="59" t="str">
        <f>Fill_Value(print!B303)</f>
        <v/>
      </c>
      <c r="C303" s="59" t="str">
        <f>Fill_Value(print!C303)</f>
        <v/>
      </c>
      <c r="D303" s="25"/>
      <c r="E303" s="4"/>
      <c r="F303" s="4"/>
      <c r="G303" s="4"/>
      <c r="H303" s="4"/>
      <c r="I303" s="4"/>
      <c r="J303" s="4"/>
      <c r="K303" s="4"/>
      <c r="L303" s="4"/>
      <c r="M303" s="4"/>
      <c r="N303" s="4"/>
      <c r="O303" s="4"/>
      <c r="P303" s="4"/>
    </row>
    <row r="304" spans="1:16" x14ac:dyDescent="0.25">
      <c r="A304" s="47" t="str">
        <f>Fill_Value(print!A304)</f>
        <v/>
      </c>
      <c r="B304" s="47" t="str">
        <f>Fill_Value(print!B304)</f>
        <v/>
      </c>
      <c r="C304" s="47" t="str">
        <f>Fill_Value(print!C304)</f>
        <v/>
      </c>
      <c r="D304" s="22"/>
      <c r="E304" s="3"/>
      <c r="F304" s="3"/>
      <c r="G304" s="3"/>
      <c r="H304" s="3"/>
      <c r="I304" s="3"/>
      <c r="J304" s="3"/>
      <c r="K304" s="3"/>
      <c r="L304" s="3"/>
      <c r="M304" s="3"/>
      <c r="N304" s="3"/>
      <c r="O304" s="3"/>
      <c r="P304" s="3"/>
    </row>
    <row r="305" spans="1:16" x14ac:dyDescent="0.25">
      <c r="A305" s="59" t="str">
        <f>Fill_Value(print!A305)</f>
        <v/>
      </c>
      <c r="B305" s="59" t="str">
        <f>Fill_Value(print!B305)</f>
        <v/>
      </c>
      <c r="C305" s="59" t="str">
        <f>Fill_Value(print!C305)</f>
        <v/>
      </c>
      <c r="D305" s="25"/>
      <c r="E305" s="4"/>
      <c r="F305" s="4"/>
      <c r="G305" s="4"/>
      <c r="H305" s="4"/>
      <c r="I305" s="4"/>
      <c r="J305" s="4"/>
      <c r="K305" s="4"/>
      <c r="L305" s="4"/>
      <c r="M305" s="4"/>
      <c r="N305" s="4"/>
      <c r="O305" s="4"/>
      <c r="P305" s="4"/>
    </row>
    <row r="306" spans="1:16" x14ac:dyDescent="0.25">
      <c r="A306" s="47" t="str">
        <f>Fill_Value(print!A306)</f>
        <v/>
      </c>
      <c r="B306" s="47" t="str">
        <f>Fill_Value(print!B306)</f>
        <v/>
      </c>
      <c r="C306" s="47" t="str">
        <f>Fill_Value(print!C306)</f>
        <v/>
      </c>
      <c r="D306" s="22"/>
      <c r="E306" s="3"/>
      <c r="F306" s="3"/>
      <c r="G306" s="3"/>
      <c r="H306" s="3"/>
      <c r="I306" s="3"/>
      <c r="J306" s="3"/>
      <c r="K306" s="3"/>
      <c r="L306" s="3"/>
      <c r="M306" s="3"/>
      <c r="N306" s="3"/>
      <c r="O306" s="3"/>
      <c r="P306" s="3"/>
    </row>
    <row r="307" spans="1:16" x14ac:dyDescent="0.25">
      <c r="A307" s="59" t="str">
        <f>Fill_Value(print!A307)</f>
        <v/>
      </c>
      <c r="B307" s="59" t="str">
        <f>Fill_Value(print!B307)</f>
        <v/>
      </c>
      <c r="C307" s="59" t="str">
        <f>Fill_Value(print!C307)</f>
        <v/>
      </c>
      <c r="D307" s="25"/>
      <c r="E307" s="4"/>
      <c r="F307" s="4"/>
      <c r="G307" s="4"/>
      <c r="H307" s="4"/>
      <c r="I307" s="4"/>
      <c r="J307" s="4"/>
      <c r="K307" s="4"/>
      <c r="L307" s="4"/>
      <c r="M307" s="4"/>
      <c r="N307" s="4"/>
      <c r="O307" s="4"/>
      <c r="P307" s="4"/>
    </row>
    <row r="308" spans="1:16" x14ac:dyDescent="0.25">
      <c r="A308" s="47" t="str">
        <f>Fill_Value(print!A308)</f>
        <v/>
      </c>
      <c r="B308" s="47" t="str">
        <f>Fill_Value(print!B308)</f>
        <v/>
      </c>
      <c r="C308" s="47" t="str">
        <f>Fill_Value(print!C308)</f>
        <v/>
      </c>
      <c r="D308" s="22"/>
      <c r="E308" s="3"/>
      <c r="F308" s="3"/>
      <c r="G308" s="3"/>
      <c r="H308" s="3"/>
      <c r="I308" s="3"/>
      <c r="J308" s="3"/>
      <c r="K308" s="3"/>
      <c r="L308" s="3"/>
      <c r="M308" s="3"/>
      <c r="N308" s="3"/>
      <c r="O308" s="3"/>
      <c r="P308" s="3"/>
    </row>
    <row r="309" spans="1:16" x14ac:dyDescent="0.25">
      <c r="A309" s="59" t="str">
        <f>Fill_Value(print!A309)</f>
        <v/>
      </c>
      <c r="B309" s="59" t="str">
        <f>Fill_Value(print!B309)</f>
        <v/>
      </c>
      <c r="C309" s="59" t="str">
        <f>Fill_Value(print!C309)</f>
        <v/>
      </c>
      <c r="D309" s="25"/>
      <c r="E309" s="4"/>
      <c r="F309" s="4"/>
      <c r="G309" s="4"/>
      <c r="H309" s="4"/>
      <c r="I309" s="4"/>
      <c r="J309" s="4"/>
      <c r="K309" s="4"/>
      <c r="L309" s="4"/>
      <c r="M309" s="4"/>
      <c r="N309" s="4"/>
      <c r="O309" s="4"/>
      <c r="P309" s="4"/>
    </row>
    <row r="310" spans="1:16" x14ac:dyDescent="0.25">
      <c r="A310" s="47" t="str">
        <f>Fill_Value(print!A310)</f>
        <v/>
      </c>
      <c r="B310" s="47" t="str">
        <f>Fill_Value(print!B310)</f>
        <v/>
      </c>
      <c r="C310" s="47" t="str">
        <f>Fill_Value(print!C310)</f>
        <v/>
      </c>
      <c r="D310" s="22"/>
      <c r="E310" s="3"/>
      <c r="F310" s="3"/>
      <c r="G310" s="3"/>
      <c r="H310" s="3"/>
      <c r="I310" s="3"/>
      <c r="J310" s="3"/>
      <c r="K310" s="3"/>
      <c r="L310" s="3"/>
      <c r="M310" s="3"/>
      <c r="N310" s="3"/>
      <c r="O310" s="3"/>
      <c r="P310" s="3"/>
    </row>
    <row r="311" spans="1:16" x14ac:dyDescent="0.25">
      <c r="A311" s="59" t="str">
        <f>Fill_Value(print!A311)</f>
        <v/>
      </c>
      <c r="B311" s="59" t="str">
        <f>Fill_Value(print!B311)</f>
        <v/>
      </c>
      <c r="C311" s="59" t="str">
        <f>Fill_Value(print!C311)</f>
        <v/>
      </c>
      <c r="D311" s="25"/>
      <c r="E311" s="4"/>
      <c r="F311" s="4"/>
      <c r="G311" s="4"/>
      <c r="H311" s="4"/>
      <c r="I311" s="4"/>
      <c r="J311" s="4"/>
      <c r="K311" s="4"/>
      <c r="L311" s="4"/>
      <c r="M311" s="4"/>
      <c r="N311" s="4"/>
      <c r="O311" s="4"/>
      <c r="P311" s="4"/>
    </row>
    <row r="312" spans="1:16" x14ac:dyDescent="0.25">
      <c r="A312" s="47" t="str">
        <f>Fill_Value(print!A312)</f>
        <v/>
      </c>
      <c r="B312" s="47" t="str">
        <f>Fill_Value(print!B312)</f>
        <v/>
      </c>
      <c r="C312" s="47" t="str">
        <f>Fill_Value(print!C312)</f>
        <v/>
      </c>
      <c r="D312" s="22"/>
      <c r="E312" s="3"/>
      <c r="F312" s="3"/>
      <c r="G312" s="3"/>
      <c r="H312" s="3"/>
      <c r="I312" s="3"/>
      <c r="J312" s="3"/>
      <c r="K312" s="3"/>
      <c r="L312" s="3"/>
      <c r="M312" s="3"/>
      <c r="N312" s="3"/>
      <c r="O312" s="3"/>
      <c r="P312" s="3"/>
    </row>
    <row r="313" spans="1:16" x14ac:dyDescent="0.25">
      <c r="A313" s="59" t="str">
        <f>Fill_Value(print!A313)</f>
        <v/>
      </c>
      <c r="B313" s="59" t="str">
        <f>Fill_Value(print!B313)</f>
        <v/>
      </c>
      <c r="C313" s="59" t="str">
        <f>Fill_Value(print!C313)</f>
        <v/>
      </c>
      <c r="D313" s="25"/>
      <c r="E313" s="4"/>
      <c r="F313" s="4"/>
      <c r="G313" s="4"/>
      <c r="H313" s="4"/>
      <c r="I313" s="4"/>
      <c r="J313" s="4"/>
      <c r="K313" s="4"/>
      <c r="L313" s="4"/>
      <c r="M313" s="4"/>
      <c r="N313" s="4"/>
      <c r="O313" s="4"/>
      <c r="P313" s="4"/>
    </row>
    <row r="314" spans="1:16" x14ac:dyDescent="0.25">
      <c r="A314" s="47" t="str">
        <f>Fill_Value(print!A314)</f>
        <v/>
      </c>
      <c r="B314" s="47" t="str">
        <f>Fill_Value(print!B314)</f>
        <v/>
      </c>
      <c r="C314" s="47" t="str">
        <f>Fill_Value(print!C314)</f>
        <v/>
      </c>
      <c r="D314" s="22"/>
      <c r="E314" s="3"/>
      <c r="F314" s="3"/>
      <c r="G314" s="3"/>
      <c r="H314" s="3"/>
      <c r="I314" s="3"/>
      <c r="J314" s="3"/>
      <c r="K314" s="3"/>
      <c r="L314" s="3"/>
      <c r="M314" s="3"/>
      <c r="N314" s="3"/>
      <c r="O314" s="3"/>
      <c r="P314" s="3"/>
    </row>
    <row r="315" spans="1:16" x14ac:dyDescent="0.25">
      <c r="A315" s="59" t="str">
        <f>Fill_Value(print!A315)</f>
        <v/>
      </c>
      <c r="B315" s="59" t="str">
        <f>Fill_Value(print!B315)</f>
        <v/>
      </c>
      <c r="C315" s="59" t="str">
        <f>Fill_Value(print!C315)</f>
        <v/>
      </c>
      <c r="D315" s="25"/>
      <c r="E315" s="4"/>
      <c r="F315" s="4"/>
      <c r="G315" s="4"/>
      <c r="H315" s="4"/>
      <c r="I315" s="4"/>
      <c r="J315" s="4"/>
      <c r="K315" s="4"/>
      <c r="L315" s="4"/>
      <c r="M315" s="4"/>
      <c r="N315" s="4"/>
      <c r="O315" s="4"/>
      <c r="P315" s="4"/>
    </row>
    <row r="316" spans="1:16" x14ac:dyDescent="0.25">
      <c r="A316" s="47" t="str">
        <f>Fill_Value(print!A316)</f>
        <v/>
      </c>
      <c r="B316" s="47" t="str">
        <f>Fill_Value(print!B316)</f>
        <v/>
      </c>
      <c r="C316" s="47" t="str">
        <f>Fill_Value(print!C316)</f>
        <v/>
      </c>
      <c r="D316" s="22"/>
      <c r="E316" s="3"/>
      <c r="F316" s="3"/>
      <c r="G316" s="3"/>
      <c r="H316" s="3"/>
      <c r="I316" s="3"/>
      <c r="J316" s="3"/>
      <c r="K316" s="3"/>
      <c r="L316" s="3"/>
      <c r="M316" s="3"/>
      <c r="N316" s="3"/>
      <c r="O316" s="3"/>
      <c r="P316" s="3"/>
    </row>
    <row r="317" spans="1:16" x14ac:dyDescent="0.25">
      <c r="A317" s="59" t="str">
        <f>Fill_Value(print!A317)</f>
        <v/>
      </c>
      <c r="B317" s="59" t="str">
        <f>Fill_Value(print!B317)</f>
        <v/>
      </c>
      <c r="C317" s="59" t="str">
        <f>Fill_Value(print!C317)</f>
        <v/>
      </c>
      <c r="D317" s="25"/>
      <c r="E317" s="4"/>
      <c r="F317" s="4"/>
      <c r="G317" s="4"/>
      <c r="H317" s="4"/>
      <c r="I317" s="4"/>
      <c r="J317" s="4"/>
      <c r="K317" s="4"/>
      <c r="L317" s="4"/>
      <c r="M317" s="4"/>
      <c r="N317" s="4"/>
      <c r="O317" s="4"/>
      <c r="P317" s="4"/>
    </row>
    <row r="318" spans="1:16" x14ac:dyDescent="0.25">
      <c r="A318" s="47" t="str">
        <f>Fill_Value(print!A318)</f>
        <v/>
      </c>
      <c r="B318" s="47" t="str">
        <f>Fill_Value(print!B318)</f>
        <v/>
      </c>
      <c r="C318" s="47" t="str">
        <f>Fill_Value(print!C318)</f>
        <v/>
      </c>
      <c r="D318" s="22"/>
      <c r="E318" s="3"/>
      <c r="F318" s="3"/>
      <c r="G318" s="3"/>
      <c r="H318" s="3"/>
      <c r="I318" s="3"/>
      <c r="J318" s="3"/>
      <c r="K318" s="3"/>
      <c r="L318" s="3"/>
      <c r="M318" s="3"/>
      <c r="N318" s="3"/>
      <c r="O318" s="3"/>
      <c r="P318" s="3"/>
    </row>
    <row r="319" spans="1:16" x14ac:dyDescent="0.25">
      <c r="A319" s="59" t="str">
        <f>Fill_Value(print!A319)</f>
        <v/>
      </c>
      <c r="B319" s="59" t="str">
        <f>Fill_Value(print!B319)</f>
        <v/>
      </c>
      <c r="C319" s="59" t="str">
        <f>Fill_Value(print!C319)</f>
        <v/>
      </c>
      <c r="D319" s="25"/>
      <c r="E319" s="4"/>
      <c r="F319" s="4"/>
      <c r="G319" s="4"/>
      <c r="H319" s="4"/>
      <c r="I319" s="4"/>
      <c r="J319" s="4"/>
      <c r="K319" s="4"/>
      <c r="L319" s="4"/>
      <c r="M319" s="4"/>
      <c r="N319" s="4"/>
      <c r="O319" s="4"/>
      <c r="P319" s="4"/>
    </row>
    <row r="320" spans="1:16" x14ac:dyDescent="0.25">
      <c r="A320" s="47" t="str">
        <f>Fill_Value(print!A320)</f>
        <v/>
      </c>
      <c r="B320" s="47" t="str">
        <f>Fill_Value(print!B320)</f>
        <v/>
      </c>
      <c r="C320" s="47" t="str">
        <f>Fill_Value(print!C320)</f>
        <v/>
      </c>
      <c r="D320" s="22"/>
      <c r="E320" s="3"/>
      <c r="F320" s="3"/>
      <c r="G320" s="3"/>
      <c r="H320" s="3"/>
      <c r="I320" s="3"/>
      <c r="J320" s="3"/>
      <c r="K320" s="3"/>
      <c r="L320" s="3"/>
      <c r="M320" s="3"/>
      <c r="N320" s="3"/>
      <c r="O320" s="3"/>
      <c r="P320" s="3"/>
    </row>
    <row r="321" spans="1:16" x14ac:dyDescent="0.25">
      <c r="A321" s="59" t="str">
        <f>Fill_Value(print!A321)</f>
        <v/>
      </c>
      <c r="B321" s="59" t="str">
        <f>Fill_Value(print!B321)</f>
        <v/>
      </c>
      <c r="C321" s="59" t="str">
        <f>Fill_Value(print!C321)</f>
        <v/>
      </c>
      <c r="D321" s="25"/>
      <c r="E321" s="4"/>
      <c r="F321" s="4"/>
      <c r="G321" s="4"/>
      <c r="H321" s="4"/>
      <c r="I321" s="4"/>
      <c r="J321" s="4"/>
      <c r="K321" s="4"/>
      <c r="L321" s="4"/>
      <c r="M321" s="4"/>
      <c r="N321" s="4"/>
      <c r="O321" s="4"/>
      <c r="P321" s="4"/>
    </row>
    <row r="322" spans="1:16" x14ac:dyDescent="0.25">
      <c r="A322" s="47" t="str">
        <f>Fill_Value(print!A322)</f>
        <v/>
      </c>
      <c r="B322" s="47" t="str">
        <f>Fill_Value(print!B322)</f>
        <v/>
      </c>
      <c r="C322" s="47" t="str">
        <f>Fill_Value(print!C322)</f>
        <v/>
      </c>
      <c r="D322" s="22"/>
      <c r="E322" s="3"/>
      <c r="F322" s="3"/>
      <c r="G322" s="3"/>
      <c r="H322" s="3"/>
      <c r="I322" s="3"/>
      <c r="J322" s="3"/>
      <c r="K322" s="3"/>
      <c r="L322" s="3"/>
      <c r="M322" s="3"/>
      <c r="N322" s="3"/>
      <c r="O322" s="3"/>
      <c r="P322" s="3"/>
    </row>
    <row r="323" spans="1:16" x14ac:dyDescent="0.25">
      <c r="A323" s="59" t="str">
        <f>Fill_Value(print!A323)</f>
        <v/>
      </c>
      <c r="B323" s="59" t="str">
        <f>Fill_Value(print!B323)</f>
        <v/>
      </c>
      <c r="C323" s="59" t="str">
        <f>Fill_Value(print!C323)</f>
        <v/>
      </c>
      <c r="D323" s="25"/>
      <c r="E323" s="4"/>
      <c r="F323" s="4"/>
      <c r="G323" s="4"/>
      <c r="H323" s="4"/>
      <c r="I323" s="4"/>
      <c r="J323" s="4"/>
      <c r="K323" s="4"/>
      <c r="L323" s="4"/>
      <c r="M323" s="4"/>
      <c r="N323" s="4"/>
      <c r="O323" s="4"/>
      <c r="P323" s="4"/>
    </row>
    <row r="324" spans="1:16" x14ac:dyDescent="0.25">
      <c r="A324" s="47" t="str">
        <f>Fill_Value(print!A324)</f>
        <v/>
      </c>
      <c r="B324" s="47" t="str">
        <f>Fill_Value(print!B324)</f>
        <v/>
      </c>
      <c r="C324" s="47" t="str">
        <f>Fill_Value(print!C324)</f>
        <v/>
      </c>
      <c r="D324" s="22"/>
      <c r="E324" s="3"/>
      <c r="F324" s="3"/>
      <c r="G324" s="3"/>
      <c r="H324" s="3"/>
      <c r="I324" s="3"/>
      <c r="J324" s="3"/>
      <c r="K324" s="3"/>
      <c r="L324" s="3"/>
      <c r="M324" s="3"/>
      <c r="N324" s="3"/>
      <c r="O324" s="3"/>
      <c r="P324" s="3"/>
    </row>
    <row r="325" spans="1:16" x14ac:dyDescent="0.25">
      <c r="A325" s="59" t="str">
        <f>Fill_Value(print!A325)</f>
        <v/>
      </c>
      <c r="B325" s="59" t="str">
        <f>Fill_Value(print!B325)</f>
        <v/>
      </c>
      <c r="C325" s="59" t="str">
        <f>Fill_Value(print!C325)</f>
        <v/>
      </c>
      <c r="D325" s="25"/>
      <c r="E325" s="4"/>
      <c r="F325" s="4"/>
      <c r="G325" s="4"/>
      <c r="H325" s="4"/>
      <c r="I325" s="4"/>
      <c r="J325" s="4"/>
      <c r="K325" s="4"/>
      <c r="L325" s="4"/>
      <c r="M325" s="4"/>
      <c r="N325" s="4"/>
      <c r="O325" s="4"/>
      <c r="P325" s="4"/>
    </row>
    <row r="326" spans="1:16" x14ac:dyDescent="0.25">
      <c r="A326" s="47" t="str">
        <f>Fill_Value(print!A326)</f>
        <v/>
      </c>
      <c r="B326" s="47" t="str">
        <f>Fill_Value(print!B326)</f>
        <v/>
      </c>
      <c r="C326" s="47" t="str">
        <f>Fill_Value(print!C326)</f>
        <v/>
      </c>
      <c r="D326" s="22"/>
      <c r="E326" s="3"/>
      <c r="F326" s="3"/>
      <c r="G326" s="3"/>
      <c r="H326" s="3"/>
      <c r="I326" s="3"/>
      <c r="J326" s="3"/>
      <c r="K326" s="3"/>
      <c r="L326" s="3"/>
      <c r="M326" s="3"/>
      <c r="N326" s="3"/>
      <c r="O326" s="3"/>
      <c r="P326" s="3"/>
    </row>
    <row r="327" spans="1:16" x14ac:dyDescent="0.25">
      <c r="A327" s="59" t="str">
        <f>Fill_Value(print!A327)</f>
        <v/>
      </c>
      <c r="B327" s="59" t="str">
        <f>Fill_Value(print!B327)</f>
        <v/>
      </c>
      <c r="C327" s="59" t="str">
        <f>Fill_Value(print!C327)</f>
        <v/>
      </c>
      <c r="D327" s="25"/>
      <c r="E327" s="4"/>
      <c r="F327" s="4"/>
      <c r="G327" s="4"/>
      <c r="H327" s="4"/>
      <c r="I327" s="4"/>
      <c r="J327" s="4"/>
      <c r="K327" s="4"/>
      <c r="L327" s="4"/>
      <c r="M327" s="4"/>
      <c r="N327" s="4"/>
      <c r="O327" s="4"/>
      <c r="P327" s="4"/>
    </row>
    <row r="328" spans="1:16" x14ac:dyDescent="0.25">
      <c r="A328" s="47" t="str">
        <f>Fill_Value(print!A328)</f>
        <v/>
      </c>
      <c r="B328" s="47" t="str">
        <f>Fill_Value(print!B328)</f>
        <v/>
      </c>
      <c r="C328" s="47" t="str">
        <f>Fill_Value(print!C328)</f>
        <v/>
      </c>
      <c r="D328" s="22"/>
      <c r="E328" s="3"/>
      <c r="F328" s="3"/>
      <c r="G328" s="3"/>
      <c r="H328" s="3"/>
      <c r="I328" s="3"/>
      <c r="J328" s="3"/>
      <c r="K328" s="3"/>
      <c r="L328" s="3"/>
      <c r="M328" s="3"/>
      <c r="N328" s="3"/>
      <c r="O328" s="3"/>
      <c r="P328" s="3"/>
    </row>
    <row r="329" spans="1:16" x14ac:dyDescent="0.25">
      <c r="A329" s="59" t="str">
        <f>Fill_Value(print!A329)</f>
        <v/>
      </c>
      <c r="B329" s="59" t="str">
        <f>Fill_Value(print!B329)</f>
        <v/>
      </c>
      <c r="C329" s="59" t="str">
        <f>Fill_Value(print!C329)</f>
        <v/>
      </c>
      <c r="D329" s="25"/>
      <c r="E329" s="4"/>
      <c r="F329" s="4"/>
      <c r="G329" s="4"/>
      <c r="H329" s="4"/>
      <c r="I329" s="4"/>
      <c r="J329" s="4"/>
      <c r="K329" s="4"/>
      <c r="L329" s="4"/>
      <c r="M329" s="4"/>
      <c r="N329" s="4"/>
      <c r="O329" s="4"/>
      <c r="P329" s="4"/>
    </row>
    <row r="330" spans="1:16" x14ac:dyDescent="0.25">
      <c r="A330" s="47" t="str">
        <f>Fill_Value(print!A330)</f>
        <v/>
      </c>
      <c r="B330" s="47" t="str">
        <f>Fill_Value(print!B330)</f>
        <v/>
      </c>
      <c r="C330" s="47" t="str">
        <f>Fill_Value(print!C330)</f>
        <v/>
      </c>
      <c r="D330" s="22"/>
      <c r="E330" s="3"/>
      <c r="F330" s="3"/>
      <c r="G330" s="3"/>
      <c r="H330" s="3"/>
      <c r="I330" s="3"/>
      <c r="J330" s="3"/>
      <c r="K330" s="3"/>
      <c r="L330" s="3"/>
      <c r="M330" s="3"/>
      <c r="N330" s="3"/>
      <c r="O330" s="3"/>
      <c r="P330" s="3"/>
    </row>
    <row r="331" spans="1:16" x14ac:dyDescent="0.25">
      <c r="A331" s="59" t="str">
        <f>Fill_Value(print!A331)</f>
        <v/>
      </c>
      <c r="B331" s="59" t="str">
        <f>Fill_Value(print!B331)</f>
        <v/>
      </c>
      <c r="C331" s="59" t="str">
        <f>Fill_Value(print!C331)</f>
        <v/>
      </c>
      <c r="D331" s="25"/>
      <c r="E331" s="4"/>
      <c r="F331" s="4"/>
      <c r="G331" s="4"/>
      <c r="H331" s="4"/>
      <c r="I331" s="4"/>
      <c r="J331" s="4"/>
      <c r="K331" s="4"/>
      <c r="L331" s="4"/>
      <c r="M331" s="4"/>
      <c r="N331" s="4"/>
      <c r="O331" s="4"/>
      <c r="P331" s="4"/>
    </row>
    <row r="332" spans="1:16" x14ac:dyDescent="0.25">
      <c r="A332" s="47" t="str">
        <f>Fill_Value(print!A332)</f>
        <v/>
      </c>
      <c r="B332" s="47" t="str">
        <f>Fill_Value(print!B332)</f>
        <v/>
      </c>
      <c r="C332" s="47" t="str">
        <f>Fill_Value(print!C332)</f>
        <v/>
      </c>
      <c r="D332" s="22"/>
      <c r="E332" s="3"/>
      <c r="F332" s="3"/>
      <c r="G332" s="3"/>
      <c r="H332" s="3"/>
      <c r="I332" s="3"/>
      <c r="J332" s="3"/>
      <c r="K332" s="3"/>
      <c r="L332" s="3"/>
      <c r="M332" s="3"/>
      <c r="N332" s="3"/>
      <c r="O332" s="3"/>
      <c r="P332" s="3"/>
    </row>
    <row r="333" spans="1:16" x14ac:dyDescent="0.25">
      <c r="A333" s="59" t="str">
        <f>Fill_Value(print!A333)</f>
        <v/>
      </c>
      <c r="B333" s="59" t="str">
        <f>Fill_Value(print!B333)</f>
        <v/>
      </c>
      <c r="C333" s="59" t="str">
        <f>Fill_Value(print!C333)</f>
        <v/>
      </c>
      <c r="D333" s="25"/>
      <c r="E333" s="4"/>
      <c r="F333" s="4"/>
      <c r="G333" s="4"/>
      <c r="H333" s="4"/>
      <c r="I333" s="4"/>
      <c r="J333" s="4"/>
      <c r="K333" s="4"/>
      <c r="L333" s="4"/>
      <c r="M333" s="4"/>
      <c r="N333" s="4"/>
      <c r="O333" s="4"/>
      <c r="P333" s="4"/>
    </row>
    <row r="334" spans="1:16" x14ac:dyDescent="0.25">
      <c r="A334" s="47" t="str">
        <f>Fill_Value(print!A334)</f>
        <v/>
      </c>
      <c r="B334" s="47" t="str">
        <f>Fill_Value(print!B334)</f>
        <v/>
      </c>
      <c r="C334" s="47" t="str">
        <f>Fill_Value(print!C334)</f>
        <v/>
      </c>
      <c r="D334" s="22"/>
      <c r="E334" s="3"/>
      <c r="F334" s="3"/>
      <c r="G334" s="3"/>
      <c r="H334" s="3"/>
      <c r="I334" s="3"/>
      <c r="J334" s="3"/>
      <c r="K334" s="3"/>
      <c r="L334" s="3"/>
      <c r="M334" s="3"/>
      <c r="N334" s="3"/>
      <c r="O334" s="3"/>
      <c r="P334" s="3"/>
    </row>
    <row r="335" spans="1:16" x14ac:dyDescent="0.25">
      <c r="A335" s="59" t="str">
        <f>Fill_Value(print!A335)</f>
        <v/>
      </c>
      <c r="B335" s="59" t="str">
        <f>Fill_Value(print!B335)</f>
        <v/>
      </c>
      <c r="C335" s="59" t="str">
        <f>Fill_Value(print!C335)</f>
        <v/>
      </c>
      <c r="D335" s="25"/>
      <c r="E335" s="4"/>
      <c r="F335" s="4"/>
      <c r="G335" s="4"/>
      <c r="H335" s="4"/>
      <c r="I335" s="4"/>
      <c r="J335" s="4"/>
      <c r="K335" s="4"/>
      <c r="L335" s="4"/>
      <c r="M335" s="4"/>
      <c r="N335" s="4"/>
      <c r="O335" s="4"/>
      <c r="P335" s="4"/>
    </row>
    <row r="336" spans="1:16" x14ac:dyDescent="0.25">
      <c r="A336" s="47" t="str">
        <f>Fill_Value(print!A336)</f>
        <v/>
      </c>
      <c r="B336" s="47" t="str">
        <f>Fill_Value(print!B336)</f>
        <v/>
      </c>
      <c r="C336" s="47" t="str">
        <f>Fill_Value(print!C336)</f>
        <v/>
      </c>
      <c r="D336" s="22"/>
      <c r="E336" s="3"/>
      <c r="F336" s="3"/>
      <c r="G336" s="3"/>
      <c r="H336" s="3"/>
      <c r="I336" s="3"/>
      <c r="J336" s="3"/>
      <c r="K336" s="3"/>
      <c r="L336" s="3"/>
      <c r="M336" s="3"/>
      <c r="N336" s="3"/>
      <c r="O336" s="3"/>
      <c r="P336" s="3"/>
    </row>
    <row r="337" spans="1:16" x14ac:dyDescent="0.25">
      <c r="A337" s="59" t="str">
        <f>Fill_Value(print!A337)</f>
        <v/>
      </c>
      <c r="B337" s="59" t="str">
        <f>Fill_Value(print!B337)</f>
        <v/>
      </c>
      <c r="C337" s="59" t="str">
        <f>Fill_Value(print!C337)</f>
        <v/>
      </c>
      <c r="D337" s="25"/>
      <c r="E337" s="4"/>
      <c r="F337" s="4"/>
      <c r="G337" s="4"/>
      <c r="H337" s="4"/>
      <c r="I337" s="4"/>
      <c r="J337" s="4"/>
      <c r="K337" s="4"/>
      <c r="L337" s="4"/>
      <c r="M337" s="4"/>
      <c r="N337" s="4"/>
      <c r="O337" s="4"/>
      <c r="P337" s="4"/>
    </row>
    <row r="338" spans="1:16" x14ac:dyDescent="0.25">
      <c r="A338" s="47" t="str">
        <f>Fill_Value(print!A338)</f>
        <v/>
      </c>
      <c r="B338" s="47" t="str">
        <f>Fill_Value(print!B338)</f>
        <v/>
      </c>
      <c r="C338" s="47" t="str">
        <f>Fill_Value(print!C338)</f>
        <v/>
      </c>
      <c r="D338" s="22"/>
      <c r="E338" s="3"/>
      <c r="F338" s="3"/>
      <c r="G338" s="3"/>
      <c r="H338" s="3"/>
      <c r="I338" s="3"/>
      <c r="J338" s="3"/>
      <c r="K338" s="3"/>
      <c r="L338" s="3"/>
      <c r="M338" s="3"/>
      <c r="N338" s="3"/>
      <c r="O338" s="3"/>
      <c r="P338" s="3"/>
    </row>
    <row r="339" spans="1:16" x14ac:dyDescent="0.25">
      <c r="A339" s="59" t="str">
        <f>Fill_Value(print!A339)</f>
        <v/>
      </c>
      <c r="B339" s="59" t="str">
        <f>Fill_Value(print!B339)</f>
        <v/>
      </c>
      <c r="C339" s="59" t="str">
        <f>Fill_Value(print!C339)</f>
        <v/>
      </c>
      <c r="D339" s="25"/>
      <c r="E339" s="4"/>
      <c r="F339" s="4"/>
      <c r="G339" s="4"/>
      <c r="H339" s="4"/>
      <c r="I339" s="4"/>
      <c r="J339" s="4"/>
      <c r="K339" s="4"/>
      <c r="L339" s="4"/>
      <c r="M339" s="4"/>
      <c r="N339" s="4"/>
      <c r="O339" s="4"/>
      <c r="P339" s="4"/>
    </row>
    <row r="340" spans="1:16" x14ac:dyDescent="0.25">
      <c r="A340" s="47" t="str">
        <f>Fill_Value(print!A340)</f>
        <v/>
      </c>
      <c r="B340" s="47" t="str">
        <f>Fill_Value(print!B340)</f>
        <v/>
      </c>
      <c r="C340" s="47" t="str">
        <f>Fill_Value(print!C340)</f>
        <v/>
      </c>
      <c r="D340" s="22"/>
      <c r="E340" s="3"/>
      <c r="F340" s="3"/>
      <c r="G340" s="3"/>
      <c r="H340" s="3"/>
      <c r="I340" s="3"/>
      <c r="J340" s="3"/>
      <c r="K340" s="3"/>
      <c r="L340" s="3"/>
      <c r="M340" s="3"/>
      <c r="N340" s="3"/>
      <c r="O340" s="3"/>
      <c r="P340" s="3"/>
    </row>
    <row r="341" spans="1:16" x14ac:dyDescent="0.25">
      <c r="A341" s="59" t="str">
        <f>Fill_Value(print!A341)</f>
        <v/>
      </c>
      <c r="B341" s="59" t="str">
        <f>Fill_Value(print!B341)</f>
        <v/>
      </c>
      <c r="C341" s="59" t="str">
        <f>Fill_Value(print!C341)</f>
        <v/>
      </c>
      <c r="D341" s="25"/>
      <c r="E341" s="4"/>
      <c r="F341" s="4"/>
      <c r="G341" s="4"/>
      <c r="H341" s="4"/>
      <c r="I341" s="4"/>
      <c r="J341" s="4"/>
      <c r="K341" s="4"/>
      <c r="L341" s="4"/>
      <c r="M341" s="4"/>
      <c r="N341" s="4"/>
      <c r="O341" s="4"/>
      <c r="P341" s="4"/>
    </row>
    <row r="342" spans="1:16" x14ac:dyDescent="0.25">
      <c r="A342" s="47" t="str">
        <f>Fill_Value(print!A342)</f>
        <v/>
      </c>
      <c r="B342" s="47" t="str">
        <f>Fill_Value(print!B342)</f>
        <v/>
      </c>
      <c r="C342" s="47" t="str">
        <f>Fill_Value(print!C342)</f>
        <v/>
      </c>
      <c r="D342" s="22"/>
      <c r="E342" s="3"/>
      <c r="F342" s="3"/>
      <c r="G342" s="3"/>
      <c r="H342" s="3"/>
      <c r="I342" s="3"/>
      <c r="J342" s="3"/>
      <c r="K342" s="3"/>
      <c r="L342" s="3"/>
      <c r="M342" s="3"/>
      <c r="N342" s="3"/>
      <c r="O342" s="3"/>
      <c r="P342" s="3"/>
    </row>
    <row r="343" spans="1:16" x14ac:dyDescent="0.25">
      <c r="A343" s="59" t="str">
        <f>Fill_Value(print!A343)</f>
        <v/>
      </c>
      <c r="B343" s="59" t="str">
        <f>Fill_Value(print!B343)</f>
        <v/>
      </c>
      <c r="C343" s="59" t="str">
        <f>Fill_Value(print!C343)</f>
        <v/>
      </c>
      <c r="D343" s="25"/>
      <c r="E343" s="4"/>
      <c r="F343" s="4"/>
      <c r="G343" s="4"/>
      <c r="H343" s="4"/>
      <c r="I343" s="4"/>
      <c r="J343" s="4"/>
      <c r="K343" s="4"/>
      <c r="L343" s="4"/>
      <c r="M343" s="4"/>
      <c r="N343" s="4"/>
      <c r="O343" s="4"/>
      <c r="P343" s="4"/>
    </row>
    <row r="344" spans="1:16" x14ac:dyDescent="0.25">
      <c r="A344" s="47" t="str">
        <f>Fill_Value(print!A344)</f>
        <v/>
      </c>
      <c r="B344" s="47" t="str">
        <f>Fill_Value(print!B344)</f>
        <v/>
      </c>
      <c r="C344" s="47" t="str">
        <f>Fill_Value(print!C344)</f>
        <v/>
      </c>
      <c r="D344" s="22"/>
      <c r="E344" s="3"/>
      <c r="F344" s="3"/>
      <c r="G344" s="3"/>
      <c r="H344" s="3"/>
      <c r="I344" s="3"/>
      <c r="J344" s="3"/>
      <c r="K344" s="3"/>
      <c r="L344" s="3"/>
      <c r="M344" s="3"/>
      <c r="N344" s="3"/>
      <c r="O344" s="3"/>
      <c r="P344" s="3"/>
    </row>
    <row r="345" spans="1:16" x14ac:dyDescent="0.25">
      <c r="A345" s="59" t="str">
        <f>Fill_Value(print!A345)</f>
        <v/>
      </c>
      <c r="B345" s="59" t="str">
        <f>Fill_Value(print!B345)</f>
        <v/>
      </c>
      <c r="C345" s="59" t="str">
        <f>Fill_Value(print!C345)</f>
        <v/>
      </c>
      <c r="D345" s="25"/>
      <c r="E345" s="4"/>
      <c r="F345" s="4"/>
      <c r="G345" s="4"/>
      <c r="H345" s="4"/>
      <c r="I345" s="4"/>
      <c r="J345" s="4"/>
      <c r="K345" s="4"/>
      <c r="L345" s="4"/>
      <c r="M345" s="4"/>
      <c r="N345" s="4"/>
      <c r="O345" s="4"/>
      <c r="P345" s="4"/>
    </row>
    <row r="346" spans="1:16" x14ac:dyDescent="0.25">
      <c r="A346" s="47" t="str">
        <f>Fill_Value(print!A346)</f>
        <v/>
      </c>
      <c r="B346" s="47" t="str">
        <f>Fill_Value(print!B346)</f>
        <v/>
      </c>
      <c r="C346" s="47" t="str">
        <f>Fill_Value(print!C346)</f>
        <v/>
      </c>
      <c r="D346" s="22"/>
      <c r="E346" s="3"/>
      <c r="F346" s="3"/>
      <c r="G346" s="3"/>
      <c r="H346" s="3"/>
      <c r="I346" s="3"/>
      <c r="J346" s="3"/>
      <c r="K346" s="3"/>
      <c r="L346" s="3"/>
      <c r="M346" s="3"/>
      <c r="N346" s="3"/>
      <c r="O346" s="3"/>
      <c r="P346" s="3"/>
    </row>
    <row r="347" spans="1:16" x14ac:dyDescent="0.25">
      <c r="A347" s="59" t="str">
        <f>Fill_Value(print!A347)</f>
        <v/>
      </c>
      <c r="B347" s="59" t="str">
        <f>Fill_Value(print!B347)</f>
        <v/>
      </c>
      <c r="C347" s="59" t="str">
        <f>Fill_Value(print!C347)</f>
        <v/>
      </c>
      <c r="D347" s="25"/>
      <c r="E347" s="4"/>
      <c r="F347" s="4"/>
      <c r="G347" s="4"/>
      <c r="H347" s="4"/>
      <c r="I347" s="4"/>
      <c r="J347" s="4"/>
      <c r="K347" s="4"/>
      <c r="L347" s="4"/>
      <c r="M347" s="4"/>
      <c r="N347" s="4"/>
      <c r="O347" s="4"/>
      <c r="P347" s="4"/>
    </row>
    <row r="348" spans="1:16" x14ac:dyDescent="0.25">
      <c r="A348" s="47" t="str">
        <f>Fill_Value(print!A348)</f>
        <v/>
      </c>
      <c r="B348" s="47" t="str">
        <f>Fill_Value(print!B348)</f>
        <v/>
      </c>
      <c r="C348" s="47" t="str">
        <f>Fill_Value(print!C348)</f>
        <v/>
      </c>
      <c r="D348" s="22"/>
      <c r="E348" s="3"/>
      <c r="F348" s="3"/>
      <c r="G348" s="3"/>
      <c r="H348" s="3"/>
      <c r="I348" s="3"/>
      <c r="J348" s="3"/>
      <c r="K348" s="3"/>
      <c r="L348" s="3"/>
      <c r="M348" s="3"/>
      <c r="N348" s="3"/>
      <c r="O348" s="3"/>
      <c r="P348" s="3"/>
    </row>
    <row r="349" spans="1:16" x14ac:dyDescent="0.25">
      <c r="A349" s="59" t="str">
        <f>Fill_Value(print!A349)</f>
        <v/>
      </c>
      <c r="B349" s="59" t="str">
        <f>Fill_Value(print!B349)</f>
        <v/>
      </c>
      <c r="C349" s="59" t="str">
        <f>Fill_Value(print!C349)</f>
        <v/>
      </c>
      <c r="D349" s="25"/>
      <c r="E349" s="4"/>
      <c r="F349" s="4"/>
      <c r="G349" s="4"/>
      <c r="H349" s="4"/>
      <c r="I349" s="4"/>
      <c r="J349" s="4"/>
      <c r="K349" s="4"/>
      <c r="L349" s="4"/>
      <c r="M349" s="4"/>
      <c r="N349" s="4"/>
      <c r="O349" s="4"/>
      <c r="P349" s="4"/>
    </row>
    <row r="350" spans="1:16" x14ac:dyDescent="0.25">
      <c r="A350" s="47" t="str">
        <f>Fill_Value(print!A350)</f>
        <v/>
      </c>
      <c r="B350" s="47" t="str">
        <f>Fill_Value(print!B350)</f>
        <v/>
      </c>
      <c r="C350" s="47" t="str">
        <f>Fill_Value(print!C350)</f>
        <v/>
      </c>
      <c r="D350" s="22"/>
      <c r="E350" s="3"/>
      <c r="F350" s="3"/>
      <c r="G350" s="3"/>
      <c r="H350" s="3"/>
      <c r="I350" s="3"/>
      <c r="J350" s="3"/>
      <c r="K350" s="3"/>
      <c r="L350" s="3"/>
      <c r="M350" s="3"/>
      <c r="N350" s="3"/>
      <c r="O350" s="3"/>
      <c r="P350" s="3"/>
    </row>
    <row r="351" spans="1:16" x14ac:dyDescent="0.25">
      <c r="A351" s="59" t="str">
        <f>Fill_Value(print!A351)</f>
        <v/>
      </c>
      <c r="B351" s="59" t="str">
        <f>Fill_Value(print!B351)</f>
        <v/>
      </c>
      <c r="C351" s="59" t="str">
        <f>Fill_Value(print!C351)</f>
        <v/>
      </c>
      <c r="D351" s="25"/>
      <c r="E351" s="4"/>
      <c r="F351" s="4"/>
      <c r="G351" s="4"/>
      <c r="H351" s="4"/>
      <c r="I351" s="4"/>
      <c r="J351" s="4"/>
      <c r="K351" s="4"/>
      <c r="L351" s="4"/>
      <c r="M351" s="4"/>
      <c r="N351" s="4"/>
      <c r="O351" s="4"/>
      <c r="P351" s="4"/>
    </row>
    <row r="352" spans="1:16" x14ac:dyDescent="0.25">
      <c r="A352" s="47" t="str">
        <f>Fill_Value(print!A352)</f>
        <v/>
      </c>
      <c r="B352" s="47" t="str">
        <f>Fill_Value(print!B352)</f>
        <v/>
      </c>
      <c r="C352" s="47" t="str">
        <f>Fill_Value(print!C352)</f>
        <v/>
      </c>
      <c r="D352" s="22"/>
      <c r="E352" s="3"/>
      <c r="F352" s="3"/>
      <c r="G352" s="3"/>
      <c r="H352" s="3"/>
      <c r="I352" s="3"/>
      <c r="J352" s="3"/>
      <c r="K352" s="3"/>
      <c r="L352" s="3"/>
      <c r="M352" s="3"/>
      <c r="N352" s="3"/>
      <c r="O352" s="3"/>
      <c r="P352" s="3"/>
    </row>
    <row r="353" spans="1:16" x14ac:dyDescent="0.25">
      <c r="A353" s="59" t="str">
        <f>Fill_Value(print!A353)</f>
        <v/>
      </c>
      <c r="B353" s="59" t="str">
        <f>Fill_Value(print!B353)</f>
        <v/>
      </c>
      <c r="C353" s="59" t="str">
        <f>Fill_Value(print!C353)</f>
        <v/>
      </c>
      <c r="D353" s="25"/>
      <c r="E353" s="4"/>
      <c r="F353" s="4"/>
      <c r="G353" s="4"/>
      <c r="H353" s="4"/>
      <c r="I353" s="4"/>
      <c r="J353" s="4"/>
      <c r="K353" s="4"/>
      <c r="L353" s="4"/>
      <c r="M353" s="4"/>
      <c r="N353" s="4"/>
      <c r="O353" s="4"/>
      <c r="P353" s="4"/>
    </row>
    <row r="354" spans="1:16" x14ac:dyDescent="0.25">
      <c r="A354" s="47" t="str">
        <f>Fill_Value(print!A354)</f>
        <v/>
      </c>
      <c r="B354" s="47" t="str">
        <f>Fill_Value(print!B354)</f>
        <v/>
      </c>
      <c r="C354" s="47" t="str">
        <f>Fill_Value(print!C354)</f>
        <v/>
      </c>
      <c r="D354" s="22"/>
      <c r="E354" s="3"/>
      <c r="F354" s="3"/>
      <c r="G354" s="3"/>
      <c r="H354" s="3"/>
      <c r="I354" s="3"/>
      <c r="J354" s="3"/>
      <c r="K354" s="3"/>
      <c r="L354" s="3"/>
      <c r="M354" s="3"/>
      <c r="N354" s="3"/>
      <c r="O354" s="3"/>
      <c r="P354" s="3"/>
    </row>
    <row r="355" spans="1:16" x14ac:dyDescent="0.25">
      <c r="A355" s="59" t="str">
        <f>Fill_Value(print!A355)</f>
        <v/>
      </c>
      <c r="B355" s="59" t="str">
        <f>Fill_Value(print!B355)</f>
        <v/>
      </c>
      <c r="C355" s="59" t="str">
        <f>Fill_Value(print!C355)</f>
        <v/>
      </c>
      <c r="D355" s="25"/>
      <c r="E355" s="4"/>
      <c r="F355" s="4"/>
      <c r="G355" s="4"/>
      <c r="H355" s="4"/>
      <c r="I355" s="4"/>
      <c r="J355" s="4"/>
      <c r="K355" s="4"/>
      <c r="L355" s="4"/>
      <c r="M355" s="4"/>
      <c r="N355" s="4"/>
      <c r="O355" s="4"/>
      <c r="P355" s="4"/>
    </row>
    <row r="356" spans="1:16" x14ac:dyDescent="0.25">
      <c r="A356" s="47" t="str">
        <f>Fill_Value(print!A356)</f>
        <v/>
      </c>
      <c r="B356" s="47" t="str">
        <f>Fill_Value(print!B356)</f>
        <v/>
      </c>
      <c r="C356" s="47" t="str">
        <f>Fill_Value(print!C356)</f>
        <v/>
      </c>
      <c r="D356" s="22"/>
      <c r="E356" s="3"/>
      <c r="F356" s="3"/>
      <c r="G356" s="3"/>
      <c r="H356" s="3"/>
      <c r="I356" s="3"/>
      <c r="J356" s="3"/>
      <c r="K356" s="3"/>
      <c r="L356" s="3"/>
      <c r="M356" s="3"/>
      <c r="N356" s="3"/>
      <c r="O356" s="3"/>
      <c r="P356" s="3"/>
    </row>
    <row r="357" spans="1:16" x14ac:dyDescent="0.25">
      <c r="A357" s="59" t="str">
        <f>Fill_Value(print!A357)</f>
        <v/>
      </c>
      <c r="B357" s="59" t="str">
        <f>Fill_Value(print!B357)</f>
        <v/>
      </c>
      <c r="C357" s="59" t="str">
        <f>Fill_Value(print!C357)</f>
        <v/>
      </c>
      <c r="D357" s="25"/>
      <c r="E357" s="4"/>
      <c r="F357" s="4"/>
      <c r="G357" s="4"/>
      <c r="H357" s="4"/>
      <c r="I357" s="4"/>
      <c r="J357" s="4"/>
      <c r="K357" s="4"/>
      <c r="L357" s="4"/>
      <c r="M357" s="4"/>
      <c r="N357" s="4"/>
      <c r="O357" s="4"/>
      <c r="P357" s="4"/>
    </row>
    <row r="358" spans="1:16" x14ac:dyDescent="0.25">
      <c r="A358" s="47" t="str">
        <f>Fill_Value(print!A358)</f>
        <v/>
      </c>
      <c r="B358" s="47" t="str">
        <f>Fill_Value(print!B358)</f>
        <v/>
      </c>
      <c r="C358" s="47" t="str">
        <f>Fill_Value(print!C358)</f>
        <v/>
      </c>
      <c r="D358" s="22"/>
      <c r="E358" s="3"/>
      <c r="F358" s="3"/>
      <c r="G358" s="3"/>
      <c r="H358" s="3"/>
      <c r="I358" s="3"/>
      <c r="J358" s="3"/>
      <c r="K358" s="3"/>
      <c r="L358" s="3"/>
      <c r="M358" s="3"/>
      <c r="N358" s="3"/>
      <c r="O358" s="3"/>
      <c r="P358" s="3"/>
    </row>
    <row r="359" spans="1:16" x14ac:dyDescent="0.25">
      <c r="A359" s="59" t="str">
        <f>Fill_Value(print!A359)</f>
        <v/>
      </c>
      <c r="B359" s="59" t="str">
        <f>Fill_Value(print!B359)</f>
        <v/>
      </c>
      <c r="C359" s="59" t="str">
        <f>Fill_Value(print!C359)</f>
        <v/>
      </c>
      <c r="D359" s="25"/>
      <c r="E359" s="4"/>
      <c r="F359" s="4"/>
      <c r="G359" s="4"/>
      <c r="H359" s="4"/>
      <c r="I359" s="4"/>
      <c r="J359" s="4"/>
      <c r="K359" s="4"/>
      <c r="L359" s="4"/>
      <c r="M359" s="4"/>
      <c r="N359" s="4"/>
      <c r="O359" s="4"/>
      <c r="P359" s="4"/>
    </row>
    <row r="360" spans="1:16" x14ac:dyDescent="0.25">
      <c r="A360" s="47" t="str">
        <f>Fill_Value(print!A360)</f>
        <v/>
      </c>
      <c r="B360" s="47" t="str">
        <f>Fill_Value(print!B360)</f>
        <v/>
      </c>
      <c r="C360" s="47" t="str">
        <f>Fill_Value(print!C360)</f>
        <v/>
      </c>
      <c r="D360" s="22"/>
      <c r="E360" s="3"/>
      <c r="F360" s="3"/>
      <c r="G360" s="3"/>
      <c r="H360" s="3"/>
      <c r="I360" s="3"/>
      <c r="J360" s="3"/>
      <c r="K360" s="3"/>
      <c r="L360" s="3"/>
      <c r="M360" s="3"/>
      <c r="N360" s="3"/>
      <c r="O360" s="3"/>
      <c r="P360" s="3"/>
    </row>
    <row r="361" spans="1:16" x14ac:dyDescent="0.25">
      <c r="A361" s="59" t="str">
        <f>Fill_Value(print!A361)</f>
        <v/>
      </c>
      <c r="B361" s="59" t="str">
        <f>Fill_Value(print!B361)</f>
        <v/>
      </c>
      <c r="C361" s="59" t="str">
        <f>Fill_Value(print!C361)</f>
        <v/>
      </c>
      <c r="D361" s="25"/>
      <c r="E361" s="4"/>
      <c r="F361" s="4"/>
      <c r="G361" s="4"/>
      <c r="H361" s="4"/>
      <c r="I361" s="4"/>
      <c r="J361" s="4"/>
      <c r="K361" s="4"/>
      <c r="L361" s="4"/>
      <c r="M361" s="4"/>
      <c r="N361" s="4"/>
      <c r="O361" s="4"/>
      <c r="P361" s="4"/>
    </row>
    <row r="362" spans="1:16" x14ac:dyDescent="0.25">
      <c r="A362" s="47" t="str">
        <f>Fill_Value(print!A362)</f>
        <v/>
      </c>
      <c r="B362" s="47" t="str">
        <f>Fill_Value(print!B362)</f>
        <v/>
      </c>
      <c r="C362" s="47" t="str">
        <f>Fill_Value(print!C362)</f>
        <v/>
      </c>
      <c r="D362" s="22"/>
      <c r="E362" s="3"/>
      <c r="F362" s="3"/>
      <c r="G362" s="3"/>
      <c r="H362" s="3"/>
      <c r="I362" s="3"/>
      <c r="J362" s="3"/>
      <c r="K362" s="3"/>
      <c r="L362" s="3"/>
      <c r="M362" s="3"/>
      <c r="N362" s="3"/>
      <c r="O362" s="3"/>
      <c r="P362" s="3"/>
    </row>
    <row r="363" spans="1:16" x14ac:dyDescent="0.25">
      <c r="A363" s="59" t="str">
        <f>Fill_Value(print!A363)</f>
        <v/>
      </c>
      <c r="B363" s="59" t="str">
        <f>Fill_Value(print!B363)</f>
        <v/>
      </c>
      <c r="C363" s="59" t="str">
        <f>Fill_Value(print!C363)</f>
        <v/>
      </c>
      <c r="D363" s="25"/>
      <c r="E363" s="4"/>
      <c r="F363" s="4"/>
      <c r="G363" s="4"/>
      <c r="H363" s="4"/>
      <c r="I363" s="4"/>
      <c r="J363" s="4"/>
      <c r="K363" s="4"/>
      <c r="L363" s="4"/>
      <c r="M363" s="4"/>
      <c r="N363" s="4"/>
      <c r="O363" s="4"/>
      <c r="P363" s="4"/>
    </row>
    <row r="364" spans="1:16" x14ac:dyDescent="0.25">
      <c r="A364" s="47" t="str">
        <f>Fill_Value(print!A364)</f>
        <v/>
      </c>
      <c r="B364" s="47" t="str">
        <f>Fill_Value(print!B364)</f>
        <v/>
      </c>
      <c r="C364" s="47" t="str">
        <f>Fill_Value(print!C364)</f>
        <v/>
      </c>
      <c r="D364" s="22"/>
      <c r="E364" s="3"/>
      <c r="F364" s="3"/>
      <c r="G364" s="3"/>
      <c r="H364" s="3"/>
      <c r="I364" s="3"/>
      <c r="J364" s="3"/>
      <c r="K364" s="3"/>
      <c r="L364" s="3"/>
      <c r="M364" s="3"/>
      <c r="N364" s="3"/>
      <c r="O364" s="3"/>
      <c r="P364" s="3"/>
    </row>
    <row r="365" spans="1:16" x14ac:dyDescent="0.25">
      <c r="A365" s="59" t="str">
        <f>Fill_Value(print!A365)</f>
        <v/>
      </c>
      <c r="B365" s="59" t="str">
        <f>Fill_Value(print!B365)</f>
        <v/>
      </c>
      <c r="C365" s="59" t="str">
        <f>Fill_Value(print!C365)</f>
        <v/>
      </c>
      <c r="D365" s="25"/>
      <c r="E365" s="4"/>
      <c r="F365" s="4"/>
      <c r="G365" s="4"/>
      <c r="H365" s="4"/>
      <c r="I365" s="4"/>
      <c r="J365" s="4"/>
      <c r="K365" s="4"/>
      <c r="L365" s="4"/>
      <c r="M365" s="4"/>
      <c r="N365" s="4"/>
      <c r="O365" s="4"/>
      <c r="P365" s="4"/>
    </row>
    <row r="366" spans="1:16" x14ac:dyDescent="0.25">
      <c r="A366" s="47" t="str">
        <f>Fill_Value(print!A366)</f>
        <v/>
      </c>
      <c r="B366" s="47" t="str">
        <f>Fill_Value(print!B366)</f>
        <v/>
      </c>
      <c r="C366" s="47" t="str">
        <f>Fill_Value(print!C366)</f>
        <v/>
      </c>
      <c r="D366" s="22"/>
      <c r="E366" s="3"/>
      <c r="F366" s="3"/>
      <c r="G366" s="3"/>
      <c r="H366" s="3"/>
      <c r="I366" s="3"/>
      <c r="J366" s="3"/>
      <c r="K366" s="3"/>
      <c r="L366" s="3"/>
      <c r="M366" s="3"/>
      <c r="N366" s="3"/>
      <c r="O366" s="3"/>
      <c r="P366" s="3"/>
    </row>
    <row r="367" spans="1:16" x14ac:dyDescent="0.25">
      <c r="A367" s="59" t="str">
        <f>Fill_Value(print!A367)</f>
        <v/>
      </c>
      <c r="B367" s="59" t="str">
        <f>Fill_Value(print!B367)</f>
        <v/>
      </c>
      <c r="C367" s="59" t="str">
        <f>Fill_Value(print!C367)</f>
        <v/>
      </c>
      <c r="D367" s="25"/>
      <c r="E367" s="4"/>
      <c r="F367" s="4"/>
      <c r="G367" s="4"/>
      <c r="H367" s="4"/>
      <c r="I367" s="4"/>
      <c r="J367" s="4"/>
      <c r="K367" s="4"/>
      <c r="L367" s="4"/>
      <c r="M367" s="4"/>
      <c r="N367" s="4"/>
      <c r="O367" s="4"/>
      <c r="P367" s="4"/>
    </row>
    <row r="368" spans="1:16" x14ac:dyDescent="0.25">
      <c r="A368" s="47" t="str">
        <f>Fill_Value(print!A368)</f>
        <v/>
      </c>
      <c r="B368" s="47" t="str">
        <f>Fill_Value(print!B368)</f>
        <v/>
      </c>
      <c r="C368" s="47" t="str">
        <f>Fill_Value(print!C368)</f>
        <v/>
      </c>
      <c r="D368" s="22"/>
      <c r="E368" s="3"/>
      <c r="F368" s="3"/>
      <c r="G368" s="3"/>
      <c r="H368" s="3"/>
      <c r="I368" s="3"/>
      <c r="J368" s="3"/>
      <c r="K368" s="3"/>
      <c r="L368" s="3"/>
      <c r="M368" s="3"/>
      <c r="N368" s="3"/>
      <c r="O368" s="3"/>
      <c r="P368" s="3"/>
    </row>
    <row r="369" spans="1:16" x14ac:dyDescent="0.25">
      <c r="A369" s="59" t="str">
        <f>Fill_Value(print!A369)</f>
        <v/>
      </c>
      <c r="B369" s="59" t="str">
        <f>Fill_Value(print!B369)</f>
        <v/>
      </c>
      <c r="C369" s="59" t="str">
        <f>Fill_Value(print!C369)</f>
        <v/>
      </c>
      <c r="D369" s="25"/>
      <c r="E369" s="4"/>
      <c r="F369" s="4"/>
      <c r="G369" s="4"/>
      <c r="H369" s="4"/>
      <c r="I369" s="4"/>
      <c r="J369" s="4"/>
      <c r="K369" s="4"/>
      <c r="L369" s="4"/>
      <c r="M369" s="4"/>
      <c r="N369" s="4"/>
      <c r="O369" s="4"/>
      <c r="P369" s="4"/>
    </row>
    <row r="370" spans="1:16" x14ac:dyDescent="0.25">
      <c r="A370" s="47" t="str">
        <f>Fill_Value(print!A370)</f>
        <v/>
      </c>
      <c r="B370" s="47" t="str">
        <f>Fill_Value(print!B370)</f>
        <v/>
      </c>
      <c r="C370" s="47" t="str">
        <f>Fill_Value(print!C370)</f>
        <v/>
      </c>
      <c r="D370" s="22"/>
      <c r="E370" s="3"/>
      <c r="F370" s="3"/>
      <c r="G370" s="3"/>
      <c r="H370" s="3"/>
      <c r="I370" s="3"/>
      <c r="J370" s="3"/>
      <c r="K370" s="3"/>
      <c r="L370" s="3"/>
      <c r="M370" s="3"/>
      <c r="N370" s="3"/>
      <c r="O370" s="3"/>
      <c r="P370" s="3"/>
    </row>
    <row r="371" spans="1:16" x14ac:dyDescent="0.25">
      <c r="A371" s="59" t="str">
        <f>Fill_Value(print!A371)</f>
        <v/>
      </c>
      <c r="B371" s="59" t="str">
        <f>Fill_Value(print!B371)</f>
        <v/>
      </c>
      <c r="C371" s="59" t="str">
        <f>Fill_Value(print!C371)</f>
        <v/>
      </c>
      <c r="D371" s="25"/>
      <c r="E371" s="4"/>
      <c r="F371" s="4"/>
      <c r="G371" s="4"/>
      <c r="H371" s="4"/>
      <c r="I371" s="4"/>
      <c r="J371" s="4"/>
      <c r="K371" s="4"/>
      <c r="L371" s="4"/>
      <c r="M371" s="4"/>
      <c r="N371" s="4"/>
      <c r="O371" s="4"/>
      <c r="P371" s="4"/>
    </row>
    <row r="372" spans="1:16" x14ac:dyDescent="0.25">
      <c r="A372" s="47" t="str">
        <f>Fill_Value(print!A372)</f>
        <v/>
      </c>
      <c r="B372" s="47" t="str">
        <f>Fill_Value(print!B372)</f>
        <v/>
      </c>
      <c r="C372" s="47" t="str">
        <f>Fill_Value(print!C372)</f>
        <v/>
      </c>
      <c r="D372" s="22"/>
      <c r="E372" s="3"/>
      <c r="F372" s="3"/>
      <c r="G372" s="3"/>
      <c r="H372" s="3"/>
      <c r="I372" s="3"/>
      <c r="J372" s="3"/>
      <c r="K372" s="3"/>
      <c r="L372" s="3"/>
      <c r="M372" s="3"/>
      <c r="N372" s="3"/>
      <c r="O372" s="3"/>
      <c r="P372" s="3"/>
    </row>
    <row r="373" spans="1:16" x14ac:dyDescent="0.25">
      <c r="A373" s="59" t="str">
        <f>Fill_Value(print!A373)</f>
        <v/>
      </c>
      <c r="B373" s="59" t="str">
        <f>Fill_Value(print!B373)</f>
        <v/>
      </c>
      <c r="C373" s="59" t="str">
        <f>Fill_Value(print!C373)</f>
        <v/>
      </c>
      <c r="D373" s="25"/>
      <c r="E373" s="4"/>
      <c r="F373" s="4"/>
      <c r="G373" s="4"/>
      <c r="H373" s="4"/>
      <c r="I373" s="4"/>
      <c r="J373" s="4"/>
      <c r="K373" s="4"/>
      <c r="L373" s="4"/>
      <c r="M373" s="4"/>
      <c r="N373" s="4"/>
      <c r="O373" s="4"/>
      <c r="P373" s="4"/>
    </row>
    <row r="374" spans="1:16" x14ac:dyDescent="0.25">
      <c r="A374" s="47" t="str">
        <f>Fill_Value(print!A374)</f>
        <v/>
      </c>
      <c r="B374" s="47" t="str">
        <f>Fill_Value(print!B374)</f>
        <v/>
      </c>
      <c r="C374" s="47" t="str">
        <f>Fill_Value(print!C374)</f>
        <v/>
      </c>
      <c r="D374" s="22"/>
      <c r="E374" s="3"/>
      <c r="F374" s="3"/>
      <c r="G374" s="3"/>
      <c r="H374" s="3"/>
      <c r="I374" s="3"/>
      <c r="J374" s="3"/>
      <c r="K374" s="3"/>
      <c r="L374" s="3"/>
      <c r="M374" s="3"/>
      <c r="N374" s="3"/>
      <c r="O374" s="3"/>
      <c r="P374" s="3"/>
    </row>
    <row r="375" spans="1:16" x14ac:dyDescent="0.25">
      <c r="A375" s="59" t="str">
        <f>Fill_Value(print!A375)</f>
        <v/>
      </c>
      <c r="B375" s="59" t="str">
        <f>Fill_Value(print!B375)</f>
        <v/>
      </c>
      <c r="C375" s="59" t="str">
        <f>Fill_Value(print!C375)</f>
        <v/>
      </c>
      <c r="D375" s="25"/>
      <c r="E375" s="4"/>
      <c r="F375" s="4"/>
      <c r="G375" s="4"/>
      <c r="H375" s="4"/>
      <c r="I375" s="4"/>
      <c r="J375" s="4"/>
      <c r="K375" s="4"/>
      <c r="L375" s="4"/>
      <c r="M375" s="4"/>
      <c r="N375" s="4"/>
      <c r="O375" s="4"/>
      <c r="P375" s="4"/>
    </row>
    <row r="376" spans="1:16" x14ac:dyDescent="0.25">
      <c r="A376" s="47" t="str">
        <f>Fill_Value(print!A376)</f>
        <v/>
      </c>
      <c r="B376" s="47" t="str">
        <f>Fill_Value(print!B376)</f>
        <v/>
      </c>
      <c r="C376" s="47" t="str">
        <f>Fill_Value(print!C376)</f>
        <v/>
      </c>
      <c r="D376" s="22"/>
      <c r="E376" s="3"/>
      <c r="F376" s="3"/>
      <c r="G376" s="3"/>
      <c r="H376" s="3"/>
      <c r="I376" s="3"/>
      <c r="J376" s="3"/>
      <c r="K376" s="3"/>
      <c r="L376" s="3"/>
      <c r="M376" s="3"/>
      <c r="N376" s="3"/>
      <c r="O376" s="3"/>
      <c r="P376" s="3"/>
    </row>
    <row r="377" spans="1:16" x14ac:dyDescent="0.25">
      <c r="A377" s="59" t="str">
        <f>Fill_Value(print!A377)</f>
        <v/>
      </c>
      <c r="B377" s="59" t="str">
        <f>Fill_Value(print!B377)</f>
        <v/>
      </c>
      <c r="C377" s="59" t="str">
        <f>Fill_Value(print!C377)</f>
        <v/>
      </c>
      <c r="D377" s="25"/>
      <c r="E377" s="4"/>
      <c r="F377" s="4"/>
      <c r="G377" s="4"/>
      <c r="H377" s="4"/>
      <c r="I377" s="4"/>
      <c r="J377" s="4"/>
      <c r="K377" s="4"/>
      <c r="L377" s="4"/>
      <c r="M377" s="4"/>
      <c r="N377" s="4"/>
      <c r="O377" s="4"/>
      <c r="P377" s="4"/>
    </row>
    <row r="378" spans="1:16" x14ac:dyDescent="0.25">
      <c r="A378" s="47" t="str">
        <f>Fill_Value(print!A378)</f>
        <v/>
      </c>
      <c r="B378" s="47" t="str">
        <f>Fill_Value(print!B378)</f>
        <v/>
      </c>
      <c r="C378" s="47" t="str">
        <f>Fill_Value(print!C378)</f>
        <v/>
      </c>
      <c r="D378" s="22"/>
      <c r="E378" s="3"/>
      <c r="F378" s="3"/>
      <c r="G378" s="3"/>
      <c r="H378" s="3"/>
      <c r="I378" s="3"/>
      <c r="J378" s="3"/>
      <c r="K378" s="3"/>
      <c r="L378" s="3"/>
      <c r="M378" s="3"/>
      <c r="N378" s="3"/>
      <c r="O378" s="3"/>
      <c r="P378" s="3"/>
    </row>
    <row r="379" spans="1:16" x14ac:dyDescent="0.25">
      <c r="A379" s="59" t="str">
        <f>Fill_Value(print!A379)</f>
        <v/>
      </c>
      <c r="B379" s="59" t="str">
        <f>Fill_Value(print!B379)</f>
        <v/>
      </c>
      <c r="C379" s="59" t="str">
        <f>Fill_Value(print!C379)</f>
        <v/>
      </c>
      <c r="D379" s="25"/>
      <c r="E379" s="4"/>
      <c r="F379" s="4"/>
      <c r="G379" s="4"/>
      <c r="H379" s="4"/>
      <c r="I379" s="4"/>
      <c r="J379" s="4"/>
      <c r="K379" s="4"/>
      <c r="L379" s="4"/>
      <c r="M379" s="4"/>
      <c r="N379" s="4"/>
      <c r="O379" s="4"/>
      <c r="P379" s="4"/>
    </row>
    <row r="380" spans="1:16" x14ac:dyDescent="0.25">
      <c r="A380" s="47" t="str">
        <f>Fill_Value(print!A380)</f>
        <v/>
      </c>
      <c r="B380" s="47" t="str">
        <f>Fill_Value(print!B380)</f>
        <v/>
      </c>
      <c r="C380" s="47" t="str">
        <f>Fill_Value(print!C380)</f>
        <v/>
      </c>
      <c r="D380" s="22"/>
      <c r="E380" s="3"/>
      <c r="F380" s="3"/>
      <c r="G380" s="3"/>
      <c r="H380" s="3"/>
      <c r="I380" s="3"/>
      <c r="J380" s="3"/>
      <c r="K380" s="3"/>
      <c r="L380" s="3"/>
      <c r="M380" s="3"/>
      <c r="N380" s="3"/>
      <c r="O380" s="3"/>
      <c r="P380" s="3"/>
    </row>
    <row r="381" spans="1:16" x14ac:dyDescent="0.25">
      <c r="A381" s="59" t="str">
        <f>Fill_Value(print!A381)</f>
        <v/>
      </c>
      <c r="B381" s="59" t="str">
        <f>Fill_Value(print!B381)</f>
        <v/>
      </c>
      <c r="C381" s="59" t="str">
        <f>Fill_Value(print!C381)</f>
        <v/>
      </c>
      <c r="D381" s="25"/>
      <c r="E381" s="4"/>
      <c r="F381" s="4"/>
      <c r="G381" s="4"/>
      <c r="H381" s="4"/>
      <c r="I381" s="4"/>
      <c r="J381" s="4"/>
      <c r="K381" s="4"/>
      <c r="L381" s="4"/>
      <c r="M381" s="4"/>
      <c r="N381" s="4"/>
      <c r="O381" s="4"/>
      <c r="P381" s="4"/>
    </row>
    <row r="382" spans="1:16" x14ac:dyDescent="0.25">
      <c r="A382" s="47" t="str">
        <f>Fill_Value(print!A382)</f>
        <v/>
      </c>
      <c r="B382" s="47" t="str">
        <f>Fill_Value(print!B382)</f>
        <v/>
      </c>
      <c r="C382" s="47" t="str">
        <f>Fill_Value(print!C382)</f>
        <v/>
      </c>
      <c r="D382" s="22"/>
      <c r="E382" s="3"/>
      <c r="F382" s="3"/>
      <c r="G382" s="3"/>
      <c r="H382" s="3"/>
      <c r="I382" s="3"/>
      <c r="J382" s="3"/>
      <c r="K382" s="3"/>
      <c r="L382" s="3"/>
      <c r="M382" s="3"/>
      <c r="N382" s="3"/>
      <c r="O382" s="3"/>
      <c r="P382" s="3"/>
    </row>
    <row r="383" spans="1:16" x14ac:dyDescent="0.25">
      <c r="A383" s="59" t="str">
        <f>Fill_Value(print!A383)</f>
        <v/>
      </c>
      <c r="B383" s="59" t="str">
        <f>Fill_Value(print!B383)</f>
        <v/>
      </c>
      <c r="C383" s="59" t="str">
        <f>Fill_Value(print!C383)</f>
        <v/>
      </c>
      <c r="D383" s="25"/>
      <c r="E383" s="4"/>
      <c r="F383" s="4"/>
      <c r="G383" s="4"/>
      <c r="H383" s="4"/>
      <c r="I383" s="4"/>
      <c r="J383" s="4"/>
      <c r="K383" s="4"/>
      <c r="L383" s="4"/>
      <c r="M383" s="4"/>
      <c r="N383" s="4"/>
      <c r="O383" s="4"/>
      <c r="P383" s="4"/>
    </row>
    <row r="384" spans="1:16" x14ac:dyDescent="0.25">
      <c r="A384" s="47" t="str">
        <f>Fill_Value(print!A384)</f>
        <v/>
      </c>
      <c r="B384" s="47" t="str">
        <f>Fill_Value(print!B384)</f>
        <v/>
      </c>
      <c r="C384" s="47" t="str">
        <f>Fill_Value(print!C384)</f>
        <v/>
      </c>
      <c r="D384" s="22"/>
      <c r="E384" s="3"/>
      <c r="F384" s="3"/>
      <c r="G384" s="3"/>
      <c r="H384" s="3"/>
      <c r="I384" s="3"/>
      <c r="J384" s="3"/>
      <c r="K384" s="3"/>
      <c r="L384" s="3"/>
      <c r="M384" s="3"/>
      <c r="N384" s="3"/>
      <c r="O384" s="3"/>
      <c r="P384" s="3"/>
    </row>
    <row r="385" spans="1:16" x14ac:dyDescent="0.25">
      <c r="A385" s="59" t="str">
        <f>Fill_Value(print!A385)</f>
        <v/>
      </c>
      <c r="B385" s="59" t="str">
        <f>Fill_Value(print!B385)</f>
        <v/>
      </c>
      <c r="C385" s="59" t="str">
        <f>Fill_Value(print!C385)</f>
        <v/>
      </c>
      <c r="D385" s="25"/>
      <c r="E385" s="4"/>
      <c r="F385" s="4"/>
      <c r="G385" s="4"/>
      <c r="H385" s="4"/>
      <c r="I385" s="4"/>
      <c r="J385" s="4"/>
      <c r="K385" s="4"/>
      <c r="L385" s="4"/>
      <c r="M385" s="4"/>
      <c r="N385" s="4"/>
      <c r="O385" s="4"/>
      <c r="P385" s="4"/>
    </row>
    <row r="386" spans="1:16" x14ac:dyDescent="0.25">
      <c r="A386" s="47" t="str">
        <f>Fill_Value(print!A386)</f>
        <v/>
      </c>
      <c r="B386" s="47" t="str">
        <f>Fill_Value(print!B386)</f>
        <v/>
      </c>
      <c r="C386" s="47" t="str">
        <f>Fill_Value(print!C386)</f>
        <v/>
      </c>
      <c r="D386" s="22"/>
      <c r="E386" s="3"/>
      <c r="F386" s="3"/>
      <c r="G386" s="3"/>
      <c r="H386" s="3"/>
      <c r="I386" s="3"/>
      <c r="J386" s="3"/>
      <c r="K386" s="3"/>
      <c r="L386" s="3"/>
      <c r="M386" s="3"/>
      <c r="N386" s="3"/>
      <c r="O386" s="3"/>
      <c r="P386" s="3"/>
    </row>
    <row r="387" spans="1:16" x14ac:dyDescent="0.25">
      <c r="A387" s="59" t="str">
        <f>Fill_Value(print!A387)</f>
        <v/>
      </c>
      <c r="B387" s="59" t="str">
        <f>Fill_Value(print!B387)</f>
        <v/>
      </c>
      <c r="C387" s="59" t="str">
        <f>Fill_Value(print!C387)</f>
        <v/>
      </c>
      <c r="D387" s="25"/>
      <c r="E387" s="4"/>
      <c r="F387" s="4"/>
      <c r="G387" s="4"/>
      <c r="H387" s="4"/>
      <c r="I387" s="4"/>
      <c r="J387" s="4"/>
      <c r="K387" s="4"/>
      <c r="L387" s="4"/>
      <c r="M387" s="4"/>
      <c r="N387" s="4"/>
      <c r="O387" s="4"/>
      <c r="P387" s="4"/>
    </row>
    <row r="388" spans="1:16" x14ac:dyDescent="0.25">
      <c r="A388" s="47" t="str">
        <f>Fill_Value(print!A388)</f>
        <v/>
      </c>
      <c r="B388" s="47" t="str">
        <f>Fill_Value(print!B388)</f>
        <v/>
      </c>
      <c r="C388" s="47" t="str">
        <f>Fill_Value(print!C388)</f>
        <v/>
      </c>
      <c r="D388" s="22"/>
      <c r="E388" s="3"/>
      <c r="F388" s="3"/>
      <c r="G388" s="3"/>
      <c r="H388" s="3"/>
      <c r="I388" s="3"/>
      <c r="J388" s="3"/>
      <c r="K388" s="3"/>
      <c r="L388" s="3"/>
      <c r="M388" s="3"/>
      <c r="N388" s="3"/>
      <c r="O388" s="3"/>
      <c r="P388" s="3"/>
    </row>
    <row r="389" spans="1:16" x14ac:dyDescent="0.25">
      <c r="A389" s="59" t="str">
        <f>Fill_Value(print!A389)</f>
        <v/>
      </c>
      <c r="B389" s="59" t="str">
        <f>Fill_Value(print!B389)</f>
        <v/>
      </c>
      <c r="C389" s="59" t="str">
        <f>Fill_Value(print!C389)</f>
        <v/>
      </c>
      <c r="D389" s="25"/>
      <c r="E389" s="4"/>
      <c r="F389" s="4"/>
      <c r="G389" s="4"/>
      <c r="H389" s="4"/>
      <c r="I389" s="4"/>
      <c r="J389" s="4"/>
      <c r="K389" s="4"/>
      <c r="L389" s="4"/>
      <c r="M389" s="4"/>
      <c r="N389" s="4"/>
      <c r="O389" s="4"/>
      <c r="P389" s="4"/>
    </row>
    <row r="390" spans="1:16" x14ac:dyDescent="0.25">
      <c r="A390" s="47" t="str">
        <f>Fill_Value(print!A390)</f>
        <v/>
      </c>
      <c r="B390" s="47" t="str">
        <f>Fill_Value(print!B390)</f>
        <v/>
      </c>
      <c r="C390" s="47" t="str">
        <f>Fill_Value(print!C390)</f>
        <v/>
      </c>
      <c r="D390" s="22"/>
      <c r="E390" s="3"/>
      <c r="F390" s="3"/>
      <c r="G390" s="3"/>
      <c r="H390" s="3"/>
      <c r="I390" s="3"/>
      <c r="J390" s="3"/>
      <c r="K390" s="3"/>
      <c r="L390" s="3"/>
      <c r="M390" s="3"/>
      <c r="N390" s="3"/>
      <c r="O390" s="3"/>
      <c r="P390" s="3"/>
    </row>
    <row r="391" spans="1:16" x14ac:dyDescent="0.25">
      <c r="A391" s="59" t="str">
        <f>Fill_Value(print!A391)</f>
        <v/>
      </c>
      <c r="B391" s="59" t="str">
        <f>Fill_Value(print!B391)</f>
        <v/>
      </c>
      <c r="C391" s="59" t="str">
        <f>Fill_Value(print!C391)</f>
        <v/>
      </c>
      <c r="D391" s="25"/>
      <c r="E391" s="4"/>
      <c r="F391" s="4"/>
      <c r="G391" s="4"/>
      <c r="H391" s="4"/>
      <c r="I391" s="4"/>
      <c r="J391" s="4"/>
      <c r="K391" s="4"/>
      <c r="L391" s="4"/>
      <c r="M391" s="4"/>
      <c r="N391" s="4"/>
      <c r="O391" s="4"/>
      <c r="P391" s="4"/>
    </row>
    <row r="392" spans="1:16" x14ac:dyDescent="0.25">
      <c r="A392" s="47" t="str">
        <f>Fill_Value(print!A392)</f>
        <v/>
      </c>
      <c r="B392" s="47" t="str">
        <f>Fill_Value(print!B392)</f>
        <v/>
      </c>
      <c r="C392" s="47" t="str">
        <f>Fill_Value(print!C392)</f>
        <v/>
      </c>
      <c r="D392" s="22"/>
      <c r="E392" s="3"/>
      <c r="F392" s="3"/>
      <c r="G392" s="3"/>
      <c r="H392" s="3"/>
      <c r="I392" s="3"/>
      <c r="J392" s="3"/>
      <c r="K392" s="3"/>
      <c r="L392" s="3"/>
      <c r="M392" s="3"/>
      <c r="N392" s="3"/>
      <c r="O392" s="3"/>
      <c r="P392" s="3"/>
    </row>
    <row r="393" spans="1:16" x14ac:dyDescent="0.25">
      <c r="A393" s="59" t="str">
        <f>Fill_Value(print!A393)</f>
        <v/>
      </c>
      <c r="B393" s="59" t="str">
        <f>Fill_Value(print!B393)</f>
        <v/>
      </c>
      <c r="C393" s="59" t="str">
        <f>Fill_Value(print!C393)</f>
        <v/>
      </c>
      <c r="D393" s="25"/>
      <c r="E393" s="4"/>
      <c r="F393" s="4"/>
      <c r="G393" s="4"/>
      <c r="H393" s="4"/>
      <c r="I393" s="4"/>
      <c r="J393" s="4"/>
      <c r="K393" s="4"/>
      <c r="L393" s="4"/>
      <c r="M393" s="4"/>
      <c r="N393" s="4"/>
      <c r="O393" s="4"/>
      <c r="P393" s="4"/>
    </row>
    <row r="394" spans="1:16" x14ac:dyDescent="0.25">
      <c r="A394" s="47" t="str">
        <f>Fill_Value(print!A394)</f>
        <v/>
      </c>
      <c r="B394" s="47" t="str">
        <f>Fill_Value(print!B394)</f>
        <v/>
      </c>
      <c r="C394" s="47" t="str">
        <f>Fill_Value(print!C394)</f>
        <v/>
      </c>
      <c r="D394" s="22"/>
      <c r="E394" s="3"/>
      <c r="F394" s="3"/>
      <c r="G394" s="3"/>
      <c r="H394" s="3"/>
      <c r="I394" s="3"/>
      <c r="J394" s="3"/>
      <c r="K394" s="3"/>
      <c r="L394" s="3"/>
      <c r="M394" s="3"/>
      <c r="N394" s="3"/>
      <c r="O394" s="3"/>
      <c r="P394" s="3"/>
    </row>
    <row r="395" spans="1:16" x14ac:dyDescent="0.25">
      <c r="A395" s="59" t="str">
        <f>Fill_Value(print!A395)</f>
        <v/>
      </c>
      <c r="B395" s="59" t="str">
        <f>Fill_Value(print!B395)</f>
        <v/>
      </c>
      <c r="C395" s="59" t="str">
        <f>Fill_Value(print!C395)</f>
        <v/>
      </c>
      <c r="D395" s="25"/>
      <c r="E395" s="4"/>
      <c r="F395" s="4"/>
      <c r="G395" s="4"/>
      <c r="H395" s="4"/>
      <c r="I395" s="4"/>
      <c r="J395" s="4"/>
      <c r="K395" s="4"/>
      <c r="L395" s="4"/>
      <c r="M395" s="4"/>
      <c r="N395" s="4"/>
      <c r="O395" s="4"/>
      <c r="P395" s="4"/>
    </row>
    <row r="396" spans="1:16" x14ac:dyDescent="0.25">
      <c r="A396" s="47" t="str">
        <f>Fill_Value(print!A396)</f>
        <v/>
      </c>
      <c r="B396" s="47" t="str">
        <f>Fill_Value(print!B396)</f>
        <v/>
      </c>
      <c r="C396" s="47" t="str">
        <f>Fill_Value(print!C396)</f>
        <v/>
      </c>
      <c r="D396" s="22"/>
      <c r="E396" s="3"/>
      <c r="F396" s="3"/>
      <c r="G396" s="3"/>
      <c r="H396" s="3"/>
      <c r="I396" s="3"/>
      <c r="J396" s="3"/>
      <c r="K396" s="3"/>
      <c r="L396" s="3"/>
      <c r="M396" s="3"/>
      <c r="N396" s="3"/>
      <c r="O396" s="3"/>
      <c r="P396" s="3"/>
    </row>
    <row r="397" spans="1:16" x14ac:dyDescent="0.25">
      <c r="A397" s="59" t="str">
        <f>Fill_Value(print!A397)</f>
        <v/>
      </c>
      <c r="B397" s="59" t="str">
        <f>Fill_Value(print!B397)</f>
        <v/>
      </c>
      <c r="C397" s="59" t="str">
        <f>Fill_Value(print!C397)</f>
        <v/>
      </c>
      <c r="D397" s="25"/>
      <c r="E397" s="4"/>
      <c r="F397" s="4"/>
      <c r="G397" s="4"/>
      <c r="H397" s="4"/>
      <c r="I397" s="4"/>
      <c r="J397" s="4"/>
      <c r="K397" s="4"/>
      <c r="L397" s="4"/>
      <c r="M397" s="4"/>
      <c r="N397" s="4"/>
      <c r="O397" s="4"/>
      <c r="P397" s="4"/>
    </row>
    <row r="398" spans="1:16" x14ac:dyDescent="0.25">
      <c r="A398" s="47" t="str">
        <f>Fill_Value(print!A398)</f>
        <v/>
      </c>
      <c r="B398" s="47" t="str">
        <f>Fill_Value(print!B398)</f>
        <v/>
      </c>
      <c r="C398" s="47" t="str">
        <f>Fill_Value(print!C398)</f>
        <v/>
      </c>
      <c r="D398" s="22"/>
      <c r="E398" s="3"/>
      <c r="F398" s="3"/>
      <c r="G398" s="3"/>
      <c r="H398" s="3"/>
      <c r="I398" s="3"/>
      <c r="J398" s="3"/>
      <c r="K398" s="3"/>
      <c r="L398" s="3"/>
      <c r="M398" s="3"/>
      <c r="N398" s="3"/>
      <c r="O398" s="3"/>
      <c r="P398" s="3"/>
    </row>
    <row r="399" spans="1:16" x14ac:dyDescent="0.25">
      <c r="A399" s="59" t="str">
        <f>Fill_Value(print!A399)</f>
        <v/>
      </c>
      <c r="B399" s="59" t="str">
        <f>Fill_Value(print!B399)</f>
        <v/>
      </c>
      <c r="C399" s="59" t="str">
        <f>Fill_Value(print!C399)</f>
        <v/>
      </c>
      <c r="D399" s="25"/>
      <c r="E399" s="4"/>
      <c r="F399" s="4"/>
      <c r="G399" s="4"/>
      <c r="H399" s="4"/>
      <c r="I399" s="4"/>
      <c r="J399" s="4"/>
      <c r="K399" s="4"/>
      <c r="L399" s="4"/>
      <c r="M399" s="4"/>
      <c r="N399" s="4"/>
      <c r="O399" s="4"/>
      <c r="P399" s="4"/>
    </row>
    <row r="400" spans="1:16" x14ac:dyDescent="0.25">
      <c r="A400" s="47" t="str">
        <f>Fill_Value(print!A400)</f>
        <v/>
      </c>
      <c r="B400" s="47" t="str">
        <f>Fill_Value(print!B400)</f>
        <v/>
      </c>
      <c r="C400" s="47" t="str">
        <f>Fill_Value(print!C400)</f>
        <v/>
      </c>
      <c r="D400" s="22"/>
      <c r="E400" s="3"/>
      <c r="F400" s="3"/>
      <c r="G400" s="3"/>
      <c r="H400" s="3"/>
      <c r="I400" s="3"/>
      <c r="J400" s="3"/>
      <c r="K400" s="3"/>
      <c r="L400" s="3"/>
      <c r="M400" s="3"/>
      <c r="N400" s="3"/>
      <c r="O400" s="3"/>
      <c r="P400" s="3"/>
    </row>
    <row r="401" spans="1:16" x14ac:dyDescent="0.25">
      <c r="A401" s="59" t="str">
        <f>Fill_Value(print!A407)</f>
        <v/>
      </c>
      <c r="B401" s="59" t="str">
        <f>Fill_Value(print!B400)</f>
        <v/>
      </c>
      <c r="C401" s="59" t="str">
        <f>Fill_Value(print!C400)</f>
        <v/>
      </c>
      <c r="D401" s="25"/>
      <c r="E401" s="4"/>
      <c r="F401" s="4"/>
      <c r="G401" s="4"/>
      <c r="H401" s="4"/>
      <c r="I401" s="4"/>
      <c r="J401" s="4"/>
      <c r="K401" s="4"/>
      <c r="L401" s="4"/>
      <c r="M401" s="4"/>
      <c r="N401" s="4"/>
      <c r="O401" s="4"/>
      <c r="P401" s="4"/>
    </row>
    <row r="402" spans="1:16" x14ac:dyDescent="0.25">
      <c r="A402" s="47" t="str">
        <f>Fill_Value(print!A408)</f>
        <v/>
      </c>
      <c r="B402" s="47" t="str">
        <f>Fill_Value(print!B401)</f>
        <v/>
      </c>
      <c r="C402" s="47" t="str">
        <f>Fill_Value(print!C401)</f>
        <v/>
      </c>
      <c r="D402" s="22"/>
      <c r="E402" s="3"/>
      <c r="F402" s="3"/>
      <c r="G402" s="3"/>
      <c r="H402" s="3"/>
      <c r="I402" s="3"/>
      <c r="J402" s="3"/>
      <c r="K402" s="3"/>
      <c r="L402" s="3"/>
      <c r="M402" s="3"/>
      <c r="N402" s="3"/>
      <c r="O402" s="3"/>
      <c r="P402" s="3"/>
    </row>
    <row r="403" spans="1:16" x14ac:dyDescent="0.25">
      <c r="A403" s="59" t="str">
        <f>Fill_Value(print!A409)</f>
        <v/>
      </c>
      <c r="B403" s="59" t="str">
        <f>Fill_Value(print!B402)</f>
        <v/>
      </c>
      <c r="C403" s="59" t="str">
        <f>Fill_Value(print!C402)</f>
        <v/>
      </c>
      <c r="D403" s="25"/>
      <c r="E403" s="4"/>
      <c r="F403" s="4"/>
      <c r="G403" s="4"/>
      <c r="H403" s="4"/>
      <c r="I403" s="4"/>
      <c r="J403" s="4"/>
      <c r="K403" s="4"/>
      <c r="L403" s="4"/>
      <c r="M403" s="4"/>
      <c r="N403" s="4"/>
      <c r="O403" s="4"/>
      <c r="P403" s="4"/>
    </row>
    <row r="404" spans="1:16" x14ac:dyDescent="0.25">
      <c r="A404" s="47" t="str">
        <f>Fill_Value(print!A410)</f>
        <v/>
      </c>
      <c r="B404" s="47" t="str">
        <f>Fill_Value(print!B403)</f>
        <v/>
      </c>
      <c r="C404" s="47" t="str">
        <f>Fill_Value(print!C403)</f>
        <v/>
      </c>
      <c r="D404" s="22"/>
      <c r="E404" s="3"/>
      <c r="F404" s="3"/>
      <c r="G404" s="3"/>
      <c r="H404" s="3"/>
      <c r="I404" s="3"/>
      <c r="J404" s="3"/>
      <c r="K404" s="3"/>
      <c r="L404" s="3"/>
      <c r="M404" s="3"/>
      <c r="N404" s="3"/>
      <c r="O404" s="3"/>
      <c r="P404" s="3"/>
    </row>
    <row r="405" spans="1:16" x14ac:dyDescent="0.25">
      <c r="A405" s="59" t="str">
        <f>Fill_Value(print!A411)</f>
        <v/>
      </c>
      <c r="B405" s="59" t="str">
        <f>Fill_Value(print!B404)</f>
        <v/>
      </c>
      <c r="C405" s="59" t="str">
        <f>Fill_Value(print!C404)</f>
        <v/>
      </c>
      <c r="D405" s="25"/>
      <c r="E405" s="4"/>
      <c r="F405" s="4"/>
      <c r="G405" s="4"/>
      <c r="H405" s="4"/>
      <c r="I405" s="4"/>
      <c r="J405" s="4"/>
      <c r="K405" s="4"/>
      <c r="L405" s="4"/>
      <c r="M405" s="4"/>
      <c r="N405" s="4"/>
      <c r="O405" s="4"/>
      <c r="P405" s="4"/>
    </row>
    <row r="406" spans="1:16" x14ac:dyDescent="0.25">
      <c r="A406" s="47" t="str">
        <f>Fill_Value(print!A412)</f>
        <v/>
      </c>
      <c r="B406" s="47" t="str">
        <f>Fill_Value(print!B405)</f>
        <v/>
      </c>
      <c r="C406" s="47" t="str">
        <f>Fill_Value(print!C405)</f>
        <v/>
      </c>
      <c r="D406" s="22"/>
      <c r="E406" s="3"/>
      <c r="F406" s="3"/>
      <c r="G406" s="3"/>
      <c r="H406" s="3"/>
      <c r="I406" s="3"/>
      <c r="J406" s="3"/>
      <c r="K406" s="3"/>
      <c r="L406" s="3"/>
      <c r="M406" s="3"/>
      <c r="N406" s="3"/>
      <c r="O406" s="3"/>
      <c r="P406" s="3"/>
    </row>
    <row r="407" spans="1:16" x14ac:dyDescent="0.25">
      <c r="A407" s="59" t="str">
        <f>Fill_Value(print!A413)</f>
        <v/>
      </c>
      <c r="B407" s="59" t="str">
        <f>Fill_Value(print!B406)</f>
        <v/>
      </c>
      <c r="C407" s="59" t="str">
        <f>Fill_Value(print!C406)</f>
        <v/>
      </c>
      <c r="D407" s="25"/>
      <c r="E407" s="4"/>
      <c r="F407" s="4"/>
      <c r="G407" s="4"/>
      <c r="H407" s="4"/>
      <c r="I407" s="4"/>
      <c r="J407" s="4"/>
      <c r="K407" s="4"/>
      <c r="L407" s="4"/>
      <c r="M407" s="4"/>
      <c r="N407" s="4"/>
      <c r="O407" s="4"/>
      <c r="P407" s="4"/>
    </row>
    <row r="408" spans="1:16" x14ac:dyDescent="0.25">
      <c r="A408" s="47" t="str">
        <f>Fill_Value(print!A414)</f>
        <v/>
      </c>
      <c r="B408" s="47" t="str">
        <f>Fill_Value(print!B407)</f>
        <v/>
      </c>
      <c r="C408" s="47" t="str">
        <f>Fill_Value(print!C407)</f>
        <v/>
      </c>
      <c r="D408" s="22"/>
      <c r="E408" s="3"/>
      <c r="F408" s="3"/>
      <c r="G408" s="3"/>
      <c r="H408" s="3"/>
      <c r="I408" s="3"/>
      <c r="J408" s="3"/>
      <c r="K408" s="3"/>
      <c r="L408" s="3"/>
      <c r="M408" s="3"/>
      <c r="N408" s="3"/>
      <c r="O408" s="3"/>
      <c r="P408" s="3"/>
    </row>
    <row r="409" spans="1:16" x14ac:dyDescent="0.25">
      <c r="A409" s="59" t="str">
        <f>Fill_Value(print!A415)</f>
        <v/>
      </c>
      <c r="B409" s="59" t="str">
        <f>Fill_Value(print!B408)</f>
        <v/>
      </c>
      <c r="C409" s="59" t="str">
        <f>Fill_Value(print!C408)</f>
        <v/>
      </c>
      <c r="D409" s="25"/>
      <c r="E409" s="4"/>
      <c r="F409" s="4"/>
      <c r="G409" s="4"/>
      <c r="H409" s="4"/>
      <c r="I409" s="4"/>
      <c r="J409" s="4"/>
      <c r="K409" s="4"/>
      <c r="L409" s="4"/>
      <c r="M409" s="4"/>
      <c r="N409" s="4"/>
      <c r="O409" s="4"/>
      <c r="P409" s="4"/>
    </row>
    <row r="410" spans="1:16" x14ac:dyDescent="0.25">
      <c r="A410" s="47" t="str">
        <f>Fill_Value(print!A416)</f>
        <v/>
      </c>
      <c r="B410" s="47" t="str">
        <f>Fill_Value(print!B409)</f>
        <v/>
      </c>
      <c r="C410" s="47" t="str">
        <f>Fill_Value(print!C409)</f>
        <v/>
      </c>
      <c r="D410" s="22"/>
      <c r="E410" s="3"/>
      <c r="F410" s="3"/>
      <c r="G410" s="3"/>
      <c r="H410" s="3"/>
      <c r="I410" s="3"/>
      <c r="J410" s="3"/>
      <c r="K410" s="3"/>
      <c r="L410" s="3"/>
      <c r="M410" s="3"/>
      <c r="N410" s="3"/>
      <c r="O410" s="3"/>
      <c r="P410" s="3"/>
    </row>
    <row r="411" spans="1:16" x14ac:dyDescent="0.25">
      <c r="A411" s="59" t="str">
        <f>Fill_Value(print!A417)</f>
        <v/>
      </c>
      <c r="B411" s="59" t="str">
        <f>Fill_Value(print!B410)</f>
        <v/>
      </c>
      <c r="C411" s="59" t="str">
        <f>Fill_Value(print!C410)</f>
        <v/>
      </c>
      <c r="D411" s="25"/>
      <c r="E411" s="4"/>
      <c r="F411" s="4"/>
      <c r="G411" s="4"/>
      <c r="H411" s="4"/>
      <c r="I411" s="4"/>
      <c r="J411" s="4"/>
      <c r="K411" s="4"/>
      <c r="L411" s="4"/>
      <c r="M411" s="4"/>
      <c r="N411" s="4"/>
      <c r="O411" s="4"/>
      <c r="P411" s="4"/>
    </row>
    <row r="412" spans="1:16" x14ac:dyDescent="0.25">
      <c r="A412" s="47" t="str">
        <f>Fill_Value(print!A418)</f>
        <v/>
      </c>
      <c r="B412" s="47" t="str">
        <f>Fill_Value(print!B411)</f>
        <v/>
      </c>
      <c r="C412" s="47" t="str">
        <f>Fill_Value(print!C411)</f>
        <v/>
      </c>
      <c r="D412" s="22"/>
      <c r="E412" s="3"/>
      <c r="F412" s="3"/>
      <c r="G412" s="3"/>
      <c r="H412" s="3"/>
      <c r="I412" s="3"/>
      <c r="J412" s="3"/>
      <c r="K412" s="3"/>
      <c r="L412" s="3"/>
      <c r="M412" s="3"/>
      <c r="N412" s="3"/>
      <c r="O412" s="3"/>
      <c r="P412" s="3"/>
    </row>
    <row r="413" spans="1:16" x14ac:dyDescent="0.25">
      <c r="A413" s="59" t="str">
        <f>Fill_Value(print!A419)</f>
        <v/>
      </c>
      <c r="B413" s="59" t="str">
        <f>Fill_Value(print!B412)</f>
        <v/>
      </c>
      <c r="C413" s="59" t="str">
        <f>Fill_Value(print!C412)</f>
        <v/>
      </c>
      <c r="D413" s="25"/>
      <c r="E413" s="4"/>
      <c r="F413" s="4"/>
      <c r="G413" s="4"/>
      <c r="H413" s="4"/>
      <c r="I413" s="4"/>
      <c r="J413" s="4"/>
      <c r="K413" s="4"/>
      <c r="L413" s="4"/>
      <c r="M413" s="4"/>
      <c r="N413" s="4"/>
      <c r="O413" s="4"/>
      <c r="P413" s="4"/>
    </row>
    <row r="414" spans="1:16" x14ac:dyDescent="0.25">
      <c r="A414" s="47" t="str">
        <f>Fill_Value(print!A420)</f>
        <v/>
      </c>
      <c r="B414" s="47" t="str">
        <f>Fill_Value(print!B413)</f>
        <v/>
      </c>
      <c r="C414" s="47" t="str">
        <f>Fill_Value(print!C413)</f>
        <v/>
      </c>
      <c r="D414" s="22"/>
      <c r="E414" s="3"/>
      <c r="F414" s="3"/>
      <c r="G414" s="3"/>
      <c r="H414" s="3"/>
      <c r="I414" s="3"/>
      <c r="J414" s="3"/>
      <c r="K414" s="3"/>
      <c r="L414" s="3"/>
      <c r="M414" s="3"/>
      <c r="N414" s="3"/>
      <c r="O414" s="3"/>
      <c r="P414" s="3"/>
    </row>
    <row r="415" spans="1:16" x14ac:dyDescent="0.25">
      <c r="A415" s="59" t="str">
        <f>Fill_Value(print!A421)</f>
        <v/>
      </c>
      <c r="B415" s="59" t="str">
        <f>Fill_Value(print!B414)</f>
        <v/>
      </c>
      <c r="C415" s="59" t="str">
        <f>Fill_Value(print!C414)</f>
        <v/>
      </c>
      <c r="D415" s="25"/>
      <c r="E415" s="4"/>
      <c r="F415" s="4"/>
      <c r="G415" s="4"/>
      <c r="H415" s="4"/>
      <c r="I415" s="4"/>
      <c r="J415" s="4"/>
      <c r="K415" s="4"/>
      <c r="L415" s="4"/>
      <c r="M415" s="4"/>
      <c r="N415" s="4"/>
      <c r="O415" s="4"/>
      <c r="P415" s="4"/>
    </row>
    <row r="416" spans="1:16" x14ac:dyDescent="0.25">
      <c r="A416" s="47" t="str">
        <f>Fill_Value(print!A422)</f>
        <v/>
      </c>
      <c r="B416" s="47" t="str">
        <f>Fill_Value(print!B415)</f>
        <v/>
      </c>
      <c r="C416" s="47" t="str">
        <f>Fill_Value(print!C415)</f>
        <v/>
      </c>
      <c r="D416" s="22"/>
      <c r="E416" s="3"/>
      <c r="F416" s="3"/>
      <c r="G416" s="3"/>
      <c r="H416" s="3"/>
      <c r="I416" s="3"/>
      <c r="J416" s="3"/>
      <c r="K416" s="3"/>
      <c r="L416" s="3"/>
      <c r="M416" s="3"/>
      <c r="N416" s="3"/>
      <c r="O416" s="3"/>
      <c r="P416" s="3"/>
    </row>
    <row r="417" spans="1:16" x14ac:dyDescent="0.25">
      <c r="A417" s="59" t="str">
        <f>Fill_Value(print!A423)</f>
        <v/>
      </c>
      <c r="B417" s="59" t="str">
        <f>Fill_Value(print!B416)</f>
        <v/>
      </c>
      <c r="C417" s="59" t="str">
        <f>Fill_Value(print!C416)</f>
        <v/>
      </c>
      <c r="D417" s="25"/>
      <c r="E417" s="4"/>
      <c r="F417" s="4"/>
      <c r="G417" s="4"/>
      <c r="H417" s="4"/>
      <c r="I417" s="4"/>
      <c r="J417" s="4"/>
      <c r="K417" s="4"/>
      <c r="L417" s="4"/>
      <c r="M417" s="4"/>
      <c r="N417" s="4"/>
      <c r="O417" s="4"/>
      <c r="P417" s="4"/>
    </row>
    <row r="418" spans="1:16" x14ac:dyDescent="0.25">
      <c r="A418" s="47" t="str">
        <f>Fill_Value(print!A424)</f>
        <v/>
      </c>
      <c r="B418" s="47" t="str">
        <f>Fill_Value(print!B417)</f>
        <v/>
      </c>
      <c r="C418" s="47" t="str">
        <f>Fill_Value(print!C417)</f>
        <v/>
      </c>
      <c r="D418" s="22"/>
      <c r="E418" s="3"/>
      <c r="F418" s="3"/>
      <c r="G418" s="3"/>
      <c r="H418" s="3"/>
      <c r="I418" s="3"/>
      <c r="J418" s="3"/>
      <c r="K418" s="3"/>
      <c r="L418" s="3"/>
      <c r="M418" s="3"/>
      <c r="N418" s="3"/>
      <c r="O418" s="3"/>
      <c r="P418" s="3"/>
    </row>
    <row r="419" spans="1:16" x14ac:dyDescent="0.25">
      <c r="A419" s="59"/>
      <c r="B419" s="59"/>
      <c r="C419" s="59"/>
      <c r="D419" s="25"/>
      <c r="E419" s="4"/>
      <c r="F419" s="4"/>
      <c r="G419" s="4"/>
      <c r="H419" s="4"/>
      <c r="I419" s="4"/>
      <c r="J419" s="4"/>
      <c r="K419" s="4"/>
      <c r="L419" s="4"/>
      <c r="M419" s="4"/>
      <c r="N419" s="4"/>
      <c r="O419" s="4"/>
      <c r="P419" s="4"/>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59" activePane="bottomLeft" state="frozen"/>
      <selection pane="bottomLeft" activeCell="E22" sqref="E22"/>
    </sheetView>
  </sheetViews>
  <sheetFormatPr defaultRowHeight="15" x14ac:dyDescent="0.25"/>
  <cols>
    <col min="1" max="1" width="21.28515625" customWidth="1"/>
    <col min="2" max="2" width="41.7109375" bestFit="1" customWidth="1"/>
    <col min="3" max="3" width="19.85546875" bestFit="1" customWidth="1"/>
    <col min="4" max="4" width="19.85546875" customWidth="1"/>
    <col min="5" max="5" width="20.28515625" style="36" customWidth="1"/>
    <col min="6" max="16" width="9.140625" style="36"/>
    <col min="17" max="17" width="73.85546875" customWidth="1"/>
  </cols>
  <sheetData>
    <row r="1" spans="1:17" x14ac:dyDescent="0.25">
      <c r="A1" s="41" t="s">
        <v>1094</v>
      </c>
      <c r="B1" s="41" t="s">
        <v>1095</v>
      </c>
      <c r="C1" s="32" t="s">
        <v>1096</v>
      </c>
      <c r="D1" s="32" t="s">
        <v>1097</v>
      </c>
      <c r="E1" s="32" t="s">
        <v>100</v>
      </c>
      <c r="F1" s="60" t="s">
        <v>236</v>
      </c>
      <c r="G1" s="61" t="s">
        <v>237</v>
      </c>
      <c r="H1" s="61">
        <v>0.24</v>
      </c>
      <c r="I1" s="61">
        <v>0.28000000000000003</v>
      </c>
      <c r="J1" s="61" t="s">
        <v>238</v>
      </c>
      <c r="K1" s="61" t="s">
        <v>239</v>
      </c>
      <c r="L1" s="61" t="s">
        <v>240</v>
      </c>
      <c r="M1" s="61" t="s">
        <v>241</v>
      </c>
      <c r="N1" s="61" t="s">
        <v>242</v>
      </c>
      <c r="O1" s="61" t="s">
        <v>243</v>
      </c>
      <c r="P1" s="61" t="s">
        <v>244</v>
      </c>
      <c r="Q1" s="2" t="s">
        <v>206</v>
      </c>
    </row>
    <row r="2" spans="1:17" x14ac:dyDescent="0.25">
      <c r="A2" s="3"/>
      <c r="B2" s="3"/>
      <c r="C2" s="3"/>
      <c r="D2" s="3" t="s">
        <v>1102</v>
      </c>
      <c r="E2" s="22" t="s">
        <v>142</v>
      </c>
      <c r="F2" s="82" t="s">
        <v>749</v>
      </c>
      <c r="G2" s="82" t="s">
        <v>750</v>
      </c>
      <c r="H2" s="82" t="s">
        <v>751</v>
      </c>
      <c r="I2" s="82" t="s">
        <v>752</v>
      </c>
      <c r="J2" s="82" t="s">
        <v>753</v>
      </c>
      <c r="K2" s="82" t="s">
        <v>754</v>
      </c>
      <c r="L2" s="82" t="s">
        <v>755</v>
      </c>
      <c r="M2" s="82" t="s">
        <v>756</v>
      </c>
      <c r="N2" s="82" t="s">
        <v>757</v>
      </c>
      <c r="O2" s="82" t="s">
        <v>758</v>
      </c>
      <c r="P2" s="82" t="s">
        <v>759</v>
      </c>
      <c r="Q2" s="3"/>
    </row>
    <row r="3" spans="1:17" x14ac:dyDescent="0.25">
      <c r="A3" s="4" t="s">
        <v>464</v>
      </c>
      <c r="B3" s="4"/>
      <c r="C3" s="4"/>
      <c r="D3" s="4"/>
      <c r="E3" s="25"/>
      <c r="F3" s="25"/>
      <c r="G3" s="25"/>
      <c r="H3" s="25"/>
      <c r="I3" s="25"/>
      <c r="J3" s="25"/>
      <c r="K3" s="25"/>
      <c r="L3" s="25"/>
      <c r="M3" s="25"/>
      <c r="N3" s="25"/>
      <c r="O3" s="25"/>
      <c r="P3" s="25"/>
      <c r="Q3" s="4"/>
    </row>
    <row r="4" spans="1:17" x14ac:dyDescent="0.25">
      <c r="A4" s="3" t="s">
        <v>473</v>
      </c>
      <c r="B4" s="3" t="s">
        <v>465</v>
      </c>
      <c r="C4" s="3"/>
      <c r="D4" s="3"/>
      <c r="E4" s="22" t="str">
        <f xml:space="preserve"> UPPER(Printer_Name &amp; " " &amp;E2)</f>
        <v>ANYCUBIC E3D V6 0.6 MM ABS</v>
      </c>
      <c r="F4" s="22"/>
      <c r="G4" s="22"/>
      <c r="H4" s="22"/>
      <c r="I4" s="22"/>
      <c r="J4" s="22"/>
      <c r="K4" s="22"/>
      <c r="L4" s="22"/>
      <c r="M4" s="22"/>
      <c r="N4" s="22"/>
      <c r="O4" s="22"/>
      <c r="P4" s="22"/>
      <c r="Q4" s="3"/>
    </row>
    <row r="5" spans="1:17" x14ac:dyDescent="0.25">
      <c r="A5" s="4" t="s">
        <v>473</v>
      </c>
      <c r="B5" s="4" t="s">
        <v>466</v>
      </c>
      <c r="C5" s="4"/>
      <c r="D5" s="4"/>
      <c r="E5" s="79" t="str">
        <f ca="1">TEXT(NOW(),"YYYY-MM-DD HH:MM:SS")</f>
        <v>2021-07-21 16:27:45</v>
      </c>
      <c r="F5" s="25"/>
      <c r="G5" s="25"/>
      <c r="H5" s="25"/>
      <c r="I5" s="25"/>
      <c r="J5" s="25"/>
      <c r="K5" s="25"/>
      <c r="L5" s="25"/>
      <c r="M5" s="25"/>
      <c r="N5" s="25"/>
      <c r="O5" s="25"/>
      <c r="P5" s="25"/>
      <c r="Q5" s="4"/>
    </row>
    <row r="6" spans="1:17" x14ac:dyDescent="0.25">
      <c r="A6" s="3" t="s">
        <v>473</v>
      </c>
      <c r="B6" s="3" t="s">
        <v>467</v>
      </c>
      <c r="C6" s="3"/>
      <c r="D6" s="3"/>
      <c r="E6" s="22" t="s">
        <v>1103</v>
      </c>
      <c r="F6" s="22"/>
      <c r="G6" s="22"/>
      <c r="H6" s="22"/>
      <c r="I6" s="22"/>
      <c r="J6" s="22"/>
      <c r="K6" s="22"/>
      <c r="L6" s="22"/>
      <c r="M6" s="22"/>
      <c r="N6" s="22"/>
      <c r="O6" s="22"/>
      <c r="P6" s="22"/>
      <c r="Q6" s="3"/>
    </row>
    <row r="7" spans="1:17" x14ac:dyDescent="0.25">
      <c r="A7" s="4"/>
      <c r="B7" s="4" t="s">
        <v>468</v>
      </c>
      <c r="C7" s="4"/>
      <c r="D7" s="4"/>
      <c r="E7" s="25" t="str">
        <f>PRINTER_NAME_GENERIC</f>
        <v>AnyCubic E3D V6</v>
      </c>
      <c r="F7" s="25"/>
      <c r="G7" s="25"/>
      <c r="H7" s="25"/>
      <c r="I7" s="25"/>
      <c r="J7" s="25"/>
      <c r="K7" s="25"/>
      <c r="L7" s="25"/>
      <c r="M7" s="25"/>
      <c r="N7" s="25"/>
      <c r="O7" s="25"/>
      <c r="P7" s="25"/>
      <c r="Q7" s="4"/>
    </row>
    <row r="8" spans="1:17" x14ac:dyDescent="0.25">
      <c r="A8" s="3"/>
      <c r="B8" s="3" t="s">
        <v>469</v>
      </c>
      <c r="C8" s="3"/>
      <c r="D8" s="3"/>
      <c r="E8" s="22" t="str">
        <f>E2</f>
        <v>ABS</v>
      </c>
      <c r="F8" s="22"/>
      <c r="G8" s="22"/>
      <c r="H8" s="22"/>
      <c r="I8" s="22"/>
      <c r="J8" s="22"/>
      <c r="K8" s="22"/>
      <c r="L8" s="22"/>
      <c r="M8" s="22"/>
      <c r="N8" s="22"/>
      <c r="O8" s="22"/>
      <c r="P8" s="22"/>
      <c r="Q8" s="3"/>
    </row>
    <row r="9" spans="1:17" x14ac:dyDescent="0.25">
      <c r="A9" s="4"/>
      <c r="B9" s="4" t="s">
        <v>470</v>
      </c>
      <c r="C9" s="4"/>
      <c r="D9" s="4"/>
      <c r="E9" s="25" t="str">
        <f>G2</f>
        <v>Quality</v>
      </c>
      <c r="F9" s="80"/>
      <c r="G9" s="81"/>
      <c r="H9" s="81"/>
      <c r="I9" s="81"/>
      <c r="J9" s="81"/>
      <c r="K9" s="81"/>
      <c r="L9" s="81"/>
      <c r="M9" s="81"/>
      <c r="N9" s="81"/>
      <c r="O9" s="81"/>
      <c r="P9" s="81"/>
      <c r="Q9" s="4"/>
    </row>
    <row r="10" spans="1:17" x14ac:dyDescent="0.25">
      <c r="A10" s="3"/>
      <c r="B10" s="3" t="s">
        <v>471</v>
      </c>
      <c r="C10" s="3"/>
      <c r="D10" s="3"/>
      <c r="E10" s="22" t="s">
        <v>1098</v>
      </c>
      <c r="F10" s="22"/>
      <c r="G10" s="22"/>
      <c r="H10" s="22"/>
      <c r="I10" s="22"/>
      <c r="J10" s="22"/>
      <c r="K10" s="22"/>
      <c r="L10" s="22"/>
      <c r="M10" s="22"/>
      <c r="N10" s="22"/>
      <c r="O10" s="22"/>
      <c r="P10" s="22"/>
      <c r="Q10" s="3"/>
    </row>
    <row r="11" spans="1:17" ht="18.75" customHeight="1" x14ac:dyDescent="0.25">
      <c r="A11" s="4" t="s">
        <v>1088</v>
      </c>
      <c r="B11" s="4" t="s">
        <v>472</v>
      </c>
      <c r="C11" s="4"/>
      <c r="D11" s="4"/>
      <c r="E11" s="25"/>
      <c r="F11" s="25"/>
      <c r="G11" s="25"/>
      <c r="H11" s="25"/>
      <c r="I11" s="25"/>
      <c r="J11" s="25"/>
      <c r="K11" s="25"/>
      <c r="L11" s="25"/>
      <c r="M11" s="25"/>
      <c r="N11" s="25"/>
      <c r="O11" s="25"/>
      <c r="P11" s="25"/>
      <c r="Q11" s="74" t="s">
        <v>688</v>
      </c>
    </row>
    <row r="12" spans="1:17" x14ac:dyDescent="0.25">
      <c r="A12" s="3" t="s">
        <v>1088</v>
      </c>
      <c r="B12" s="3" t="s">
        <v>473</v>
      </c>
      <c r="C12" s="3" t="s">
        <v>465</v>
      </c>
      <c r="D12" s="3"/>
      <c r="E12" s="22" t="s">
        <v>557</v>
      </c>
      <c r="F12" s="22"/>
      <c r="G12" s="22"/>
      <c r="H12" s="22"/>
      <c r="I12" s="22"/>
      <c r="J12" s="22"/>
      <c r="K12" s="22"/>
      <c r="L12" s="22"/>
      <c r="M12" s="22"/>
      <c r="N12" s="22"/>
      <c r="O12" s="22"/>
      <c r="P12" s="22"/>
      <c r="Q12" s="3"/>
    </row>
    <row r="13" spans="1:17" x14ac:dyDescent="0.25">
      <c r="A13" s="4" t="s">
        <v>1088</v>
      </c>
      <c r="B13" s="4"/>
      <c r="C13" s="4" t="s">
        <v>474</v>
      </c>
      <c r="D13" s="4"/>
      <c r="E13" s="25">
        <v>0</v>
      </c>
      <c r="F13" s="25"/>
      <c r="G13" s="25"/>
      <c r="H13" s="25"/>
      <c r="I13" s="25"/>
      <c r="J13" s="25"/>
      <c r="K13" s="25"/>
      <c r="L13" s="25"/>
      <c r="M13" s="25"/>
      <c r="N13" s="25"/>
      <c r="O13" s="25"/>
      <c r="P13" s="25"/>
      <c r="Q13" s="4"/>
    </row>
    <row r="14" spans="1:17" x14ac:dyDescent="0.25">
      <c r="A14" s="3" t="s">
        <v>1088</v>
      </c>
      <c r="B14" s="3"/>
      <c r="C14" s="3" t="s">
        <v>475</v>
      </c>
      <c r="D14" s="3"/>
      <c r="E14" s="22">
        <f>Nozzle_Diameter</f>
        <v>0.6</v>
      </c>
      <c r="F14" s="22"/>
      <c r="G14" s="22"/>
      <c r="H14" s="22"/>
      <c r="I14" s="22"/>
      <c r="J14" s="22"/>
      <c r="K14" s="22"/>
      <c r="L14" s="22"/>
      <c r="M14" s="22"/>
      <c r="N14" s="22"/>
      <c r="O14" s="22"/>
      <c r="P14" s="22"/>
      <c r="Q14" s="3" t="s">
        <v>679</v>
      </c>
    </row>
    <row r="15" spans="1:17" x14ac:dyDescent="0.25">
      <c r="A15" s="4" t="s">
        <v>1088</v>
      </c>
      <c r="B15" s="4"/>
      <c r="C15" s="4" t="s">
        <v>476</v>
      </c>
      <c r="D15" s="4"/>
      <c r="E15" s="25">
        <v>1</v>
      </c>
      <c r="F15" s="25"/>
      <c r="G15" s="25"/>
      <c r="H15" s="25"/>
      <c r="I15" s="25"/>
      <c r="J15" s="25"/>
      <c r="K15" s="25"/>
      <c r="L15" s="25"/>
      <c r="M15" s="25"/>
      <c r="N15" s="25"/>
      <c r="O15" s="25"/>
      <c r="P15" s="25"/>
      <c r="Q15" s="4"/>
    </row>
    <row r="16" spans="1:17" x14ac:dyDescent="0.25">
      <c r="A16" s="3" t="s">
        <v>1088</v>
      </c>
      <c r="B16" s="3"/>
      <c r="C16" s="3" t="s">
        <v>477</v>
      </c>
      <c r="D16" s="3"/>
      <c r="E16" s="22">
        <v>0.65</v>
      </c>
      <c r="F16" s="22"/>
      <c r="G16" s="22"/>
      <c r="H16" s="22"/>
      <c r="I16" s="22"/>
      <c r="J16" s="22"/>
      <c r="K16" s="22"/>
      <c r="L16" s="22"/>
      <c r="M16" s="22"/>
      <c r="N16" s="22"/>
      <c r="O16" s="22"/>
      <c r="P16" s="22"/>
      <c r="Q16" s="3" t="s">
        <v>681</v>
      </c>
    </row>
    <row r="17" spans="1:17" x14ac:dyDescent="0.25">
      <c r="A17" s="4" t="s">
        <v>1088</v>
      </c>
      <c r="B17" s="4"/>
      <c r="C17" s="4" t="s">
        <v>478</v>
      </c>
      <c r="D17" s="4"/>
      <c r="E17" s="25" t="str">
        <f>GetFilamentSpec($E$2,"extrusion_multiplier")</f>
        <v>1</v>
      </c>
      <c r="F17" s="25"/>
      <c r="G17" s="25"/>
      <c r="H17" s="25"/>
      <c r="I17" s="25"/>
      <c r="J17" s="25"/>
      <c r="K17" s="25"/>
      <c r="L17" s="25"/>
      <c r="M17" s="25"/>
      <c r="N17" s="25"/>
      <c r="O17" s="25"/>
      <c r="P17" s="25"/>
      <c r="Q17" s="4" t="s">
        <v>680</v>
      </c>
    </row>
    <row r="18" spans="1:17" x14ac:dyDescent="0.25">
      <c r="A18" s="3" t="s">
        <v>1088</v>
      </c>
      <c r="B18" s="3"/>
      <c r="C18" s="3" t="s">
        <v>479</v>
      </c>
      <c r="D18" s="3"/>
      <c r="E18" s="22" t="str">
        <f>IF(VALUE(E19) &gt; 0,"1","0")</f>
        <v>1</v>
      </c>
      <c r="F18" s="22"/>
      <c r="G18" s="22"/>
      <c r="H18" s="22"/>
      <c r="I18" s="22"/>
      <c r="J18" s="22"/>
      <c r="K18" s="22"/>
      <c r="L18" s="22"/>
      <c r="M18" s="22"/>
      <c r="N18" s="22"/>
      <c r="O18" s="22"/>
      <c r="P18" s="22"/>
      <c r="Q18" s="3"/>
    </row>
    <row r="19" spans="1:17" x14ac:dyDescent="0.25">
      <c r="A19" s="4" t="s">
        <v>1088</v>
      </c>
      <c r="B19" s="4"/>
      <c r="C19" s="4" t="s">
        <v>480</v>
      </c>
      <c r="D19" s="4"/>
      <c r="E19" s="25" t="str">
        <f>GetFilamentSpec($E$2,"#filament_retract_length")</f>
        <v>0.8</v>
      </c>
      <c r="F19" s="25"/>
      <c r="G19" s="25"/>
      <c r="H19" s="25"/>
      <c r="I19" s="25"/>
      <c r="J19" s="25"/>
      <c r="K19" s="25"/>
      <c r="L19" s="25"/>
      <c r="M19" s="25"/>
      <c r="N19" s="25"/>
      <c r="O19" s="25"/>
      <c r="P19" s="25"/>
      <c r="Q19" s="4" t="s">
        <v>682</v>
      </c>
    </row>
    <row r="20" spans="1:17" x14ac:dyDescent="0.25">
      <c r="A20" s="3" t="s">
        <v>1088</v>
      </c>
      <c r="B20" s="3"/>
      <c r="C20" s="3" t="s">
        <v>481</v>
      </c>
      <c r="D20" s="3"/>
      <c r="E20" s="22" t="str">
        <f>GetFilamentSpec($E$2,"filament_retract_restart_extra")</f>
        <v>0</v>
      </c>
      <c r="F20" s="22"/>
      <c r="G20" s="22"/>
      <c r="H20" s="22"/>
      <c r="I20" s="22"/>
      <c r="J20" s="22"/>
      <c r="K20" s="22"/>
      <c r="L20" s="22"/>
      <c r="M20" s="22"/>
      <c r="N20" s="22"/>
      <c r="O20" s="22"/>
      <c r="P20" s="22"/>
      <c r="Q20" s="3" t="s">
        <v>683</v>
      </c>
    </row>
    <row r="21" spans="1:17" x14ac:dyDescent="0.25">
      <c r="A21" s="4" t="s">
        <v>1088</v>
      </c>
      <c r="B21" s="4"/>
      <c r="C21" s="4" t="s">
        <v>482</v>
      </c>
      <c r="D21" s="4"/>
      <c r="E21" s="25" t="str">
        <f>GetFilamentSpec($E$2,"filament_retract_lift")</f>
        <v>0</v>
      </c>
      <c r="F21" s="25"/>
      <c r="G21" s="25"/>
      <c r="H21" s="25"/>
      <c r="I21" s="25"/>
      <c r="J21" s="25"/>
      <c r="K21" s="25"/>
      <c r="L21" s="25"/>
      <c r="M21" s="25"/>
      <c r="N21" s="25"/>
      <c r="O21" s="25"/>
      <c r="P21" s="25"/>
      <c r="Q21" s="4" t="s">
        <v>684</v>
      </c>
    </row>
    <row r="22" spans="1:17" x14ac:dyDescent="0.25">
      <c r="A22" s="3" t="s">
        <v>1088</v>
      </c>
      <c r="B22" s="3"/>
      <c r="C22" s="3" t="s">
        <v>483</v>
      </c>
      <c r="D22" s="3"/>
      <c r="E22" s="22">
        <f xml:space="preserve"> GetFilamentSpec($E$2,"filament_retract_speed") * 60</f>
        <v>2100</v>
      </c>
      <c r="F22" s="22"/>
      <c r="G22" s="22"/>
      <c r="H22" s="22"/>
      <c r="I22" s="22"/>
      <c r="J22" s="22"/>
      <c r="K22" s="22"/>
      <c r="L22" s="22"/>
      <c r="M22" s="22"/>
      <c r="N22" s="22"/>
      <c r="O22" s="22"/>
      <c r="P22" s="22"/>
      <c r="Q22" s="3" t="s">
        <v>685</v>
      </c>
    </row>
    <row r="23" spans="1:17" x14ac:dyDescent="0.25">
      <c r="A23" s="4" t="s">
        <v>1088</v>
      </c>
      <c r="B23" s="4"/>
      <c r="C23" s="4" t="s">
        <v>484</v>
      </c>
      <c r="D23" s="4"/>
      <c r="E23" s="25" t="str">
        <f>GetFilamentSpec($E$2,"#filament_coasting_enable")</f>
        <v>0</v>
      </c>
      <c r="F23" s="25"/>
      <c r="G23" s="25"/>
      <c r="H23" s="25"/>
      <c r="I23" s="25"/>
      <c r="J23" s="25"/>
      <c r="K23" s="25"/>
      <c r="L23" s="25"/>
      <c r="M23" s="25"/>
      <c r="N23" s="25"/>
      <c r="O23" s="25"/>
      <c r="P23" s="25"/>
      <c r="Q23" s="4" t="s">
        <v>686</v>
      </c>
    </row>
    <row r="24" spans="1:17" x14ac:dyDescent="0.25">
      <c r="A24" s="3" t="s">
        <v>1088</v>
      </c>
      <c r="B24" s="3"/>
      <c r="C24" s="3" t="s">
        <v>485</v>
      </c>
      <c r="D24" s="3"/>
      <c r="E24" s="22" t="str">
        <f>GetFilamentSpec($E$2,"#filament_coasting_distance")</f>
        <v>0.2</v>
      </c>
      <c r="F24" s="22"/>
      <c r="G24" s="22"/>
      <c r="H24" s="22"/>
      <c r="I24" s="22"/>
      <c r="J24" s="22"/>
      <c r="K24" s="22"/>
      <c r="L24" s="22"/>
      <c r="M24" s="22"/>
      <c r="N24" s="22"/>
      <c r="O24" s="22"/>
      <c r="P24" s="22"/>
      <c r="Q24" s="3" t="s">
        <v>1087</v>
      </c>
    </row>
    <row r="25" spans="1:17" x14ac:dyDescent="0.25">
      <c r="A25" s="4" t="s">
        <v>1088</v>
      </c>
      <c r="B25" s="4"/>
      <c r="C25" s="4" t="s">
        <v>486</v>
      </c>
      <c r="D25" s="4"/>
      <c r="E25" s="25" t="str">
        <f>GetFilamentSpec($E$2,"filament_wipe")</f>
        <v>1</v>
      </c>
      <c r="F25" s="25"/>
      <c r="G25" s="25"/>
      <c r="H25" s="25"/>
      <c r="I25" s="25"/>
      <c r="J25" s="25"/>
      <c r="K25" s="25"/>
      <c r="L25" s="25"/>
      <c r="M25" s="25"/>
      <c r="N25" s="25"/>
      <c r="O25" s="25"/>
      <c r="P25" s="25"/>
      <c r="Q25" s="4" t="s">
        <v>687</v>
      </c>
    </row>
    <row r="26" spans="1:17" x14ac:dyDescent="0.25">
      <c r="A26" s="3" t="s">
        <v>1088</v>
      </c>
      <c r="B26" s="3"/>
      <c r="C26" s="3" t="s">
        <v>487</v>
      </c>
      <c r="D26" s="3"/>
      <c r="E26" s="22" t="str">
        <f>GetFilamentSpec($E$2,"#filament_wipe_distance")</f>
        <v>0.4</v>
      </c>
      <c r="F26" s="22"/>
      <c r="G26" s="22"/>
      <c r="H26" s="22"/>
      <c r="I26" s="22"/>
      <c r="J26" s="22"/>
      <c r="K26" s="22"/>
      <c r="L26" s="22"/>
      <c r="M26" s="22"/>
      <c r="N26" s="22"/>
      <c r="O26" s="22"/>
      <c r="P26" s="22"/>
      <c r="Q26" s="3"/>
    </row>
    <row r="27" spans="1:17" x14ac:dyDescent="0.25">
      <c r="A27" s="4"/>
      <c r="B27" s="4" t="s">
        <v>488</v>
      </c>
      <c r="C27" s="4"/>
      <c r="D27" s="4"/>
      <c r="E27" s="25">
        <v>0</v>
      </c>
      <c r="F27" s="25"/>
      <c r="G27" s="25"/>
      <c r="H27" s="25"/>
      <c r="I27" s="25"/>
      <c r="J27" s="25"/>
      <c r="K27" s="25"/>
      <c r="L27" s="25"/>
      <c r="M27" s="25"/>
      <c r="N27" s="25"/>
      <c r="O27" s="25"/>
      <c r="P27" s="25"/>
      <c r="Q27" s="4" t="s">
        <v>689</v>
      </c>
    </row>
    <row r="28" spans="1:17" x14ac:dyDescent="0.25">
      <c r="A28" s="3" t="s">
        <v>1089</v>
      </c>
      <c r="B28" s="3" t="s">
        <v>489</v>
      </c>
      <c r="C28" s="3"/>
      <c r="D28" s="3"/>
      <c r="E28" s="22">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690</v>
      </c>
    </row>
    <row r="29" spans="1:17" x14ac:dyDescent="0.25">
      <c r="A29" s="4"/>
      <c r="B29" s="4" t="s">
        <v>490</v>
      </c>
      <c r="C29" s="4"/>
      <c r="D29" s="4"/>
      <c r="E29" s="25" t="str">
        <f t="shared" ref="E29:P29" si="1">GetPrintSpec( $E$2,E$1,"top_solid_layers")</f>
        <v>4</v>
      </c>
      <c r="F29" s="25" t="str">
        <f t="shared" si="1"/>
        <v>7</v>
      </c>
      <c r="G29" s="25" t="str">
        <f t="shared" si="1"/>
        <v>6</v>
      </c>
      <c r="H29" s="25" t="str">
        <f t="shared" si="1"/>
        <v>5</v>
      </c>
      <c r="I29" s="25" t="str">
        <f t="shared" si="1"/>
        <v>4</v>
      </c>
      <c r="J29" s="25" t="str">
        <f t="shared" si="1"/>
        <v>4</v>
      </c>
      <c r="K29" s="25" t="str">
        <f t="shared" si="1"/>
        <v>3</v>
      </c>
      <c r="L29" s="25" t="str">
        <f t="shared" si="1"/>
        <v>3</v>
      </c>
      <c r="M29" s="25" t="str">
        <f t="shared" si="1"/>
        <v>3</v>
      </c>
      <c r="N29" s="25" t="str">
        <f t="shared" si="1"/>
        <v>3</v>
      </c>
      <c r="O29" s="25" t="str">
        <f t="shared" si="1"/>
        <v>3</v>
      </c>
      <c r="P29" s="25" t="str">
        <f t="shared" si="1"/>
        <v>3</v>
      </c>
      <c r="Q29" s="4" t="s">
        <v>691</v>
      </c>
    </row>
    <row r="30" spans="1:17" x14ac:dyDescent="0.25">
      <c r="A30" s="3"/>
      <c r="B30" s="3" t="s">
        <v>491</v>
      </c>
      <c r="C30" s="3"/>
      <c r="D30" s="3"/>
      <c r="E30" s="22" t="str">
        <f t="shared" ref="E30:P30" si="2">GetPrintSpec( $E$2,E$1,"bottom_solid_layers")</f>
        <v>4</v>
      </c>
      <c r="F30" s="22" t="str">
        <f t="shared" si="2"/>
        <v>6</v>
      </c>
      <c r="G30" s="22" t="str">
        <f t="shared" si="2"/>
        <v>5</v>
      </c>
      <c r="H30" s="22" t="str">
        <f t="shared" si="2"/>
        <v>4</v>
      </c>
      <c r="I30" s="22" t="str">
        <f t="shared" si="2"/>
        <v>3</v>
      </c>
      <c r="J30" s="22" t="str">
        <f t="shared" si="2"/>
        <v>3</v>
      </c>
      <c r="K30" s="22" t="str">
        <f t="shared" si="2"/>
        <v>3</v>
      </c>
      <c r="L30" s="22" t="str">
        <f t="shared" si="2"/>
        <v>3</v>
      </c>
      <c r="M30" s="22" t="str">
        <f t="shared" si="2"/>
        <v>3</v>
      </c>
      <c r="N30" s="22" t="str">
        <f t="shared" si="2"/>
        <v>3</v>
      </c>
      <c r="O30" s="22" t="str">
        <f t="shared" si="2"/>
        <v>3</v>
      </c>
      <c r="P30" s="22" t="str">
        <f t="shared" si="2"/>
        <v>3</v>
      </c>
      <c r="Q30" s="3" t="s">
        <v>692</v>
      </c>
    </row>
    <row r="31" spans="1:17" x14ac:dyDescent="0.25">
      <c r="A31" s="4"/>
      <c r="B31" s="4" t="s">
        <v>492</v>
      </c>
      <c r="C31" s="4"/>
      <c r="D31" s="4"/>
      <c r="E31" s="25" t="str">
        <f t="shared" ref="E31:P31" si="3">GetPrintSpec( $E$2,E$1,"perimeters")</f>
        <v>3</v>
      </c>
      <c r="F31" s="25" t="str">
        <f t="shared" si="3"/>
        <v>3</v>
      </c>
      <c r="G31" s="25" t="str">
        <f t="shared" si="3"/>
        <v>3</v>
      </c>
      <c r="H31" s="25" t="str">
        <f t="shared" si="3"/>
        <v>3</v>
      </c>
      <c r="I31" s="25" t="str">
        <f t="shared" si="3"/>
        <v>3</v>
      </c>
      <c r="J31" s="25" t="str">
        <f t="shared" si="3"/>
        <v>3</v>
      </c>
      <c r="K31" s="25" t="str">
        <f t="shared" si="3"/>
        <v>3</v>
      </c>
      <c r="L31" s="25" t="str">
        <f t="shared" si="3"/>
        <v>3</v>
      </c>
      <c r="M31" s="25" t="str">
        <f t="shared" si="3"/>
        <v>3</v>
      </c>
      <c r="N31" s="25" t="str">
        <f t="shared" si="3"/>
        <v>3</v>
      </c>
      <c r="O31" s="25" t="str">
        <f t="shared" si="3"/>
        <v>3</v>
      </c>
      <c r="P31" s="25" t="str">
        <f t="shared" si="3"/>
        <v>3</v>
      </c>
      <c r="Q31" s="4" t="s">
        <v>693</v>
      </c>
    </row>
    <row r="32" spans="1:17" x14ac:dyDescent="0.25">
      <c r="A32" s="3"/>
      <c r="B32" s="3" t="s">
        <v>493</v>
      </c>
      <c r="C32" s="3"/>
      <c r="D32" s="3"/>
      <c r="E32" s="22" t="str">
        <f>IFERROR(IF(VALUE(GetPrintSpec( $E$2,E$1,"external_perimeters_first")) &gt; 0,"0","1"),"1")</f>
        <v>1</v>
      </c>
      <c r="F32" s="22"/>
      <c r="G32" s="22"/>
      <c r="H32" s="22"/>
      <c r="I32" s="22"/>
      <c r="J32" s="22"/>
      <c r="K32" s="22"/>
      <c r="L32" s="22"/>
      <c r="M32" s="22"/>
      <c r="N32" s="22"/>
      <c r="O32" s="22"/>
      <c r="P32" s="22"/>
      <c r="Q32" s="3" t="s">
        <v>694</v>
      </c>
    </row>
    <row r="33" spans="1:17" ht="16.5" customHeight="1" x14ac:dyDescent="0.25">
      <c r="A33" s="4"/>
      <c r="B33" s="4" t="s">
        <v>494</v>
      </c>
      <c r="C33" s="4"/>
      <c r="D33" s="4"/>
      <c r="E33" s="25">
        <v>2</v>
      </c>
      <c r="F33" s="25"/>
      <c r="G33" s="25"/>
      <c r="H33" s="25"/>
      <c r="I33" s="25"/>
      <c r="J33" s="25"/>
      <c r="K33" s="25"/>
      <c r="L33" s="25"/>
      <c r="M33" s="25"/>
      <c r="N33" s="25"/>
      <c r="O33" s="25"/>
      <c r="P33" s="25"/>
      <c r="Q33" s="74" t="s">
        <v>700</v>
      </c>
    </row>
    <row r="34" spans="1:17" x14ac:dyDescent="0.25">
      <c r="A34" s="3"/>
      <c r="B34" s="3" t="s">
        <v>495</v>
      </c>
      <c r="C34" s="3"/>
      <c r="D34" s="3"/>
      <c r="E34" s="22">
        <v>0</v>
      </c>
      <c r="F34" s="22"/>
      <c r="G34" s="22"/>
      <c r="H34" s="22"/>
      <c r="I34" s="22"/>
      <c r="J34" s="22"/>
      <c r="K34" s="22"/>
      <c r="L34" s="22"/>
      <c r="M34" s="22"/>
      <c r="N34" s="22"/>
      <c r="O34" s="22"/>
      <c r="P34" s="22"/>
      <c r="Q34" s="3"/>
    </row>
    <row r="35" spans="1:17" x14ac:dyDescent="0.25">
      <c r="A35" s="4"/>
      <c r="B35" s="4" t="s">
        <v>496</v>
      </c>
      <c r="C35" s="4"/>
      <c r="D35" s="4"/>
      <c r="E35" s="25">
        <v>0</v>
      </c>
      <c r="F35" s="25"/>
      <c r="G35" s="25"/>
      <c r="H35" s="25"/>
      <c r="I35" s="25"/>
      <c r="J35" s="25"/>
      <c r="K35" s="25"/>
      <c r="L35" s="25"/>
      <c r="M35" s="25"/>
      <c r="N35" s="25"/>
      <c r="O35" s="25"/>
      <c r="P35" s="25"/>
      <c r="Q35" s="4"/>
    </row>
    <row r="36" spans="1:17" x14ac:dyDescent="0.25">
      <c r="A36" s="3"/>
      <c r="B36" s="3" t="s">
        <v>497</v>
      </c>
      <c r="C36" s="3"/>
      <c r="D36" s="3"/>
      <c r="E36" s="22">
        <v>0</v>
      </c>
      <c r="F36" s="22"/>
      <c r="G36" s="22"/>
      <c r="H36" s="22"/>
      <c r="I36" s="22"/>
      <c r="J36" s="22"/>
      <c r="K36" s="22"/>
      <c r="L36" s="22"/>
      <c r="M36" s="22"/>
      <c r="N36" s="22"/>
      <c r="O36" s="22"/>
      <c r="P36" s="22"/>
      <c r="Q36" s="3" t="s">
        <v>695</v>
      </c>
    </row>
    <row r="37" spans="1:17" x14ac:dyDescent="0.25">
      <c r="A37" s="4"/>
      <c r="B37" s="4" t="s">
        <v>498</v>
      </c>
      <c r="C37" s="4"/>
      <c r="D37" s="4"/>
      <c r="E37" s="25">
        <v>0</v>
      </c>
      <c r="F37" s="25"/>
      <c r="G37" s="25"/>
      <c r="H37" s="25"/>
      <c r="I37" s="25"/>
      <c r="J37" s="25"/>
      <c r="K37" s="25"/>
      <c r="L37" s="25"/>
      <c r="M37" s="25"/>
      <c r="N37" s="25"/>
      <c r="O37" s="25"/>
      <c r="P37" s="25"/>
      <c r="Q37" s="4" t="s">
        <v>696</v>
      </c>
    </row>
    <row r="38" spans="1:17" ht="18.75" customHeight="1" x14ac:dyDescent="0.25">
      <c r="A38" s="3"/>
      <c r="B38" s="3" t="s">
        <v>499</v>
      </c>
      <c r="C38" s="3"/>
      <c r="D38" s="3"/>
      <c r="E38" s="22">
        <v>100</v>
      </c>
      <c r="F38" s="22"/>
      <c r="G38" s="22"/>
      <c r="H38" s="22"/>
      <c r="I38" s="22"/>
      <c r="J38" s="22"/>
      <c r="K38" s="22"/>
      <c r="L38" s="22"/>
      <c r="M38" s="22"/>
      <c r="N38" s="22"/>
      <c r="O38" s="22"/>
      <c r="P38" s="22"/>
      <c r="Q38" s="9" t="s">
        <v>697</v>
      </c>
    </row>
    <row r="39" spans="1:17" x14ac:dyDescent="0.25">
      <c r="A39" s="4"/>
      <c r="B39" s="4" t="s">
        <v>500</v>
      </c>
      <c r="C39" s="4"/>
      <c r="D39" s="4"/>
      <c r="E39" s="25">
        <v>133</v>
      </c>
      <c r="F39" s="25"/>
      <c r="G39" s="25"/>
      <c r="H39" s="25"/>
      <c r="I39" s="25"/>
      <c r="J39" s="25"/>
      <c r="K39" s="25"/>
      <c r="L39" s="25"/>
      <c r="M39" s="25"/>
      <c r="N39" s="25"/>
      <c r="O39" s="25"/>
      <c r="P39" s="25"/>
      <c r="Q39" s="4" t="s">
        <v>698</v>
      </c>
    </row>
    <row r="40" spans="1:17" s="62" customFormat="1" x14ac:dyDescent="0.25">
      <c r="A40" s="3" t="s">
        <v>1089</v>
      </c>
      <c r="B40" s="3" t="s">
        <v>501</v>
      </c>
      <c r="C40" s="3"/>
      <c r="D40" s="3"/>
      <c r="E40" s="22" t="str">
        <f>GetPrintSpec( $E$2,E$1,"first_layer_speed")</f>
        <v>30</v>
      </c>
      <c r="F40" s="22">
        <f t="shared" ref="F40:P40" si="4" xml:space="preserve"> ROUNDUP((($E$40*60) /F$174),2)</f>
        <v>0.67</v>
      </c>
      <c r="G40" s="22">
        <f t="shared" si="4"/>
        <v>0.67</v>
      </c>
      <c r="H40" s="22">
        <f t="shared" si="4"/>
        <v>0.67</v>
      </c>
      <c r="I40" s="22">
        <f t="shared" si="4"/>
        <v>0.67</v>
      </c>
      <c r="J40" s="22">
        <f t="shared" si="4"/>
        <v>0.67</v>
      </c>
      <c r="K40" s="22">
        <f t="shared" si="4"/>
        <v>0.79</v>
      </c>
      <c r="L40" s="22">
        <f t="shared" si="4"/>
        <v>0.94000000000000006</v>
      </c>
      <c r="M40" s="22">
        <f t="shared" si="4"/>
        <v>1.1200000000000001</v>
      </c>
      <c r="N40" s="22">
        <f t="shared" si="4"/>
        <v>1.25</v>
      </c>
      <c r="O40" s="22">
        <f t="shared" si="4"/>
        <v>1.43</v>
      </c>
      <c r="P40" s="22">
        <f t="shared" si="4"/>
        <v>1.58</v>
      </c>
      <c r="Q40" s="3" t="s">
        <v>699</v>
      </c>
    </row>
    <row r="41" spans="1:17" x14ac:dyDescent="0.25">
      <c r="A41" s="4"/>
      <c r="B41" s="4" t="s">
        <v>502</v>
      </c>
      <c r="C41" s="4"/>
      <c r="D41" s="4"/>
      <c r="E41" s="25">
        <v>0</v>
      </c>
      <c r="F41" s="25"/>
      <c r="G41" s="25"/>
      <c r="H41" s="25"/>
      <c r="I41" s="25"/>
      <c r="J41" s="25"/>
      <c r="K41" s="25"/>
      <c r="L41" s="25"/>
      <c r="M41" s="25"/>
      <c r="N41" s="25"/>
      <c r="O41" s="25"/>
      <c r="P41" s="25"/>
      <c r="Q41" s="4"/>
    </row>
    <row r="42" spans="1:17" x14ac:dyDescent="0.25">
      <c r="A42" s="3"/>
      <c r="B42" s="3" t="s">
        <v>503</v>
      </c>
      <c r="C42" s="3"/>
      <c r="D42" s="3"/>
      <c r="E42" s="22">
        <v>0</v>
      </c>
      <c r="F42" s="22"/>
      <c r="G42" s="22"/>
      <c r="H42" s="22"/>
      <c r="I42" s="22"/>
      <c r="J42" s="22"/>
      <c r="K42" s="22"/>
      <c r="L42" s="22"/>
      <c r="M42" s="22"/>
      <c r="N42" s="22"/>
      <c r="O42" s="22"/>
      <c r="P42" s="22"/>
      <c r="Q42" s="3"/>
    </row>
    <row r="43" spans="1:17" x14ac:dyDescent="0.25">
      <c r="A43" s="4"/>
      <c r="B43" s="4" t="s">
        <v>504</v>
      </c>
      <c r="C43" s="4"/>
      <c r="D43" s="4"/>
      <c r="E43" s="25">
        <v>2</v>
      </c>
      <c r="F43" s="25"/>
      <c r="G43" s="25"/>
      <c r="H43" s="25"/>
      <c r="I43" s="25"/>
      <c r="J43" s="25"/>
      <c r="K43" s="25"/>
      <c r="L43" s="25"/>
      <c r="M43" s="25"/>
      <c r="N43" s="25"/>
      <c r="O43" s="25"/>
      <c r="P43" s="25"/>
      <c r="Q43" s="4"/>
    </row>
    <row r="44" spans="1:17" x14ac:dyDescent="0.25">
      <c r="A44" s="3"/>
      <c r="B44" s="3" t="s">
        <v>505</v>
      </c>
      <c r="C44" s="3"/>
      <c r="D44" s="3"/>
      <c r="E44" s="22">
        <v>2</v>
      </c>
      <c r="F44" s="22"/>
      <c r="G44" s="22"/>
      <c r="H44" s="22"/>
      <c r="I44" s="22"/>
      <c r="J44" s="22"/>
      <c r="K44" s="22"/>
      <c r="L44" s="22"/>
      <c r="M44" s="22"/>
      <c r="N44" s="22"/>
      <c r="O44" s="22"/>
      <c r="P44" s="22"/>
      <c r="Q44" s="3"/>
    </row>
    <row r="45" spans="1:17" x14ac:dyDescent="0.25">
      <c r="A45" s="4"/>
      <c r="B45" s="4" t="s">
        <v>506</v>
      </c>
      <c r="C45" s="4"/>
      <c r="D45" s="4"/>
      <c r="E45" s="25">
        <v>3</v>
      </c>
      <c r="F45" s="25"/>
      <c r="G45" s="25"/>
      <c r="H45" s="25"/>
      <c r="I45" s="25"/>
      <c r="J45" s="25"/>
      <c r="K45" s="25"/>
      <c r="L45" s="25"/>
      <c r="M45" s="25"/>
      <c r="N45" s="25"/>
      <c r="O45" s="25"/>
      <c r="P45" s="25"/>
      <c r="Q45" s="4"/>
    </row>
    <row r="46" spans="1:17" x14ac:dyDescent="0.25">
      <c r="A46" s="3"/>
      <c r="B46" s="3" t="s">
        <v>507</v>
      </c>
      <c r="C46" s="3"/>
      <c r="D46" s="3"/>
      <c r="E46" s="22">
        <v>0.2</v>
      </c>
      <c r="F46" s="22"/>
      <c r="G46" s="22"/>
      <c r="H46" s="22"/>
      <c r="I46" s="22"/>
      <c r="J46" s="22"/>
      <c r="K46" s="22"/>
      <c r="L46" s="22"/>
      <c r="M46" s="22"/>
      <c r="N46" s="22"/>
      <c r="O46" s="22"/>
      <c r="P46" s="22"/>
      <c r="Q46" s="3"/>
    </row>
    <row r="47" spans="1:17" x14ac:dyDescent="0.25">
      <c r="A47" s="4"/>
      <c r="B47" s="4" t="s">
        <v>508</v>
      </c>
      <c r="C47" s="4"/>
      <c r="D47" s="4"/>
      <c r="E47" s="25">
        <v>100</v>
      </c>
      <c r="F47" s="25"/>
      <c r="G47" s="25"/>
      <c r="H47" s="25"/>
      <c r="I47" s="25"/>
      <c r="J47" s="25"/>
      <c r="K47" s="25"/>
      <c r="L47" s="25"/>
      <c r="M47" s="25"/>
      <c r="N47" s="25"/>
      <c r="O47" s="25"/>
      <c r="P47" s="25"/>
      <c r="Q47" s="4"/>
    </row>
    <row r="48" spans="1:17" x14ac:dyDescent="0.25">
      <c r="A48" s="3"/>
      <c r="B48" s="3" t="s">
        <v>509</v>
      </c>
      <c r="C48" s="3"/>
      <c r="D48" s="3"/>
      <c r="E48" s="22">
        <v>0.3</v>
      </c>
      <c r="F48" s="22"/>
      <c r="G48" s="22"/>
      <c r="H48" s="22"/>
      <c r="I48" s="22"/>
      <c r="J48" s="22"/>
      <c r="K48" s="22"/>
      <c r="L48" s="22"/>
      <c r="M48" s="22"/>
      <c r="N48" s="22"/>
      <c r="O48" s="22"/>
      <c r="P48" s="22"/>
      <c r="Q48" s="3"/>
    </row>
    <row r="49" spans="1:17" x14ac:dyDescent="0.25">
      <c r="A49" s="4"/>
      <c r="B49" s="4" t="s">
        <v>510</v>
      </c>
      <c r="C49" s="4"/>
      <c r="D49" s="4"/>
      <c r="E49" s="25">
        <v>1</v>
      </c>
      <c r="F49" s="25"/>
      <c r="G49" s="25"/>
      <c r="H49" s="25"/>
      <c r="I49" s="25"/>
      <c r="J49" s="25"/>
      <c r="K49" s="25"/>
      <c r="L49" s="25"/>
      <c r="M49" s="25"/>
      <c r="N49" s="25"/>
      <c r="O49" s="25"/>
      <c r="P49" s="25"/>
      <c r="Q49" s="4"/>
    </row>
    <row r="50" spans="1:17" x14ac:dyDescent="0.25">
      <c r="A50" s="3"/>
      <c r="B50" s="3" t="s">
        <v>511</v>
      </c>
      <c r="C50" s="3"/>
      <c r="D50" s="3"/>
      <c r="E50" s="22">
        <v>0</v>
      </c>
      <c r="F50" s="22"/>
      <c r="G50" s="22"/>
      <c r="H50" s="22"/>
      <c r="I50" s="22"/>
      <c r="J50" s="22"/>
      <c r="K50" s="22"/>
      <c r="L50" s="22"/>
      <c r="M50" s="22"/>
      <c r="N50" s="22"/>
      <c r="O50" s="22"/>
      <c r="P50" s="22"/>
      <c r="Q50" s="3"/>
    </row>
    <row r="51" spans="1:17" x14ac:dyDescent="0.25">
      <c r="A51" s="4"/>
      <c r="B51" s="4" t="s">
        <v>512</v>
      </c>
      <c r="C51" s="4"/>
      <c r="D51" s="4"/>
      <c r="E51" s="25" t="str">
        <f>GetPrintSpec( $E$2,E$1,"skirt_height")</f>
        <v>1</v>
      </c>
      <c r="F51" s="25"/>
      <c r="G51" s="25"/>
      <c r="H51" s="25"/>
      <c r="I51" s="25"/>
      <c r="J51" s="25"/>
      <c r="K51" s="25"/>
      <c r="L51" s="25"/>
      <c r="M51" s="25"/>
      <c r="N51" s="25"/>
      <c r="O51" s="25"/>
      <c r="P51" s="25"/>
      <c r="Q51" s="4" t="s">
        <v>702</v>
      </c>
    </row>
    <row r="52" spans="1:17" x14ac:dyDescent="0.25">
      <c r="A52" s="3"/>
      <c r="B52" s="3" t="s">
        <v>513</v>
      </c>
      <c r="C52" s="3"/>
      <c r="D52" s="3"/>
      <c r="E52" s="22">
        <v>3</v>
      </c>
      <c r="F52" s="22"/>
      <c r="G52" s="22"/>
      <c r="H52" s="22"/>
      <c r="I52" s="22"/>
      <c r="J52" s="22"/>
      <c r="K52" s="22"/>
      <c r="L52" s="22"/>
      <c r="M52" s="22"/>
      <c r="N52" s="22"/>
      <c r="O52" s="22"/>
      <c r="P52" s="22"/>
      <c r="Q52" s="3" t="s">
        <v>703</v>
      </c>
    </row>
    <row r="53" spans="1:17" x14ac:dyDescent="0.25">
      <c r="A53" s="4"/>
      <c r="B53" s="4" t="s">
        <v>514</v>
      </c>
      <c r="C53" s="4"/>
      <c r="D53" s="4"/>
      <c r="E53" s="25" t="str">
        <f>IF(VALUE(GetPrintSpec($E$2,E$1,"brim_width"))&gt;0,"0",GetPrintSpec($E$2,E$1,"skirt_distance"))</f>
        <v>0</v>
      </c>
      <c r="F53" s="25"/>
      <c r="G53" s="25"/>
      <c r="H53" s="25"/>
      <c r="I53" s="25"/>
      <c r="J53" s="25"/>
      <c r="K53" s="25"/>
      <c r="L53" s="25"/>
      <c r="M53" s="25"/>
      <c r="N53" s="25"/>
      <c r="O53" s="25"/>
      <c r="P53" s="25"/>
      <c r="Q53" s="4" t="s">
        <v>701</v>
      </c>
    </row>
    <row r="54" spans="1:17" x14ac:dyDescent="0.25">
      <c r="A54" s="3"/>
      <c r="B54" s="3" t="s">
        <v>515</v>
      </c>
      <c r="C54" s="3"/>
      <c r="D54" s="3"/>
      <c r="E54" s="22">
        <v>0</v>
      </c>
      <c r="F54" s="22"/>
      <c r="G54" s="22"/>
      <c r="H54" s="22"/>
      <c r="I54" s="22"/>
      <c r="J54" s="22"/>
      <c r="K54" s="22"/>
      <c r="L54" s="22"/>
      <c r="M54" s="22"/>
      <c r="N54" s="22"/>
      <c r="O54" s="22"/>
      <c r="P54" s="22"/>
      <c r="Q54" s="3"/>
    </row>
    <row r="55" spans="1:17" x14ac:dyDescent="0.25">
      <c r="A55" s="4"/>
      <c r="B55" s="4" t="s">
        <v>516</v>
      </c>
      <c r="C55" s="4"/>
      <c r="D55" s="4"/>
      <c r="E55" s="25">
        <v>999</v>
      </c>
      <c r="F55" s="25"/>
      <c r="G55" s="25"/>
      <c r="H55" s="25"/>
      <c r="I55" s="25"/>
      <c r="J55" s="25"/>
      <c r="K55" s="25"/>
      <c r="L55" s="25"/>
      <c r="M55" s="25"/>
      <c r="N55" s="25"/>
      <c r="O55" s="25"/>
      <c r="P55" s="25"/>
      <c r="Q55" s="4"/>
    </row>
    <row r="56" spans="1:17" x14ac:dyDescent="0.25">
      <c r="A56" s="3"/>
      <c r="B56" s="3" t="s">
        <v>517</v>
      </c>
      <c r="C56" s="3"/>
      <c r="D56" s="3"/>
      <c r="E56" s="22">
        <v>12</v>
      </c>
      <c r="F56" s="22"/>
      <c r="G56" s="22"/>
      <c r="H56" s="22"/>
      <c r="I56" s="22"/>
      <c r="J56" s="22"/>
      <c r="K56" s="22"/>
      <c r="L56" s="22"/>
      <c r="M56" s="22"/>
      <c r="N56" s="22"/>
      <c r="O56" s="22"/>
      <c r="P56" s="22"/>
      <c r="Q56" s="3"/>
    </row>
    <row r="57" spans="1:17" x14ac:dyDescent="0.25">
      <c r="A57" s="4"/>
      <c r="B57" s="4" t="s">
        <v>518</v>
      </c>
      <c r="C57" s="4"/>
      <c r="D57" s="4"/>
      <c r="E57" s="25">
        <v>7</v>
      </c>
      <c r="F57" s="25"/>
      <c r="G57" s="25"/>
      <c r="H57" s="25"/>
      <c r="I57" s="25"/>
      <c r="J57" s="25"/>
      <c r="K57" s="25"/>
      <c r="L57" s="25"/>
      <c r="M57" s="25"/>
      <c r="N57" s="25"/>
      <c r="O57" s="25"/>
      <c r="P57" s="25"/>
      <c r="Q57" s="4"/>
    </row>
    <row r="58" spans="1:17" x14ac:dyDescent="0.25">
      <c r="A58" s="3"/>
      <c r="B58" s="3" t="s">
        <v>519</v>
      </c>
      <c r="C58" s="3"/>
      <c r="D58" s="3"/>
      <c r="E58" s="22">
        <v>1</v>
      </c>
      <c r="F58" s="22"/>
      <c r="G58" s="22"/>
      <c r="H58" s="22"/>
      <c r="I58" s="22"/>
      <c r="J58" s="22"/>
      <c r="K58" s="22"/>
      <c r="L58" s="22"/>
      <c r="M58" s="22"/>
      <c r="N58" s="22"/>
      <c r="O58" s="22"/>
      <c r="P58" s="22"/>
      <c r="Q58" s="3"/>
    </row>
    <row r="59" spans="1:17" x14ac:dyDescent="0.25">
      <c r="A59" s="4"/>
      <c r="B59" s="4" t="s">
        <v>520</v>
      </c>
      <c r="C59" s="4"/>
      <c r="D59" s="4"/>
      <c r="E59" s="25">
        <v>0</v>
      </c>
      <c r="F59" s="25"/>
      <c r="G59" s="25"/>
      <c r="H59" s="25"/>
      <c r="I59" s="25"/>
      <c r="J59" s="25"/>
      <c r="K59" s="25"/>
      <c r="L59" s="25"/>
      <c r="M59" s="25"/>
      <c r="N59" s="25"/>
      <c r="O59" s="25"/>
      <c r="P59" s="25"/>
      <c r="Q59" s="4"/>
    </row>
    <row r="60" spans="1:17" x14ac:dyDescent="0.25">
      <c r="A60" s="3"/>
      <c r="B60" s="3" t="s">
        <v>521</v>
      </c>
      <c r="C60" s="3"/>
      <c r="D60" s="3"/>
      <c r="E60" s="22">
        <v>999</v>
      </c>
      <c r="F60" s="22"/>
      <c r="G60" s="22"/>
      <c r="H60" s="22"/>
      <c r="I60" s="22"/>
      <c r="J60" s="22"/>
      <c r="K60" s="22"/>
      <c r="L60" s="22"/>
      <c r="M60" s="22"/>
      <c r="N60" s="22"/>
      <c r="O60" s="22"/>
      <c r="P60" s="22"/>
      <c r="Q60" s="3"/>
    </row>
    <row r="61" spans="1:17" x14ac:dyDescent="0.25">
      <c r="A61" s="4"/>
      <c r="B61" s="4" t="s">
        <v>522</v>
      </c>
      <c r="C61" s="4"/>
      <c r="D61" s="4"/>
      <c r="E61" s="25">
        <v>2</v>
      </c>
      <c r="F61" s="25"/>
      <c r="G61" s="25"/>
      <c r="H61" s="25"/>
      <c r="I61" s="25"/>
      <c r="J61" s="25"/>
      <c r="K61" s="25"/>
      <c r="L61" s="25"/>
      <c r="M61" s="25"/>
      <c r="N61" s="25"/>
      <c r="O61" s="25"/>
      <c r="P61" s="25"/>
      <c r="Q61" s="4"/>
    </row>
    <row r="62" spans="1:17" x14ac:dyDescent="0.25">
      <c r="A62" s="3"/>
      <c r="B62" s="3" t="s">
        <v>523</v>
      </c>
      <c r="C62" s="3"/>
      <c r="D62" s="3"/>
      <c r="E62" s="22">
        <v>1</v>
      </c>
      <c r="F62" s="22"/>
      <c r="G62" s="22"/>
      <c r="H62" s="22"/>
      <c r="I62" s="22"/>
      <c r="J62" s="22"/>
      <c r="K62" s="22"/>
      <c r="L62" s="22"/>
      <c r="M62" s="22"/>
      <c r="N62" s="22"/>
      <c r="O62" s="22"/>
      <c r="P62" s="22"/>
      <c r="Q62" s="3"/>
    </row>
    <row r="63" spans="1:17" x14ac:dyDescent="0.25">
      <c r="A63" s="4"/>
      <c r="B63" s="4" t="s">
        <v>524</v>
      </c>
      <c r="C63" s="4"/>
      <c r="D63" s="4"/>
      <c r="E63" s="25">
        <v>1</v>
      </c>
      <c r="F63" s="25"/>
      <c r="G63" s="25"/>
      <c r="H63" s="25"/>
      <c r="I63" s="25"/>
      <c r="J63" s="25"/>
      <c r="K63" s="25"/>
      <c r="L63" s="25"/>
      <c r="M63" s="25"/>
      <c r="N63" s="25"/>
      <c r="O63" s="25"/>
      <c r="P63" s="25"/>
      <c r="Q63" s="4"/>
    </row>
    <row r="64" spans="1:17" x14ac:dyDescent="0.25">
      <c r="A64" s="3"/>
      <c r="B64" s="3" t="s">
        <v>525</v>
      </c>
      <c r="C64" s="3"/>
      <c r="D64" s="3"/>
      <c r="E64" s="22">
        <v>30</v>
      </c>
      <c r="F64" s="22"/>
      <c r="G64" s="22"/>
      <c r="H64" s="22"/>
      <c r="I64" s="22"/>
      <c r="J64" s="22"/>
      <c r="K64" s="22"/>
      <c r="L64" s="22"/>
      <c r="M64" s="22"/>
      <c r="N64" s="22"/>
      <c r="O64" s="22"/>
      <c r="P64" s="22"/>
      <c r="Q64" s="3"/>
    </row>
    <row r="65" spans="1:17" x14ac:dyDescent="0.25">
      <c r="A65" s="4"/>
      <c r="B65" s="4" t="s">
        <v>526</v>
      </c>
      <c r="C65" s="4"/>
      <c r="D65" s="4"/>
      <c r="E65" s="25">
        <v>1</v>
      </c>
      <c r="F65" s="25"/>
      <c r="G65" s="25"/>
      <c r="H65" s="25"/>
      <c r="I65" s="25"/>
      <c r="J65" s="25"/>
      <c r="K65" s="25"/>
      <c r="L65" s="25"/>
      <c r="M65" s="25"/>
      <c r="N65" s="25"/>
      <c r="O65" s="25"/>
      <c r="P65" s="25"/>
      <c r="Q65" s="4"/>
    </row>
    <row r="66" spans="1:17" x14ac:dyDescent="0.25">
      <c r="A66" s="3"/>
      <c r="B66" s="3" t="s">
        <v>527</v>
      </c>
      <c r="C66" s="3"/>
      <c r="D66" s="3"/>
      <c r="E66" s="22">
        <v>0</v>
      </c>
      <c r="F66" s="22"/>
      <c r="G66" s="22"/>
      <c r="H66" s="22"/>
      <c r="I66" s="22"/>
      <c r="J66" s="22"/>
      <c r="K66" s="22"/>
      <c r="L66" s="22"/>
      <c r="M66" s="22"/>
      <c r="N66" s="22"/>
      <c r="O66" s="22"/>
      <c r="P66" s="22"/>
      <c r="Q66" s="3"/>
    </row>
    <row r="67" spans="1:17" ht="16.5" customHeight="1" x14ac:dyDescent="0.25">
      <c r="A67" s="4"/>
      <c r="B67" s="4" t="s">
        <v>528</v>
      </c>
      <c r="C67" s="4"/>
      <c r="D67" s="4"/>
      <c r="E67" s="25" t="s">
        <v>530</v>
      </c>
      <c r="F67" s="25"/>
      <c r="G67" s="25"/>
      <c r="H67" s="25"/>
      <c r="I67" s="25"/>
      <c r="J67" s="25"/>
      <c r="K67" s="25"/>
      <c r="L67" s="25"/>
      <c r="M67" s="25"/>
      <c r="N67" s="25"/>
      <c r="O67" s="25"/>
      <c r="P67" s="25"/>
      <c r="Q67" s="74" t="s">
        <v>704</v>
      </c>
    </row>
    <row r="68" spans="1:17" x14ac:dyDescent="0.25">
      <c r="A68" s="3"/>
      <c r="B68" s="3" t="s">
        <v>529</v>
      </c>
      <c r="C68" s="3"/>
      <c r="D68" s="3"/>
      <c r="E68" s="22" t="s">
        <v>530</v>
      </c>
      <c r="F68" s="22"/>
      <c r="G68" s="22"/>
      <c r="H68" s="22"/>
      <c r="I68" s="22"/>
      <c r="J68" s="22"/>
      <c r="K68" s="22"/>
      <c r="L68" s="22"/>
      <c r="M68" s="22"/>
      <c r="N68" s="22"/>
      <c r="O68" s="22"/>
      <c r="P68" s="22"/>
      <c r="Q68" s="3"/>
    </row>
    <row r="69" spans="1:17" x14ac:dyDescent="0.25">
      <c r="A69" s="4"/>
      <c r="B69" s="4" t="s">
        <v>531</v>
      </c>
      <c r="C69" s="4"/>
      <c r="D69" s="4"/>
      <c r="E69" s="25">
        <f>GetPrintSpec( $E$2,E$1,"fill_density")*100</f>
        <v>13</v>
      </c>
      <c r="F69" s="25"/>
      <c r="G69" s="25"/>
      <c r="H69" s="25"/>
      <c r="I69" s="25"/>
      <c r="J69" s="25"/>
      <c r="K69" s="25"/>
      <c r="L69" s="25"/>
      <c r="M69" s="25"/>
      <c r="N69" s="25"/>
      <c r="O69" s="25"/>
      <c r="P69" s="25"/>
      <c r="Q69" s="4" t="s">
        <v>705</v>
      </c>
    </row>
    <row r="70" spans="1:17" x14ac:dyDescent="0.25">
      <c r="A70" s="3"/>
      <c r="B70" s="3" t="s">
        <v>532</v>
      </c>
      <c r="C70" s="3"/>
      <c r="D70" s="3"/>
      <c r="E70" s="22">
        <v>10</v>
      </c>
      <c r="F70" s="22"/>
      <c r="G70" s="22"/>
      <c r="H70" s="22"/>
      <c r="I70" s="22"/>
      <c r="J70" s="22"/>
      <c r="K70" s="22"/>
      <c r="L70" s="22"/>
      <c r="M70" s="22"/>
      <c r="N70" s="22"/>
      <c r="O70" s="22"/>
      <c r="P70" s="22"/>
      <c r="Q70" s="3" t="s">
        <v>706</v>
      </c>
    </row>
    <row r="71" spans="1:17" x14ac:dyDescent="0.25">
      <c r="A71" s="4"/>
      <c r="B71" s="4" t="s">
        <v>533</v>
      </c>
      <c r="C71" s="4"/>
      <c r="D71" s="4"/>
      <c r="E71" s="25">
        <v>100</v>
      </c>
      <c r="F71" s="25"/>
      <c r="G71" s="25"/>
      <c r="H71" s="25"/>
      <c r="I71" s="25"/>
      <c r="J71" s="25"/>
      <c r="K71" s="25"/>
      <c r="L71" s="25"/>
      <c r="M71" s="25"/>
      <c r="N71" s="25"/>
      <c r="O71" s="25"/>
      <c r="P71" s="25"/>
      <c r="Q71" s="4" t="s">
        <v>707</v>
      </c>
    </row>
    <row r="72" spans="1:17" x14ac:dyDescent="0.25">
      <c r="A72" s="3"/>
      <c r="B72" s="3" t="s">
        <v>534</v>
      </c>
      <c r="C72" s="3"/>
      <c r="D72" s="3"/>
      <c r="E72" s="22">
        <v>5</v>
      </c>
      <c r="F72" s="22"/>
      <c r="G72" s="22"/>
      <c r="H72" s="22"/>
      <c r="I72" s="22"/>
      <c r="J72" s="22"/>
      <c r="K72" s="22"/>
      <c r="L72" s="22"/>
      <c r="M72" s="22"/>
      <c r="N72" s="22"/>
      <c r="O72" s="22"/>
      <c r="P72" s="22"/>
      <c r="Q72" s="3" t="s">
        <v>708</v>
      </c>
    </row>
    <row r="73" spans="1:17" x14ac:dyDescent="0.25">
      <c r="A73" s="4"/>
      <c r="B73" s="4" t="s">
        <v>535</v>
      </c>
      <c r="C73" s="4"/>
      <c r="D73" s="4"/>
      <c r="E73" s="25">
        <v>1</v>
      </c>
      <c r="F73" s="25"/>
      <c r="G73" s="25"/>
      <c r="H73" s="25"/>
      <c r="I73" s="25"/>
      <c r="J73" s="25"/>
      <c r="K73" s="25"/>
      <c r="L73" s="25"/>
      <c r="M73" s="25"/>
      <c r="N73" s="25"/>
      <c r="O73" s="25"/>
      <c r="P73" s="25"/>
      <c r="Q73" s="4" t="s">
        <v>709</v>
      </c>
    </row>
    <row r="74" spans="1:17" x14ac:dyDescent="0.25">
      <c r="A74" s="3"/>
      <c r="B74" s="3" t="s">
        <v>536</v>
      </c>
      <c r="C74" s="3"/>
      <c r="D74" s="3"/>
      <c r="E74" s="22" t="s">
        <v>539</v>
      </c>
      <c r="F74" s="22"/>
      <c r="G74" s="22"/>
      <c r="H74" s="22"/>
      <c r="I74" s="22"/>
      <c r="J74" s="22"/>
      <c r="K74" s="22"/>
      <c r="L74" s="22"/>
      <c r="M74" s="22"/>
      <c r="N74" s="22"/>
      <c r="O74" s="22"/>
      <c r="P74" s="22"/>
      <c r="Q74" s="3"/>
    </row>
    <row r="75" spans="1:17" x14ac:dyDescent="0.25">
      <c r="A75" s="4"/>
      <c r="B75" s="4" t="s">
        <v>537</v>
      </c>
      <c r="C75" s="4"/>
      <c r="D75" s="4"/>
      <c r="E75" s="25">
        <v>0</v>
      </c>
      <c r="F75" s="25"/>
      <c r="G75" s="25"/>
      <c r="H75" s="25"/>
      <c r="I75" s="25"/>
      <c r="J75" s="25"/>
      <c r="K75" s="25"/>
      <c r="L75" s="25"/>
      <c r="M75" s="25"/>
      <c r="N75" s="25"/>
      <c r="O75" s="25"/>
      <c r="P75" s="25"/>
      <c r="Q75" s="4"/>
    </row>
    <row r="76" spans="1:17" x14ac:dyDescent="0.25">
      <c r="A76" s="3"/>
      <c r="B76" s="3" t="s">
        <v>538</v>
      </c>
      <c r="C76" s="3"/>
      <c r="D76" s="3"/>
      <c r="E76" s="22" t="s">
        <v>539</v>
      </c>
      <c r="F76" s="22"/>
      <c r="G76" s="22"/>
      <c r="H76" s="22"/>
      <c r="I76" s="22"/>
      <c r="J76" s="22"/>
      <c r="K76" s="22"/>
      <c r="L76" s="22"/>
      <c r="M76" s="22"/>
      <c r="N76" s="22"/>
      <c r="O76" s="22"/>
      <c r="P76" s="22"/>
      <c r="Q76" s="3" t="s">
        <v>710</v>
      </c>
    </row>
    <row r="77" spans="1:17" x14ac:dyDescent="0.25">
      <c r="A77" s="4"/>
      <c r="B77" s="4" t="s">
        <v>540</v>
      </c>
      <c r="C77" s="4"/>
      <c r="D77" s="4"/>
      <c r="E77" s="25" t="str">
        <f>GetPrintSpec( $E$2,E$1,"support_material")</f>
        <v>0</v>
      </c>
      <c r="F77" s="25"/>
      <c r="G77" s="25"/>
      <c r="H77" s="25"/>
      <c r="I77" s="25"/>
      <c r="J77" s="25"/>
      <c r="K77" s="25"/>
      <c r="L77" s="25"/>
      <c r="M77" s="25"/>
      <c r="N77" s="25"/>
      <c r="O77" s="25"/>
      <c r="P77" s="25"/>
      <c r="Q77" s="4"/>
    </row>
    <row r="78" spans="1:17" x14ac:dyDescent="0.25">
      <c r="A78" s="3"/>
      <c r="B78" s="3" t="s">
        <v>541</v>
      </c>
      <c r="C78" s="3"/>
      <c r="D78" s="3"/>
      <c r="E78" s="22">
        <v>0</v>
      </c>
      <c r="F78" s="22"/>
      <c r="G78" s="22"/>
      <c r="H78" s="22"/>
      <c r="I78" s="22"/>
      <c r="J78" s="22"/>
      <c r="K78" s="22"/>
      <c r="L78" s="22"/>
      <c r="M78" s="22"/>
      <c r="N78" s="22"/>
      <c r="O78" s="22"/>
      <c r="P78" s="22"/>
      <c r="Q78" s="3"/>
    </row>
    <row r="79" spans="1:17" x14ac:dyDescent="0.25">
      <c r="A79" s="4"/>
      <c r="B79" s="4" t="s">
        <v>542</v>
      </c>
      <c r="C79" s="4"/>
      <c r="D79" s="4"/>
      <c r="E79" s="25">
        <v>20</v>
      </c>
      <c r="F79" s="25"/>
      <c r="G79" s="25"/>
      <c r="H79" s="25"/>
      <c r="I79" s="25"/>
      <c r="J79" s="25"/>
      <c r="K79" s="25"/>
      <c r="L79" s="25"/>
      <c r="M79" s="25"/>
      <c r="N79" s="25"/>
      <c r="O79" s="25"/>
      <c r="P79" s="25"/>
      <c r="Q79" s="4" t="s">
        <v>711</v>
      </c>
    </row>
    <row r="80" spans="1:17" x14ac:dyDescent="0.25">
      <c r="A80" s="3"/>
      <c r="B80" s="3" t="s">
        <v>543</v>
      </c>
      <c r="C80" s="3"/>
      <c r="D80" s="3"/>
      <c r="E80" s="22">
        <v>0</v>
      </c>
      <c r="F80" s="22"/>
      <c r="G80" s="22"/>
      <c r="H80" s="22"/>
      <c r="I80" s="22"/>
      <c r="J80" s="22"/>
      <c r="K80" s="22"/>
      <c r="L80" s="22"/>
      <c r="M80" s="22"/>
      <c r="N80" s="22"/>
      <c r="O80" s="22"/>
      <c r="P80" s="22"/>
      <c r="Q80" s="3" t="s">
        <v>712</v>
      </c>
    </row>
    <row r="81" spans="1:17" x14ac:dyDescent="0.25">
      <c r="A81" s="4"/>
      <c r="B81" s="4" t="s">
        <v>544</v>
      </c>
      <c r="C81" s="4"/>
      <c r="D81" s="4"/>
      <c r="E81" s="25">
        <v>1</v>
      </c>
      <c r="F81" s="25"/>
      <c r="G81" s="25"/>
      <c r="H81" s="25"/>
      <c r="I81" s="25"/>
      <c r="J81" s="25"/>
      <c r="K81" s="25"/>
      <c r="L81" s="25"/>
      <c r="M81" s="25"/>
      <c r="N81" s="25"/>
      <c r="O81" s="25"/>
      <c r="P81" s="25"/>
      <c r="Q81" s="4"/>
    </row>
    <row r="82" spans="1:17" x14ac:dyDescent="0.25">
      <c r="A82" s="3"/>
      <c r="B82" s="3" t="s">
        <v>545</v>
      </c>
      <c r="C82" s="3"/>
      <c r="D82" s="3"/>
      <c r="E82" s="22">
        <v>0</v>
      </c>
      <c r="F82" s="22"/>
      <c r="G82" s="22"/>
      <c r="H82" s="22"/>
      <c r="I82" s="22"/>
      <c r="J82" s="22"/>
      <c r="K82" s="22"/>
      <c r="L82" s="22"/>
      <c r="M82" s="22"/>
      <c r="N82" s="22"/>
      <c r="O82" s="22"/>
      <c r="P82" s="22"/>
      <c r="Q82" s="3"/>
    </row>
    <row r="83" spans="1:17" x14ac:dyDescent="0.25">
      <c r="A83" s="4"/>
      <c r="B83" s="4" t="s">
        <v>546</v>
      </c>
      <c r="C83" s="4"/>
      <c r="D83" s="4"/>
      <c r="E83" s="25">
        <v>1</v>
      </c>
      <c r="F83" s="25"/>
      <c r="G83" s="25"/>
      <c r="H83" s="25"/>
      <c r="I83" s="25"/>
      <c r="J83" s="25"/>
      <c r="K83" s="25"/>
      <c r="L83" s="25"/>
      <c r="M83" s="25"/>
      <c r="N83" s="25"/>
      <c r="O83" s="25"/>
      <c r="P83" s="25"/>
      <c r="Q83" s="4" t="s">
        <v>713</v>
      </c>
    </row>
    <row r="84" spans="1:17" x14ac:dyDescent="0.25">
      <c r="A84" s="3"/>
      <c r="B84" s="3" t="s">
        <v>547</v>
      </c>
      <c r="C84" s="3"/>
      <c r="D84" s="3"/>
      <c r="E84" s="22">
        <v>70</v>
      </c>
      <c r="F84" s="22"/>
      <c r="G84" s="22"/>
      <c r="H84" s="22"/>
      <c r="I84" s="22"/>
      <c r="J84" s="22"/>
      <c r="K84" s="22"/>
      <c r="L84" s="22"/>
      <c r="M84" s="22"/>
      <c r="N84" s="22"/>
      <c r="O84" s="22"/>
      <c r="P84" s="22"/>
      <c r="Q84" s="3" t="s">
        <v>714</v>
      </c>
    </row>
    <row r="85" spans="1:17" x14ac:dyDescent="0.25">
      <c r="A85" s="4"/>
      <c r="B85" s="4" t="s">
        <v>548</v>
      </c>
      <c r="C85" s="4"/>
      <c r="D85" s="4"/>
      <c r="E85" s="25">
        <v>1</v>
      </c>
      <c r="F85" s="25"/>
      <c r="G85" s="25"/>
      <c r="H85" s="25"/>
      <c r="I85" s="25"/>
      <c r="J85" s="25"/>
      <c r="K85" s="25"/>
      <c r="L85" s="25"/>
      <c r="M85" s="25"/>
      <c r="N85" s="25"/>
      <c r="O85" s="25"/>
      <c r="P85" s="25"/>
      <c r="Q85" s="4" t="s">
        <v>715</v>
      </c>
    </row>
    <row r="86" spans="1:17" x14ac:dyDescent="0.25">
      <c r="A86" s="3"/>
      <c r="B86" s="3" t="s">
        <v>549</v>
      </c>
      <c r="C86" s="3"/>
      <c r="D86" s="3"/>
      <c r="E86" s="22">
        <v>0.3</v>
      </c>
      <c r="F86" s="22"/>
      <c r="G86" s="22"/>
      <c r="H86" s="22"/>
      <c r="I86" s="22"/>
      <c r="J86" s="22"/>
      <c r="K86" s="22"/>
      <c r="L86" s="22"/>
      <c r="M86" s="22"/>
      <c r="N86" s="22"/>
      <c r="O86" s="22"/>
      <c r="P86" s="22"/>
      <c r="Q86" s="3" t="s">
        <v>716</v>
      </c>
    </row>
    <row r="87" spans="1:17" x14ac:dyDescent="0.25">
      <c r="A87" s="4"/>
      <c r="B87" s="4" t="s">
        <v>550</v>
      </c>
      <c r="C87" s="4"/>
      <c r="D87" s="4"/>
      <c r="E87" s="25">
        <v>1</v>
      </c>
      <c r="F87" s="25"/>
      <c r="G87" s="25"/>
      <c r="H87" s="25"/>
      <c r="I87" s="25"/>
      <c r="J87" s="25"/>
      <c r="K87" s="25"/>
      <c r="L87" s="25"/>
      <c r="M87" s="25"/>
      <c r="N87" s="25"/>
      <c r="O87" s="25"/>
      <c r="P87" s="25"/>
      <c r="Q87" s="4" t="s">
        <v>717</v>
      </c>
    </row>
    <row r="88" spans="1:17" x14ac:dyDescent="0.25">
      <c r="A88" s="3"/>
      <c r="B88" s="3" t="s">
        <v>551</v>
      </c>
      <c r="C88" s="3"/>
      <c r="D88" s="3"/>
      <c r="E88" s="22">
        <v>1</v>
      </c>
      <c r="F88" s="22"/>
      <c r="G88" s="22"/>
      <c r="H88" s="22"/>
      <c r="I88" s="22"/>
      <c r="J88" s="22"/>
      <c r="K88" s="22"/>
      <c r="L88" s="22"/>
      <c r="M88" s="22"/>
      <c r="N88" s="22"/>
      <c r="O88" s="22"/>
      <c r="P88" s="22"/>
      <c r="Q88" s="3"/>
    </row>
    <row r="89" spans="1:17" x14ac:dyDescent="0.25">
      <c r="A89" s="4"/>
      <c r="B89" s="4" t="s">
        <v>552</v>
      </c>
      <c r="C89" s="4"/>
      <c r="D89" s="4"/>
      <c r="E89" s="25">
        <v>1</v>
      </c>
      <c r="F89" s="25"/>
      <c r="G89" s="25"/>
      <c r="H89" s="25"/>
      <c r="I89" s="25"/>
      <c r="J89" s="25"/>
      <c r="K89" s="25"/>
      <c r="L89" s="25"/>
      <c r="M89" s="25"/>
      <c r="N89" s="25"/>
      <c r="O89" s="25"/>
      <c r="P89" s="25"/>
      <c r="Q89" s="4"/>
    </row>
    <row r="90" spans="1:17" x14ac:dyDescent="0.25">
      <c r="A90" s="3"/>
      <c r="B90" s="3" t="s">
        <v>553</v>
      </c>
      <c r="C90" s="3"/>
      <c r="D90" s="3"/>
      <c r="E90" s="22">
        <v>4</v>
      </c>
      <c r="F90" s="22"/>
      <c r="G90" s="22"/>
      <c r="H90" s="22"/>
      <c r="I90" s="22"/>
      <c r="J90" s="22"/>
      <c r="K90" s="22"/>
      <c r="L90" s="22"/>
      <c r="M90" s="22"/>
      <c r="N90" s="22"/>
      <c r="O90" s="22"/>
      <c r="P90" s="22"/>
      <c r="Q90" s="3" t="s">
        <v>718</v>
      </c>
    </row>
    <row r="91" spans="1:17" x14ac:dyDescent="0.25">
      <c r="A91" s="4"/>
      <c r="B91" s="4" t="s">
        <v>554</v>
      </c>
      <c r="C91" s="4"/>
      <c r="D91" s="4"/>
      <c r="E91" s="25">
        <v>45</v>
      </c>
      <c r="F91" s="25"/>
      <c r="G91" s="25"/>
      <c r="H91" s="25"/>
      <c r="I91" s="25"/>
      <c r="J91" s="25"/>
      <c r="K91" s="25"/>
      <c r="L91" s="25"/>
      <c r="M91" s="25"/>
      <c r="N91" s="25"/>
      <c r="O91" s="25"/>
      <c r="P91" s="25"/>
      <c r="Q91" s="4" t="s">
        <v>719</v>
      </c>
    </row>
    <row r="92" spans="1:17" x14ac:dyDescent="0.25">
      <c r="A92" s="3"/>
      <c r="B92" s="3" t="s">
        <v>555</v>
      </c>
      <c r="C92" s="3"/>
      <c r="D92" s="3"/>
      <c r="E92" s="22" t="s">
        <v>539</v>
      </c>
      <c r="F92" s="22"/>
      <c r="G92" s="22"/>
      <c r="H92" s="22"/>
      <c r="I92" s="22"/>
      <c r="J92" s="22"/>
      <c r="K92" s="22"/>
      <c r="L92" s="22"/>
      <c r="M92" s="22"/>
      <c r="N92" s="22"/>
      <c r="O92" s="22"/>
      <c r="P92" s="22"/>
      <c r="Q92" s="3"/>
    </row>
    <row r="93" spans="1:17" x14ac:dyDescent="0.25">
      <c r="A93" s="4" t="s">
        <v>1088</v>
      </c>
      <c r="B93" s="4" t="s">
        <v>556</v>
      </c>
      <c r="C93" s="4"/>
      <c r="D93" s="4"/>
      <c r="E93" s="25"/>
      <c r="F93" s="25"/>
      <c r="G93" s="25"/>
      <c r="H93" s="25"/>
      <c r="I93" s="25"/>
      <c r="J93" s="25"/>
      <c r="K93" s="25"/>
      <c r="L93" s="25"/>
      <c r="M93" s="25"/>
      <c r="N93" s="25"/>
      <c r="O93" s="25"/>
      <c r="P93" s="25"/>
      <c r="Q93" s="4"/>
    </row>
    <row r="94" spans="1:17" x14ac:dyDescent="0.25">
      <c r="A94" s="3" t="s">
        <v>1088</v>
      </c>
      <c r="B94" s="3" t="s">
        <v>473</v>
      </c>
      <c r="C94" s="3" t="s">
        <v>465</v>
      </c>
      <c r="D94" s="3"/>
      <c r="E94" s="22" t="s">
        <v>557</v>
      </c>
      <c r="F94" s="22"/>
      <c r="G94" s="22"/>
      <c r="H94" s="22"/>
      <c r="I94" s="22"/>
      <c r="J94" s="22"/>
      <c r="K94" s="22"/>
      <c r="L94" s="22"/>
      <c r="M94" s="22"/>
      <c r="N94" s="22"/>
      <c r="O94" s="22"/>
      <c r="P94" s="22"/>
      <c r="Q94" s="3"/>
    </row>
    <row r="95" spans="1:17" x14ac:dyDescent="0.25">
      <c r="A95" s="4" t="s">
        <v>1088</v>
      </c>
      <c r="B95" s="4"/>
      <c r="C95" s="4" t="s">
        <v>558</v>
      </c>
      <c r="D95" s="4"/>
      <c r="E95" s="25">
        <v>0</v>
      </c>
      <c r="F95" s="25"/>
      <c r="G95" s="25"/>
      <c r="H95" s="25"/>
      <c r="I95" s="25"/>
      <c r="J95" s="25"/>
      <c r="K95" s="25"/>
      <c r="L95" s="25"/>
      <c r="M95" s="25"/>
      <c r="N95" s="25"/>
      <c r="O95" s="25"/>
      <c r="P95" s="25"/>
      <c r="Q95" s="4"/>
    </row>
    <row r="96" spans="1:17" x14ac:dyDescent="0.25">
      <c r="A96" s="3" t="s">
        <v>1088</v>
      </c>
      <c r="B96" s="3"/>
      <c r="C96" s="3" t="s">
        <v>559</v>
      </c>
      <c r="D96" s="3"/>
      <c r="E96" s="22">
        <v>0</v>
      </c>
      <c r="F96" s="22"/>
      <c r="G96" s="22"/>
      <c r="H96" s="22"/>
      <c r="I96" s="22"/>
      <c r="J96" s="22"/>
      <c r="K96" s="22"/>
      <c r="L96" s="22"/>
      <c r="M96" s="22"/>
      <c r="N96" s="22"/>
      <c r="O96" s="22"/>
      <c r="P96" s="22"/>
      <c r="Q96" s="3"/>
    </row>
    <row r="97" spans="1:17" x14ac:dyDescent="0.25">
      <c r="A97" s="4" t="s">
        <v>1088</v>
      </c>
      <c r="B97" s="4"/>
      <c r="C97" s="4" t="s">
        <v>560</v>
      </c>
      <c r="D97" s="4"/>
      <c r="E97" s="25">
        <v>1</v>
      </c>
      <c r="F97" s="25"/>
      <c r="G97" s="25"/>
      <c r="H97" s="25"/>
      <c r="I97" s="25"/>
      <c r="J97" s="25"/>
      <c r="K97" s="25"/>
      <c r="L97" s="25"/>
      <c r="M97" s="25"/>
      <c r="N97" s="25"/>
      <c r="O97" s="25"/>
      <c r="P97" s="25"/>
      <c r="Q97" s="4"/>
    </row>
    <row r="98" spans="1:17" x14ac:dyDescent="0.25">
      <c r="A98" s="3" t="s">
        <v>1088</v>
      </c>
      <c r="B98" s="3"/>
      <c r="C98" s="3" t="s">
        <v>561</v>
      </c>
      <c r="D98" s="3"/>
      <c r="E98" s="22"/>
      <c r="F98" s="22"/>
      <c r="G98" s="22"/>
      <c r="H98" s="22"/>
      <c r="I98" s="22"/>
      <c r="J98" s="22"/>
      <c r="K98" s="22"/>
      <c r="L98" s="22"/>
      <c r="M98" s="22"/>
      <c r="N98" s="22"/>
      <c r="O98" s="22"/>
      <c r="P98" s="22"/>
      <c r="Q98" s="3"/>
    </row>
    <row r="99" spans="1:17" x14ac:dyDescent="0.25">
      <c r="A99" s="4" t="s">
        <v>1088</v>
      </c>
      <c r="B99" s="4"/>
      <c r="C99" s="4" t="s">
        <v>473</v>
      </c>
      <c r="D99" s="4" t="s">
        <v>562</v>
      </c>
      <c r="E99" s="25">
        <v>1</v>
      </c>
      <c r="F99" s="25"/>
      <c r="G99" s="25"/>
      <c r="H99" s="25"/>
      <c r="I99" s="25"/>
      <c r="J99" s="25"/>
      <c r="K99" s="25"/>
      <c r="L99" s="25"/>
      <c r="M99" s="25"/>
      <c r="N99" s="25"/>
      <c r="O99" s="25"/>
      <c r="P99" s="25"/>
      <c r="Q99" s="4"/>
    </row>
    <row r="100" spans="1:17" x14ac:dyDescent="0.25">
      <c r="A100" s="3" t="s">
        <v>1088</v>
      </c>
      <c r="B100" s="3"/>
      <c r="C100" s="3" t="s">
        <v>473</v>
      </c>
      <c r="D100" s="3" t="s">
        <v>108</v>
      </c>
      <c r="E100" s="22" t="str">
        <f>GetFilamentSpec($E$2,"first_layer_temperature")</f>
        <v>255</v>
      </c>
      <c r="F100" s="22"/>
      <c r="G100" s="22"/>
      <c r="H100" s="22"/>
      <c r="I100" s="22"/>
      <c r="J100" s="22"/>
      <c r="K100" s="22"/>
      <c r="L100" s="22"/>
      <c r="M100" s="22"/>
      <c r="N100" s="22"/>
      <c r="O100" s="22"/>
      <c r="P100" s="22"/>
      <c r="Q100" s="3"/>
    </row>
    <row r="101" spans="1:17" x14ac:dyDescent="0.25">
      <c r="A101" s="4" t="s">
        <v>1088</v>
      </c>
      <c r="B101" s="4"/>
      <c r="C101" s="4" t="s">
        <v>561</v>
      </c>
      <c r="D101" s="4"/>
      <c r="E101" s="25"/>
      <c r="F101" s="25"/>
      <c r="G101" s="25"/>
      <c r="H101" s="25"/>
      <c r="I101" s="25"/>
      <c r="J101" s="25"/>
      <c r="K101" s="25"/>
      <c r="L101" s="25"/>
      <c r="M101" s="25"/>
      <c r="N101" s="25"/>
      <c r="O101" s="25"/>
      <c r="P101" s="25"/>
      <c r="Q101" s="4"/>
    </row>
    <row r="102" spans="1:17" x14ac:dyDescent="0.25">
      <c r="A102" s="3" t="s">
        <v>1088</v>
      </c>
      <c r="B102" s="3"/>
      <c r="C102" s="3" t="s">
        <v>473</v>
      </c>
      <c r="D102" s="3" t="s">
        <v>562</v>
      </c>
      <c r="E102" s="22">
        <v>2</v>
      </c>
      <c r="F102" s="22"/>
      <c r="G102" s="22"/>
      <c r="H102" s="22"/>
      <c r="I102" s="22"/>
      <c r="J102" s="22"/>
      <c r="K102" s="22"/>
      <c r="L102" s="22"/>
      <c r="M102" s="22"/>
      <c r="N102" s="22"/>
      <c r="O102" s="22"/>
      <c r="P102" s="22"/>
      <c r="Q102" s="3"/>
    </row>
    <row r="103" spans="1:17" x14ac:dyDescent="0.25">
      <c r="A103" s="4" t="s">
        <v>1088</v>
      </c>
      <c r="B103" s="4"/>
      <c r="C103" s="4" t="s">
        <v>473</v>
      </c>
      <c r="D103" s="4" t="s">
        <v>108</v>
      </c>
      <c r="E103" s="25" t="str">
        <f>GetFilamentSpec($E$2,"temperature")</f>
        <v>255</v>
      </c>
      <c r="F103" s="25"/>
      <c r="G103" s="25"/>
      <c r="H103" s="25"/>
      <c r="I103" s="25"/>
      <c r="J103" s="25"/>
      <c r="K103" s="25"/>
      <c r="L103" s="25"/>
      <c r="M103" s="25"/>
      <c r="N103" s="25"/>
      <c r="O103" s="25"/>
      <c r="P103" s="25"/>
      <c r="Q103" s="4"/>
    </row>
    <row r="104" spans="1:17" x14ac:dyDescent="0.25">
      <c r="A104" s="3" t="s">
        <v>1088</v>
      </c>
      <c r="B104" s="3" t="s">
        <v>556</v>
      </c>
      <c r="C104" s="3"/>
      <c r="D104" s="3"/>
      <c r="E104" s="22"/>
      <c r="F104" s="22"/>
      <c r="G104" s="22"/>
      <c r="H104" s="22"/>
      <c r="I104" s="22"/>
      <c r="J104" s="22"/>
      <c r="K104" s="22"/>
      <c r="L104" s="22"/>
      <c r="M104" s="22"/>
      <c r="N104" s="22"/>
      <c r="O104" s="22"/>
      <c r="P104" s="22"/>
      <c r="Q104" s="3"/>
    </row>
    <row r="105" spans="1:17" x14ac:dyDescent="0.25">
      <c r="A105" s="4" t="s">
        <v>1088</v>
      </c>
      <c r="B105" s="4" t="s">
        <v>473</v>
      </c>
      <c r="C105" s="4" t="s">
        <v>465</v>
      </c>
      <c r="D105" s="4"/>
      <c r="E105" s="25" t="s">
        <v>563</v>
      </c>
      <c r="F105" s="25"/>
      <c r="G105" s="25"/>
      <c r="H105" s="25"/>
      <c r="I105" s="25"/>
      <c r="J105" s="25"/>
      <c r="K105" s="25"/>
      <c r="L105" s="25"/>
      <c r="M105" s="25"/>
      <c r="N105" s="25"/>
      <c r="O105" s="25"/>
      <c r="P105" s="25"/>
      <c r="Q105" s="4"/>
    </row>
    <row r="106" spans="1:17" x14ac:dyDescent="0.25">
      <c r="A106" s="3" t="s">
        <v>1088</v>
      </c>
      <c r="B106" s="3"/>
      <c r="C106" s="3" t="s">
        <v>558</v>
      </c>
      <c r="D106" s="3"/>
      <c r="E106" s="22">
        <v>0</v>
      </c>
      <c r="F106" s="22"/>
      <c r="G106" s="22"/>
      <c r="H106" s="22"/>
      <c r="I106" s="22"/>
      <c r="J106" s="22"/>
      <c r="K106" s="22"/>
      <c r="L106" s="22"/>
      <c r="M106" s="22"/>
      <c r="N106" s="22"/>
      <c r="O106" s="22"/>
      <c r="P106" s="22"/>
      <c r="Q106" s="3"/>
    </row>
    <row r="107" spans="1:17" x14ac:dyDescent="0.25">
      <c r="A107" s="4" t="s">
        <v>1088</v>
      </c>
      <c r="B107" s="4"/>
      <c r="C107" s="4" t="s">
        <v>559</v>
      </c>
      <c r="D107" s="4"/>
      <c r="E107" s="25">
        <v>1</v>
      </c>
      <c r="F107" s="25"/>
      <c r="G107" s="25"/>
      <c r="H107" s="25"/>
      <c r="I107" s="25"/>
      <c r="J107" s="25"/>
      <c r="K107" s="25"/>
      <c r="L107" s="25"/>
      <c r="M107" s="25"/>
      <c r="N107" s="25"/>
      <c r="O107" s="25"/>
      <c r="P107" s="25"/>
      <c r="Q107" s="4"/>
    </row>
    <row r="108" spans="1:17" x14ac:dyDescent="0.25">
      <c r="A108" s="3" t="s">
        <v>1088</v>
      </c>
      <c r="B108" s="3"/>
      <c r="C108" s="3" t="s">
        <v>560</v>
      </c>
      <c r="D108" s="3"/>
      <c r="E108" s="22">
        <v>1</v>
      </c>
      <c r="F108" s="22"/>
      <c r="G108" s="22"/>
      <c r="H108" s="22"/>
      <c r="I108" s="22"/>
      <c r="J108" s="22"/>
      <c r="K108" s="22"/>
      <c r="L108" s="22"/>
      <c r="M108" s="22"/>
      <c r="N108" s="22"/>
      <c r="O108" s="22"/>
      <c r="P108" s="22"/>
      <c r="Q108" s="3"/>
    </row>
    <row r="109" spans="1:17" x14ac:dyDescent="0.25">
      <c r="A109" s="4" t="s">
        <v>1088</v>
      </c>
      <c r="B109" s="4"/>
      <c r="C109" s="4" t="s">
        <v>561</v>
      </c>
      <c r="D109" s="4"/>
      <c r="E109" s="25"/>
      <c r="F109" s="25"/>
      <c r="G109" s="25"/>
      <c r="H109" s="25"/>
      <c r="I109" s="25"/>
      <c r="J109" s="25"/>
      <c r="K109" s="25"/>
      <c r="L109" s="25"/>
      <c r="M109" s="25"/>
      <c r="N109" s="25"/>
      <c r="O109" s="25"/>
      <c r="P109" s="25"/>
      <c r="Q109" s="4"/>
    </row>
    <row r="110" spans="1:17" x14ac:dyDescent="0.25">
      <c r="A110" s="3" t="s">
        <v>1088</v>
      </c>
      <c r="B110" s="3"/>
      <c r="C110" s="3" t="s">
        <v>473</v>
      </c>
      <c r="D110" s="3" t="s">
        <v>562</v>
      </c>
      <c r="E110" s="22">
        <v>1</v>
      </c>
      <c r="F110" s="22"/>
      <c r="G110" s="22"/>
      <c r="H110" s="22"/>
      <c r="I110" s="22"/>
      <c r="J110" s="22"/>
      <c r="K110" s="22"/>
      <c r="L110" s="22"/>
      <c r="M110" s="22"/>
      <c r="N110" s="22"/>
      <c r="O110" s="22"/>
      <c r="P110" s="22"/>
      <c r="Q110" s="3"/>
    </row>
    <row r="111" spans="1:17" x14ac:dyDescent="0.25">
      <c r="A111" s="4" t="s">
        <v>1088</v>
      </c>
      <c r="B111" s="4"/>
      <c r="C111" s="4" t="s">
        <v>473</v>
      </c>
      <c r="D111" s="4" t="s">
        <v>108</v>
      </c>
      <c r="E111" s="25" t="str">
        <f>GetFilamentSpec($E$2,"first_layer_bed_temperature")</f>
        <v>90</v>
      </c>
      <c r="F111" s="25"/>
      <c r="G111" s="25"/>
      <c r="H111" s="25"/>
      <c r="I111" s="25"/>
      <c r="J111" s="25"/>
      <c r="K111" s="25"/>
      <c r="L111" s="25"/>
      <c r="M111" s="25"/>
      <c r="N111" s="25"/>
      <c r="O111" s="25"/>
      <c r="P111" s="25"/>
      <c r="Q111" s="4"/>
    </row>
    <row r="112" spans="1:17" x14ac:dyDescent="0.25">
      <c r="A112" s="3" t="s">
        <v>1088</v>
      </c>
      <c r="B112" s="3"/>
      <c r="C112" s="3" t="s">
        <v>561</v>
      </c>
      <c r="D112" s="3"/>
      <c r="E112" s="22"/>
      <c r="F112" s="22"/>
      <c r="G112" s="22"/>
      <c r="H112" s="22"/>
      <c r="I112" s="22"/>
      <c r="J112" s="22"/>
      <c r="K112" s="22"/>
      <c r="L112" s="22"/>
      <c r="M112" s="22"/>
      <c r="N112" s="22"/>
      <c r="O112" s="22"/>
      <c r="P112" s="22"/>
      <c r="Q112" s="3"/>
    </row>
    <row r="113" spans="1:17" x14ac:dyDescent="0.25">
      <c r="A113" s="4" t="s">
        <v>1088</v>
      </c>
      <c r="B113" s="4"/>
      <c r="C113" s="4" t="s">
        <v>473</v>
      </c>
      <c r="D113" s="4" t="s">
        <v>562</v>
      </c>
      <c r="E113" s="25">
        <v>2</v>
      </c>
      <c r="F113" s="25"/>
      <c r="G113" s="25"/>
      <c r="H113" s="25"/>
      <c r="I113" s="25"/>
      <c r="J113" s="25"/>
      <c r="K113" s="25"/>
      <c r="L113" s="25"/>
      <c r="M113" s="25"/>
      <c r="N113" s="25"/>
      <c r="O113" s="25"/>
      <c r="P113" s="25"/>
      <c r="Q113" s="4"/>
    </row>
    <row r="114" spans="1:17" x14ac:dyDescent="0.25">
      <c r="A114" s="3" t="s">
        <v>1088</v>
      </c>
      <c r="B114" s="3"/>
      <c r="C114" s="3" t="s">
        <v>473</v>
      </c>
      <c r="D114" s="3" t="s">
        <v>108</v>
      </c>
      <c r="E114" s="22" t="str">
        <f>GetFilamentSpec($E$2,"bed_temperature")</f>
        <v>90</v>
      </c>
      <c r="F114" s="22"/>
      <c r="G114" s="22"/>
      <c r="H114" s="22"/>
      <c r="I114" s="22"/>
      <c r="J114" s="22"/>
      <c r="K114" s="22"/>
      <c r="L114" s="22"/>
      <c r="M114" s="22"/>
      <c r="N114" s="22"/>
      <c r="O114" s="22"/>
      <c r="P114" s="22"/>
      <c r="Q114" s="3"/>
    </row>
    <row r="115" spans="1:17" x14ac:dyDescent="0.25">
      <c r="A115" s="4" t="s">
        <v>1088</v>
      </c>
      <c r="B115" s="4" t="s">
        <v>564</v>
      </c>
      <c r="C115" s="4"/>
      <c r="D115" s="4"/>
      <c r="E115" s="25"/>
      <c r="F115" s="25"/>
      <c r="G115" s="25"/>
      <c r="H115" s="25"/>
      <c r="I115" s="25"/>
      <c r="J115" s="25"/>
      <c r="K115" s="25"/>
      <c r="L115" s="25"/>
      <c r="M115" s="25"/>
      <c r="N115" s="25"/>
      <c r="O115" s="25"/>
      <c r="P115" s="25"/>
      <c r="Q115" s="4"/>
    </row>
    <row r="116" spans="1:17" x14ac:dyDescent="0.25">
      <c r="A116" s="3" t="s">
        <v>1088</v>
      </c>
      <c r="B116" s="3"/>
      <c r="C116" s="3" t="s">
        <v>561</v>
      </c>
      <c r="D116" s="3"/>
      <c r="E116" s="22"/>
      <c r="F116" s="22"/>
      <c r="G116" s="22"/>
      <c r="H116" s="22"/>
      <c r="I116" s="22"/>
      <c r="J116" s="22"/>
      <c r="K116" s="22"/>
      <c r="L116" s="22"/>
      <c r="M116" s="22"/>
      <c r="N116" s="22"/>
      <c r="O116" s="22"/>
      <c r="P116" s="22"/>
      <c r="Q116" s="3" t="s">
        <v>678</v>
      </c>
    </row>
    <row r="117" spans="1:17" x14ac:dyDescent="0.25">
      <c r="A117" s="4" t="s">
        <v>1088</v>
      </c>
      <c r="B117" s="4"/>
      <c r="C117" s="4" t="s">
        <v>473</v>
      </c>
      <c r="D117" s="4" t="s">
        <v>562</v>
      </c>
      <c r="E117" s="25">
        <v>1</v>
      </c>
      <c r="F117" s="25"/>
      <c r="G117" s="25"/>
      <c r="H117" s="25"/>
      <c r="I117" s="25"/>
      <c r="J117" s="25"/>
      <c r="K117" s="25"/>
      <c r="L117" s="25"/>
      <c r="M117" s="25"/>
      <c r="N117" s="25"/>
      <c r="O117" s="25"/>
      <c r="P117" s="25"/>
      <c r="Q117" s="4"/>
    </row>
    <row r="118" spans="1:17" x14ac:dyDescent="0.25">
      <c r="A118" s="3" t="s">
        <v>1088</v>
      </c>
      <c r="B118" s="3"/>
      <c r="C118" s="3" t="s">
        <v>473</v>
      </c>
      <c r="D118" s="3" t="s">
        <v>565</v>
      </c>
      <c r="E118" s="22">
        <v>0</v>
      </c>
      <c r="F118" s="22"/>
      <c r="G118" s="22"/>
      <c r="H118" s="22"/>
      <c r="I118" s="22"/>
      <c r="J118" s="22"/>
      <c r="K118" s="22"/>
      <c r="L118" s="22"/>
      <c r="M118" s="22"/>
      <c r="N118" s="22"/>
      <c r="O118" s="22"/>
      <c r="P118" s="22"/>
      <c r="Q118" s="3"/>
    </row>
    <row r="119" spans="1:17" x14ac:dyDescent="0.25">
      <c r="A119" s="4" t="s">
        <v>1088</v>
      </c>
      <c r="B119" s="4"/>
      <c r="C119" s="4" t="s">
        <v>561</v>
      </c>
      <c r="D119" s="4"/>
      <c r="E119" s="25"/>
      <c r="F119" s="25"/>
      <c r="G119" s="25"/>
      <c r="H119" s="25"/>
      <c r="I119" s="25"/>
      <c r="J119" s="25"/>
      <c r="K119" s="25"/>
      <c r="L119" s="25"/>
      <c r="M119" s="25"/>
      <c r="N119" s="25"/>
      <c r="O119" s="25"/>
      <c r="P119" s="25"/>
      <c r="Q119" s="4"/>
    </row>
    <row r="120" spans="1:17" x14ac:dyDescent="0.25">
      <c r="A120" s="3" t="s">
        <v>1088</v>
      </c>
      <c r="B120" s="3"/>
      <c r="C120" s="3" t="s">
        <v>473</v>
      </c>
      <c r="D120" s="3" t="s">
        <v>562</v>
      </c>
      <c r="E120" s="22">
        <f>GetFilamentSpec($E$2,"disable_fan_first_layers") + 1</f>
        <v>4</v>
      </c>
      <c r="F120" s="22"/>
      <c r="G120" s="22"/>
      <c r="H120" s="22"/>
      <c r="I120" s="22"/>
      <c r="J120" s="22"/>
      <c r="K120" s="22"/>
      <c r="L120" s="22"/>
      <c r="M120" s="22"/>
      <c r="N120" s="22"/>
      <c r="O120" s="22"/>
      <c r="P120" s="22"/>
      <c r="Q120" s="3"/>
    </row>
    <row r="121" spans="1:17" x14ac:dyDescent="0.25">
      <c r="A121" s="4" t="s">
        <v>1088</v>
      </c>
      <c r="B121" s="4"/>
      <c r="C121" s="4" t="s">
        <v>473</v>
      </c>
      <c r="D121" s="4" t="s">
        <v>565</v>
      </c>
      <c r="E121" s="25">
        <f>GetFilamentSpec($E$2,"max_fan_speed") * 100</f>
        <v>0</v>
      </c>
      <c r="F121" s="25"/>
      <c r="G121" s="25"/>
      <c r="H121" s="25"/>
      <c r="I121" s="25"/>
      <c r="J121" s="25"/>
      <c r="K121" s="25"/>
      <c r="L121" s="25"/>
      <c r="M121" s="25"/>
      <c r="N121" s="25"/>
      <c r="O121" s="25"/>
      <c r="P121" s="25"/>
      <c r="Q121" s="4"/>
    </row>
    <row r="122" spans="1:17" x14ac:dyDescent="0.25">
      <c r="A122" s="3" t="s">
        <v>1088</v>
      </c>
      <c r="B122" s="3" t="s">
        <v>566</v>
      </c>
      <c r="C122" s="3"/>
      <c r="D122" s="3"/>
      <c r="E122" s="22">
        <v>0</v>
      </c>
      <c r="F122" s="22"/>
      <c r="G122" s="22"/>
      <c r="H122" s="22"/>
      <c r="I122" s="22"/>
      <c r="J122" s="22"/>
      <c r="K122" s="22"/>
      <c r="L122" s="22"/>
      <c r="M122" s="22"/>
      <c r="N122" s="22"/>
      <c r="O122" s="22"/>
      <c r="P122" s="22"/>
      <c r="Q122" s="3"/>
    </row>
    <row r="123" spans="1:17" x14ac:dyDescent="0.25">
      <c r="A123" s="4" t="s">
        <v>1088</v>
      </c>
      <c r="B123" s="4" t="s">
        <v>567</v>
      </c>
      <c r="C123" s="4"/>
      <c r="D123" s="4"/>
      <c r="E123" s="25" t="str">
        <f>GetFilamentSpec($E$2,"cooling")</f>
        <v>1</v>
      </c>
      <c r="F123" s="25"/>
      <c r="G123" s="25"/>
      <c r="H123" s="25"/>
      <c r="I123" s="25"/>
      <c r="J123" s="25"/>
      <c r="K123" s="25"/>
      <c r="L123" s="25"/>
      <c r="M123" s="25"/>
      <c r="N123" s="25"/>
      <c r="O123" s="25"/>
      <c r="P123" s="25"/>
      <c r="Q123" s="4" t="s">
        <v>675</v>
      </c>
    </row>
    <row r="124" spans="1:17" x14ac:dyDescent="0.25">
      <c r="A124" s="3" t="s">
        <v>1088</v>
      </c>
      <c r="B124" s="3" t="s">
        <v>568</v>
      </c>
      <c r="C124" s="3"/>
      <c r="D124" s="3"/>
      <c r="E124" s="22" t="str">
        <f>GetFilamentSpec($E$2,"min_print_speed")</f>
        <v>15</v>
      </c>
      <c r="F124" s="22"/>
      <c r="G124" s="22"/>
      <c r="H124" s="22"/>
      <c r="I124" s="22"/>
      <c r="J124" s="22"/>
      <c r="K124" s="22"/>
      <c r="L124" s="22"/>
      <c r="M124" s="22"/>
      <c r="N124" s="22"/>
      <c r="O124" s="22"/>
      <c r="P124" s="22"/>
      <c r="Q124" s="3"/>
    </row>
    <row r="125" spans="1:17" x14ac:dyDescent="0.25">
      <c r="A125" s="4" t="s">
        <v>1088</v>
      </c>
      <c r="B125" s="4" t="s">
        <v>569</v>
      </c>
      <c r="C125" s="4"/>
      <c r="D125" s="4"/>
      <c r="E125" s="25" t="str">
        <f>GetFilamentSpec($E$2,"slowdown_below_layer_time")</f>
        <v>15</v>
      </c>
      <c r="F125" s="25"/>
      <c r="G125" s="25"/>
      <c r="H125" s="25"/>
      <c r="I125" s="25"/>
      <c r="J125" s="25"/>
      <c r="K125" s="25"/>
      <c r="L125" s="25"/>
      <c r="M125" s="25"/>
      <c r="N125" s="25"/>
      <c r="O125" s="25"/>
      <c r="P125" s="25"/>
      <c r="Q125" s="4"/>
    </row>
    <row r="126" spans="1:17" x14ac:dyDescent="0.25">
      <c r="A126" s="3" t="s">
        <v>1088</v>
      </c>
      <c r="B126" s="3" t="s">
        <v>570</v>
      </c>
      <c r="C126" s="3"/>
      <c r="D126" s="3"/>
      <c r="E126" s="22">
        <v>1</v>
      </c>
      <c r="F126" s="22"/>
      <c r="G126" s="22"/>
      <c r="H126" s="22"/>
      <c r="I126" s="22"/>
      <c r="J126" s="22"/>
      <c r="K126" s="22"/>
      <c r="L126" s="22"/>
      <c r="M126" s="22"/>
      <c r="N126" s="22"/>
      <c r="O126" s="22"/>
      <c r="P126" s="22"/>
      <c r="Q126" s="3" t="s">
        <v>676</v>
      </c>
    </row>
    <row r="127" spans="1:17" x14ac:dyDescent="0.25">
      <c r="A127" s="4" t="s">
        <v>1088</v>
      </c>
      <c r="B127" s="4" t="s">
        <v>571</v>
      </c>
      <c r="C127" s="4"/>
      <c r="D127" s="4"/>
      <c r="E127" s="25" t="str">
        <f>GetFilamentSpec($E$2,"fan_below_layer_time")</f>
        <v>20</v>
      </c>
      <c r="F127" s="25"/>
      <c r="G127" s="25"/>
      <c r="H127" s="25"/>
      <c r="I127" s="25"/>
      <c r="J127" s="25"/>
      <c r="K127" s="25"/>
      <c r="L127" s="25"/>
      <c r="M127" s="25"/>
      <c r="N127" s="25"/>
      <c r="O127" s="25"/>
      <c r="P127" s="25"/>
      <c r="Q127" s="4"/>
    </row>
    <row r="128" spans="1:17" x14ac:dyDescent="0.25">
      <c r="A128" s="3" t="s">
        <v>1088</v>
      </c>
      <c r="B128" s="3" t="s">
        <v>572</v>
      </c>
      <c r="C128" s="3"/>
      <c r="D128" s="3"/>
      <c r="E128" s="22">
        <f>GetFilamentSpec($E$2,"max_fan_speed") * 100</f>
        <v>0</v>
      </c>
      <c r="F128" s="22"/>
      <c r="G128" s="22"/>
      <c r="H128" s="22"/>
      <c r="I128" s="22"/>
      <c r="J128" s="22"/>
      <c r="K128" s="22"/>
      <c r="L128" s="22"/>
      <c r="M128" s="22"/>
      <c r="N128" s="22"/>
      <c r="O128" s="22"/>
      <c r="P128" s="22"/>
      <c r="Q128" s="3"/>
    </row>
    <row r="129" spans="1:17" x14ac:dyDescent="0.25">
      <c r="A129" s="4" t="s">
        <v>1088</v>
      </c>
      <c r="B129" s="4" t="s">
        <v>573</v>
      </c>
      <c r="C129" s="4"/>
      <c r="D129" s="4"/>
      <c r="E129" s="25">
        <v>1</v>
      </c>
      <c r="F129" s="25"/>
      <c r="G129" s="25"/>
      <c r="H129" s="25"/>
      <c r="I129" s="25"/>
      <c r="J129" s="25"/>
      <c r="K129" s="25"/>
      <c r="L129" s="25"/>
      <c r="M129" s="25"/>
      <c r="N129" s="25"/>
      <c r="O129" s="25"/>
      <c r="P129" s="25"/>
      <c r="Q129" s="4"/>
    </row>
    <row r="130" spans="1:17" x14ac:dyDescent="0.25">
      <c r="A130" s="3" t="s">
        <v>1088</v>
      </c>
      <c r="B130" s="3" t="s">
        <v>574</v>
      </c>
      <c r="C130" s="3"/>
      <c r="D130" s="3"/>
      <c r="E130" s="22">
        <f>GetFilamentSpec($E$2,"bridge_fan_speed") * 100</f>
        <v>30</v>
      </c>
      <c r="F130" s="22"/>
      <c r="G130" s="22"/>
      <c r="H130" s="22"/>
      <c r="I130" s="22"/>
      <c r="J130" s="22"/>
      <c r="K130" s="22"/>
      <c r="L130" s="22"/>
      <c r="M130" s="22"/>
      <c r="N130" s="22"/>
      <c r="O130" s="22"/>
      <c r="P130" s="22"/>
      <c r="Q130" s="3" t="s">
        <v>677</v>
      </c>
    </row>
    <row r="131" spans="1:17" x14ac:dyDescent="0.25">
      <c r="A131" s="4"/>
      <c r="B131" s="4" t="s">
        <v>575</v>
      </c>
      <c r="C131" s="4"/>
      <c r="D131" s="4"/>
      <c r="E131" s="25">
        <v>1</v>
      </c>
      <c r="F131" s="25"/>
      <c r="G131" s="25"/>
      <c r="H131" s="25"/>
      <c r="I131" s="25"/>
      <c r="J131" s="25"/>
      <c r="K131" s="25"/>
      <c r="L131" s="25"/>
      <c r="M131" s="25"/>
      <c r="N131" s="25"/>
      <c r="O131" s="25"/>
      <c r="P131" s="25"/>
      <c r="Q131" s="4" t="s">
        <v>720</v>
      </c>
    </row>
    <row r="132" spans="1:17" x14ac:dyDescent="0.25">
      <c r="A132" s="3"/>
      <c r="B132" s="3" t="s">
        <v>576</v>
      </c>
      <c r="C132" s="3"/>
      <c r="D132" s="3"/>
      <c r="E132" s="22">
        <v>1</v>
      </c>
      <c r="F132" s="22"/>
      <c r="G132" s="22"/>
      <c r="H132" s="22"/>
      <c r="I132" s="22"/>
      <c r="J132" s="22"/>
      <c r="K132" s="22"/>
      <c r="L132" s="22"/>
      <c r="M132" s="22"/>
      <c r="N132" s="22"/>
      <c r="O132" s="22"/>
      <c r="P132" s="22"/>
      <c r="Q132" s="3" t="s">
        <v>721</v>
      </c>
    </row>
    <row r="133" spans="1:17" x14ac:dyDescent="0.25">
      <c r="A133" s="4"/>
      <c r="B133" s="4" t="s">
        <v>577</v>
      </c>
      <c r="C133" s="4"/>
      <c r="D133" s="4"/>
      <c r="E133" s="25">
        <v>1</v>
      </c>
      <c r="F133" s="25"/>
      <c r="G133" s="25"/>
      <c r="H133" s="25"/>
      <c r="I133" s="25"/>
      <c r="J133" s="25"/>
      <c r="K133" s="25"/>
      <c r="L133" s="25"/>
      <c r="M133" s="25"/>
      <c r="N133" s="25"/>
      <c r="O133" s="25"/>
      <c r="P133" s="25"/>
      <c r="Q133" s="4" t="s">
        <v>722</v>
      </c>
    </row>
    <row r="134" spans="1:17" x14ac:dyDescent="0.25">
      <c r="A134" s="3"/>
      <c r="B134" s="3" t="s">
        <v>578</v>
      </c>
      <c r="C134" s="3"/>
      <c r="D134" s="3"/>
      <c r="E134" s="22">
        <v>0</v>
      </c>
      <c r="F134" s="22"/>
      <c r="G134" s="22"/>
      <c r="H134" s="22"/>
      <c r="I134" s="22"/>
      <c r="J134" s="22"/>
      <c r="K134" s="22"/>
      <c r="L134" s="22"/>
      <c r="M134" s="22"/>
      <c r="N134" s="22"/>
      <c r="O134" s="22"/>
      <c r="P134" s="22"/>
      <c r="Q134" s="3" t="s">
        <v>723</v>
      </c>
    </row>
    <row r="135" spans="1:17" x14ac:dyDescent="0.25">
      <c r="A135" s="4"/>
      <c r="B135" s="4" t="s">
        <v>579</v>
      </c>
      <c r="C135" s="4"/>
      <c r="D135" s="4"/>
      <c r="E135" s="25">
        <v>0</v>
      </c>
      <c r="F135" s="25"/>
      <c r="G135" s="25"/>
      <c r="H135" s="25"/>
      <c r="I135" s="25"/>
      <c r="J135" s="25"/>
      <c r="K135" s="25"/>
      <c r="L135" s="25"/>
      <c r="M135" s="25"/>
      <c r="N135" s="25"/>
      <c r="O135" s="25"/>
      <c r="P135" s="25"/>
      <c r="Q135" s="4" t="s">
        <v>724</v>
      </c>
    </row>
    <row r="136" spans="1:17" x14ac:dyDescent="0.25">
      <c r="A136" s="3"/>
      <c r="B136" s="3" t="s">
        <v>580</v>
      </c>
      <c r="C136" s="3"/>
      <c r="D136" s="3"/>
      <c r="E136" s="22">
        <v>1</v>
      </c>
      <c r="F136" s="22"/>
      <c r="G136" s="22"/>
      <c r="H136" s="22"/>
      <c r="I136" s="22"/>
      <c r="J136" s="22"/>
      <c r="K136" s="22"/>
      <c r="L136" s="22"/>
      <c r="M136" s="22"/>
      <c r="N136" s="22"/>
      <c r="O136" s="22"/>
      <c r="P136" s="22"/>
      <c r="Q136" s="3" t="s">
        <v>725</v>
      </c>
    </row>
    <row r="137" spans="1:17" x14ac:dyDescent="0.25">
      <c r="A137" s="4"/>
      <c r="B137" s="4" t="s">
        <v>581</v>
      </c>
      <c r="C137" s="4"/>
      <c r="D137" s="4"/>
      <c r="E137" s="25">
        <v>0</v>
      </c>
      <c r="F137" s="25"/>
      <c r="G137" s="25"/>
      <c r="H137" s="25"/>
      <c r="I137" s="25"/>
      <c r="J137" s="25"/>
      <c r="K137" s="25"/>
      <c r="L137" s="25"/>
      <c r="M137" s="25"/>
      <c r="N137" s="25"/>
      <c r="O137" s="25"/>
      <c r="P137" s="25"/>
      <c r="Q137" s="4" t="s">
        <v>726</v>
      </c>
    </row>
    <row r="138" spans="1:17" x14ac:dyDescent="0.25">
      <c r="A138" s="3"/>
      <c r="B138" s="3" t="s">
        <v>582</v>
      </c>
      <c r="C138" s="3"/>
      <c r="D138" s="3"/>
      <c r="E138" s="22">
        <v>0</v>
      </c>
      <c r="F138" s="22"/>
      <c r="G138" s="22"/>
      <c r="H138" s="22"/>
      <c r="I138" s="22"/>
      <c r="J138" s="22"/>
      <c r="K138" s="22"/>
      <c r="L138" s="22"/>
      <c r="M138" s="22"/>
      <c r="N138" s="22"/>
      <c r="O138" s="22"/>
      <c r="P138" s="22"/>
      <c r="Q138" s="3"/>
    </row>
    <row r="139" spans="1:17" x14ac:dyDescent="0.25">
      <c r="A139" s="4"/>
      <c r="B139" s="4" t="s">
        <v>583</v>
      </c>
      <c r="C139" s="4"/>
      <c r="D139" s="4"/>
      <c r="E139" s="25">
        <v>0</v>
      </c>
      <c r="F139" s="25"/>
      <c r="G139" s="25"/>
      <c r="H139" s="25"/>
      <c r="I139" s="25"/>
      <c r="J139" s="25"/>
      <c r="K139" s="25"/>
      <c r="L139" s="25"/>
      <c r="M139" s="25"/>
      <c r="N139" s="25"/>
      <c r="O139" s="25"/>
      <c r="P139" s="25"/>
      <c r="Q139" s="4"/>
    </row>
    <row r="140" spans="1:17" x14ac:dyDescent="0.25">
      <c r="A140" s="3" t="s">
        <v>1088</v>
      </c>
      <c r="B140" s="3" t="s">
        <v>584</v>
      </c>
      <c r="C140" s="3"/>
      <c r="D140" s="3"/>
      <c r="E140" s="22">
        <v>0</v>
      </c>
      <c r="F140" s="22"/>
      <c r="G140" s="22"/>
      <c r="H140" s="22"/>
      <c r="I140" s="22"/>
      <c r="J140" s="22"/>
      <c r="K140" s="22"/>
      <c r="L140" s="22"/>
      <c r="M140" s="22"/>
      <c r="N140" s="22"/>
      <c r="O140" s="22"/>
      <c r="P140" s="22"/>
      <c r="Q140" s="3"/>
    </row>
    <row r="141" spans="1:17" x14ac:dyDescent="0.25">
      <c r="A141" s="4"/>
      <c r="B141" s="4" t="s">
        <v>585</v>
      </c>
      <c r="C141" s="4"/>
      <c r="D141" s="4"/>
      <c r="E141" s="25">
        <v>1</v>
      </c>
      <c r="F141" s="25"/>
      <c r="G141" s="25"/>
      <c r="H141" s="25"/>
      <c r="I141" s="25"/>
      <c r="J141" s="25"/>
      <c r="K141" s="25"/>
      <c r="L141" s="25"/>
      <c r="M141" s="25"/>
      <c r="N141" s="25"/>
      <c r="O141" s="25"/>
      <c r="P141" s="25"/>
      <c r="Q141" s="4" t="s">
        <v>727</v>
      </c>
    </row>
    <row r="142" spans="1:17" x14ac:dyDescent="0.25">
      <c r="A142" s="3"/>
      <c r="B142" s="3" t="s">
        <v>586</v>
      </c>
      <c r="C142" s="3"/>
      <c r="D142" s="3"/>
      <c r="E142" s="22">
        <v>0</v>
      </c>
      <c r="F142" s="22"/>
      <c r="G142" s="22"/>
      <c r="H142" s="22"/>
      <c r="I142" s="22"/>
      <c r="J142" s="22"/>
      <c r="K142" s="22"/>
      <c r="L142" s="22"/>
      <c r="M142" s="22"/>
      <c r="N142" s="22"/>
      <c r="O142" s="22"/>
      <c r="P142" s="22"/>
      <c r="Q142" s="3"/>
    </row>
    <row r="143" spans="1:17" x14ac:dyDescent="0.25">
      <c r="A143" s="4"/>
      <c r="B143" s="4" t="s">
        <v>587</v>
      </c>
      <c r="C143" s="4"/>
      <c r="D143" s="4"/>
      <c r="E143" s="25">
        <f>spec!B37</f>
        <v>418</v>
      </c>
      <c r="F143" s="25"/>
      <c r="G143" s="25"/>
      <c r="H143" s="25"/>
      <c r="I143" s="25"/>
      <c r="J143" s="25"/>
      <c r="K143" s="25"/>
      <c r="L143" s="25"/>
      <c r="M143" s="25"/>
      <c r="N143" s="25"/>
      <c r="O143" s="25"/>
      <c r="P143" s="25"/>
      <c r="Q143" s="4"/>
    </row>
    <row r="144" spans="1:17" x14ac:dyDescent="0.25">
      <c r="A144" s="3"/>
      <c r="B144" s="3" t="s">
        <v>588</v>
      </c>
      <c r="C144" s="3"/>
      <c r="D144" s="3"/>
      <c r="E144" s="22">
        <f>spec!B39</f>
        <v>10</v>
      </c>
      <c r="F144" s="22"/>
      <c r="G144" s="22"/>
      <c r="H144" s="22"/>
      <c r="I144" s="22"/>
      <c r="J144" s="22"/>
      <c r="K144" s="22"/>
      <c r="L144" s="22"/>
      <c r="M144" s="22"/>
      <c r="N144" s="22"/>
      <c r="O144" s="22"/>
      <c r="P144" s="22"/>
      <c r="Q144" s="3"/>
    </row>
    <row r="145" spans="1:17" x14ac:dyDescent="0.25">
      <c r="A145" s="4"/>
      <c r="B145" s="4" t="s">
        <v>589</v>
      </c>
      <c r="C145" s="4"/>
      <c r="D145" s="4"/>
      <c r="E145" s="25">
        <f>spec!B41</f>
        <v>0</v>
      </c>
      <c r="F145" s="25"/>
      <c r="G145" s="25"/>
      <c r="H145" s="25"/>
      <c r="I145" s="25"/>
      <c r="J145" s="25"/>
      <c r="K145" s="25"/>
      <c r="L145" s="25"/>
      <c r="M145" s="25"/>
      <c r="N145" s="25"/>
      <c r="O145" s="25"/>
      <c r="P145" s="25"/>
      <c r="Q145" s="4"/>
    </row>
    <row r="146" spans="1:17" x14ac:dyDescent="0.25">
      <c r="A146" s="3"/>
      <c r="B146" s="3" t="s">
        <v>590</v>
      </c>
      <c r="C146" s="3"/>
      <c r="D146" s="3"/>
      <c r="E146" s="22">
        <f>spec!B36</f>
        <v>800</v>
      </c>
      <c r="F146" s="22"/>
      <c r="G146" s="22"/>
      <c r="H146" s="22"/>
      <c r="I146" s="22"/>
      <c r="J146" s="22"/>
      <c r="K146" s="22"/>
      <c r="L146" s="22"/>
      <c r="M146" s="22"/>
      <c r="N146" s="22"/>
      <c r="O146" s="22"/>
      <c r="P146" s="22"/>
      <c r="Q146" s="3" t="s">
        <v>728</v>
      </c>
    </row>
    <row r="147" spans="1:17" x14ac:dyDescent="0.25">
      <c r="A147" s="4"/>
      <c r="B147" s="4" t="s">
        <v>591</v>
      </c>
      <c r="C147" s="4"/>
      <c r="D147" s="4"/>
      <c r="E147" s="25">
        <f>spec!B38</f>
        <v>15</v>
      </c>
      <c r="F147" s="25"/>
      <c r="G147" s="25"/>
      <c r="H147" s="25"/>
      <c r="I147" s="25"/>
      <c r="J147" s="25"/>
      <c r="K147" s="25"/>
      <c r="L147" s="25"/>
      <c r="M147" s="25"/>
      <c r="N147" s="25"/>
      <c r="O147" s="25"/>
      <c r="P147" s="25"/>
      <c r="Q147" s="4"/>
    </row>
    <row r="148" spans="1:17" x14ac:dyDescent="0.25">
      <c r="A148" s="3"/>
      <c r="B148" s="3" t="s">
        <v>592</v>
      </c>
      <c r="C148" s="3"/>
      <c r="D148" s="3"/>
      <c r="E148" s="22">
        <f>spec!B40</f>
        <v>280</v>
      </c>
      <c r="F148" s="22"/>
      <c r="G148" s="22"/>
      <c r="H148" s="22"/>
      <c r="I148" s="22"/>
      <c r="J148" s="22"/>
      <c r="K148" s="22"/>
      <c r="L148" s="22"/>
      <c r="M148" s="22"/>
      <c r="N148" s="22"/>
      <c r="O148" s="22"/>
      <c r="P148" s="22"/>
      <c r="Q148" s="3"/>
    </row>
    <row r="149" spans="1:17" x14ac:dyDescent="0.25">
      <c r="A149" s="4"/>
      <c r="B149" s="4" t="s">
        <v>593</v>
      </c>
      <c r="C149" s="4"/>
      <c r="D149" s="4"/>
      <c r="E149" s="25">
        <v>1</v>
      </c>
      <c r="F149" s="25"/>
      <c r="G149" s="25"/>
      <c r="H149" s="25"/>
      <c r="I149" s="25"/>
      <c r="J149" s="25"/>
      <c r="K149" s="25"/>
      <c r="L149" s="25"/>
      <c r="M149" s="25"/>
      <c r="N149" s="25"/>
      <c r="O149" s="25"/>
      <c r="P149" s="25"/>
      <c r="Q149" s="4" t="s">
        <v>729</v>
      </c>
    </row>
    <row r="150" spans="1:17" x14ac:dyDescent="0.25">
      <c r="A150" s="3"/>
      <c r="B150" s="3" t="s">
        <v>594</v>
      </c>
      <c r="C150" s="3"/>
      <c r="D150" s="3"/>
      <c r="E150" s="22">
        <v>1</v>
      </c>
      <c r="F150" s="22"/>
      <c r="G150" s="22"/>
      <c r="H150" s="22"/>
      <c r="I150" s="22"/>
      <c r="J150" s="22"/>
      <c r="K150" s="22"/>
      <c r="L150" s="22"/>
      <c r="M150" s="22"/>
      <c r="N150" s="22"/>
      <c r="O150" s="22"/>
      <c r="P150" s="22"/>
      <c r="Q150" s="3"/>
    </row>
    <row r="151" spans="1:17" x14ac:dyDescent="0.25">
      <c r="A151" s="4"/>
      <c r="B151" s="4" t="s">
        <v>595</v>
      </c>
      <c r="C151" s="4"/>
      <c r="D151" s="4"/>
      <c r="E151" s="25">
        <v>1</v>
      </c>
      <c r="F151" s="25"/>
      <c r="G151" s="25"/>
      <c r="H151" s="25"/>
      <c r="I151" s="25"/>
      <c r="J151" s="25"/>
      <c r="K151" s="25"/>
      <c r="L151" s="25"/>
      <c r="M151" s="25"/>
      <c r="N151" s="25"/>
      <c r="O151" s="25"/>
      <c r="P151" s="25"/>
      <c r="Q151" s="4"/>
    </row>
    <row r="152" spans="1:17" x14ac:dyDescent="0.25">
      <c r="A152" s="3"/>
      <c r="B152" s="3" t="s">
        <v>596</v>
      </c>
      <c r="C152" s="3"/>
      <c r="D152" s="3"/>
      <c r="E152" s="22">
        <v>1</v>
      </c>
      <c r="F152" s="22"/>
      <c r="G152" s="22"/>
      <c r="H152" s="22"/>
      <c r="I152" s="22"/>
      <c r="J152" s="22"/>
      <c r="K152" s="22"/>
      <c r="L152" s="22"/>
      <c r="M152" s="22"/>
      <c r="N152" s="22"/>
      <c r="O152" s="22"/>
      <c r="P152" s="22"/>
      <c r="Q152" s="3" t="s">
        <v>730</v>
      </c>
    </row>
    <row r="153" spans="1:17" x14ac:dyDescent="0.25">
      <c r="A153" s="4"/>
      <c r="B153" s="4" t="s">
        <v>597</v>
      </c>
      <c r="C153" s="4"/>
      <c r="D153" s="4"/>
      <c r="E153" s="25">
        <v>-1</v>
      </c>
      <c r="F153" s="25"/>
      <c r="G153" s="25"/>
      <c r="H153" s="25"/>
      <c r="I153" s="25"/>
      <c r="J153" s="25"/>
      <c r="K153" s="25"/>
      <c r="L153" s="25"/>
      <c r="M153" s="25"/>
      <c r="N153" s="25"/>
      <c r="O153" s="25"/>
      <c r="P153" s="25"/>
      <c r="Q153" s="4"/>
    </row>
    <row r="154" spans="1:17" x14ac:dyDescent="0.25">
      <c r="A154" s="3"/>
      <c r="B154" s="3" t="s">
        <v>598</v>
      </c>
      <c r="C154" s="3"/>
      <c r="D154" s="3"/>
      <c r="E154" s="22">
        <v>1</v>
      </c>
      <c r="F154" s="22"/>
      <c r="G154" s="22"/>
      <c r="H154" s="22"/>
      <c r="I154" s="22"/>
      <c r="J154" s="22"/>
      <c r="K154" s="22"/>
      <c r="L154" s="22"/>
      <c r="M154" s="22"/>
      <c r="N154" s="22"/>
      <c r="O154" s="22"/>
      <c r="P154" s="22"/>
      <c r="Q154" s="3"/>
    </row>
    <row r="155" spans="1:17" x14ac:dyDescent="0.25">
      <c r="A155" s="4"/>
      <c r="B155" s="4" t="s">
        <v>599</v>
      </c>
      <c r="C155" s="4"/>
      <c r="D155" s="4"/>
      <c r="E155" s="25" t="s">
        <v>600</v>
      </c>
      <c r="F155" s="25"/>
      <c r="G155" s="25"/>
      <c r="H155" s="25"/>
      <c r="I155" s="25"/>
      <c r="J155" s="25"/>
      <c r="K155" s="25"/>
      <c r="L155" s="25"/>
      <c r="M155" s="25"/>
      <c r="N155" s="25"/>
      <c r="O155" s="25"/>
      <c r="P155" s="25"/>
      <c r="Q155" s="4"/>
    </row>
    <row r="156" spans="1:17" x14ac:dyDescent="0.25">
      <c r="A156" s="3"/>
      <c r="B156" s="3" t="s">
        <v>601</v>
      </c>
      <c r="C156" s="3"/>
      <c r="D156" s="3"/>
      <c r="E156" s="22">
        <v>1</v>
      </c>
      <c r="F156" s="22"/>
      <c r="G156" s="22"/>
      <c r="H156" s="22"/>
      <c r="I156" s="22"/>
      <c r="J156" s="22"/>
      <c r="K156" s="22"/>
      <c r="L156" s="22"/>
      <c r="M156" s="22"/>
      <c r="N156" s="22"/>
      <c r="O156" s="22"/>
      <c r="P156" s="22"/>
      <c r="Q156" s="3"/>
    </row>
    <row r="157" spans="1:17" x14ac:dyDescent="0.25">
      <c r="A157" s="4"/>
      <c r="B157" s="4" t="s">
        <v>602</v>
      </c>
      <c r="C157" s="4"/>
      <c r="D157" s="4"/>
      <c r="E157" s="25" t="s">
        <v>603</v>
      </c>
      <c r="F157" s="25"/>
      <c r="G157" s="25"/>
      <c r="H157" s="25"/>
      <c r="I157" s="25"/>
      <c r="J157" s="25"/>
      <c r="K157" s="25"/>
      <c r="L157" s="25"/>
      <c r="M157" s="25"/>
      <c r="N157" s="25"/>
      <c r="O157" s="25"/>
      <c r="P157" s="25"/>
      <c r="Q157" s="4"/>
    </row>
    <row r="158" spans="1:17" x14ac:dyDescent="0.25">
      <c r="A158" s="3"/>
      <c r="B158" s="3" t="s">
        <v>604</v>
      </c>
      <c r="C158" s="3"/>
      <c r="D158" s="3"/>
      <c r="E158" s="22" t="s">
        <v>605</v>
      </c>
      <c r="F158" s="22"/>
      <c r="G158" s="22"/>
      <c r="H158" s="22"/>
      <c r="I158" s="22"/>
      <c r="J158" s="22"/>
      <c r="K158" s="22"/>
      <c r="L158" s="22"/>
      <c r="M158" s="22"/>
      <c r="N158" s="22"/>
      <c r="O158" s="22"/>
      <c r="P158" s="22"/>
      <c r="Q158" s="3"/>
    </row>
    <row r="159" spans="1:17" x14ac:dyDescent="0.25">
      <c r="A159" s="4"/>
      <c r="B159" s="4" t="s">
        <v>606</v>
      </c>
      <c r="C159" s="4"/>
      <c r="D159" s="4"/>
      <c r="E159" s="25">
        <v>115200</v>
      </c>
      <c r="F159" s="25"/>
      <c r="G159" s="25"/>
      <c r="H159" s="25"/>
      <c r="I159" s="25"/>
      <c r="J159" s="25"/>
      <c r="K159" s="25"/>
      <c r="L159" s="25"/>
      <c r="M159" s="25"/>
      <c r="N159" s="25"/>
      <c r="O159" s="25"/>
      <c r="P159" s="25"/>
      <c r="Q159" s="4"/>
    </row>
    <row r="160" spans="1:17" x14ac:dyDescent="0.25">
      <c r="A160" s="3"/>
      <c r="B160" s="3" t="s">
        <v>607</v>
      </c>
      <c r="C160" s="3"/>
      <c r="D160" s="3"/>
      <c r="E160" s="22">
        <v>0</v>
      </c>
      <c r="F160" s="22"/>
      <c r="G160" s="22"/>
      <c r="H160" s="22"/>
      <c r="I160" s="22"/>
      <c r="J160" s="22"/>
      <c r="K160" s="22"/>
      <c r="L160" s="22"/>
      <c r="M160" s="22"/>
      <c r="N160" s="22"/>
      <c r="O160" s="22"/>
      <c r="P160" s="22"/>
      <c r="Q160" s="3"/>
    </row>
    <row r="161" spans="1:17" x14ac:dyDescent="0.25">
      <c r="A161" s="4"/>
      <c r="B161" s="4" t="s">
        <v>608</v>
      </c>
      <c r="C161" s="4"/>
      <c r="D161" s="4"/>
      <c r="E161" s="25" t="s">
        <v>1098</v>
      </c>
      <c r="F161" s="25"/>
      <c r="G161" s="25"/>
      <c r="H161" s="25"/>
      <c r="I161" s="25"/>
      <c r="J161" s="25"/>
      <c r="K161" s="25"/>
      <c r="L161" s="25"/>
      <c r="M161" s="25"/>
      <c r="N161" s="25"/>
      <c r="O161" s="25"/>
      <c r="P161" s="25"/>
      <c r="Q161" s="4"/>
    </row>
    <row r="162" spans="1:17" x14ac:dyDescent="0.25">
      <c r="A162" s="3"/>
      <c r="B162" s="3" t="s">
        <v>609</v>
      </c>
      <c r="C162" s="3"/>
      <c r="D162" s="3"/>
      <c r="E162" s="22" t="s">
        <v>611</v>
      </c>
      <c r="F162" s="22"/>
      <c r="G162" s="22"/>
      <c r="H162" s="22"/>
      <c r="I162" s="22"/>
      <c r="J162" s="22"/>
      <c r="K162" s="22"/>
      <c r="L162" s="22"/>
      <c r="M162" s="22"/>
      <c r="N162" s="22"/>
      <c r="O162" s="22"/>
      <c r="P162" s="22"/>
      <c r="Q162" s="3"/>
    </row>
    <row r="163" spans="1:17" x14ac:dyDescent="0.25">
      <c r="A163" s="4"/>
      <c r="B163" s="4" t="s">
        <v>610</v>
      </c>
      <c r="C163" s="4"/>
      <c r="D163" s="4"/>
      <c r="E163" s="25" t="s">
        <v>1091</v>
      </c>
      <c r="F163" s="25"/>
      <c r="G163" s="25"/>
      <c r="H163" s="25"/>
      <c r="I163" s="25"/>
      <c r="J163" s="25"/>
      <c r="K163" s="25"/>
      <c r="L163" s="25"/>
      <c r="M163" s="25"/>
      <c r="N163" s="25"/>
      <c r="O163" s="25"/>
      <c r="P163" s="25"/>
      <c r="Q163" s="4"/>
    </row>
    <row r="164" spans="1:17" x14ac:dyDescent="0.25">
      <c r="A164" s="3"/>
      <c r="B164" s="3" t="s">
        <v>612</v>
      </c>
      <c r="C164" s="3"/>
      <c r="D164" s="3"/>
      <c r="E164" s="22" t="s">
        <v>613</v>
      </c>
      <c r="F164" s="22"/>
      <c r="G164" s="22"/>
      <c r="H164" s="22"/>
      <c r="I164" s="22"/>
      <c r="J164" s="22"/>
      <c r="K164" s="22"/>
      <c r="L164" s="22"/>
      <c r="M164" s="22"/>
      <c r="N164" s="22"/>
      <c r="O164" s="22"/>
      <c r="P164" s="22"/>
      <c r="Q164" s="3"/>
    </row>
    <row r="165" spans="1:17" x14ac:dyDescent="0.25">
      <c r="A165" s="4"/>
      <c r="B165" s="4" t="s">
        <v>614</v>
      </c>
      <c r="C165" s="4"/>
      <c r="D165" s="4"/>
      <c r="E165" s="25" t="s">
        <v>1092</v>
      </c>
      <c r="F165" s="25"/>
      <c r="G165" s="25"/>
      <c r="H165" s="25"/>
      <c r="I165" s="25"/>
      <c r="J165" s="25"/>
      <c r="K165" s="25"/>
      <c r="L165" s="25"/>
      <c r="M165" s="25"/>
      <c r="N165" s="25"/>
      <c r="O165" s="25"/>
      <c r="P165" s="25"/>
      <c r="Q165" s="4"/>
    </row>
    <row r="166" spans="1:17" x14ac:dyDescent="0.25">
      <c r="A166" s="3"/>
      <c r="B166" s="3" t="s">
        <v>615</v>
      </c>
      <c r="C166" s="3"/>
      <c r="D166" s="3"/>
      <c r="E166" s="22" t="s">
        <v>1093</v>
      </c>
      <c r="F166" s="22"/>
      <c r="G166" s="22"/>
      <c r="H166" s="22"/>
      <c r="I166" s="22"/>
      <c r="J166" s="22"/>
      <c r="K166" s="22"/>
      <c r="L166" s="22"/>
      <c r="M166" s="22"/>
      <c r="N166" s="22"/>
      <c r="O166" s="22"/>
      <c r="P166" s="22"/>
      <c r="Q166" s="3"/>
    </row>
    <row r="167" spans="1:17" x14ac:dyDescent="0.25">
      <c r="A167" s="4"/>
      <c r="B167" s="4" t="s">
        <v>616</v>
      </c>
      <c r="C167" s="4"/>
      <c r="D167" s="4"/>
      <c r="E167" s="25" t="s">
        <v>617</v>
      </c>
      <c r="F167" s="25"/>
      <c r="G167" s="25"/>
      <c r="H167" s="25"/>
      <c r="I167" s="25"/>
      <c r="J167" s="25"/>
      <c r="K167" s="25"/>
      <c r="L167" s="25"/>
      <c r="M167" s="25"/>
      <c r="N167" s="25"/>
      <c r="O167" s="25"/>
      <c r="P167" s="25"/>
      <c r="Q167" s="4"/>
    </row>
    <row r="168" spans="1:17" x14ac:dyDescent="0.25">
      <c r="A168" s="3"/>
      <c r="B168" s="3" t="s">
        <v>618</v>
      </c>
      <c r="C168" s="3"/>
      <c r="D168" s="3"/>
      <c r="E168" s="22">
        <v>0</v>
      </c>
      <c r="F168" s="22"/>
      <c r="G168" s="22"/>
      <c r="H168" s="22"/>
      <c r="I168" s="22"/>
      <c r="J168" s="22"/>
      <c r="K168" s="22"/>
      <c r="L168" s="22"/>
      <c r="M168" s="22"/>
      <c r="N168" s="22"/>
      <c r="O168" s="22"/>
      <c r="P168" s="22"/>
      <c r="Q168" s="3"/>
    </row>
    <row r="169" spans="1:17" x14ac:dyDescent="0.25">
      <c r="A169" s="4"/>
      <c r="B169" s="4" t="s">
        <v>619</v>
      </c>
      <c r="C169" s="4"/>
      <c r="D169" s="4"/>
      <c r="E169" s="25" t="s">
        <v>620</v>
      </c>
      <c r="F169" s="25"/>
      <c r="G169" s="25"/>
      <c r="H169" s="25"/>
      <c r="I169" s="25"/>
      <c r="J169" s="25"/>
      <c r="K169" s="25"/>
      <c r="L169" s="25"/>
      <c r="M169" s="25"/>
      <c r="N169" s="25"/>
      <c r="O169" s="25"/>
      <c r="P169" s="25"/>
      <c r="Q169" s="4"/>
    </row>
    <row r="170" spans="1:17" x14ac:dyDescent="0.25">
      <c r="A170" s="3"/>
      <c r="B170" s="3" t="s">
        <v>621</v>
      </c>
      <c r="C170" s="3"/>
      <c r="D170" s="3"/>
      <c r="E170" s="22" t="s">
        <v>1098</v>
      </c>
      <c r="F170" s="22"/>
      <c r="G170" s="22"/>
      <c r="H170" s="22"/>
      <c r="I170" s="22"/>
      <c r="J170" s="22"/>
      <c r="K170" s="22"/>
      <c r="L170" s="22"/>
      <c r="M170" s="22"/>
      <c r="N170" s="22"/>
      <c r="O170" s="22"/>
      <c r="P170" s="22"/>
      <c r="Q170" s="3"/>
    </row>
    <row r="171" spans="1:17" x14ac:dyDescent="0.25">
      <c r="A171" s="45"/>
      <c r="B171" s="45" t="s">
        <v>422</v>
      </c>
      <c r="C171" s="6"/>
      <c r="D171" s="6"/>
      <c r="E171" s="34" t="str">
        <f>E8</f>
        <v>ABS</v>
      </c>
      <c r="F171" s="8">
        <f t="shared" ref="F171:P171" si="5" xml:space="preserve"> IF(SpeedType &lt;&gt; "ForceVolumetric",F$173, IFERROR($E$172/((Nozzle_Diameter*1.2)*F$1),0))</f>
        <v>127.31481481481482</v>
      </c>
      <c r="G171" s="8">
        <f t="shared" si="5"/>
        <v>76.3888888888889</v>
      </c>
      <c r="H171" s="8">
        <f t="shared" si="5"/>
        <v>63.657407407407412</v>
      </c>
      <c r="I171" s="8">
        <f t="shared" si="5"/>
        <v>54.563492063492063</v>
      </c>
      <c r="J171" s="8">
        <f t="shared" si="5"/>
        <v>47.743055555555557</v>
      </c>
      <c r="K171" s="8">
        <f t="shared" si="5"/>
        <v>38.19444444444445</v>
      </c>
      <c r="L171" s="8">
        <f t="shared" si="5"/>
        <v>31.828703703703706</v>
      </c>
      <c r="M171" s="8">
        <f t="shared" si="5"/>
        <v>27.281746031746032</v>
      </c>
      <c r="N171" s="8">
        <f t="shared" si="5"/>
        <v>23.871527777777779</v>
      </c>
      <c r="O171" s="8">
        <f t="shared" si="5"/>
        <v>21.219135802469136</v>
      </c>
      <c r="P171" s="8">
        <f t="shared" si="5"/>
        <v>19.097222222222225</v>
      </c>
      <c r="Q171" s="6"/>
    </row>
    <row r="172" spans="1:17" x14ac:dyDescent="0.25">
      <c r="A172" s="45"/>
      <c r="B172" s="45" t="s">
        <v>665</v>
      </c>
      <c r="C172" s="6"/>
      <c r="D172" s="6"/>
      <c r="E172" s="34" t="str">
        <f>GetFilamentSpec($E$2,"filament_max_volumetric_speed")</f>
        <v>11</v>
      </c>
      <c r="F172" s="34"/>
      <c r="G172" s="8"/>
      <c r="H172" s="8"/>
      <c r="I172" s="8"/>
      <c r="J172" s="8"/>
      <c r="K172" s="8"/>
      <c r="L172" s="8"/>
      <c r="M172" s="8"/>
      <c r="N172" s="8"/>
      <c r="O172" s="8"/>
      <c r="P172" s="8"/>
      <c r="Q172" s="6"/>
    </row>
    <row r="173" spans="1:17" s="62" customFormat="1" x14ac:dyDescent="0.25">
      <c r="A173" s="45"/>
      <c r="B173" s="45" t="s">
        <v>666</v>
      </c>
      <c r="C173" s="6"/>
      <c r="D173" s="6"/>
      <c r="E173" s="34">
        <v>60</v>
      </c>
      <c r="F173" s="34">
        <v>60</v>
      </c>
      <c r="G173" s="34">
        <v>60</v>
      </c>
      <c r="H173" s="34">
        <v>60</v>
      </c>
      <c r="I173" s="34">
        <v>60</v>
      </c>
      <c r="J173" s="34">
        <v>60</v>
      </c>
      <c r="K173" s="34">
        <v>60</v>
      </c>
      <c r="L173" s="34">
        <v>60</v>
      </c>
      <c r="M173" s="34">
        <v>60</v>
      </c>
      <c r="N173" s="34">
        <v>60</v>
      </c>
      <c r="O173" s="34">
        <v>60</v>
      </c>
      <c r="P173" s="34">
        <v>60</v>
      </c>
      <c r="Q173" s="6"/>
    </row>
    <row r="174" spans="1:17" s="62" customFormat="1" x14ac:dyDescent="0.25">
      <c r="A174" s="3" t="s">
        <v>1089</v>
      </c>
      <c r="B174" s="3" t="s">
        <v>622</v>
      </c>
      <c r="C174" s="3"/>
      <c r="D174" s="3"/>
      <c r="E174" s="22" t="str">
        <f>GetPrintSpec( $E$2,E$1,"infill_speed")</f>
        <v>45</v>
      </c>
      <c r="F174" s="22">
        <f t="shared" ref="F174:P174" si="6">GetPrintSpec( $E$2,F$1,"infill_speed")*60</f>
        <v>2700</v>
      </c>
      <c r="G174" s="22">
        <f t="shared" si="6"/>
        <v>2700</v>
      </c>
      <c r="H174" s="22">
        <f t="shared" si="6"/>
        <v>2700</v>
      </c>
      <c r="I174" s="22">
        <f t="shared" si="6"/>
        <v>2700</v>
      </c>
      <c r="J174" s="22">
        <f t="shared" si="6"/>
        <v>2700</v>
      </c>
      <c r="K174" s="22">
        <f t="shared" si="6"/>
        <v>2280</v>
      </c>
      <c r="L174" s="22">
        <f t="shared" si="6"/>
        <v>1920</v>
      </c>
      <c r="M174" s="22">
        <f t="shared" si="6"/>
        <v>1620</v>
      </c>
      <c r="N174" s="22">
        <f t="shared" si="6"/>
        <v>1440</v>
      </c>
      <c r="O174" s="22">
        <f t="shared" si="6"/>
        <v>1260</v>
      </c>
      <c r="P174" s="22">
        <f t="shared" si="6"/>
        <v>1140</v>
      </c>
      <c r="Q174" s="3" t="s">
        <v>731</v>
      </c>
    </row>
    <row r="175" spans="1:17" s="62" customFormat="1" x14ac:dyDescent="0.25">
      <c r="A175" s="4" t="s">
        <v>1089</v>
      </c>
      <c r="B175" s="4" t="s">
        <v>623</v>
      </c>
      <c r="C175" s="4"/>
      <c r="D175" s="4"/>
      <c r="E175" s="25" t="str">
        <f>GetPrintSpec( $E$2,E$1,"external_perimeter_speed")</f>
        <v>40</v>
      </c>
      <c r="F175" s="25">
        <f xml:space="preserve"> ROUNDUP((($E$175*60) /F$174),2)</f>
        <v>0.89</v>
      </c>
      <c r="G175" s="25">
        <f t="shared" ref="G175:P175" si="7" xml:space="preserve"> ROUNDUP((($E$175*60) /G$174),2)</f>
        <v>0.89</v>
      </c>
      <c r="H175" s="25">
        <f t="shared" si="7"/>
        <v>0.89</v>
      </c>
      <c r="I175" s="25">
        <f t="shared" si="7"/>
        <v>0.89</v>
      </c>
      <c r="J175" s="25">
        <f t="shared" si="7"/>
        <v>0.89</v>
      </c>
      <c r="K175" s="25">
        <f t="shared" si="7"/>
        <v>1.06</v>
      </c>
      <c r="L175" s="25">
        <f t="shared" si="7"/>
        <v>1.25</v>
      </c>
      <c r="M175" s="25">
        <f t="shared" si="7"/>
        <v>1.49</v>
      </c>
      <c r="N175" s="25">
        <f t="shared" si="7"/>
        <v>1.67</v>
      </c>
      <c r="O175" s="25">
        <f t="shared" si="7"/>
        <v>1.91</v>
      </c>
      <c r="P175" s="25">
        <f t="shared" si="7"/>
        <v>2.11</v>
      </c>
      <c r="Q175" s="4" t="s">
        <v>732</v>
      </c>
    </row>
    <row r="176" spans="1:17" s="62" customFormat="1" x14ac:dyDescent="0.25">
      <c r="A176" s="3" t="s">
        <v>1089</v>
      </c>
      <c r="B176" s="3" t="s">
        <v>624</v>
      </c>
      <c r="C176" s="3"/>
      <c r="D176" s="3"/>
      <c r="E176" s="22" t="str">
        <f>GetPrintSpec( $E$2,E$1,"top_solid_infill_speed")</f>
        <v>45</v>
      </c>
      <c r="F176" s="22">
        <f xml:space="preserve"> ROUNDUP((($E$176*60) /F$174),2)</f>
        <v>1</v>
      </c>
      <c r="G176" s="22">
        <f t="shared" ref="G176:P176" si="8" xml:space="preserve"> ROUNDUP((($E$176*60) /G$174),2)</f>
        <v>1</v>
      </c>
      <c r="H176" s="22">
        <f t="shared" si="8"/>
        <v>1</v>
      </c>
      <c r="I176" s="22">
        <f t="shared" si="8"/>
        <v>1</v>
      </c>
      <c r="J176" s="22">
        <f t="shared" si="8"/>
        <v>1</v>
      </c>
      <c r="K176" s="22">
        <f t="shared" si="8"/>
        <v>1.19</v>
      </c>
      <c r="L176" s="22">
        <f t="shared" si="8"/>
        <v>1.41</v>
      </c>
      <c r="M176" s="22">
        <f t="shared" si="8"/>
        <v>1.67</v>
      </c>
      <c r="N176" s="22">
        <f t="shared" si="8"/>
        <v>1.8800000000000001</v>
      </c>
      <c r="O176" s="22">
        <f t="shared" si="8"/>
        <v>2.15</v>
      </c>
      <c r="P176" s="22">
        <f t="shared" si="8"/>
        <v>2.3699999999999997</v>
      </c>
      <c r="Q176" s="3" t="s">
        <v>733</v>
      </c>
    </row>
    <row r="177" spans="1:17" s="62" customFormat="1" x14ac:dyDescent="0.25">
      <c r="A177" s="4" t="s">
        <v>1089</v>
      </c>
      <c r="B177" s="4" t="s">
        <v>625</v>
      </c>
      <c r="C177" s="4"/>
      <c r="D177" s="4"/>
      <c r="E177" s="25" t="str">
        <f>GetPrintSpec( $E$2,E$1,"support_material_speed")</f>
        <v>45</v>
      </c>
      <c r="F177" s="25">
        <f xml:space="preserve"> ROUNDUP((($E$177*60) /F$174),2)</f>
        <v>1</v>
      </c>
      <c r="G177" s="25">
        <f t="shared" ref="G177:P177" si="9" xml:space="preserve"> ROUNDUP((($E$177*60) /G$174),2)</f>
        <v>1</v>
      </c>
      <c r="H177" s="25">
        <f t="shared" si="9"/>
        <v>1</v>
      </c>
      <c r="I177" s="25">
        <f t="shared" si="9"/>
        <v>1</v>
      </c>
      <c r="J177" s="25">
        <f t="shared" si="9"/>
        <v>1</v>
      </c>
      <c r="K177" s="25">
        <f t="shared" si="9"/>
        <v>1.19</v>
      </c>
      <c r="L177" s="25">
        <f t="shared" si="9"/>
        <v>1.41</v>
      </c>
      <c r="M177" s="25">
        <f t="shared" si="9"/>
        <v>1.67</v>
      </c>
      <c r="N177" s="25">
        <f t="shared" si="9"/>
        <v>1.8800000000000001</v>
      </c>
      <c r="O177" s="25">
        <f t="shared" si="9"/>
        <v>2.15</v>
      </c>
      <c r="P177" s="25">
        <f t="shared" si="9"/>
        <v>2.3699999999999997</v>
      </c>
      <c r="Q177" s="4" t="s">
        <v>734</v>
      </c>
    </row>
    <row r="178" spans="1:17" s="62" customFormat="1" x14ac:dyDescent="0.25">
      <c r="A178" s="3"/>
      <c r="B178" s="3" t="s">
        <v>626</v>
      </c>
      <c r="C178" s="3"/>
      <c r="D178" s="3"/>
      <c r="E178" s="22">
        <f>GetPrintSpec( $E$2,E$1,"travel_speed")*60</f>
        <v>8400</v>
      </c>
      <c r="F178" s="22"/>
      <c r="G178" s="22"/>
      <c r="H178" s="22"/>
      <c r="I178" s="22"/>
      <c r="J178" s="22"/>
      <c r="K178" s="22"/>
      <c r="L178" s="22"/>
      <c r="M178" s="22"/>
      <c r="N178" s="22"/>
      <c r="O178" s="22"/>
      <c r="P178" s="22"/>
      <c r="Q178" s="3" t="s">
        <v>735</v>
      </c>
    </row>
    <row r="179" spans="1:17" s="62" customFormat="1" x14ac:dyDescent="0.25">
      <c r="A179" s="4"/>
      <c r="B179" s="4" t="s">
        <v>627</v>
      </c>
      <c r="C179" s="4"/>
      <c r="D179" s="4"/>
      <c r="E179" s="25">
        <f>spec!B18*60</f>
        <v>9000</v>
      </c>
      <c r="F179" s="25"/>
      <c r="G179" s="25"/>
      <c r="H179" s="25"/>
      <c r="I179" s="25"/>
      <c r="J179" s="25"/>
      <c r="K179" s="25"/>
      <c r="L179" s="25"/>
      <c r="M179" s="25"/>
      <c r="N179" s="25"/>
      <c r="O179" s="25"/>
      <c r="P179" s="25"/>
      <c r="Q179" s="4" t="s">
        <v>736</v>
      </c>
    </row>
    <row r="180" spans="1:17" x14ac:dyDescent="0.25">
      <c r="A180" s="3"/>
      <c r="B180" s="3" t="s">
        <v>628</v>
      </c>
      <c r="C180" s="3"/>
      <c r="D180" s="3"/>
      <c r="E180" s="22">
        <v>10</v>
      </c>
      <c r="F180" s="22"/>
      <c r="G180" s="22"/>
      <c r="H180" s="22"/>
      <c r="I180" s="22"/>
      <c r="J180" s="22"/>
      <c r="K180" s="22"/>
      <c r="L180" s="22"/>
      <c r="M180" s="22"/>
      <c r="N180" s="22"/>
      <c r="O180" s="22"/>
      <c r="P180" s="22"/>
      <c r="Q180" s="3" t="s">
        <v>739</v>
      </c>
    </row>
    <row r="181" spans="1:17" x14ac:dyDescent="0.25">
      <c r="A181" s="4"/>
      <c r="B181" s="4" t="s">
        <v>629</v>
      </c>
      <c r="C181" s="4"/>
      <c r="D181" s="4"/>
      <c r="E181" s="25">
        <v>3</v>
      </c>
      <c r="F181" s="25"/>
      <c r="G181" s="25"/>
      <c r="H181" s="25"/>
      <c r="I181" s="25"/>
      <c r="J181" s="25"/>
      <c r="K181" s="25"/>
      <c r="L181" s="25"/>
      <c r="M181" s="25"/>
      <c r="N181" s="25"/>
      <c r="O181" s="25"/>
      <c r="P181" s="25"/>
      <c r="Q181" s="4"/>
    </row>
    <row r="182" spans="1:17" x14ac:dyDescent="0.25">
      <c r="A182" s="3"/>
      <c r="B182" s="3" t="s">
        <v>630</v>
      </c>
      <c r="C182" s="3"/>
      <c r="D182" s="3"/>
      <c r="E182" s="22">
        <v>0.8</v>
      </c>
      <c r="F182" s="22"/>
      <c r="G182" s="22"/>
      <c r="H182" s="22"/>
      <c r="I182" s="22"/>
      <c r="J182" s="22"/>
      <c r="K182" s="22"/>
      <c r="L182" s="22"/>
      <c r="M182" s="22"/>
      <c r="N182" s="22"/>
      <c r="O182" s="22"/>
      <c r="P182" s="22"/>
      <c r="Q182" s="3" t="s">
        <v>740</v>
      </c>
    </row>
    <row r="183" spans="1:17" x14ac:dyDescent="0.25">
      <c r="A183" s="4"/>
      <c r="B183" s="4" t="s">
        <v>631</v>
      </c>
      <c r="C183" s="4"/>
      <c r="D183" s="4"/>
      <c r="E183" s="25" t="str">
        <f>GetPrintSpec( $E$2,E$1,"bridge_speed")</f>
        <v>40</v>
      </c>
      <c r="F183" s="25">
        <f xml:space="preserve"> ROUNDUP((($E$183*60) /F$174),2)</f>
        <v>0.89</v>
      </c>
      <c r="G183" s="25">
        <f t="shared" ref="G183:P183" si="10" xml:space="preserve"> ROUNDUP((($E$183*60) /G$174),2)</f>
        <v>0.89</v>
      </c>
      <c r="H183" s="25">
        <f t="shared" si="10"/>
        <v>0.89</v>
      </c>
      <c r="I183" s="25">
        <f t="shared" si="10"/>
        <v>0.89</v>
      </c>
      <c r="J183" s="25">
        <f t="shared" si="10"/>
        <v>0.89</v>
      </c>
      <c r="K183" s="25">
        <f t="shared" si="10"/>
        <v>1.06</v>
      </c>
      <c r="L183" s="25">
        <f t="shared" si="10"/>
        <v>1.25</v>
      </c>
      <c r="M183" s="25">
        <f t="shared" si="10"/>
        <v>1.49</v>
      </c>
      <c r="N183" s="25">
        <f t="shared" si="10"/>
        <v>1.67</v>
      </c>
      <c r="O183" s="25">
        <f t="shared" si="10"/>
        <v>1.91</v>
      </c>
      <c r="P183" s="25">
        <f t="shared" si="10"/>
        <v>2.11</v>
      </c>
      <c r="Q183" s="4" t="s">
        <v>741</v>
      </c>
    </row>
    <row r="184" spans="1:17" x14ac:dyDescent="0.25">
      <c r="A184" s="3"/>
      <c r="B184" s="3" t="s">
        <v>632</v>
      </c>
      <c r="C184" s="3"/>
      <c r="D184" s="3"/>
      <c r="E184" s="22">
        <v>0</v>
      </c>
      <c r="F184" s="22"/>
      <c r="G184" s="22"/>
      <c r="H184" s="22"/>
      <c r="I184" s="22"/>
      <c r="J184" s="22"/>
      <c r="K184" s="22"/>
      <c r="L184" s="22"/>
      <c r="M184" s="22"/>
      <c r="N184" s="22"/>
      <c r="O184" s="22"/>
      <c r="P184" s="22"/>
      <c r="Q184" s="3"/>
    </row>
    <row r="185" spans="1:17" x14ac:dyDescent="0.25">
      <c r="A185" s="4"/>
      <c r="B185" s="4" t="s">
        <v>633</v>
      </c>
      <c r="C185" s="4"/>
      <c r="D185" s="4"/>
      <c r="E185" s="25">
        <v>0</v>
      </c>
      <c r="F185" s="25"/>
      <c r="G185" s="25"/>
      <c r="H185" s="25"/>
      <c r="I185" s="25"/>
      <c r="J185" s="25"/>
      <c r="K185" s="25"/>
      <c r="L185" s="25"/>
      <c r="M185" s="25"/>
      <c r="N185" s="25"/>
      <c r="O185" s="25"/>
      <c r="P185" s="25"/>
      <c r="Q185" s="4"/>
    </row>
    <row r="186" spans="1:17" x14ac:dyDescent="0.25">
      <c r="A186" s="3"/>
      <c r="B186" s="3" t="s">
        <v>634</v>
      </c>
      <c r="C186" s="3"/>
      <c r="D186" s="3"/>
      <c r="E186" s="22">
        <v>1</v>
      </c>
      <c r="F186" s="22"/>
      <c r="G186" s="22"/>
      <c r="H186" s="22"/>
      <c r="I186" s="22"/>
      <c r="J186" s="22"/>
      <c r="K186" s="22"/>
      <c r="L186" s="22"/>
      <c r="M186" s="22"/>
      <c r="N186" s="22"/>
      <c r="O186" s="22"/>
      <c r="P186" s="22"/>
      <c r="Q186" s="3"/>
    </row>
    <row r="187" spans="1:17" x14ac:dyDescent="0.25">
      <c r="A187" s="4" t="s">
        <v>1088</v>
      </c>
      <c r="B187" s="4" t="s">
        <v>635</v>
      </c>
      <c r="C187" s="4"/>
      <c r="D187" s="4"/>
      <c r="E187" s="25" t="str">
        <f>GetFilamentSpec($E$2,"filament_diameter") &amp; "|1.75|1.75|1.75|1.75|1.75"</f>
        <v>1.75|1.75|1.75|1.75|1.75|1.75</v>
      </c>
      <c r="F187" s="25"/>
      <c r="G187" s="25"/>
      <c r="H187" s="25"/>
      <c r="I187" s="25"/>
      <c r="J187" s="25"/>
      <c r="K187" s="25"/>
      <c r="L187" s="25"/>
      <c r="M187" s="25"/>
      <c r="N187" s="25"/>
      <c r="O187" s="25"/>
      <c r="P187" s="25"/>
      <c r="Q187" s="4" t="s">
        <v>737</v>
      </c>
    </row>
    <row r="188" spans="1:17" x14ac:dyDescent="0.25">
      <c r="A188" s="3" t="s">
        <v>1088</v>
      </c>
      <c r="B188" s="3" t="s">
        <v>636</v>
      </c>
      <c r="C188" s="3"/>
      <c r="D188" s="3"/>
      <c r="E188" s="22" t="str">
        <f>GetFilamentSpec($E$2,"filament_cost")&amp;"|46|46|46|46|46"</f>
        <v>20|46|46|46|46|46</v>
      </c>
      <c r="F188" s="22"/>
      <c r="G188" s="22"/>
      <c r="H188" s="22"/>
      <c r="I188" s="22"/>
      <c r="J188" s="22"/>
      <c r="K188" s="22"/>
      <c r="L188" s="22"/>
      <c r="M188" s="22"/>
      <c r="N188" s="22"/>
      <c r="O188" s="22"/>
      <c r="P188" s="22"/>
      <c r="Q188" s="3" t="s">
        <v>738</v>
      </c>
    </row>
    <row r="189" spans="1:17" x14ac:dyDescent="0.25">
      <c r="A189" s="4" t="s">
        <v>1088</v>
      </c>
      <c r="B189" s="4" t="s">
        <v>637</v>
      </c>
      <c r="C189" s="4"/>
      <c r="D189" s="4"/>
      <c r="E189" s="25" t="str">
        <f>GetFilamentSpec($E$2,"filament_density")&amp;"|1.25|1.25|1.25|1.25|1.25"</f>
        <v>1.04|1.25|1.25|1.25|1.25|1.25</v>
      </c>
      <c r="F189" s="25"/>
      <c r="G189" s="25"/>
      <c r="H189" s="25"/>
      <c r="I189" s="25"/>
      <c r="J189" s="25"/>
      <c r="K189" s="25"/>
      <c r="L189" s="25"/>
      <c r="M189" s="25"/>
      <c r="N189" s="25"/>
      <c r="O189" s="25"/>
      <c r="P189" s="25"/>
      <c r="Q189" s="4"/>
    </row>
    <row r="190" spans="1:17" x14ac:dyDescent="0.25">
      <c r="A190" s="3"/>
      <c r="B190" s="3" t="s">
        <v>638</v>
      </c>
      <c r="C190" s="3"/>
      <c r="D190" s="3"/>
      <c r="E190" s="22">
        <v>0</v>
      </c>
      <c r="F190" s="22"/>
      <c r="G190" s="22"/>
      <c r="H190" s="22"/>
      <c r="I190" s="22"/>
      <c r="J190" s="22"/>
      <c r="K190" s="22"/>
      <c r="L190" s="22"/>
      <c r="M190" s="22"/>
      <c r="N190" s="22"/>
      <c r="O190" s="22"/>
      <c r="P190" s="22"/>
      <c r="Q190" s="3"/>
    </row>
    <row r="191" spans="1:17" x14ac:dyDescent="0.25">
      <c r="A191" s="4"/>
      <c r="B191" s="4" t="s">
        <v>639</v>
      </c>
      <c r="C191" s="4"/>
      <c r="D191" s="4"/>
      <c r="E191" s="25">
        <v>0</v>
      </c>
      <c r="F191" s="25"/>
      <c r="G191" s="25"/>
      <c r="H191" s="25"/>
      <c r="I191" s="25"/>
      <c r="J191" s="25"/>
      <c r="K191" s="25"/>
      <c r="L191" s="25"/>
      <c r="M191" s="25"/>
      <c r="N191" s="25"/>
      <c r="O191" s="25"/>
      <c r="P191" s="25"/>
      <c r="Q191" s="4"/>
    </row>
    <row r="192" spans="1:17" x14ac:dyDescent="0.25">
      <c r="A192" s="3"/>
      <c r="B192" s="3" t="s">
        <v>640</v>
      </c>
      <c r="C192" s="3"/>
      <c r="D192" s="3"/>
      <c r="E192" s="22">
        <v>0</v>
      </c>
      <c r="F192" s="22"/>
      <c r="G192" s="22"/>
      <c r="H192" s="22"/>
      <c r="I192" s="22"/>
      <c r="J192" s="22"/>
      <c r="K192" s="22"/>
      <c r="L192" s="22"/>
      <c r="M192" s="22"/>
      <c r="N192" s="22"/>
      <c r="O192" s="22"/>
      <c r="P192" s="22"/>
      <c r="Q192" s="3"/>
    </row>
    <row r="193" spans="1:17" x14ac:dyDescent="0.25">
      <c r="A193" s="4"/>
      <c r="B193" s="4" t="s">
        <v>641</v>
      </c>
      <c r="C193" s="4"/>
      <c r="D193" s="4"/>
      <c r="E193" s="25">
        <v>0</v>
      </c>
      <c r="F193" s="25"/>
      <c r="G193" s="25"/>
      <c r="H193" s="25"/>
      <c r="I193" s="25"/>
      <c r="J193" s="25"/>
      <c r="K193" s="25"/>
      <c r="L193" s="25"/>
      <c r="M193" s="25"/>
      <c r="N193" s="25"/>
      <c r="O193" s="25"/>
      <c r="P193" s="25"/>
      <c r="Q193" s="4"/>
    </row>
    <row r="194" spans="1:17" x14ac:dyDescent="0.25">
      <c r="A194" s="3"/>
      <c r="B194" s="3" t="s">
        <v>642</v>
      </c>
      <c r="C194" s="3"/>
      <c r="D194" s="3"/>
      <c r="E194" s="22">
        <v>0</v>
      </c>
      <c r="F194" s="22"/>
      <c r="G194" s="22"/>
      <c r="H194" s="22"/>
      <c r="I194" s="22"/>
      <c r="J194" s="22"/>
      <c r="K194" s="22"/>
      <c r="L194" s="22"/>
      <c r="M194" s="22"/>
      <c r="N194" s="22"/>
      <c r="O194" s="22"/>
      <c r="P194" s="22"/>
      <c r="Q194" s="3"/>
    </row>
    <row r="195" spans="1:17" x14ac:dyDescent="0.25">
      <c r="A195" s="4"/>
      <c r="B195" s="4" t="s">
        <v>643</v>
      </c>
      <c r="C195" s="4"/>
      <c r="D195" s="4"/>
      <c r="E195" s="25">
        <v>20</v>
      </c>
      <c r="F195" s="25"/>
      <c r="G195" s="25"/>
      <c r="H195" s="25"/>
      <c r="I195" s="25"/>
      <c r="J195" s="25"/>
      <c r="K195" s="25"/>
      <c r="L195" s="25"/>
      <c r="M195" s="25"/>
      <c r="N195" s="25"/>
      <c r="O195" s="25"/>
      <c r="P195" s="25"/>
      <c r="Q195" s="4"/>
    </row>
    <row r="196" spans="1:17" x14ac:dyDescent="0.25">
      <c r="A196" s="3"/>
      <c r="B196" s="3" t="s">
        <v>644</v>
      </c>
      <c r="C196" s="3"/>
      <c r="D196" s="3"/>
      <c r="E196" s="22">
        <v>1</v>
      </c>
      <c r="F196" s="22"/>
      <c r="G196" s="22"/>
      <c r="H196" s="22"/>
      <c r="I196" s="22"/>
      <c r="J196" s="22"/>
      <c r="K196" s="22"/>
      <c r="L196" s="22"/>
      <c r="M196" s="22"/>
      <c r="N196" s="22"/>
      <c r="O196" s="22"/>
      <c r="P196" s="22"/>
      <c r="Q196" s="3"/>
    </row>
    <row r="197" spans="1:17" x14ac:dyDescent="0.25">
      <c r="A197" s="4"/>
      <c r="B197" s="4" t="s">
        <v>645</v>
      </c>
      <c r="C197" s="4"/>
      <c r="D197" s="4"/>
      <c r="E197" s="25">
        <v>0</v>
      </c>
      <c r="F197" s="25"/>
      <c r="G197" s="25"/>
      <c r="H197" s="25"/>
      <c r="I197" s="25"/>
      <c r="J197" s="25"/>
      <c r="K197" s="25"/>
      <c r="L197" s="25"/>
      <c r="M197" s="25"/>
      <c r="N197" s="25"/>
      <c r="O197" s="25"/>
      <c r="P197" s="25"/>
      <c r="Q197" s="4"/>
    </row>
    <row r="198" spans="1:17" x14ac:dyDescent="0.25">
      <c r="A198" s="3"/>
      <c r="B198" s="3" t="s">
        <v>646</v>
      </c>
      <c r="C198" s="3"/>
      <c r="D198" s="3"/>
      <c r="E198" s="22">
        <v>1</v>
      </c>
      <c r="F198" s="22"/>
      <c r="G198" s="22"/>
      <c r="H198" s="22"/>
      <c r="I198" s="22"/>
      <c r="J198" s="22"/>
      <c r="K198" s="22"/>
      <c r="L198" s="22"/>
      <c r="M198" s="22"/>
      <c r="N198" s="22"/>
      <c r="O198" s="22"/>
      <c r="P198" s="22"/>
      <c r="Q198" s="3"/>
    </row>
    <row r="199" spans="1:17" x14ac:dyDescent="0.25">
      <c r="A199" s="4" t="s">
        <v>1088</v>
      </c>
      <c r="B199" s="4" t="s">
        <v>647</v>
      </c>
      <c r="C199" s="4"/>
      <c r="D199" s="4"/>
      <c r="E199" s="25" t="str">
        <f>GetFilamentSpec($E$2,"filament_retract_layer_change")</f>
        <v>1</v>
      </c>
      <c r="F199" s="25"/>
      <c r="G199" s="25"/>
      <c r="H199" s="25"/>
      <c r="I199" s="25"/>
      <c r="J199" s="25"/>
      <c r="K199" s="25"/>
      <c r="L199" s="25"/>
      <c r="M199" s="25"/>
      <c r="N199" s="25"/>
      <c r="O199" s="25"/>
      <c r="P199" s="25"/>
      <c r="Q199" s="4" t="s">
        <v>743</v>
      </c>
    </row>
    <row r="200" spans="1:17" x14ac:dyDescent="0.25">
      <c r="A200" s="3"/>
      <c r="B200" s="3" t="s">
        <v>648</v>
      </c>
      <c r="C200" s="3"/>
      <c r="D200" s="3"/>
      <c r="E200" s="22">
        <v>1</v>
      </c>
      <c r="F200" s="22"/>
      <c r="G200" s="22"/>
      <c r="H200" s="22"/>
      <c r="I200" s="22"/>
      <c r="J200" s="22"/>
      <c r="K200" s="22"/>
      <c r="L200" s="22"/>
      <c r="M200" s="22"/>
      <c r="N200" s="22"/>
      <c r="O200" s="22"/>
      <c r="P200" s="22"/>
      <c r="Q200" s="3" t="s">
        <v>744</v>
      </c>
    </row>
    <row r="201" spans="1:17" x14ac:dyDescent="0.25">
      <c r="A201" s="4"/>
      <c r="B201" s="4" t="s">
        <v>649</v>
      </c>
      <c r="C201" s="4"/>
      <c r="D201" s="4"/>
      <c r="E201" s="25">
        <v>2</v>
      </c>
      <c r="F201" s="25"/>
      <c r="G201" s="25"/>
      <c r="H201" s="25"/>
      <c r="I201" s="25"/>
      <c r="J201" s="25"/>
      <c r="K201" s="25"/>
      <c r="L201" s="25"/>
      <c r="M201" s="25"/>
      <c r="N201" s="25"/>
      <c r="O201" s="25"/>
      <c r="P201" s="25"/>
      <c r="Q201" s="4" t="s">
        <v>745</v>
      </c>
    </row>
    <row r="202" spans="1:17" x14ac:dyDescent="0.25">
      <c r="A202" s="3"/>
      <c r="B202" s="3" t="s">
        <v>650</v>
      </c>
      <c r="C202" s="3"/>
      <c r="D202" s="3"/>
      <c r="E202" s="22">
        <v>1</v>
      </c>
      <c r="F202" s="22"/>
      <c r="G202" s="22"/>
      <c r="H202" s="22"/>
      <c r="I202" s="22"/>
      <c r="J202" s="22"/>
      <c r="K202" s="22"/>
      <c r="L202" s="22"/>
      <c r="M202" s="22"/>
      <c r="N202" s="22"/>
      <c r="O202" s="22"/>
      <c r="P202" s="22"/>
      <c r="Q202" s="3"/>
    </row>
    <row r="203" spans="1:17" x14ac:dyDescent="0.25">
      <c r="A203" s="4"/>
      <c r="B203" s="4" t="s">
        <v>651</v>
      </c>
      <c r="C203" s="4"/>
      <c r="D203" s="4"/>
      <c r="E203" s="25">
        <v>1</v>
      </c>
      <c r="F203" s="25"/>
      <c r="G203" s="25"/>
      <c r="H203" s="25"/>
      <c r="I203" s="25"/>
      <c r="J203" s="25"/>
      <c r="K203" s="25"/>
      <c r="L203" s="25"/>
      <c r="M203" s="25"/>
      <c r="N203" s="25"/>
      <c r="O203" s="25"/>
      <c r="P203" s="25"/>
      <c r="Q203" s="4" t="s">
        <v>746</v>
      </c>
    </row>
    <row r="204" spans="1:17" x14ac:dyDescent="0.25">
      <c r="A204" s="3"/>
      <c r="B204" s="3" t="s">
        <v>652</v>
      </c>
      <c r="C204" s="3"/>
      <c r="D204" s="3"/>
      <c r="E204" s="22">
        <v>1</v>
      </c>
      <c r="F204" s="22"/>
      <c r="G204" s="22"/>
      <c r="H204" s="22"/>
      <c r="I204" s="22"/>
      <c r="J204" s="22"/>
      <c r="K204" s="22"/>
      <c r="L204" s="22"/>
      <c r="M204" s="22"/>
      <c r="N204" s="22"/>
      <c r="O204" s="22"/>
      <c r="P204" s="22"/>
      <c r="Q204" s="3"/>
    </row>
    <row r="205" spans="1:17" x14ac:dyDescent="0.25">
      <c r="A205" s="4"/>
      <c r="B205" s="4" t="s">
        <v>653</v>
      </c>
      <c r="C205" s="4"/>
      <c r="D205" s="4"/>
      <c r="E205" s="25">
        <v>3</v>
      </c>
      <c r="F205" s="25"/>
      <c r="G205" s="25"/>
      <c r="H205" s="25"/>
      <c r="I205" s="25"/>
      <c r="J205" s="25"/>
      <c r="K205" s="25"/>
      <c r="L205" s="25"/>
      <c r="M205" s="25"/>
      <c r="N205" s="25"/>
      <c r="O205" s="25"/>
      <c r="P205" s="25"/>
      <c r="Q205" s="4"/>
    </row>
    <row r="206" spans="1:17" x14ac:dyDescent="0.25">
      <c r="A206" s="3"/>
      <c r="B206" s="3" t="s">
        <v>654</v>
      </c>
      <c r="C206" s="3"/>
      <c r="D206" s="3"/>
      <c r="E206" s="22">
        <v>12</v>
      </c>
      <c r="F206" s="22"/>
      <c r="G206" s="22"/>
      <c r="H206" s="22"/>
      <c r="I206" s="22"/>
      <c r="J206" s="22"/>
      <c r="K206" s="22"/>
      <c r="L206" s="22"/>
      <c r="M206" s="22"/>
      <c r="N206" s="22"/>
      <c r="O206" s="22"/>
      <c r="P206" s="22"/>
      <c r="Q206" s="3"/>
    </row>
    <row r="207" spans="1:17" x14ac:dyDescent="0.25">
      <c r="A207" s="4"/>
      <c r="B207" s="4" t="s">
        <v>655</v>
      </c>
      <c r="C207" s="4"/>
      <c r="D207" s="4"/>
      <c r="E207" s="25">
        <v>-0.5</v>
      </c>
      <c r="F207" s="25"/>
      <c r="G207" s="25"/>
      <c r="H207" s="25"/>
      <c r="I207" s="25"/>
      <c r="J207" s="25"/>
      <c r="K207" s="25"/>
      <c r="L207" s="25"/>
      <c r="M207" s="25"/>
      <c r="N207" s="25"/>
      <c r="O207" s="25"/>
      <c r="P207" s="25"/>
      <c r="Q207" s="4"/>
    </row>
    <row r="208" spans="1:17" x14ac:dyDescent="0.25">
      <c r="A208" s="3"/>
      <c r="B208" s="3" t="s">
        <v>656</v>
      </c>
      <c r="C208" s="3"/>
      <c r="D208" s="3"/>
      <c r="E208" s="22">
        <v>600</v>
      </c>
      <c r="F208" s="22"/>
      <c r="G208" s="22"/>
      <c r="H208" s="22"/>
      <c r="I208" s="22"/>
      <c r="J208" s="22"/>
      <c r="K208" s="22"/>
      <c r="L208" s="22"/>
      <c r="M208" s="22"/>
      <c r="N208" s="22"/>
      <c r="O208" s="22"/>
      <c r="P208" s="22"/>
      <c r="Q208" s="3"/>
    </row>
    <row r="209" spans="1:17" ht="13.5" customHeight="1" x14ac:dyDescent="0.25">
      <c r="A209" s="4"/>
      <c r="B209" s="4" t="s">
        <v>657</v>
      </c>
      <c r="C209" s="4"/>
      <c r="D209" s="4"/>
      <c r="E209" s="25">
        <v>1</v>
      </c>
      <c r="F209" s="25"/>
      <c r="G209" s="25"/>
      <c r="H209" s="25"/>
      <c r="I209" s="25"/>
      <c r="J209" s="25"/>
      <c r="K209" s="25"/>
      <c r="L209" s="25"/>
      <c r="M209" s="25"/>
      <c r="N209" s="25"/>
      <c r="O209" s="25"/>
      <c r="P209" s="25"/>
      <c r="Q209" s="74" t="s">
        <v>742</v>
      </c>
    </row>
    <row r="210" spans="1:17" x14ac:dyDescent="0.25">
      <c r="A210" s="3"/>
      <c r="B210" s="3" t="s">
        <v>658</v>
      </c>
      <c r="C210" s="3"/>
      <c r="D210" s="3"/>
      <c r="E210" s="22">
        <v>1</v>
      </c>
      <c r="F210" s="22"/>
      <c r="G210" s="22"/>
      <c r="H210" s="22"/>
      <c r="I210" s="22"/>
      <c r="J210" s="22"/>
      <c r="K210" s="22"/>
      <c r="L210" s="22"/>
      <c r="M210" s="22"/>
      <c r="N210" s="22"/>
      <c r="O210" s="22"/>
      <c r="P210" s="22"/>
      <c r="Q210" s="3"/>
    </row>
    <row r="211" spans="1:17" x14ac:dyDescent="0.25">
      <c r="A211" s="4"/>
      <c r="B211" s="4" t="s">
        <v>659</v>
      </c>
      <c r="C211" s="4"/>
      <c r="D211" s="4"/>
      <c r="E211" s="25">
        <v>10</v>
      </c>
      <c r="F211" s="25"/>
      <c r="G211" s="25"/>
      <c r="H211" s="25"/>
      <c r="I211" s="25"/>
      <c r="J211" s="25"/>
      <c r="K211" s="25"/>
      <c r="L211" s="25"/>
      <c r="M211" s="25"/>
      <c r="N211" s="25"/>
      <c r="O211" s="25"/>
      <c r="P211" s="25"/>
      <c r="Q211" s="4"/>
    </row>
    <row r="212" spans="1:17" x14ac:dyDescent="0.25">
      <c r="A212" s="3"/>
      <c r="B212" s="3" t="s">
        <v>660</v>
      </c>
      <c r="C212" s="3"/>
      <c r="D212" s="3"/>
      <c r="E212" s="22">
        <v>1</v>
      </c>
      <c r="F212" s="22"/>
      <c r="G212" s="22"/>
      <c r="H212" s="22"/>
      <c r="I212" s="22"/>
      <c r="J212" s="22"/>
      <c r="K212" s="22"/>
      <c r="L212" s="22"/>
      <c r="M212" s="22"/>
      <c r="N212" s="22"/>
      <c r="O212" s="22"/>
      <c r="P212" s="22"/>
      <c r="Q212" s="3"/>
    </row>
    <row r="213" spans="1:17" x14ac:dyDescent="0.25">
      <c r="A213" s="4"/>
      <c r="B213" s="4" t="s">
        <v>661</v>
      </c>
      <c r="C213" s="4"/>
      <c r="D213" s="4"/>
      <c r="E213" s="25">
        <v>50</v>
      </c>
      <c r="F213" s="25"/>
      <c r="G213" s="25"/>
      <c r="H213" s="25"/>
      <c r="I213" s="25"/>
      <c r="J213" s="25"/>
      <c r="K213" s="25"/>
      <c r="L213" s="25"/>
      <c r="M213" s="25"/>
      <c r="N213" s="25"/>
      <c r="O213" s="25"/>
      <c r="P213" s="25"/>
      <c r="Q213" s="4"/>
    </row>
    <row r="214" spans="1:17" x14ac:dyDescent="0.25">
      <c r="A214" s="3"/>
      <c r="B214" s="3" t="s">
        <v>662</v>
      </c>
      <c r="C214" s="3"/>
      <c r="D214" s="3"/>
      <c r="E214" s="22">
        <v>200</v>
      </c>
      <c r="F214" s="22"/>
      <c r="G214" s="22"/>
      <c r="H214" s="22"/>
      <c r="I214" s="22"/>
      <c r="J214" s="22"/>
      <c r="K214" s="22"/>
      <c r="L214" s="22"/>
      <c r="M214" s="22"/>
      <c r="N214" s="22"/>
      <c r="O214" s="22"/>
      <c r="P214" s="22"/>
      <c r="Q214" s="3"/>
    </row>
    <row r="215" spans="1:17" x14ac:dyDescent="0.25">
      <c r="A215" s="4"/>
      <c r="B215" s="4" t="s">
        <v>663</v>
      </c>
      <c r="C215" s="4"/>
      <c r="D215" s="4"/>
      <c r="E215" s="25">
        <v>0.2</v>
      </c>
      <c r="F215" s="25"/>
      <c r="G215" s="25"/>
      <c r="H215" s="25"/>
      <c r="I215" s="25"/>
      <c r="J215" s="25"/>
      <c r="K215" s="25"/>
      <c r="L215" s="25"/>
      <c r="M215" s="25"/>
      <c r="N215" s="25"/>
      <c r="O215" s="25"/>
      <c r="P215" s="25"/>
      <c r="Q215" s="4"/>
    </row>
    <row r="216" spans="1:17" x14ac:dyDescent="0.25">
      <c r="A216" s="3"/>
      <c r="B216" s="3" t="s">
        <v>664</v>
      </c>
      <c r="C216" s="3"/>
      <c r="D216" s="3"/>
      <c r="E216" s="22">
        <v>0</v>
      </c>
      <c r="F216" s="22"/>
      <c r="G216" s="22"/>
      <c r="H216" s="22"/>
      <c r="I216" s="22"/>
      <c r="J216" s="22"/>
      <c r="K216" s="22"/>
      <c r="L216" s="22"/>
      <c r="M216" s="22"/>
      <c r="N216" s="22"/>
      <c r="O216" s="22"/>
      <c r="P216" s="22"/>
      <c r="Q216" s="3"/>
    </row>
    <row r="217" spans="1:17" x14ac:dyDescent="0.25">
      <c r="A217" s="4" t="s">
        <v>1090</v>
      </c>
      <c r="B217" s="4"/>
      <c r="C217" s="4"/>
      <c r="D217" s="4"/>
      <c r="E217" s="25"/>
      <c r="F217" s="25"/>
      <c r="G217" s="25"/>
      <c r="H217" s="25"/>
      <c r="I217" s="25"/>
      <c r="J217" s="25"/>
      <c r="K217" s="25"/>
      <c r="L217" s="25"/>
      <c r="M217" s="25"/>
      <c r="N217" s="25"/>
      <c r="O217" s="25"/>
      <c r="P217" s="25"/>
      <c r="Q217" s="4"/>
    </row>
    <row r="218" spans="1:17" x14ac:dyDescent="0.25">
      <c r="A218" s="3" t="s">
        <v>1090</v>
      </c>
      <c r="B218" s="3"/>
      <c r="C218" s="3"/>
      <c r="D218" s="3"/>
      <c r="E218" s="22"/>
      <c r="F218" s="22"/>
      <c r="G218" s="22"/>
      <c r="H218" s="22"/>
      <c r="I218" s="22"/>
      <c r="J218" s="22"/>
      <c r="K218" s="22"/>
      <c r="L218" s="22"/>
      <c r="M218" s="22"/>
      <c r="N218" s="22"/>
      <c r="O218" s="22"/>
      <c r="P218" s="22"/>
      <c r="Q218" s="3"/>
    </row>
    <row r="219" spans="1:17" x14ac:dyDescent="0.25">
      <c r="A219" s="4" t="s">
        <v>1090</v>
      </c>
      <c r="B219" s="4"/>
      <c r="C219" s="4"/>
      <c r="D219" s="4"/>
      <c r="E219" s="25"/>
      <c r="F219" s="25"/>
      <c r="G219" s="25"/>
      <c r="H219" s="25"/>
      <c r="I219" s="25"/>
      <c r="J219" s="25"/>
      <c r="K219" s="25"/>
      <c r="L219" s="25"/>
      <c r="M219" s="25"/>
      <c r="N219" s="25"/>
      <c r="O219" s="25"/>
      <c r="P219" s="25"/>
      <c r="Q219" s="4"/>
    </row>
    <row r="220" spans="1:17" x14ac:dyDescent="0.25">
      <c r="A220" s="3" t="s">
        <v>1090</v>
      </c>
      <c r="B220" s="3"/>
      <c r="C220" s="3"/>
      <c r="D220" s="3"/>
      <c r="E220" s="22"/>
      <c r="F220" s="22"/>
      <c r="G220" s="22"/>
      <c r="H220" s="22"/>
      <c r="I220" s="22"/>
      <c r="J220" s="22"/>
      <c r="K220" s="22"/>
      <c r="L220" s="22"/>
      <c r="M220" s="22"/>
      <c r="N220" s="22"/>
      <c r="O220" s="22"/>
      <c r="P220" s="22"/>
      <c r="Q220" s="3"/>
    </row>
    <row r="221" spans="1:17" x14ac:dyDescent="0.25">
      <c r="A221" s="4" t="s">
        <v>1090</v>
      </c>
      <c r="B221" s="4"/>
      <c r="C221" s="4"/>
      <c r="D221" s="4"/>
      <c r="E221" s="25"/>
      <c r="F221" s="25"/>
      <c r="G221" s="25"/>
      <c r="H221" s="25"/>
      <c r="I221" s="25"/>
      <c r="J221" s="25"/>
      <c r="K221" s="25"/>
      <c r="L221" s="25"/>
      <c r="M221" s="25"/>
      <c r="N221" s="25"/>
      <c r="O221" s="25"/>
      <c r="P221" s="25"/>
      <c r="Q221" s="4"/>
    </row>
    <row r="222" spans="1:17" x14ac:dyDescent="0.25">
      <c r="A222" s="3" t="s">
        <v>1090</v>
      </c>
      <c r="B222" s="3"/>
      <c r="C222" s="3"/>
      <c r="D222" s="3"/>
      <c r="E222" s="22"/>
      <c r="F222" s="22"/>
      <c r="G222" s="22"/>
      <c r="H222" s="22"/>
      <c r="I222" s="22"/>
      <c r="J222" s="22"/>
      <c r="K222" s="22"/>
      <c r="L222" s="22"/>
      <c r="M222" s="22"/>
      <c r="N222" s="22"/>
      <c r="O222" s="22"/>
      <c r="P222" s="22"/>
      <c r="Q222" s="3"/>
    </row>
    <row r="223" spans="1:17" x14ac:dyDescent="0.25">
      <c r="A223" s="4" t="s">
        <v>1090</v>
      </c>
      <c r="B223" s="4"/>
      <c r="C223" s="4"/>
      <c r="D223" s="4"/>
      <c r="E223" s="25"/>
      <c r="F223" s="25"/>
      <c r="G223" s="25"/>
      <c r="H223" s="25"/>
      <c r="I223" s="25"/>
      <c r="J223" s="25"/>
      <c r="K223" s="25"/>
      <c r="L223" s="25"/>
      <c r="M223" s="25"/>
      <c r="N223" s="25"/>
      <c r="O223" s="25"/>
      <c r="P223" s="25"/>
      <c r="Q223" s="4"/>
    </row>
    <row r="224" spans="1:17" x14ac:dyDescent="0.25">
      <c r="A224" s="3" t="s">
        <v>1090</v>
      </c>
      <c r="B224" s="3"/>
      <c r="C224" s="3"/>
      <c r="D224" s="3"/>
      <c r="E224" s="22"/>
      <c r="F224" s="22"/>
      <c r="G224" s="22"/>
      <c r="H224" s="22"/>
      <c r="I224" s="22"/>
      <c r="J224" s="22"/>
      <c r="K224" s="22"/>
      <c r="L224" s="22"/>
      <c r="M224" s="22"/>
      <c r="N224" s="22"/>
      <c r="O224" s="22"/>
      <c r="P224" s="22"/>
      <c r="Q224" s="3"/>
    </row>
    <row r="225" spans="1:17" x14ac:dyDescent="0.25">
      <c r="A225" s="4" t="s">
        <v>1090</v>
      </c>
      <c r="B225" s="4"/>
      <c r="C225" s="4"/>
      <c r="D225" s="4"/>
      <c r="E225" s="25"/>
      <c r="F225" s="25"/>
      <c r="G225" s="25"/>
      <c r="H225" s="25"/>
      <c r="I225" s="25"/>
      <c r="J225" s="25"/>
      <c r="K225" s="25"/>
      <c r="L225" s="25"/>
      <c r="M225" s="25"/>
      <c r="N225" s="25"/>
      <c r="O225" s="25"/>
      <c r="P225" s="25"/>
      <c r="Q225" s="4"/>
    </row>
    <row r="226" spans="1:17" x14ac:dyDescent="0.25">
      <c r="A226" s="3" t="s">
        <v>1090</v>
      </c>
      <c r="B226" s="3"/>
      <c r="C226" s="3"/>
      <c r="D226" s="3"/>
      <c r="E226" s="22"/>
      <c r="F226" s="22"/>
      <c r="G226" s="22"/>
      <c r="H226" s="22"/>
      <c r="I226" s="22"/>
      <c r="J226" s="22"/>
      <c r="K226" s="22"/>
      <c r="L226" s="22"/>
      <c r="M226" s="22"/>
      <c r="N226" s="22"/>
      <c r="O226" s="22"/>
      <c r="P226" s="22"/>
      <c r="Q226" s="3"/>
    </row>
    <row r="227" spans="1:17" x14ac:dyDescent="0.25">
      <c r="A227" s="4" t="s">
        <v>1090</v>
      </c>
      <c r="B227" s="4"/>
      <c r="C227" s="4"/>
      <c r="D227" s="4"/>
      <c r="E227" s="25"/>
      <c r="F227" s="25"/>
      <c r="G227" s="25"/>
      <c r="H227" s="25"/>
      <c r="I227" s="25"/>
      <c r="J227" s="25"/>
      <c r="K227" s="25"/>
      <c r="L227" s="25"/>
      <c r="M227" s="25"/>
      <c r="N227" s="25"/>
      <c r="O227" s="25"/>
      <c r="P227" s="25"/>
      <c r="Q227" s="4"/>
    </row>
    <row r="228" spans="1:17" x14ac:dyDescent="0.25">
      <c r="A228" s="3" t="s">
        <v>1090</v>
      </c>
      <c r="B228" s="3"/>
      <c r="C228" s="3"/>
      <c r="D228" s="3"/>
      <c r="E228" s="22"/>
      <c r="F228" s="22"/>
      <c r="G228" s="22"/>
      <c r="H228" s="22"/>
      <c r="I228" s="22"/>
      <c r="J228" s="22"/>
      <c r="K228" s="22"/>
      <c r="L228" s="22"/>
      <c r="M228" s="22"/>
      <c r="N228" s="22"/>
      <c r="O228" s="22"/>
      <c r="P228" s="22"/>
      <c r="Q228" s="3"/>
    </row>
    <row r="229" spans="1:17" x14ac:dyDescent="0.25">
      <c r="A229" s="4" t="s">
        <v>1090</v>
      </c>
      <c r="B229" s="4"/>
      <c r="C229" s="4"/>
      <c r="D229" s="4"/>
      <c r="E229" s="25"/>
      <c r="F229" s="25"/>
      <c r="G229" s="25"/>
      <c r="H229" s="25"/>
      <c r="I229" s="25"/>
      <c r="J229" s="25"/>
      <c r="K229" s="25"/>
      <c r="L229" s="25"/>
      <c r="M229" s="25"/>
      <c r="N229" s="25"/>
      <c r="O229" s="25"/>
      <c r="P229" s="25"/>
      <c r="Q229" s="4"/>
    </row>
    <row r="230" spans="1:17" x14ac:dyDescent="0.25">
      <c r="A230" s="3" t="s">
        <v>1090</v>
      </c>
      <c r="B230" s="3"/>
      <c r="C230" s="3"/>
      <c r="D230" s="3"/>
      <c r="E230" s="22"/>
      <c r="F230" s="22"/>
      <c r="G230" s="22"/>
      <c r="H230" s="22"/>
      <c r="I230" s="22"/>
      <c r="J230" s="22"/>
      <c r="K230" s="22"/>
      <c r="L230" s="22"/>
      <c r="M230" s="22"/>
      <c r="N230" s="22"/>
      <c r="O230" s="22"/>
      <c r="P230" s="22"/>
      <c r="Q230" s="3"/>
    </row>
    <row r="231" spans="1:17" x14ac:dyDescent="0.25">
      <c r="A231" s="4" t="s">
        <v>1090</v>
      </c>
      <c r="B231" s="4"/>
      <c r="C231" s="4"/>
      <c r="D231" s="4"/>
      <c r="E231" s="25"/>
      <c r="F231" s="25"/>
      <c r="G231" s="25"/>
      <c r="H231" s="25"/>
      <c r="I231" s="25"/>
      <c r="J231" s="25"/>
      <c r="K231" s="25"/>
      <c r="L231" s="25"/>
      <c r="M231" s="25"/>
      <c r="N231" s="25"/>
      <c r="O231" s="25"/>
      <c r="P231" s="25"/>
      <c r="Q231" s="4"/>
    </row>
    <row r="232" spans="1:17" x14ac:dyDescent="0.25">
      <c r="A232" s="3" t="s">
        <v>1090</v>
      </c>
      <c r="B232" s="3"/>
      <c r="C232" s="3"/>
      <c r="D232" s="3"/>
      <c r="E232" s="22"/>
      <c r="F232" s="22"/>
      <c r="G232" s="22"/>
      <c r="H232" s="22"/>
      <c r="I232" s="22"/>
      <c r="J232" s="22"/>
      <c r="K232" s="22"/>
      <c r="L232" s="22"/>
      <c r="M232" s="22"/>
      <c r="N232" s="22"/>
      <c r="O232" s="22"/>
      <c r="P232" s="22"/>
      <c r="Q232" s="3"/>
    </row>
    <row r="233" spans="1:17" x14ac:dyDescent="0.25">
      <c r="A233" s="4" t="s">
        <v>1090</v>
      </c>
      <c r="B233" s="4"/>
      <c r="C233" s="4"/>
      <c r="D233" s="4"/>
      <c r="E233" s="25"/>
      <c r="F233" s="25"/>
      <c r="G233" s="25"/>
      <c r="H233" s="25"/>
      <c r="I233" s="25"/>
      <c r="J233" s="25"/>
      <c r="K233" s="25"/>
      <c r="L233" s="25"/>
      <c r="M233" s="25"/>
      <c r="N233" s="25"/>
      <c r="O233" s="25"/>
      <c r="P233" s="25"/>
      <c r="Q233" s="4"/>
    </row>
    <row r="234" spans="1:17" x14ac:dyDescent="0.25">
      <c r="A234" s="3" t="s">
        <v>1090</v>
      </c>
      <c r="B234" s="3"/>
      <c r="C234" s="3"/>
      <c r="D234" s="3"/>
      <c r="E234" s="22"/>
      <c r="F234" s="22"/>
      <c r="G234" s="22"/>
      <c r="H234" s="22"/>
      <c r="I234" s="22"/>
      <c r="J234" s="22"/>
      <c r="K234" s="22"/>
      <c r="L234" s="22"/>
      <c r="M234" s="22"/>
      <c r="N234" s="22"/>
      <c r="O234" s="22"/>
      <c r="P234" s="22"/>
      <c r="Q234" s="3"/>
    </row>
    <row r="235" spans="1:17" x14ac:dyDescent="0.25">
      <c r="A235" s="4" t="s">
        <v>1090</v>
      </c>
      <c r="B235" s="4"/>
      <c r="C235" s="4"/>
      <c r="D235" s="4"/>
      <c r="E235" s="25"/>
      <c r="F235" s="25"/>
      <c r="G235" s="25"/>
      <c r="H235" s="25"/>
      <c r="I235" s="25"/>
      <c r="J235" s="25"/>
      <c r="K235" s="25"/>
      <c r="L235" s="25"/>
      <c r="M235" s="25"/>
      <c r="N235" s="25"/>
      <c r="O235" s="25"/>
      <c r="P235" s="25"/>
      <c r="Q235" s="4"/>
    </row>
    <row r="236" spans="1:17" x14ac:dyDescent="0.25">
      <c r="A236" s="3" t="s">
        <v>1090</v>
      </c>
      <c r="B236" s="3"/>
      <c r="C236" s="3"/>
      <c r="D236" s="3"/>
      <c r="E236" s="22"/>
      <c r="F236" s="22"/>
      <c r="G236" s="22"/>
      <c r="H236" s="22"/>
      <c r="I236" s="22"/>
      <c r="J236" s="22"/>
      <c r="K236" s="22"/>
      <c r="L236" s="22"/>
      <c r="M236" s="22"/>
      <c r="N236" s="22"/>
      <c r="O236" s="22"/>
      <c r="P236" s="22"/>
      <c r="Q236" s="3"/>
    </row>
    <row r="237" spans="1:17" x14ac:dyDescent="0.25">
      <c r="A237" s="4" t="s">
        <v>1090</v>
      </c>
      <c r="B237" s="4"/>
      <c r="C237" s="4"/>
      <c r="D237" s="4"/>
      <c r="E237" s="25"/>
      <c r="F237" s="25"/>
      <c r="G237" s="25"/>
      <c r="H237" s="25"/>
      <c r="I237" s="25"/>
      <c r="J237" s="25"/>
      <c r="K237" s="25"/>
      <c r="L237" s="25"/>
      <c r="M237" s="25"/>
      <c r="N237" s="25"/>
      <c r="O237" s="25"/>
      <c r="P237" s="25"/>
      <c r="Q237" s="4"/>
    </row>
    <row r="238" spans="1:17" x14ac:dyDescent="0.25">
      <c r="A238" s="3" t="s">
        <v>1090</v>
      </c>
      <c r="B238" s="3"/>
      <c r="C238" s="3"/>
      <c r="D238" s="3"/>
      <c r="E238" s="22"/>
      <c r="F238" s="22"/>
      <c r="G238" s="22"/>
      <c r="H238" s="22"/>
      <c r="I238" s="22"/>
      <c r="J238" s="22"/>
      <c r="K238" s="22"/>
      <c r="L238" s="22"/>
      <c r="M238" s="22"/>
      <c r="N238" s="22"/>
      <c r="O238" s="22"/>
      <c r="P238" s="22"/>
      <c r="Q238" s="3"/>
    </row>
    <row r="239" spans="1:17" x14ac:dyDescent="0.25">
      <c r="A239" s="4" t="s">
        <v>1090</v>
      </c>
      <c r="B239" s="4"/>
      <c r="C239" s="4"/>
      <c r="D239" s="4"/>
      <c r="E239" s="25"/>
      <c r="F239" s="25"/>
      <c r="G239" s="25"/>
      <c r="H239" s="25"/>
      <c r="I239" s="25"/>
      <c r="J239" s="25"/>
      <c r="K239" s="25"/>
      <c r="L239" s="25"/>
      <c r="M239" s="25"/>
      <c r="N239" s="25"/>
      <c r="O239" s="25"/>
      <c r="P239" s="25"/>
      <c r="Q239" s="4"/>
    </row>
    <row r="240" spans="1:17" x14ac:dyDescent="0.25">
      <c r="A240" s="3" t="s">
        <v>1090</v>
      </c>
      <c r="B240" s="3"/>
      <c r="C240" s="3"/>
      <c r="D240" s="3"/>
      <c r="E240" s="22"/>
      <c r="F240" s="22"/>
      <c r="G240" s="22"/>
      <c r="H240" s="22"/>
      <c r="I240" s="22"/>
      <c r="J240" s="22"/>
      <c r="K240" s="22"/>
      <c r="L240" s="22"/>
      <c r="M240" s="22"/>
      <c r="N240" s="22"/>
      <c r="O240" s="22"/>
      <c r="P240" s="22"/>
      <c r="Q240" s="3"/>
    </row>
    <row r="241" spans="1:17" x14ac:dyDescent="0.25">
      <c r="A241" s="4" t="s">
        <v>1090</v>
      </c>
      <c r="B241" s="4"/>
      <c r="C241" s="4"/>
      <c r="D241" s="4"/>
      <c r="E241" s="25"/>
      <c r="F241" s="25"/>
      <c r="G241" s="25"/>
      <c r="H241" s="25"/>
      <c r="I241" s="25"/>
      <c r="J241" s="25"/>
      <c r="K241" s="25"/>
      <c r="L241" s="25"/>
      <c r="M241" s="25"/>
      <c r="N241" s="25"/>
      <c r="O241" s="25"/>
      <c r="P241" s="25"/>
      <c r="Q241" s="4"/>
    </row>
    <row r="242" spans="1:17" x14ac:dyDescent="0.25">
      <c r="A242" s="3" t="s">
        <v>1090</v>
      </c>
      <c r="B242" s="3"/>
      <c r="C242" s="3"/>
      <c r="D242" s="3"/>
      <c r="E242" s="22"/>
      <c r="F242" s="22"/>
      <c r="G242" s="22"/>
      <c r="H242" s="22"/>
      <c r="I242" s="22"/>
      <c r="J242" s="22"/>
      <c r="K242" s="22"/>
      <c r="L242" s="22"/>
      <c r="M242" s="22"/>
      <c r="N242" s="22"/>
      <c r="O242" s="22"/>
      <c r="P242" s="22"/>
      <c r="Q242" s="3"/>
    </row>
    <row r="243" spans="1:17" x14ac:dyDescent="0.25">
      <c r="A243" s="4" t="s">
        <v>1090</v>
      </c>
      <c r="B243" s="4"/>
      <c r="C243" s="4"/>
      <c r="D243" s="4"/>
      <c r="E243" s="25"/>
      <c r="F243" s="25"/>
      <c r="G243" s="25"/>
      <c r="H243" s="25"/>
      <c r="I243" s="25"/>
      <c r="J243" s="25"/>
      <c r="K243" s="25"/>
      <c r="L243" s="25"/>
      <c r="M243" s="25"/>
      <c r="N243" s="25"/>
      <c r="O243" s="25"/>
      <c r="P243" s="25"/>
      <c r="Q243" s="4"/>
    </row>
    <row r="244" spans="1:17" x14ac:dyDescent="0.25">
      <c r="A244" s="3" t="s">
        <v>1090</v>
      </c>
      <c r="B244" s="3"/>
      <c r="C244" s="3"/>
      <c r="D244" s="3"/>
      <c r="E244" s="22"/>
      <c r="F244" s="22"/>
      <c r="G244" s="22"/>
      <c r="H244" s="22"/>
      <c r="I244" s="22"/>
      <c r="J244" s="22"/>
      <c r="K244" s="22"/>
      <c r="L244" s="22"/>
      <c r="M244" s="22"/>
      <c r="N244" s="22"/>
      <c r="O244" s="22"/>
      <c r="P244" s="22"/>
      <c r="Q244" s="3"/>
    </row>
    <row r="245" spans="1:17" x14ac:dyDescent="0.25">
      <c r="A245" s="4" t="s">
        <v>1090</v>
      </c>
      <c r="B245" s="4"/>
      <c r="C245" s="4"/>
      <c r="D245" s="4"/>
      <c r="E245" s="25"/>
      <c r="F245" s="25"/>
      <c r="G245" s="25"/>
      <c r="H245" s="25"/>
      <c r="I245" s="25"/>
      <c r="J245" s="25"/>
      <c r="K245" s="25"/>
      <c r="L245" s="25"/>
      <c r="M245" s="25"/>
      <c r="N245" s="25"/>
      <c r="O245" s="25"/>
      <c r="P245" s="25"/>
      <c r="Q245" s="4"/>
    </row>
    <row r="246" spans="1:17" x14ac:dyDescent="0.25">
      <c r="A246" s="3" t="s">
        <v>1090</v>
      </c>
      <c r="B246" s="3"/>
      <c r="C246" s="3"/>
      <c r="D246" s="3"/>
      <c r="E246" s="22"/>
      <c r="F246" s="22"/>
      <c r="G246" s="22"/>
      <c r="H246" s="22"/>
      <c r="I246" s="22"/>
      <c r="J246" s="22"/>
      <c r="K246" s="22"/>
      <c r="L246" s="22"/>
      <c r="M246" s="22"/>
      <c r="N246" s="22"/>
      <c r="O246" s="22"/>
      <c r="P246" s="22"/>
      <c r="Q246" s="3"/>
    </row>
    <row r="247" spans="1:17" x14ac:dyDescent="0.25">
      <c r="A247" s="4" t="s">
        <v>1090</v>
      </c>
      <c r="B247" s="4"/>
      <c r="C247" s="4"/>
      <c r="D247" s="4"/>
      <c r="E247" s="25"/>
      <c r="F247" s="25"/>
      <c r="G247" s="25"/>
      <c r="H247" s="25"/>
      <c r="I247" s="25"/>
      <c r="J247" s="25"/>
      <c r="K247" s="25"/>
      <c r="L247" s="25"/>
      <c r="M247" s="25"/>
      <c r="N247" s="25"/>
      <c r="O247" s="25"/>
      <c r="P247" s="25"/>
      <c r="Q247" s="4"/>
    </row>
    <row r="248" spans="1:17" x14ac:dyDescent="0.25">
      <c r="A248" s="3" t="s">
        <v>1090</v>
      </c>
      <c r="B248" s="3"/>
      <c r="C248" s="3"/>
      <c r="D248" s="3"/>
      <c r="E248" s="22"/>
      <c r="F248" s="22"/>
      <c r="G248" s="22"/>
      <c r="H248" s="22"/>
      <c r="I248" s="22"/>
      <c r="J248" s="22"/>
      <c r="K248" s="22"/>
      <c r="L248" s="22"/>
      <c r="M248" s="22"/>
      <c r="N248" s="22"/>
      <c r="O248" s="22"/>
      <c r="P248" s="22"/>
      <c r="Q248" s="3"/>
    </row>
    <row r="249" spans="1:17" x14ac:dyDescent="0.25">
      <c r="A249" s="4" t="s">
        <v>1090</v>
      </c>
      <c r="B249" s="4"/>
      <c r="C249" s="4"/>
      <c r="D249" s="4"/>
      <c r="E249" s="25"/>
      <c r="F249" s="25"/>
      <c r="G249" s="25"/>
      <c r="H249" s="25"/>
      <c r="I249" s="25"/>
      <c r="J249" s="25"/>
      <c r="K249" s="25"/>
      <c r="L249" s="25"/>
      <c r="M249" s="25"/>
      <c r="N249" s="25"/>
      <c r="O249" s="25"/>
      <c r="P249" s="25"/>
      <c r="Q249" s="4"/>
    </row>
    <row r="250" spans="1:17" x14ac:dyDescent="0.25">
      <c r="A250" s="3" t="s">
        <v>1090</v>
      </c>
      <c r="B250" s="3"/>
      <c r="C250" s="3"/>
      <c r="D250" s="3"/>
      <c r="E250" s="22"/>
      <c r="F250" s="22"/>
      <c r="G250" s="22"/>
      <c r="H250" s="22"/>
      <c r="I250" s="22"/>
      <c r="J250" s="22"/>
      <c r="K250" s="22"/>
      <c r="L250" s="22"/>
      <c r="M250" s="22"/>
      <c r="N250" s="22"/>
      <c r="O250" s="22"/>
      <c r="P250" s="22"/>
      <c r="Q250" s="3"/>
    </row>
    <row r="251" spans="1:17" x14ac:dyDescent="0.25">
      <c r="A251" s="4" t="s">
        <v>1090</v>
      </c>
      <c r="B251" s="4"/>
      <c r="C251" s="4"/>
      <c r="D251" s="4"/>
      <c r="E251" s="25"/>
      <c r="F251" s="25"/>
      <c r="G251" s="25"/>
      <c r="H251" s="25"/>
      <c r="I251" s="25"/>
      <c r="J251" s="25"/>
      <c r="K251" s="25"/>
      <c r="L251" s="25"/>
      <c r="M251" s="25"/>
      <c r="N251" s="25"/>
      <c r="O251" s="25"/>
      <c r="P251" s="25"/>
      <c r="Q251" s="4"/>
    </row>
    <row r="252" spans="1:17" x14ac:dyDescent="0.25">
      <c r="A252" s="3" t="s">
        <v>1090</v>
      </c>
      <c r="B252" s="3"/>
      <c r="C252" s="3"/>
      <c r="D252" s="3"/>
      <c r="E252" s="22"/>
      <c r="F252" s="22"/>
      <c r="G252" s="22"/>
      <c r="H252" s="22"/>
      <c r="I252" s="22"/>
      <c r="J252" s="22"/>
      <c r="K252" s="22"/>
      <c r="L252" s="22"/>
      <c r="M252" s="22"/>
      <c r="N252" s="22"/>
      <c r="O252" s="22"/>
      <c r="P252" s="22"/>
      <c r="Q252" s="3"/>
    </row>
    <row r="253" spans="1:17" x14ac:dyDescent="0.25">
      <c r="A253" s="4" t="s">
        <v>1090</v>
      </c>
      <c r="B253" s="4"/>
      <c r="C253" s="4"/>
      <c r="D253" s="4"/>
      <c r="E253" s="25"/>
      <c r="F253" s="25"/>
      <c r="G253" s="25"/>
      <c r="H253" s="25"/>
      <c r="I253" s="25"/>
      <c r="J253" s="25"/>
      <c r="K253" s="25"/>
      <c r="L253" s="25"/>
      <c r="M253" s="25"/>
      <c r="N253" s="25"/>
      <c r="O253" s="25"/>
      <c r="P253" s="25"/>
      <c r="Q253" s="4"/>
    </row>
    <row r="254" spans="1:17" x14ac:dyDescent="0.25">
      <c r="A254" s="3" t="s">
        <v>1090</v>
      </c>
      <c r="B254" s="3"/>
      <c r="C254" s="3"/>
      <c r="D254" s="3"/>
      <c r="E254" s="22"/>
      <c r="F254" s="22"/>
      <c r="G254" s="22"/>
      <c r="H254" s="22"/>
      <c r="I254" s="22"/>
      <c r="J254" s="22"/>
      <c r="K254" s="22"/>
      <c r="L254" s="22"/>
      <c r="M254" s="22"/>
      <c r="N254" s="22"/>
      <c r="O254" s="22"/>
      <c r="P254" s="22"/>
      <c r="Q254" s="3"/>
    </row>
    <row r="255" spans="1:17" x14ac:dyDescent="0.25">
      <c r="A255" s="4" t="s">
        <v>1090</v>
      </c>
      <c r="B255" s="4"/>
      <c r="C255" s="4"/>
      <c r="D255" s="4"/>
      <c r="E255" s="25"/>
      <c r="F255" s="25"/>
      <c r="G255" s="25"/>
      <c r="H255" s="25"/>
      <c r="I255" s="25"/>
      <c r="J255" s="25"/>
      <c r="K255" s="25"/>
      <c r="L255" s="25"/>
      <c r="M255" s="25"/>
      <c r="N255" s="25"/>
      <c r="O255" s="25"/>
      <c r="P255" s="25"/>
      <c r="Q255" s="4"/>
    </row>
    <row r="256" spans="1:17" x14ac:dyDescent="0.25">
      <c r="A256" s="3" t="s">
        <v>1090</v>
      </c>
      <c r="B256" s="3"/>
      <c r="C256" s="3"/>
      <c r="D256" s="3"/>
      <c r="E256" s="22"/>
      <c r="F256" s="22"/>
      <c r="G256" s="22"/>
      <c r="H256" s="22"/>
      <c r="I256" s="22"/>
      <c r="J256" s="22"/>
      <c r="K256" s="22"/>
      <c r="L256" s="22"/>
      <c r="M256" s="22"/>
      <c r="N256" s="22"/>
      <c r="O256" s="22"/>
      <c r="P256" s="22"/>
      <c r="Q256" s="3"/>
    </row>
    <row r="257" spans="1:17" x14ac:dyDescent="0.25">
      <c r="A257" s="4" t="s">
        <v>1090</v>
      </c>
      <c r="B257" s="4"/>
      <c r="C257" s="4"/>
      <c r="D257" s="4"/>
      <c r="E257" s="25"/>
      <c r="F257" s="25"/>
      <c r="G257" s="25"/>
      <c r="H257" s="25"/>
      <c r="I257" s="25"/>
      <c r="J257" s="25"/>
      <c r="K257" s="25"/>
      <c r="L257" s="25"/>
      <c r="M257" s="25"/>
      <c r="N257" s="25"/>
      <c r="O257" s="25"/>
      <c r="P257" s="25"/>
      <c r="Q257" s="4"/>
    </row>
    <row r="258" spans="1:17" x14ac:dyDescent="0.25">
      <c r="A258" s="3" t="s">
        <v>1090</v>
      </c>
      <c r="B258" s="3"/>
      <c r="C258" s="3"/>
      <c r="D258" s="3"/>
      <c r="E258" s="22"/>
      <c r="F258" s="22"/>
      <c r="G258" s="22"/>
      <c r="H258" s="22"/>
      <c r="I258" s="22"/>
      <c r="J258" s="22"/>
      <c r="K258" s="22"/>
      <c r="L258" s="22"/>
      <c r="M258" s="22"/>
      <c r="N258" s="22"/>
      <c r="O258" s="22"/>
      <c r="P258" s="22"/>
      <c r="Q258" s="3"/>
    </row>
    <row r="259" spans="1:17" x14ac:dyDescent="0.25">
      <c r="A259" s="4" t="s">
        <v>1090</v>
      </c>
      <c r="B259" s="4"/>
      <c r="C259" s="4"/>
      <c r="D259" s="4"/>
      <c r="E259" s="25"/>
      <c r="F259" s="25"/>
      <c r="G259" s="25"/>
      <c r="H259" s="25"/>
      <c r="I259" s="25"/>
      <c r="J259" s="25"/>
      <c r="K259" s="25"/>
      <c r="L259" s="25"/>
      <c r="M259" s="25"/>
      <c r="N259" s="25"/>
      <c r="O259" s="25"/>
      <c r="P259" s="25"/>
      <c r="Q259" s="4"/>
    </row>
    <row r="260" spans="1:17" x14ac:dyDescent="0.25">
      <c r="A260" s="3" t="s">
        <v>1090</v>
      </c>
      <c r="B260" s="3"/>
      <c r="C260" s="3"/>
      <c r="D260" s="3"/>
      <c r="E260" s="22"/>
      <c r="F260" s="22"/>
      <c r="G260" s="22"/>
      <c r="H260" s="22"/>
      <c r="I260" s="22"/>
      <c r="J260" s="22"/>
      <c r="K260" s="22"/>
      <c r="L260" s="22"/>
      <c r="M260" s="22"/>
      <c r="N260" s="22"/>
      <c r="O260" s="22"/>
      <c r="P260" s="22"/>
      <c r="Q260" s="3"/>
    </row>
    <row r="261" spans="1:17" x14ac:dyDescent="0.25">
      <c r="A261" s="4" t="s">
        <v>1090</v>
      </c>
      <c r="B261" s="4"/>
      <c r="C261" s="4"/>
      <c r="D261" s="4"/>
      <c r="E261" s="25"/>
      <c r="F261" s="25"/>
      <c r="G261" s="25"/>
      <c r="H261" s="25"/>
      <c r="I261" s="25"/>
      <c r="J261" s="25"/>
      <c r="K261" s="25"/>
      <c r="L261" s="25"/>
      <c r="M261" s="25"/>
      <c r="N261" s="25"/>
      <c r="O261" s="25"/>
      <c r="P261" s="25"/>
      <c r="Q261" s="4"/>
    </row>
    <row r="262" spans="1:17" x14ac:dyDescent="0.25">
      <c r="A262" s="3" t="s">
        <v>1090</v>
      </c>
      <c r="B262" s="3"/>
      <c r="C262" s="3"/>
      <c r="D262" s="3"/>
      <c r="E262" s="22"/>
      <c r="F262" s="22"/>
      <c r="G262" s="22"/>
      <c r="H262" s="22"/>
      <c r="I262" s="22"/>
      <c r="J262" s="22"/>
      <c r="K262" s="22"/>
      <c r="L262" s="22"/>
      <c r="M262" s="22"/>
      <c r="N262" s="22"/>
      <c r="O262" s="22"/>
      <c r="P262" s="22"/>
      <c r="Q262" s="3"/>
    </row>
    <row r="263" spans="1:17" x14ac:dyDescent="0.25">
      <c r="A263" s="4" t="s">
        <v>1090</v>
      </c>
      <c r="B263" s="4"/>
      <c r="C263" s="4"/>
      <c r="D263" s="4"/>
      <c r="E263" s="25"/>
      <c r="F263" s="25"/>
      <c r="G263" s="25"/>
      <c r="H263" s="25"/>
      <c r="I263" s="25"/>
      <c r="J263" s="25"/>
      <c r="K263" s="25"/>
      <c r="L263" s="25"/>
      <c r="M263" s="25"/>
      <c r="N263" s="25"/>
      <c r="O263" s="25"/>
      <c r="P263" s="25"/>
      <c r="Q263" s="4"/>
    </row>
    <row r="264" spans="1:17" x14ac:dyDescent="0.25">
      <c r="A264" s="3" t="s">
        <v>1090</v>
      </c>
      <c r="B264" s="3"/>
      <c r="C264" s="3"/>
      <c r="D264" s="3"/>
      <c r="E264" s="22"/>
      <c r="F264" s="22"/>
      <c r="G264" s="22"/>
      <c r="H264" s="22"/>
      <c r="I264" s="22"/>
      <c r="J264" s="22"/>
      <c r="K264" s="22"/>
      <c r="L264" s="22"/>
      <c r="M264" s="22"/>
      <c r="N264" s="22"/>
      <c r="O264" s="22"/>
      <c r="P264" s="22"/>
      <c r="Q264" s="3"/>
    </row>
    <row r="265" spans="1:17" x14ac:dyDescent="0.25">
      <c r="A265" s="4" t="s">
        <v>1090</v>
      </c>
      <c r="B265" s="4"/>
      <c r="C265" s="4"/>
      <c r="D265" s="4"/>
      <c r="E265" s="25"/>
      <c r="F265" s="25"/>
      <c r="G265" s="25"/>
      <c r="H265" s="25"/>
      <c r="I265" s="25"/>
      <c r="J265" s="25"/>
      <c r="K265" s="25"/>
      <c r="L265" s="25"/>
      <c r="M265" s="25"/>
      <c r="N265" s="25"/>
      <c r="O265" s="25"/>
      <c r="P265" s="25"/>
      <c r="Q265" s="4"/>
    </row>
    <row r="266" spans="1:17" x14ac:dyDescent="0.25">
      <c r="A266" s="3" t="s">
        <v>1090</v>
      </c>
      <c r="B266" s="3"/>
      <c r="C266" s="3"/>
      <c r="D266" s="3"/>
      <c r="E266" s="22"/>
      <c r="F266" s="22"/>
      <c r="G266" s="22"/>
      <c r="H266" s="22"/>
      <c r="I266" s="22"/>
      <c r="J266" s="22"/>
      <c r="K266" s="22"/>
      <c r="L266" s="22"/>
      <c r="M266" s="22"/>
      <c r="N266" s="22"/>
      <c r="O266" s="22"/>
      <c r="P266" s="22"/>
      <c r="Q266" s="3"/>
    </row>
    <row r="267" spans="1:17" x14ac:dyDescent="0.25">
      <c r="A267" s="4" t="s">
        <v>1090</v>
      </c>
      <c r="B267" s="4"/>
      <c r="C267" s="4"/>
      <c r="D267" s="4"/>
      <c r="E267" s="25"/>
      <c r="F267" s="25"/>
      <c r="G267" s="25"/>
      <c r="H267" s="25"/>
      <c r="I267" s="25"/>
      <c r="J267" s="25"/>
      <c r="K267" s="25"/>
      <c r="L267" s="25"/>
      <c r="M267" s="25"/>
      <c r="N267" s="25"/>
      <c r="O267" s="25"/>
      <c r="P267" s="25"/>
      <c r="Q267" s="4"/>
    </row>
    <row r="268" spans="1:17" x14ac:dyDescent="0.25">
      <c r="A268" s="3" t="s">
        <v>1090</v>
      </c>
      <c r="B268" s="3"/>
      <c r="C268" s="3"/>
      <c r="D268" s="3"/>
      <c r="E268" s="22"/>
      <c r="F268" s="22"/>
      <c r="G268" s="22"/>
      <c r="H268" s="22"/>
      <c r="I268" s="22"/>
      <c r="J268" s="22"/>
      <c r="K268" s="22"/>
      <c r="L268" s="22"/>
      <c r="M268" s="22"/>
      <c r="N268" s="22"/>
      <c r="O268" s="22"/>
      <c r="P268" s="22"/>
      <c r="Q268" s="3"/>
    </row>
    <row r="269" spans="1:17" x14ac:dyDescent="0.25">
      <c r="A269" s="4" t="s">
        <v>1090</v>
      </c>
      <c r="B269" s="4"/>
      <c r="C269" s="4"/>
      <c r="D269" s="4"/>
      <c r="E269" s="25"/>
      <c r="F269" s="25"/>
      <c r="G269" s="25"/>
      <c r="H269" s="25"/>
      <c r="I269" s="25"/>
      <c r="J269" s="25"/>
      <c r="K269" s="25"/>
      <c r="L269" s="25"/>
      <c r="M269" s="25"/>
      <c r="N269" s="25"/>
      <c r="O269" s="25"/>
      <c r="P269" s="25"/>
      <c r="Q269" s="4"/>
    </row>
    <row r="270" spans="1:17" x14ac:dyDescent="0.25">
      <c r="A270" s="3" t="s">
        <v>1090</v>
      </c>
      <c r="B270" s="3"/>
      <c r="C270" s="3"/>
      <c r="D270" s="3"/>
      <c r="E270" s="22"/>
      <c r="F270" s="22"/>
      <c r="G270" s="22"/>
      <c r="H270" s="22"/>
      <c r="I270" s="22"/>
      <c r="J270" s="22"/>
      <c r="K270" s="22"/>
      <c r="L270" s="22"/>
      <c r="M270" s="22"/>
      <c r="N270" s="22"/>
      <c r="O270" s="22"/>
      <c r="P270" s="22"/>
      <c r="Q270" s="3"/>
    </row>
    <row r="271" spans="1:17" x14ac:dyDescent="0.25">
      <c r="A271" s="4" t="s">
        <v>1090</v>
      </c>
      <c r="B271" s="4"/>
      <c r="C271" s="4"/>
      <c r="D271" s="4"/>
      <c r="E271" s="25"/>
      <c r="F271" s="25"/>
      <c r="G271" s="25"/>
      <c r="H271" s="25"/>
      <c r="I271" s="25"/>
      <c r="J271" s="25"/>
      <c r="K271" s="25"/>
      <c r="L271" s="25"/>
      <c r="M271" s="25"/>
      <c r="N271" s="25"/>
      <c r="O271" s="25"/>
      <c r="P271" s="25"/>
      <c r="Q271" s="4"/>
    </row>
    <row r="272" spans="1:17" x14ac:dyDescent="0.25">
      <c r="A272" s="3" t="s">
        <v>1090</v>
      </c>
      <c r="B272" s="3"/>
      <c r="C272" s="3"/>
      <c r="D272" s="3"/>
      <c r="E272" s="22"/>
      <c r="F272" s="22"/>
      <c r="G272" s="22"/>
      <c r="H272" s="22"/>
      <c r="I272" s="22"/>
      <c r="J272" s="22"/>
      <c r="K272" s="22"/>
      <c r="L272" s="22"/>
      <c r="M272" s="22"/>
      <c r="N272" s="22"/>
      <c r="O272" s="22"/>
      <c r="P272" s="22"/>
      <c r="Q272" s="3"/>
    </row>
    <row r="273" spans="1:17" x14ac:dyDescent="0.25">
      <c r="A273" s="4" t="s">
        <v>1090</v>
      </c>
      <c r="B273" s="4"/>
      <c r="C273" s="4"/>
      <c r="D273" s="4"/>
      <c r="E273" s="25"/>
      <c r="F273" s="25"/>
      <c r="G273" s="25"/>
      <c r="H273" s="25"/>
      <c r="I273" s="25"/>
      <c r="J273" s="25"/>
      <c r="K273" s="25"/>
      <c r="L273" s="25"/>
      <c r="M273" s="25"/>
      <c r="N273" s="25"/>
      <c r="O273" s="25"/>
      <c r="P273" s="25"/>
      <c r="Q273" s="4"/>
    </row>
    <row r="274" spans="1:17" x14ac:dyDescent="0.25">
      <c r="A274" s="3" t="s">
        <v>1090</v>
      </c>
      <c r="B274" s="3"/>
      <c r="C274" s="3"/>
      <c r="D274" s="3"/>
      <c r="E274" s="22"/>
      <c r="F274" s="22"/>
      <c r="G274" s="22"/>
      <c r="H274" s="22"/>
      <c r="I274" s="22"/>
      <c r="J274" s="22"/>
      <c r="K274" s="22"/>
      <c r="L274" s="22"/>
      <c r="M274" s="22"/>
      <c r="N274" s="22"/>
      <c r="O274" s="22"/>
      <c r="P274" s="22"/>
      <c r="Q274" s="3"/>
    </row>
    <row r="275" spans="1:17" x14ac:dyDescent="0.25">
      <c r="A275" s="4" t="s">
        <v>1090</v>
      </c>
      <c r="B275" s="4"/>
      <c r="C275" s="4"/>
      <c r="D275" s="4"/>
      <c r="E275" s="25"/>
      <c r="F275" s="25"/>
      <c r="G275" s="25"/>
      <c r="H275" s="25"/>
      <c r="I275" s="25"/>
      <c r="J275" s="25"/>
      <c r="K275" s="25"/>
      <c r="L275" s="25"/>
      <c r="M275" s="25"/>
      <c r="N275" s="25"/>
      <c r="O275" s="25"/>
      <c r="P275" s="25"/>
      <c r="Q275" s="4"/>
    </row>
    <row r="276" spans="1:17" x14ac:dyDescent="0.25">
      <c r="A276" s="3" t="s">
        <v>1090</v>
      </c>
      <c r="B276" s="3"/>
      <c r="C276" s="3"/>
      <c r="D276" s="3"/>
      <c r="E276" s="22"/>
      <c r="F276" s="22"/>
      <c r="G276" s="22"/>
      <c r="H276" s="22"/>
      <c r="I276" s="22"/>
      <c r="J276" s="22"/>
      <c r="K276" s="22"/>
      <c r="L276" s="22"/>
      <c r="M276" s="22"/>
      <c r="N276" s="22"/>
      <c r="O276" s="22"/>
      <c r="P276" s="22"/>
      <c r="Q276" s="3"/>
    </row>
    <row r="277" spans="1:17" x14ac:dyDescent="0.25">
      <c r="A277" s="4" t="s">
        <v>1090</v>
      </c>
      <c r="B277" s="4"/>
      <c r="C277" s="4"/>
      <c r="D277" s="4"/>
      <c r="E277" s="25"/>
      <c r="F277" s="25"/>
      <c r="G277" s="25"/>
      <c r="H277" s="25"/>
      <c r="I277" s="25"/>
      <c r="J277" s="25"/>
      <c r="K277" s="25"/>
      <c r="L277" s="25"/>
      <c r="M277" s="25"/>
      <c r="N277" s="25"/>
      <c r="O277" s="25"/>
      <c r="P277" s="25"/>
      <c r="Q277" s="4"/>
    </row>
    <row r="278" spans="1:17" x14ac:dyDescent="0.25">
      <c r="A278" s="3" t="s">
        <v>1090</v>
      </c>
      <c r="B278" s="3"/>
      <c r="C278" s="3"/>
      <c r="D278" s="3"/>
      <c r="E278" s="22"/>
      <c r="F278" s="22"/>
      <c r="G278" s="22"/>
      <c r="H278" s="22"/>
      <c r="I278" s="22"/>
      <c r="J278" s="22"/>
      <c r="K278" s="22"/>
      <c r="L278" s="22"/>
      <c r="M278" s="22"/>
      <c r="N278" s="22"/>
      <c r="O278" s="22"/>
      <c r="P278" s="22"/>
      <c r="Q278" s="3"/>
    </row>
    <row r="279" spans="1:17" x14ac:dyDescent="0.25">
      <c r="A279" s="4" t="s">
        <v>1090</v>
      </c>
      <c r="B279" s="4"/>
      <c r="C279" s="4"/>
      <c r="D279" s="4"/>
      <c r="E279" s="25"/>
      <c r="F279" s="25"/>
      <c r="G279" s="25"/>
      <c r="H279" s="25"/>
      <c r="I279" s="25"/>
      <c r="J279" s="25"/>
      <c r="K279" s="25"/>
      <c r="L279" s="25"/>
      <c r="M279" s="25"/>
      <c r="N279" s="25"/>
      <c r="O279" s="25"/>
      <c r="P279" s="25"/>
      <c r="Q279" s="4"/>
    </row>
    <row r="280" spans="1:17" x14ac:dyDescent="0.25">
      <c r="A280" s="3" t="s">
        <v>1090</v>
      </c>
      <c r="B280" s="3"/>
      <c r="C280" s="3"/>
      <c r="D280" s="3"/>
      <c r="E280" s="22"/>
      <c r="F280" s="22"/>
      <c r="G280" s="22"/>
      <c r="H280" s="22"/>
      <c r="I280" s="22"/>
      <c r="J280" s="22"/>
      <c r="K280" s="22"/>
      <c r="L280" s="22"/>
      <c r="M280" s="22"/>
      <c r="N280" s="22"/>
      <c r="O280" s="22"/>
      <c r="P280" s="22"/>
      <c r="Q280" s="3"/>
    </row>
    <row r="281" spans="1:17" x14ac:dyDescent="0.25">
      <c r="A281" s="4" t="s">
        <v>1090</v>
      </c>
      <c r="B281" s="4"/>
      <c r="C281" s="4"/>
      <c r="D281" s="4"/>
      <c r="E281" s="25"/>
      <c r="F281" s="25"/>
      <c r="G281" s="25"/>
      <c r="H281" s="25"/>
      <c r="I281" s="25"/>
      <c r="J281" s="25"/>
      <c r="K281" s="25"/>
      <c r="L281" s="25"/>
      <c r="M281" s="25"/>
      <c r="N281" s="25"/>
      <c r="O281" s="25"/>
      <c r="P281" s="25"/>
      <c r="Q281" s="4"/>
    </row>
    <row r="282" spans="1:17" x14ac:dyDescent="0.25">
      <c r="A282" s="3" t="s">
        <v>1090</v>
      </c>
      <c r="B282" s="3"/>
      <c r="C282" s="3"/>
      <c r="D282" s="3"/>
      <c r="E282" s="22"/>
      <c r="F282" s="22"/>
      <c r="G282" s="22"/>
      <c r="H282" s="22"/>
      <c r="I282" s="22"/>
      <c r="J282" s="22"/>
      <c r="K282" s="22"/>
      <c r="L282" s="22"/>
      <c r="M282" s="22"/>
      <c r="N282" s="22"/>
      <c r="O282" s="22"/>
      <c r="P282" s="22"/>
      <c r="Q282" s="3"/>
    </row>
    <row r="283" spans="1:17" x14ac:dyDescent="0.25">
      <c r="A283" s="4" t="s">
        <v>1090</v>
      </c>
      <c r="B283" s="4"/>
      <c r="C283" s="4"/>
      <c r="D283" s="4"/>
      <c r="E283" s="25"/>
      <c r="F283" s="25"/>
      <c r="G283" s="25"/>
      <c r="H283" s="25"/>
      <c r="I283" s="25"/>
      <c r="J283" s="25"/>
      <c r="K283" s="25"/>
      <c r="L283" s="25"/>
      <c r="M283" s="25"/>
      <c r="N283" s="25"/>
      <c r="O283" s="25"/>
      <c r="P283" s="25"/>
      <c r="Q283" s="4"/>
    </row>
    <row r="284" spans="1:17" x14ac:dyDescent="0.25">
      <c r="A284" s="3" t="s">
        <v>1090</v>
      </c>
      <c r="B284" s="3"/>
      <c r="C284" s="3"/>
      <c r="D284" s="3"/>
      <c r="E284" s="22"/>
      <c r="F284" s="22"/>
      <c r="G284" s="22"/>
      <c r="H284" s="22"/>
      <c r="I284" s="22"/>
      <c r="J284" s="22"/>
      <c r="K284" s="22"/>
      <c r="L284" s="22"/>
      <c r="M284" s="22"/>
      <c r="N284" s="22"/>
      <c r="O284" s="22"/>
      <c r="P284" s="22"/>
      <c r="Q284" s="3"/>
    </row>
    <row r="285" spans="1:17" x14ac:dyDescent="0.25">
      <c r="A285" s="4" t="s">
        <v>1090</v>
      </c>
      <c r="B285" s="4"/>
      <c r="C285" s="4"/>
      <c r="D285" s="4"/>
      <c r="E285" s="25"/>
      <c r="F285" s="25"/>
      <c r="G285" s="25"/>
      <c r="H285" s="25"/>
      <c r="I285" s="25"/>
      <c r="J285" s="25"/>
      <c r="K285" s="25"/>
      <c r="L285" s="25"/>
      <c r="M285" s="25"/>
      <c r="N285" s="25"/>
      <c r="O285" s="25"/>
      <c r="P285" s="25"/>
      <c r="Q285" s="4"/>
    </row>
    <row r="286" spans="1:17" x14ac:dyDescent="0.25">
      <c r="A286" s="3" t="s">
        <v>1090</v>
      </c>
      <c r="B286" s="3"/>
      <c r="C286" s="3"/>
      <c r="D286" s="3"/>
      <c r="E286" s="22"/>
      <c r="F286" s="22"/>
      <c r="G286" s="22"/>
      <c r="H286" s="22"/>
      <c r="I286" s="22"/>
      <c r="J286" s="22"/>
      <c r="K286" s="22"/>
      <c r="L286" s="22"/>
      <c r="M286" s="22"/>
      <c r="N286" s="22"/>
      <c r="O286" s="22"/>
      <c r="P286" s="22"/>
      <c r="Q286" s="3"/>
    </row>
    <row r="287" spans="1:17" x14ac:dyDescent="0.25">
      <c r="A287" s="4" t="s">
        <v>1090</v>
      </c>
      <c r="B287" s="4"/>
      <c r="C287" s="4"/>
      <c r="D287" s="4"/>
      <c r="E287" s="25"/>
      <c r="F287" s="25"/>
      <c r="G287" s="25"/>
      <c r="H287" s="25"/>
      <c r="I287" s="25"/>
      <c r="J287" s="25"/>
      <c r="K287" s="25"/>
      <c r="L287" s="25"/>
      <c r="M287" s="25"/>
      <c r="N287" s="25"/>
      <c r="O287" s="25"/>
      <c r="P287" s="25"/>
      <c r="Q287" s="4"/>
    </row>
    <row r="288" spans="1:17" x14ac:dyDescent="0.25">
      <c r="A288" s="3" t="s">
        <v>1090</v>
      </c>
      <c r="B288" s="3"/>
      <c r="C288" s="3"/>
      <c r="D288" s="3"/>
      <c r="E288" s="22"/>
      <c r="F288" s="22"/>
      <c r="G288" s="22"/>
      <c r="H288" s="22"/>
      <c r="I288" s="22"/>
      <c r="J288" s="22"/>
      <c r="K288" s="22"/>
      <c r="L288" s="22"/>
      <c r="M288" s="22"/>
      <c r="N288" s="22"/>
      <c r="O288" s="22"/>
      <c r="P288" s="22"/>
      <c r="Q288" s="3"/>
    </row>
    <row r="289" spans="1:17" x14ac:dyDescent="0.25">
      <c r="A289" s="4" t="s">
        <v>1090</v>
      </c>
      <c r="B289" s="4"/>
      <c r="C289" s="4"/>
      <c r="D289" s="4"/>
      <c r="E289" s="25"/>
      <c r="F289" s="25"/>
      <c r="G289" s="25"/>
      <c r="H289" s="25"/>
      <c r="I289" s="25"/>
      <c r="J289" s="25"/>
      <c r="K289" s="25"/>
      <c r="L289" s="25"/>
      <c r="M289" s="25"/>
      <c r="N289" s="25"/>
      <c r="O289" s="25"/>
      <c r="P289" s="25"/>
      <c r="Q289" s="4"/>
    </row>
    <row r="290" spans="1:17" x14ac:dyDescent="0.25">
      <c r="A290" s="3" t="s">
        <v>1090</v>
      </c>
      <c r="B290" s="3"/>
      <c r="C290" s="3"/>
      <c r="D290" s="3"/>
      <c r="E290" s="22"/>
      <c r="F290" s="22"/>
      <c r="G290" s="22"/>
      <c r="H290" s="22"/>
      <c r="I290" s="22"/>
      <c r="J290" s="22"/>
      <c r="K290" s="22"/>
      <c r="L290" s="22"/>
      <c r="M290" s="22"/>
      <c r="N290" s="22"/>
      <c r="O290" s="22"/>
      <c r="P290" s="22"/>
      <c r="Q290" s="3"/>
    </row>
    <row r="291" spans="1:17" x14ac:dyDescent="0.25">
      <c r="A291" s="4" t="s">
        <v>1090</v>
      </c>
      <c r="B291" s="4"/>
      <c r="C291" s="4"/>
      <c r="D291" s="4"/>
      <c r="E291" s="25"/>
      <c r="F291" s="25"/>
      <c r="G291" s="25"/>
      <c r="H291" s="25"/>
      <c r="I291" s="25"/>
      <c r="J291" s="25"/>
      <c r="K291" s="25"/>
      <c r="L291" s="25"/>
      <c r="M291" s="25"/>
      <c r="N291" s="25"/>
      <c r="O291" s="25"/>
      <c r="P291" s="25"/>
      <c r="Q291" s="4"/>
    </row>
    <row r="292" spans="1:17" x14ac:dyDescent="0.25">
      <c r="A292" s="3" t="s">
        <v>1090</v>
      </c>
      <c r="B292" s="3"/>
      <c r="C292" s="3"/>
      <c r="D292" s="3"/>
      <c r="E292" s="22"/>
      <c r="F292" s="22"/>
      <c r="G292" s="22"/>
      <c r="H292" s="22"/>
      <c r="I292" s="22"/>
      <c r="J292" s="22"/>
      <c r="K292" s="22"/>
      <c r="L292" s="22"/>
      <c r="M292" s="22"/>
      <c r="N292" s="22"/>
      <c r="O292" s="22"/>
      <c r="P292" s="22"/>
      <c r="Q292" s="3"/>
    </row>
    <row r="293" spans="1:17" x14ac:dyDescent="0.25">
      <c r="A293" s="4" t="s">
        <v>1090</v>
      </c>
      <c r="B293" s="4"/>
      <c r="C293" s="4"/>
      <c r="D293" s="4"/>
      <c r="E293" s="25"/>
      <c r="F293" s="25"/>
      <c r="G293" s="25"/>
      <c r="H293" s="25"/>
      <c r="I293" s="25"/>
      <c r="J293" s="25"/>
      <c r="K293" s="25"/>
      <c r="L293" s="25"/>
      <c r="M293" s="25"/>
      <c r="N293" s="25"/>
      <c r="O293" s="25"/>
      <c r="P293" s="25"/>
      <c r="Q293" s="4"/>
    </row>
    <row r="294" spans="1:17" x14ac:dyDescent="0.25">
      <c r="A294" s="3" t="s">
        <v>1090</v>
      </c>
      <c r="B294" s="3"/>
      <c r="C294" s="3"/>
      <c r="D294" s="3"/>
      <c r="E294" s="22"/>
      <c r="F294" s="22"/>
      <c r="G294" s="22"/>
      <c r="H294" s="22"/>
      <c r="I294" s="22"/>
      <c r="J294" s="22"/>
      <c r="K294" s="22"/>
      <c r="L294" s="22"/>
      <c r="M294" s="22"/>
      <c r="N294" s="22"/>
      <c r="O294" s="22"/>
      <c r="P294" s="22"/>
      <c r="Q294" s="3"/>
    </row>
    <row r="295" spans="1:17" x14ac:dyDescent="0.25">
      <c r="A295" s="4" t="s">
        <v>1090</v>
      </c>
      <c r="B295" s="4"/>
      <c r="C295" s="4"/>
      <c r="D295" s="4"/>
      <c r="E295" s="25"/>
      <c r="F295" s="25"/>
      <c r="G295" s="25"/>
      <c r="H295" s="25"/>
      <c r="I295" s="25"/>
      <c r="J295" s="25"/>
      <c r="K295" s="25"/>
      <c r="L295" s="25"/>
      <c r="M295" s="25"/>
      <c r="N295" s="25"/>
      <c r="O295" s="25"/>
      <c r="P295" s="25"/>
      <c r="Q295" s="4"/>
    </row>
    <row r="296" spans="1:17" x14ac:dyDescent="0.25">
      <c r="A296" s="3" t="s">
        <v>1090</v>
      </c>
      <c r="B296" s="3"/>
      <c r="C296" s="3"/>
      <c r="D296" s="3"/>
      <c r="E296" s="22"/>
      <c r="F296" s="22"/>
      <c r="G296" s="22"/>
      <c r="H296" s="22"/>
      <c r="I296" s="22"/>
      <c r="J296" s="22"/>
      <c r="K296" s="22"/>
      <c r="L296" s="22"/>
      <c r="M296" s="22"/>
      <c r="N296" s="22"/>
      <c r="O296" s="22"/>
      <c r="P296" s="22"/>
      <c r="Q296" s="3"/>
    </row>
    <row r="297" spans="1:17" x14ac:dyDescent="0.25">
      <c r="A297" s="4" t="s">
        <v>1090</v>
      </c>
      <c r="B297" s="4"/>
      <c r="C297" s="4"/>
      <c r="D297" s="4"/>
      <c r="E297" s="25"/>
      <c r="F297" s="25"/>
      <c r="G297" s="25"/>
      <c r="H297" s="25"/>
      <c r="I297" s="25"/>
      <c r="J297" s="25"/>
      <c r="K297" s="25"/>
      <c r="L297" s="25"/>
      <c r="M297" s="25"/>
      <c r="N297" s="25"/>
      <c r="O297" s="25"/>
      <c r="P297" s="25"/>
      <c r="Q297" s="4"/>
    </row>
    <row r="298" spans="1:17" x14ac:dyDescent="0.25">
      <c r="A298" s="3" t="s">
        <v>1090</v>
      </c>
      <c r="B298" s="3"/>
      <c r="C298" s="3"/>
      <c r="D298" s="3"/>
      <c r="E298" s="22"/>
      <c r="F298" s="22"/>
      <c r="G298" s="22"/>
      <c r="H298" s="22"/>
      <c r="I298" s="22"/>
      <c r="J298" s="22"/>
      <c r="K298" s="22"/>
      <c r="L298" s="22"/>
      <c r="M298" s="22"/>
      <c r="N298" s="22"/>
      <c r="O298" s="22"/>
      <c r="P298" s="22"/>
      <c r="Q298" s="3"/>
    </row>
    <row r="299" spans="1:17" x14ac:dyDescent="0.25">
      <c r="A299" s="4" t="s">
        <v>1090</v>
      </c>
      <c r="B299" s="4"/>
      <c r="C299" s="4"/>
      <c r="D299" s="4"/>
      <c r="E299" s="25"/>
      <c r="F299" s="25"/>
      <c r="G299" s="25"/>
      <c r="H299" s="25"/>
      <c r="I299" s="25"/>
      <c r="J299" s="25"/>
      <c r="K299" s="25"/>
      <c r="L299" s="25"/>
      <c r="M299" s="25"/>
      <c r="N299" s="25"/>
      <c r="O299" s="25"/>
      <c r="P299" s="25"/>
      <c r="Q299" s="4"/>
    </row>
    <row r="300" spans="1:17" x14ac:dyDescent="0.25">
      <c r="A300" s="3" t="s">
        <v>1090</v>
      </c>
      <c r="B300" s="3"/>
      <c r="C300" s="3"/>
      <c r="D300" s="3"/>
      <c r="E300" s="22"/>
      <c r="F300" s="22"/>
      <c r="G300" s="22"/>
      <c r="H300" s="22"/>
      <c r="I300" s="22"/>
      <c r="J300" s="22"/>
      <c r="K300" s="22"/>
      <c r="L300" s="22"/>
      <c r="M300" s="22"/>
      <c r="N300" s="22"/>
      <c r="O300" s="22"/>
      <c r="P300" s="22"/>
      <c r="Q300" s="3"/>
    </row>
    <row r="301" spans="1:17" x14ac:dyDescent="0.25">
      <c r="A301" s="4" t="s">
        <v>1090</v>
      </c>
      <c r="B301" s="4"/>
      <c r="C301" s="4"/>
      <c r="D301" s="4"/>
      <c r="E301" s="25"/>
      <c r="F301" s="25"/>
      <c r="G301" s="25"/>
      <c r="H301" s="25"/>
      <c r="I301" s="25"/>
      <c r="J301" s="25"/>
      <c r="K301" s="25"/>
      <c r="L301" s="25"/>
      <c r="M301" s="25"/>
      <c r="N301" s="25"/>
      <c r="O301" s="25"/>
      <c r="P301" s="25"/>
      <c r="Q301" s="4"/>
    </row>
    <row r="302" spans="1:17" x14ac:dyDescent="0.25">
      <c r="A302" s="3" t="s">
        <v>1090</v>
      </c>
      <c r="B302" s="3"/>
      <c r="C302" s="3"/>
      <c r="D302" s="3"/>
      <c r="E302" s="22"/>
      <c r="F302" s="22"/>
      <c r="G302" s="22"/>
      <c r="H302" s="22"/>
      <c r="I302" s="22"/>
      <c r="J302" s="22"/>
      <c r="K302" s="22"/>
      <c r="L302" s="22"/>
      <c r="M302" s="22"/>
      <c r="N302" s="22"/>
      <c r="O302" s="22"/>
      <c r="P302" s="22"/>
      <c r="Q302" s="3"/>
    </row>
    <row r="303" spans="1:17" x14ac:dyDescent="0.25">
      <c r="A303" s="4" t="s">
        <v>1090</v>
      </c>
      <c r="B303" s="4"/>
      <c r="C303" s="4"/>
      <c r="D303" s="4"/>
      <c r="E303" s="25"/>
      <c r="F303" s="25"/>
      <c r="G303" s="25"/>
      <c r="H303" s="25"/>
      <c r="I303" s="25"/>
      <c r="J303" s="25"/>
      <c r="K303" s="25"/>
      <c r="L303" s="25"/>
      <c r="M303" s="25"/>
      <c r="N303" s="25"/>
      <c r="O303" s="25"/>
      <c r="P303" s="25"/>
      <c r="Q303" s="4"/>
    </row>
    <row r="304" spans="1:17" x14ac:dyDescent="0.25">
      <c r="A304" s="3" t="s">
        <v>1090</v>
      </c>
      <c r="B304" s="3"/>
      <c r="C304" s="3"/>
      <c r="D304" s="3"/>
      <c r="E304" s="22"/>
      <c r="F304" s="22"/>
      <c r="G304" s="22"/>
      <c r="H304" s="22"/>
      <c r="I304" s="22"/>
      <c r="J304" s="22"/>
      <c r="K304" s="22"/>
      <c r="L304" s="22"/>
      <c r="M304" s="22"/>
      <c r="N304" s="22"/>
      <c r="O304" s="22"/>
      <c r="P304" s="22"/>
      <c r="Q304" s="3"/>
    </row>
    <row r="305" spans="1:17" x14ac:dyDescent="0.25">
      <c r="A305" s="4" t="s">
        <v>1090</v>
      </c>
      <c r="B305" s="4"/>
      <c r="C305" s="4"/>
      <c r="D305" s="4"/>
      <c r="E305" s="25"/>
      <c r="F305" s="25"/>
      <c r="G305" s="25"/>
      <c r="H305" s="25"/>
      <c r="I305" s="25"/>
      <c r="J305" s="25"/>
      <c r="K305" s="25"/>
      <c r="L305" s="25"/>
      <c r="M305" s="25"/>
      <c r="N305" s="25"/>
      <c r="O305" s="25"/>
      <c r="P305" s="25"/>
      <c r="Q305" s="4"/>
    </row>
    <row r="306" spans="1:17" x14ac:dyDescent="0.25">
      <c r="A306" s="3" t="s">
        <v>1090</v>
      </c>
      <c r="B306" s="3"/>
      <c r="C306" s="3"/>
      <c r="D306" s="3"/>
      <c r="E306" s="22"/>
      <c r="F306" s="22"/>
      <c r="G306" s="22"/>
      <c r="H306" s="22"/>
      <c r="I306" s="22"/>
      <c r="J306" s="22"/>
      <c r="K306" s="22"/>
      <c r="L306" s="22"/>
      <c r="M306" s="22"/>
      <c r="N306" s="22"/>
      <c r="O306" s="22"/>
      <c r="P306" s="22"/>
      <c r="Q306" s="3"/>
    </row>
    <row r="307" spans="1:17" x14ac:dyDescent="0.25">
      <c r="A307" s="4" t="s">
        <v>1090</v>
      </c>
      <c r="B307" s="4"/>
      <c r="C307" s="4"/>
      <c r="D307" s="4"/>
      <c r="E307" s="25"/>
      <c r="F307" s="25"/>
      <c r="G307" s="25"/>
      <c r="H307" s="25"/>
      <c r="I307" s="25"/>
      <c r="J307" s="25"/>
      <c r="K307" s="25"/>
      <c r="L307" s="25"/>
      <c r="M307" s="25"/>
      <c r="N307" s="25"/>
      <c r="O307" s="25"/>
      <c r="P307" s="25"/>
      <c r="Q307" s="4"/>
    </row>
    <row r="308" spans="1:17" x14ac:dyDescent="0.25">
      <c r="A308" s="3" t="s">
        <v>1090</v>
      </c>
      <c r="B308" s="3"/>
      <c r="C308" s="3"/>
      <c r="D308" s="3"/>
      <c r="E308" s="22"/>
      <c r="F308" s="22"/>
      <c r="G308" s="22"/>
      <c r="H308" s="22"/>
      <c r="I308" s="22"/>
      <c r="J308" s="22"/>
      <c r="K308" s="22"/>
      <c r="L308" s="22"/>
      <c r="M308" s="22"/>
      <c r="N308" s="22"/>
      <c r="O308" s="22"/>
      <c r="P308" s="22"/>
      <c r="Q308" s="3"/>
    </row>
    <row r="309" spans="1:17" x14ac:dyDescent="0.25">
      <c r="A309" s="4" t="s">
        <v>1090</v>
      </c>
      <c r="B309" s="4"/>
      <c r="C309" s="4"/>
      <c r="D309" s="4"/>
      <c r="E309" s="25"/>
      <c r="F309" s="25"/>
      <c r="G309" s="25"/>
      <c r="H309" s="25"/>
      <c r="I309" s="25"/>
      <c r="J309" s="25"/>
      <c r="K309" s="25"/>
      <c r="L309" s="25"/>
      <c r="M309" s="25"/>
      <c r="N309" s="25"/>
      <c r="O309" s="25"/>
      <c r="P309" s="25"/>
      <c r="Q309" s="4"/>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5"/>
  <sheetViews>
    <sheetView workbookViewId="0">
      <pane xSplit="5" ySplit="1" topLeftCell="F164" activePane="bottomRight" state="frozen"/>
      <selection pane="topRight" activeCell="E1" sqref="E1"/>
      <selection pane="bottomLeft" activeCell="A2" sqref="A2"/>
      <selection pane="bottomRight" activeCell="J247" sqref="J247"/>
    </sheetView>
  </sheetViews>
  <sheetFormatPr defaultColWidth="8.85546875" defaultRowHeight="15" x14ac:dyDescent="0.25"/>
  <cols>
    <col min="1" max="1" width="10.140625" customWidth="1"/>
    <col min="2" max="2" width="17.7109375" style="70" bestFit="1" customWidth="1"/>
    <col min="3" max="3" width="17.7109375" style="70" customWidth="1"/>
    <col min="4" max="4" width="44.5703125" bestFit="1" customWidth="1"/>
    <col min="5" max="5" width="21.28515625" style="36" customWidth="1"/>
    <col min="6" max="6" width="10.28515625" style="70" customWidth="1"/>
    <col min="7" max="7" width="9.42578125" style="70" customWidth="1"/>
    <col min="8" max="8" width="9.85546875" style="70" customWidth="1"/>
    <col min="9" max="10" width="9.7109375" style="70" customWidth="1"/>
    <col min="11" max="11" width="10.42578125" style="70" bestFit="1" customWidth="1"/>
    <col min="12" max="12" width="11.140625" style="70" customWidth="1"/>
    <col min="13" max="13" width="12.7109375" style="70" bestFit="1" customWidth="1"/>
    <col min="14" max="14" width="11.140625" style="70" customWidth="1"/>
    <col min="15" max="15" width="12.140625" style="70" bestFit="1" customWidth="1"/>
    <col min="16" max="16" width="11.140625" style="70" bestFit="1" customWidth="1"/>
    <col min="17" max="17" width="255.7109375" bestFit="1" customWidth="1"/>
    <col min="18" max="18" width="17.28515625" bestFit="1" customWidth="1"/>
  </cols>
  <sheetData>
    <row r="1" spans="1:19" x14ac:dyDescent="0.25">
      <c r="A1" s="64" t="s">
        <v>747</v>
      </c>
      <c r="B1" s="65" t="s">
        <v>1168</v>
      </c>
      <c r="C1" s="65" t="s">
        <v>1099</v>
      </c>
      <c r="D1" s="64" t="s">
        <v>200</v>
      </c>
      <c r="E1" s="66" t="s">
        <v>100</v>
      </c>
      <c r="F1" s="71" t="s">
        <v>236</v>
      </c>
      <c r="G1" s="71" t="s">
        <v>237</v>
      </c>
      <c r="H1" s="71" t="s">
        <v>667</v>
      </c>
      <c r="I1" s="71" t="s">
        <v>668</v>
      </c>
      <c r="J1" s="71" t="s">
        <v>238</v>
      </c>
      <c r="K1" s="71" t="s">
        <v>239</v>
      </c>
      <c r="L1" s="71" t="s">
        <v>240</v>
      </c>
      <c r="M1" s="71" t="s">
        <v>241</v>
      </c>
      <c r="N1" s="71" t="s">
        <v>242</v>
      </c>
      <c r="O1" s="71" t="s">
        <v>243</v>
      </c>
      <c r="P1" s="71" t="s">
        <v>244</v>
      </c>
      <c r="Q1" s="64" t="s">
        <v>206</v>
      </c>
      <c r="R1" s="2"/>
      <c r="S1" s="2"/>
    </row>
    <row r="2" spans="1:19" x14ac:dyDescent="0.25">
      <c r="A2" s="6" t="s">
        <v>748</v>
      </c>
      <c r="B2" s="6"/>
      <c r="C2" s="6"/>
      <c r="D2" s="6" t="s">
        <v>1102</v>
      </c>
      <c r="E2" s="34" t="s">
        <v>142</v>
      </c>
      <c r="F2" s="6"/>
      <c r="G2" s="6"/>
      <c r="H2" s="6"/>
      <c r="I2" s="6"/>
      <c r="J2" s="6"/>
      <c r="K2" s="6"/>
      <c r="L2" s="6"/>
      <c r="M2" s="6"/>
      <c r="N2" s="6"/>
      <c r="O2" s="6"/>
      <c r="P2" s="6"/>
      <c r="Q2" s="6"/>
      <c r="R2" s="6"/>
      <c r="S2" s="6"/>
    </row>
    <row r="3" spans="1:19" x14ac:dyDescent="0.25">
      <c r="A3" s="3"/>
      <c r="B3" s="67"/>
      <c r="C3" s="67" t="s">
        <v>1101</v>
      </c>
      <c r="D3" s="3" t="s">
        <v>465</v>
      </c>
      <c r="E3" s="22"/>
      <c r="F3" s="67" t="s">
        <v>749</v>
      </c>
      <c r="G3" s="67" t="s">
        <v>750</v>
      </c>
      <c r="H3" s="67" t="s">
        <v>751</v>
      </c>
      <c r="I3" s="67" t="s">
        <v>752</v>
      </c>
      <c r="J3" s="67" t="s">
        <v>753</v>
      </c>
      <c r="K3" s="67" t="s">
        <v>754</v>
      </c>
      <c r="L3" s="67" t="s">
        <v>755</v>
      </c>
      <c r="M3" s="67" t="s">
        <v>756</v>
      </c>
      <c r="N3" s="67" t="s">
        <v>757</v>
      </c>
      <c r="O3" s="67" t="s">
        <v>758</v>
      </c>
      <c r="P3" s="67" t="s">
        <v>759</v>
      </c>
      <c r="Q3" s="3"/>
      <c r="R3" s="3"/>
      <c r="S3" s="3"/>
    </row>
    <row r="4" spans="1:19" x14ac:dyDescent="0.25">
      <c r="A4" s="4"/>
      <c r="B4" s="68"/>
      <c r="C4" s="68" t="s">
        <v>1101</v>
      </c>
      <c r="D4" s="4" t="s">
        <v>466</v>
      </c>
      <c r="E4" s="25">
        <v>4</v>
      </c>
      <c r="F4" s="68"/>
      <c r="G4" s="68"/>
      <c r="H4" s="68"/>
      <c r="I4" s="68"/>
      <c r="J4" s="68"/>
      <c r="K4" s="68"/>
      <c r="L4" s="68"/>
      <c r="M4" s="68"/>
      <c r="N4" s="68"/>
      <c r="O4" s="68"/>
      <c r="P4" s="68"/>
      <c r="Q4" s="4"/>
      <c r="R4" s="4"/>
      <c r="S4" s="4"/>
    </row>
    <row r="5" spans="1:19" x14ac:dyDescent="0.25">
      <c r="A5" s="3"/>
      <c r="B5" s="67"/>
      <c r="C5" s="67" t="s">
        <v>1101</v>
      </c>
      <c r="D5" s="3" t="s">
        <v>760</v>
      </c>
      <c r="E5" s="22" t="str">
        <f>PRINTER_DEF</f>
        <v>anycubic_e3d_v6_0_6_mm</v>
      </c>
      <c r="F5" s="67"/>
      <c r="G5" s="67"/>
      <c r="H5" s="67"/>
      <c r="I5" s="67"/>
      <c r="J5" s="67"/>
      <c r="K5" s="67"/>
      <c r="L5" s="67"/>
      <c r="M5" s="67"/>
      <c r="N5" s="67"/>
      <c r="O5" s="67"/>
      <c r="P5" s="67"/>
      <c r="Q5" s="3"/>
      <c r="R5" s="3"/>
      <c r="S5" s="3"/>
    </row>
    <row r="6" spans="1:19" x14ac:dyDescent="0.25">
      <c r="A6" s="4"/>
      <c r="B6" s="68"/>
      <c r="C6" s="68"/>
      <c r="D6" s="4" t="s">
        <v>1</v>
      </c>
      <c r="E6" s="25">
        <f>MAX(0.2,Min_Layer_Height)</f>
        <v>0.2</v>
      </c>
      <c r="F6" s="68">
        <v>0.12</v>
      </c>
      <c r="G6" s="68">
        <v>0.2</v>
      </c>
      <c r="H6" s="68">
        <v>0.24</v>
      </c>
      <c r="I6" s="68">
        <v>0.28000000000000003</v>
      </c>
      <c r="J6" s="68">
        <v>0.32</v>
      </c>
      <c r="K6" s="68">
        <v>0.4</v>
      </c>
      <c r="L6" s="68">
        <v>0.48</v>
      </c>
      <c r="M6" s="68">
        <v>0.56000000000000005</v>
      </c>
      <c r="N6" s="68">
        <v>0.64</v>
      </c>
      <c r="O6" s="68">
        <v>0.72</v>
      </c>
      <c r="P6" s="68">
        <v>0.8</v>
      </c>
      <c r="Q6" s="4"/>
      <c r="R6" s="4"/>
      <c r="S6" s="4"/>
    </row>
    <row r="7" spans="1:19" x14ac:dyDescent="0.25">
      <c r="A7" s="3" t="s">
        <v>761</v>
      </c>
      <c r="B7" s="67"/>
      <c r="C7" s="67" t="s">
        <v>1101</v>
      </c>
      <c r="D7" s="3" t="s">
        <v>762</v>
      </c>
      <c r="E7" s="22"/>
      <c r="F7" s="88" t="s">
        <v>207</v>
      </c>
      <c r="G7" s="88" t="s">
        <v>208</v>
      </c>
      <c r="H7" s="88" t="s">
        <v>346</v>
      </c>
      <c r="I7" s="88" t="s">
        <v>347</v>
      </c>
      <c r="J7" s="88" t="s">
        <v>209</v>
      </c>
      <c r="K7" s="88" t="s">
        <v>210</v>
      </c>
      <c r="L7" s="88" t="s">
        <v>211</v>
      </c>
      <c r="M7" s="88" t="s">
        <v>212</v>
      </c>
      <c r="N7" s="88" t="s">
        <v>213</v>
      </c>
      <c r="O7" s="88" t="s">
        <v>214</v>
      </c>
      <c r="P7" s="88" t="s">
        <v>215</v>
      </c>
      <c r="Q7" s="3"/>
      <c r="R7" s="3"/>
      <c r="S7" s="3"/>
    </row>
    <row r="8" spans="1:19" x14ac:dyDescent="0.25">
      <c r="A8" s="4"/>
      <c r="B8" s="68"/>
      <c r="C8" s="68" t="s">
        <v>1101</v>
      </c>
      <c r="D8" s="4" t="s">
        <v>763</v>
      </c>
      <c r="E8" s="25" t="s">
        <v>208</v>
      </c>
      <c r="F8" s="68"/>
      <c r="G8" s="68"/>
      <c r="H8" s="68"/>
      <c r="I8" s="68"/>
      <c r="J8" s="68"/>
      <c r="K8" s="68"/>
      <c r="L8" s="68"/>
      <c r="M8" s="68"/>
      <c r="N8" s="68"/>
      <c r="O8" s="68"/>
      <c r="P8" s="68"/>
      <c r="Q8" s="4"/>
      <c r="R8" s="4"/>
      <c r="S8" s="4"/>
    </row>
    <row r="9" spans="1:19" x14ac:dyDescent="0.25">
      <c r="A9" s="3"/>
      <c r="B9" s="67"/>
      <c r="C9" s="67" t="s">
        <v>1101</v>
      </c>
      <c r="D9" s="3" t="s">
        <v>764</v>
      </c>
      <c r="E9" s="22">
        <v>13</v>
      </c>
      <c r="F9" s="67"/>
      <c r="G9" s="67"/>
      <c r="H9" s="67"/>
      <c r="I9" s="67"/>
      <c r="J9" s="67"/>
      <c r="K9" s="67"/>
      <c r="L9" s="67"/>
      <c r="M9" s="67"/>
      <c r="N9" s="67"/>
      <c r="O9" s="67"/>
      <c r="P9" s="67"/>
      <c r="Q9" s="3"/>
      <c r="R9" s="3"/>
      <c r="S9" s="3"/>
    </row>
    <row r="10" spans="1:19" x14ac:dyDescent="0.25">
      <c r="A10" s="4"/>
      <c r="B10" s="68"/>
      <c r="C10" s="68" t="s">
        <v>1101</v>
      </c>
      <c r="D10" s="4" t="s">
        <v>1219</v>
      </c>
      <c r="E10" s="25">
        <v>-2</v>
      </c>
      <c r="F10" s="68"/>
      <c r="G10" s="68"/>
      <c r="H10" s="68"/>
      <c r="I10" s="68"/>
      <c r="J10" s="68"/>
      <c r="K10" s="68"/>
      <c r="L10" s="68"/>
      <c r="M10" s="68"/>
      <c r="N10" s="68"/>
      <c r="O10" s="68"/>
      <c r="P10" s="68"/>
      <c r="Q10" s="4"/>
      <c r="R10" s="4"/>
      <c r="S10" s="4"/>
    </row>
    <row r="11" spans="1:19" x14ac:dyDescent="0.25">
      <c r="A11" s="3"/>
      <c r="B11" s="67"/>
      <c r="C11" s="67" t="s">
        <v>208</v>
      </c>
      <c r="D11" s="3" t="s">
        <v>765</v>
      </c>
      <c r="E11" s="85" t="s">
        <v>1009</v>
      </c>
      <c r="F11" s="67"/>
      <c r="G11" s="67"/>
      <c r="H11" s="67"/>
      <c r="I11" s="67"/>
      <c r="J11" s="67"/>
      <c r="K11" s="67"/>
      <c r="L11" s="67"/>
      <c r="M11" s="67"/>
      <c r="N11" s="67"/>
      <c r="O11" s="67"/>
      <c r="P11" s="67"/>
      <c r="Q11" s="3"/>
      <c r="R11" s="3"/>
      <c r="S11" s="3"/>
    </row>
    <row r="12" spans="1:19" x14ac:dyDescent="0.25">
      <c r="A12" s="4"/>
      <c r="B12" s="68"/>
      <c r="C12" s="68" t="s">
        <v>1100</v>
      </c>
      <c r="D12" s="4" t="s">
        <v>1078</v>
      </c>
      <c r="E12" s="25" t="str">
        <f>"generic_" &amp; LOWER($E$2)</f>
        <v>generic_abs</v>
      </c>
      <c r="F12" s="68"/>
      <c r="G12" s="68"/>
      <c r="H12" s="68"/>
      <c r="I12" s="68"/>
      <c r="J12" s="68"/>
      <c r="K12" s="68"/>
      <c r="L12" s="68"/>
      <c r="M12" s="68"/>
      <c r="N12" s="68"/>
      <c r="O12" s="68"/>
      <c r="P12" s="68"/>
      <c r="Q12" s="4"/>
      <c r="R12" s="4"/>
      <c r="S12" s="4"/>
    </row>
    <row r="13" spans="1:19" x14ac:dyDescent="0.25">
      <c r="A13" s="3" t="s">
        <v>766</v>
      </c>
      <c r="B13" s="67" t="s">
        <v>92</v>
      </c>
      <c r="C13" s="67" t="s">
        <v>1217</v>
      </c>
      <c r="D13" s="3" t="s">
        <v>1</v>
      </c>
      <c r="E13" s="22">
        <f>E6</f>
        <v>0.2</v>
      </c>
      <c r="F13" s="67">
        <f>F6</f>
        <v>0.12</v>
      </c>
      <c r="G13" s="67">
        <f>G6</f>
        <v>0.2</v>
      </c>
      <c r="H13" s="67">
        <v>0.24</v>
      </c>
      <c r="I13" s="67">
        <v>0.28000000000000003</v>
      </c>
      <c r="J13" s="67">
        <f t="shared" ref="J13:P13" si="0">J6</f>
        <v>0.32</v>
      </c>
      <c r="K13" s="67">
        <f t="shared" si="0"/>
        <v>0.4</v>
      </c>
      <c r="L13" s="67">
        <f t="shared" si="0"/>
        <v>0.48</v>
      </c>
      <c r="M13" s="67">
        <f t="shared" si="0"/>
        <v>0.56000000000000005</v>
      </c>
      <c r="N13" s="67">
        <f t="shared" si="0"/>
        <v>0.64</v>
      </c>
      <c r="O13" s="67">
        <f t="shared" si="0"/>
        <v>0.72</v>
      </c>
      <c r="P13" s="67">
        <f t="shared" si="0"/>
        <v>0.8</v>
      </c>
      <c r="Q13" s="3" t="s">
        <v>767</v>
      </c>
      <c r="R13" s="3"/>
      <c r="S13" s="3"/>
    </row>
    <row r="14" spans="1:19" x14ac:dyDescent="0.25">
      <c r="A14" s="4"/>
      <c r="B14" s="68"/>
      <c r="C14" s="68" t="s">
        <v>1217</v>
      </c>
      <c r="D14" s="4" t="s">
        <v>768</v>
      </c>
      <c r="E14" s="25">
        <v>0.2</v>
      </c>
      <c r="F14" s="68"/>
      <c r="G14" s="68"/>
      <c r="H14" s="68"/>
      <c r="I14" s="68"/>
      <c r="J14" s="68"/>
      <c r="K14" s="68"/>
      <c r="L14" s="68"/>
      <c r="M14" s="68"/>
      <c r="N14" s="68"/>
      <c r="O14" s="68"/>
      <c r="P14" s="68"/>
      <c r="Q14" s="4" t="s">
        <v>769</v>
      </c>
      <c r="R14" s="4"/>
      <c r="S14" s="4"/>
    </row>
    <row r="15" spans="1:19" x14ac:dyDescent="0.25">
      <c r="A15" s="3"/>
      <c r="B15" s="67"/>
      <c r="C15" s="67" t="s">
        <v>1217</v>
      </c>
      <c r="D15" s="3" t="s">
        <v>770</v>
      </c>
      <c r="E15" s="22">
        <f t="shared" ref="E15:E25" si="1">GetAutoExtrusionWidth($D15,Nozzle_Diameter)</f>
        <v>0.65</v>
      </c>
      <c r="F15" s="67"/>
      <c r="G15" s="67"/>
      <c r="H15" s="67"/>
      <c r="I15" s="67"/>
      <c r="J15" s="67"/>
      <c r="K15" s="67"/>
      <c r="L15" s="67"/>
      <c r="M15" s="67"/>
      <c r="N15" s="67"/>
      <c r="O15" s="67"/>
      <c r="P15" s="67"/>
      <c r="Q15" s="3" t="s">
        <v>771</v>
      </c>
      <c r="R15" s="3"/>
      <c r="S15" s="3"/>
    </row>
    <row r="16" spans="1:19" x14ac:dyDescent="0.25">
      <c r="A16" s="4"/>
      <c r="B16" s="68"/>
      <c r="C16" s="68" t="s">
        <v>1217</v>
      </c>
      <c r="D16" s="4" t="s">
        <v>772</v>
      </c>
      <c r="E16" s="25">
        <f t="shared" si="1"/>
        <v>0.65</v>
      </c>
      <c r="F16" s="68"/>
      <c r="G16" s="68"/>
      <c r="H16" s="68"/>
      <c r="I16" s="68"/>
      <c r="J16" s="68"/>
      <c r="K16" s="68"/>
      <c r="L16" s="68"/>
      <c r="M16" s="68"/>
      <c r="N16" s="68"/>
      <c r="O16" s="68"/>
      <c r="P16" s="68"/>
      <c r="Q16" s="4" t="s">
        <v>773</v>
      </c>
      <c r="R16" s="4"/>
      <c r="S16" s="4"/>
    </row>
    <row r="17" spans="1:19" x14ac:dyDescent="0.25">
      <c r="A17" s="3"/>
      <c r="B17" s="67"/>
      <c r="C17" s="67" t="s">
        <v>208</v>
      </c>
      <c r="D17" s="3" t="s">
        <v>1232</v>
      </c>
      <c r="E17" s="22">
        <f t="shared" si="1"/>
        <v>0.65</v>
      </c>
      <c r="F17" s="67"/>
      <c r="G17" s="67"/>
      <c r="H17" s="67"/>
      <c r="I17" s="67"/>
      <c r="J17" s="67"/>
      <c r="K17" s="67"/>
      <c r="L17" s="67"/>
      <c r="M17" s="67"/>
      <c r="N17" s="67"/>
      <c r="O17" s="67"/>
      <c r="P17" s="67"/>
      <c r="Q17" s="3" t="s">
        <v>1239</v>
      </c>
      <c r="R17" s="3"/>
      <c r="S17" s="3"/>
    </row>
    <row r="18" spans="1:19" x14ac:dyDescent="0.25">
      <c r="A18" s="4"/>
      <c r="B18" s="68"/>
      <c r="C18" s="68" t="s">
        <v>208</v>
      </c>
      <c r="D18" s="4" t="s">
        <v>1233</v>
      </c>
      <c r="E18" s="25">
        <f t="shared" si="1"/>
        <v>0.65</v>
      </c>
      <c r="F18" s="68"/>
      <c r="G18" s="68"/>
      <c r="H18" s="68"/>
      <c r="I18" s="68"/>
      <c r="J18" s="68"/>
      <c r="K18" s="68"/>
      <c r="L18" s="68"/>
      <c r="M18" s="68"/>
      <c r="N18" s="68"/>
      <c r="O18" s="68"/>
      <c r="P18" s="68"/>
      <c r="Q18" s="4" t="s">
        <v>1238</v>
      </c>
      <c r="R18" s="4"/>
      <c r="S18" s="4"/>
    </row>
    <row r="19" spans="1:19" x14ac:dyDescent="0.25">
      <c r="A19" s="3"/>
      <c r="B19" s="67"/>
      <c r="C19" s="67" t="s">
        <v>208</v>
      </c>
      <c r="D19" s="3" t="s">
        <v>774</v>
      </c>
      <c r="E19" s="22">
        <f t="shared" si="1"/>
        <v>0.65</v>
      </c>
      <c r="F19" s="67"/>
      <c r="G19" s="67"/>
      <c r="H19" s="67"/>
      <c r="I19" s="67"/>
      <c r="J19" s="67"/>
      <c r="K19" s="67"/>
      <c r="L19" s="67"/>
      <c r="M19" s="67"/>
      <c r="N19" s="67"/>
      <c r="O19" s="67"/>
      <c r="P19" s="67"/>
      <c r="Q19" s="3" t="s">
        <v>775</v>
      </c>
      <c r="R19" s="3"/>
      <c r="S19" s="3"/>
    </row>
    <row r="20" spans="1:19" x14ac:dyDescent="0.25">
      <c r="A20" s="4"/>
      <c r="B20" s="68"/>
      <c r="C20" s="68" t="s">
        <v>208</v>
      </c>
      <c r="D20" s="4" t="s">
        <v>782</v>
      </c>
      <c r="E20" s="25">
        <f t="shared" si="1"/>
        <v>0.65</v>
      </c>
      <c r="F20" s="68"/>
      <c r="G20" s="68"/>
      <c r="H20" s="68"/>
      <c r="I20" s="68"/>
      <c r="J20" s="68"/>
      <c r="K20" s="68"/>
      <c r="L20" s="68"/>
      <c r="M20" s="68"/>
      <c r="N20" s="68"/>
      <c r="O20" s="68"/>
      <c r="P20" s="68"/>
      <c r="Q20" s="4" t="s">
        <v>783</v>
      </c>
      <c r="R20" s="4"/>
      <c r="S20" s="4"/>
    </row>
    <row r="21" spans="1:19" x14ac:dyDescent="0.25">
      <c r="A21" s="3"/>
      <c r="B21" s="67"/>
      <c r="C21" s="67" t="s">
        <v>208</v>
      </c>
      <c r="D21" s="3" t="s">
        <v>776</v>
      </c>
      <c r="E21" s="22">
        <f t="shared" si="1"/>
        <v>0.65</v>
      </c>
      <c r="F21" s="67"/>
      <c r="G21" s="67"/>
      <c r="H21" s="67"/>
      <c r="I21" s="67"/>
      <c r="J21" s="67"/>
      <c r="K21" s="67"/>
      <c r="L21" s="67"/>
      <c r="M21" s="67"/>
      <c r="N21" s="67"/>
      <c r="O21" s="67"/>
      <c r="P21" s="67"/>
      <c r="Q21" s="3" t="s">
        <v>777</v>
      </c>
      <c r="R21" s="3"/>
      <c r="S21" s="3"/>
    </row>
    <row r="22" spans="1:19" x14ac:dyDescent="0.25">
      <c r="A22" s="4"/>
      <c r="B22" s="68"/>
      <c r="C22" s="68" t="s">
        <v>208</v>
      </c>
      <c r="D22" s="4" t="s">
        <v>778</v>
      </c>
      <c r="E22" s="25">
        <f t="shared" si="1"/>
        <v>0.55000000000000004</v>
      </c>
      <c r="F22" s="68"/>
      <c r="G22" s="68"/>
      <c r="H22" s="68"/>
      <c r="I22" s="68"/>
      <c r="J22" s="68"/>
      <c r="K22" s="68"/>
      <c r="L22" s="68"/>
      <c r="M22" s="68"/>
      <c r="N22" s="68"/>
      <c r="O22" s="68"/>
      <c r="P22" s="68"/>
      <c r="Q22" s="4" t="s">
        <v>779</v>
      </c>
      <c r="R22" s="4"/>
      <c r="S22" s="4"/>
    </row>
    <row r="23" spans="1:19" x14ac:dyDescent="0.25">
      <c r="A23" s="3"/>
      <c r="B23" s="67"/>
      <c r="C23" s="67" t="s">
        <v>208</v>
      </c>
      <c r="D23" s="3" t="s">
        <v>780</v>
      </c>
      <c r="E23" s="22">
        <f t="shared" si="1"/>
        <v>0.55000000000000004</v>
      </c>
      <c r="F23" s="67"/>
      <c r="G23" s="67"/>
      <c r="H23" s="67"/>
      <c r="I23" s="67"/>
      <c r="J23" s="67"/>
      <c r="K23" s="67"/>
      <c r="L23" s="67"/>
      <c r="M23" s="67"/>
      <c r="N23" s="67"/>
      <c r="O23" s="67"/>
      <c r="P23" s="67"/>
      <c r="Q23" s="3" t="s">
        <v>781</v>
      </c>
      <c r="R23" s="3"/>
      <c r="S23" s="3"/>
    </row>
    <row r="24" spans="1:19" x14ac:dyDescent="0.25">
      <c r="A24" s="4"/>
      <c r="B24" s="68"/>
      <c r="C24" s="68" t="s">
        <v>208</v>
      </c>
      <c r="D24" s="4" t="s">
        <v>1234</v>
      </c>
      <c r="E24" s="25">
        <f t="shared" si="1"/>
        <v>0.55000000000000004</v>
      </c>
      <c r="F24" s="68"/>
      <c r="G24" s="68"/>
      <c r="H24" s="68"/>
      <c r="I24" s="68"/>
      <c r="J24" s="68"/>
      <c r="K24" s="68"/>
      <c r="L24" s="68"/>
      <c r="M24" s="68"/>
      <c r="N24" s="68"/>
      <c r="O24" s="68"/>
      <c r="P24" s="68"/>
      <c r="Q24" s="4" t="s">
        <v>1237</v>
      </c>
      <c r="R24" s="4"/>
      <c r="S24" s="4"/>
    </row>
    <row r="25" spans="1:19" x14ac:dyDescent="0.25">
      <c r="A25" s="3"/>
      <c r="B25" s="67"/>
      <c r="C25" s="67" t="s">
        <v>1217</v>
      </c>
      <c r="D25" s="3" t="s">
        <v>1235</v>
      </c>
      <c r="E25" s="22">
        <f t="shared" si="1"/>
        <v>0.55000000000000004</v>
      </c>
      <c r="F25" s="67"/>
      <c r="G25" s="67"/>
      <c r="H25" s="67"/>
      <c r="I25" s="67"/>
      <c r="J25" s="67"/>
      <c r="K25" s="67"/>
      <c r="L25" s="67"/>
      <c r="M25" s="67"/>
      <c r="N25" s="67"/>
      <c r="O25" s="67"/>
      <c r="P25" s="67"/>
      <c r="Q25" s="3" t="s">
        <v>1236</v>
      </c>
      <c r="R25" s="3"/>
      <c r="S25" s="3"/>
    </row>
    <row r="26" spans="1:19" x14ac:dyDescent="0.25">
      <c r="A26" s="4"/>
      <c r="B26" s="68"/>
      <c r="C26" s="68" t="s">
        <v>208</v>
      </c>
      <c r="D26" s="4" t="s">
        <v>784</v>
      </c>
      <c r="E26" s="25">
        <f>GetAutoExtrusionWidth($D26,Nozzle_Diameter)</f>
        <v>100</v>
      </c>
      <c r="F26" s="68"/>
      <c r="G26" s="68"/>
      <c r="H26" s="68"/>
      <c r="I26" s="68"/>
      <c r="J26" s="68"/>
      <c r="K26" s="68"/>
      <c r="L26" s="68"/>
      <c r="M26" s="68"/>
      <c r="N26" s="68"/>
      <c r="O26" s="68"/>
      <c r="P26" s="68"/>
      <c r="Q26" s="4" t="s">
        <v>785</v>
      </c>
      <c r="R26" s="4"/>
      <c r="S26" s="4"/>
    </row>
    <row r="27" spans="1:19" x14ac:dyDescent="0.25">
      <c r="A27" s="3"/>
      <c r="B27" s="67" t="s">
        <v>1175</v>
      </c>
      <c r="C27" s="67" t="s">
        <v>1217</v>
      </c>
      <c r="D27" s="3" t="s">
        <v>786</v>
      </c>
      <c r="E27" s="22">
        <f>$E$16*E$28</f>
        <v>1.9500000000000002</v>
      </c>
      <c r="F27" s="67">
        <f t="shared" ref="F27:P27" si="2">$E$16*F$28</f>
        <v>1.9500000000000002</v>
      </c>
      <c r="G27" s="67">
        <f t="shared" si="2"/>
        <v>1.9500000000000002</v>
      </c>
      <c r="H27" s="67">
        <f t="shared" si="2"/>
        <v>1.9500000000000002</v>
      </c>
      <c r="I27" s="67">
        <f t="shared" si="2"/>
        <v>1.9500000000000002</v>
      </c>
      <c r="J27" s="67">
        <f t="shared" si="2"/>
        <v>1.9500000000000002</v>
      </c>
      <c r="K27" s="67">
        <f t="shared" si="2"/>
        <v>1.9500000000000002</v>
      </c>
      <c r="L27" s="67">
        <f t="shared" si="2"/>
        <v>1.9500000000000002</v>
      </c>
      <c r="M27" s="67">
        <f t="shared" si="2"/>
        <v>1.9500000000000002</v>
      </c>
      <c r="N27" s="67">
        <f t="shared" si="2"/>
        <v>1.9500000000000002</v>
      </c>
      <c r="O27" s="67">
        <f t="shared" si="2"/>
        <v>1.9500000000000002</v>
      </c>
      <c r="P27" s="67">
        <f t="shared" si="2"/>
        <v>1.9500000000000002</v>
      </c>
      <c r="Q27" s="3" t="s">
        <v>787</v>
      </c>
      <c r="R27" s="3"/>
      <c r="S27" s="3"/>
    </row>
    <row r="28" spans="1:19" x14ac:dyDescent="0.25">
      <c r="A28" s="4"/>
      <c r="B28" s="68"/>
      <c r="C28" s="68" t="s">
        <v>1217</v>
      </c>
      <c r="D28" s="4" t="s">
        <v>1273</v>
      </c>
      <c r="E28" s="25">
        <v>3</v>
      </c>
      <c r="F28" s="68" t="str">
        <f t="shared" ref="F28:P28" si="3">GetPrintSpec( $E$2,F$1,"perimeters")</f>
        <v>3</v>
      </c>
      <c r="G28" s="68" t="str">
        <f t="shared" si="3"/>
        <v>3</v>
      </c>
      <c r="H28" s="68" t="str">
        <f t="shared" si="3"/>
        <v>3</v>
      </c>
      <c r="I28" s="68" t="str">
        <f t="shared" si="3"/>
        <v>3</v>
      </c>
      <c r="J28" s="68" t="str">
        <f t="shared" si="3"/>
        <v>3</v>
      </c>
      <c r="K28" s="68" t="str">
        <f t="shared" si="3"/>
        <v>3</v>
      </c>
      <c r="L28" s="68" t="str">
        <f t="shared" si="3"/>
        <v>3</v>
      </c>
      <c r="M28" s="68" t="str">
        <f t="shared" si="3"/>
        <v>3</v>
      </c>
      <c r="N28" s="68" t="str">
        <f t="shared" si="3"/>
        <v>3</v>
      </c>
      <c r="O28" s="68" t="str">
        <f t="shared" si="3"/>
        <v>3</v>
      </c>
      <c r="P28" s="68" t="str">
        <f t="shared" si="3"/>
        <v>3</v>
      </c>
      <c r="Q28" s="4" t="s">
        <v>1167</v>
      </c>
      <c r="R28" s="4"/>
      <c r="S28" s="4"/>
    </row>
    <row r="29" spans="1:19" x14ac:dyDescent="0.25">
      <c r="A29" s="3"/>
      <c r="B29" s="67"/>
      <c r="C29" s="67" t="s">
        <v>208</v>
      </c>
      <c r="D29" s="3" t="s">
        <v>1118</v>
      </c>
      <c r="E29" s="22" t="str">
        <f>GetFilamentSpec($E$2,"#filament_wipe_distance")</f>
        <v>0.4</v>
      </c>
      <c r="F29" s="67"/>
      <c r="G29" s="67"/>
      <c r="H29" s="67"/>
      <c r="I29" s="67"/>
      <c r="J29" s="67"/>
      <c r="K29" s="67"/>
      <c r="L29" s="67"/>
      <c r="M29" s="67"/>
      <c r="N29" s="67"/>
      <c r="O29" s="67"/>
      <c r="P29" s="67"/>
      <c r="Q29" s="3" t="s">
        <v>1124</v>
      </c>
      <c r="R29" s="3"/>
      <c r="S29" s="3"/>
    </row>
    <row r="30" spans="1:19" x14ac:dyDescent="0.25">
      <c r="A30" s="4"/>
      <c r="B30" s="68"/>
      <c r="C30" s="68" t="s">
        <v>208</v>
      </c>
      <c r="D30" s="4" t="s">
        <v>1121</v>
      </c>
      <c r="E30" s="25">
        <v>1</v>
      </c>
      <c r="F30" s="68"/>
      <c r="G30" s="68"/>
      <c r="H30" s="68"/>
      <c r="I30" s="68"/>
      <c r="J30" s="68"/>
      <c r="K30" s="68"/>
      <c r="L30" s="68"/>
      <c r="M30" s="68"/>
      <c r="N30" s="68"/>
      <c r="O30" s="68"/>
      <c r="P30" s="68"/>
      <c r="Q30" s="4" t="s">
        <v>1122</v>
      </c>
      <c r="R30" s="4"/>
      <c r="S30" s="4"/>
    </row>
    <row r="31" spans="1:19" x14ac:dyDescent="0.25">
      <c r="A31" s="3"/>
      <c r="B31" s="67"/>
      <c r="C31" s="67" t="s">
        <v>1217</v>
      </c>
      <c r="D31" s="3" t="s">
        <v>788</v>
      </c>
      <c r="E31" s="22">
        <f>E$13*E$33</f>
        <v>0.60000000000000009</v>
      </c>
      <c r="F31" s="67">
        <f t="shared" ref="F31:P32" si="4">F$13*F$33</f>
        <v>0.84</v>
      </c>
      <c r="G31" s="67">
        <f t="shared" si="4"/>
        <v>1.2000000000000002</v>
      </c>
      <c r="H31" s="67">
        <f t="shared" si="4"/>
        <v>1.2</v>
      </c>
      <c r="I31" s="67">
        <f t="shared" si="4"/>
        <v>1.1200000000000001</v>
      </c>
      <c r="J31" s="67">
        <f t="shared" si="4"/>
        <v>1.28</v>
      </c>
      <c r="K31" s="67">
        <f t="shared" si="4"/>
        <v>1.2000000000000002</v>
      </c>
      <c r="L31" s="67">
        <f t="shared" si="4"/>
        <v>1.44</v>
      </c>
      <c r="M31" s="67">
        <f t="shared" si="4"/>
        <v>1.6800000000000002</v>
      </c>
      <c r="N31" s="67">
        <f t="shared" si="4"/>
        <v>1.92</v>
      </c>
      <c r="O31" s="67">
        <f t="shared" si="4"/>
        <v>2.16</v>
      </c>
      <c r="P31" s="67">
        <f t="shared" si="4"/>
        <v>2.4000000000000004</v>
      </c>
      <c r="Q31" s="3" t="s">
        <v>789</v>
      </c>
      <c r="R31" s="3"/>
      <c r="S31" s="3"/>
    </row>
    <row r="32" spans="1:19" x14ac:dyDescent="0.25">
      <c r="A32" s="4"/>
      <c r="B32" s="68"/>
      <c r="C32" s="68" t="s">
        <v>1217</v>
      </c>
      <c r="D32" s="4" t="s">
        <v>1161</v>
      </c>
      <c r="E32" s="25">
        <f>E$13*E$33</f>
        <v>0.60000000000000009</v>
      </c>
      <c r="F32" s="68">
        <f t="shared" si="4"/>
        <v>0.84</v>
      </c>
      <c r="G32" s="68">
        <f t="shared" si="4"/>
        <v>1.2000000000000002</v>
      </c>
      <c r="H32" s="68">
        <f t="shared" si="4"/>
        <v>1.2</v>
      </c>
      <c r="I32" s="68">
        <f t="shared" si="4"/>
        <v>1.1200000000000001</v>
      </c>
      <c r="J32" s="68">
        <f t="shared" si="4"/>
        <v>1.28</v>
      </c>
      <c r="K32" s="68">
        <f t="shared" si="4"/>
        <v>1.2000000000000002</v>
      </c>
      <c r="L32" s="68">
        <f t="shared" si="4"/>
        <v>1.44</v>
      </c>
      <c r="M32" s="68">
        <f t="shared" si="4"/>
        <v>1.6800000000000002</v>
      </c>
      <c r="N32" s="68">
        <f t="shared" si="4"/>
        <v>1.92</v>
      </c>
      <c r="O32" s="68">
        <f t="shared" si="4"/>
        <v>2.16</v>
      </c>
      <c r="P32" s="68">
        <f t="shared" si="4"/>
        <v>2.4000000000000004</v>
      </c>
      <c r="Q32" s="4" t="s">
        <v>1166</v>
      </c>
      <c r="R32" s="4"/>
      <c r="S32" s="4"/>
    </row>
    <row r="33" spans="1:19" x14ac:dyDescent="0.25">
      <c r="A33" s="3"/>
      <c r="B33" s="67"/>
      <c r="C33" s="67" t="s">
        <v>1217</v>
      </c>
      <c r="D33" s="3" t="s">
        <v>1274</v>
      </c>
      <c r="E33" s="22">
        <v>3</v>
      </c>
      <c r="F33" s="67" t="str">
        <f t="shared" ref="F33:P33" si="5">GetPrintSpec( $E$2,F$1,"top_solid_layers")</f>
        <v>7</v>
      </c>
      <c r="G33" s="67" t="str">
        <f t="shared" si="5"/>
        <v>6</v>
      </c>
      <c r="H33" s="67" t="str">
        <f t="shared" si="5"/>
        <v>5</v>
      </c>
      <c r="I33" s="67" t="str">
        <f t="shared" si="5"/>
        <v>4</v>
      </c>
      <c r="J33" s="67" t="str">
        <f t="shared" si="5"/>
        <v>4</v>
      </c>
      <c r="K33" s="67" t="str">
        <f t="shared" si="5"/>
        <v>3</v>
      </c>
      <c r="L33" s="67" t="str">
        <f t="shared" si="5"/>
        <v>3</v>
      </c>
      <c r="M33" s="67" t="str">
        <f t="shared" si="5"/>
        <v>3</v>
      </c>
      <c r="N33" s="67" t="str">
        <f t="shared" si="5"/>
        <v>3</v>
      </c>
      <c r="O33" s="67" t="str">
        <f t="shared" si="5"/>
        <v>3</v>
      </c>
      <c r="P33" s="67" t="str">
        <f t="shared" si="5"/>
        <v>3</v>
      </c>
      <c r="Q33" s="3" t="s">
        <v>1165</v>
      </c>
      <c r="R33" s="3"/>
      <c r="S33" s="3"/>
    </row>
    <row r="34" spans="1:19" x14ac:dyDescent="0.25">
      <c r="A34" s="4"/>
      <c r="B34" s="68"/>
      <c r="C34" s="68" t="s">
        <v>1217</v>
      </c>
      <c r="D34" s="4" t="s">
        <v>1162</v>
      </c>
      <c r="E34" s="25">
        <f>E$13*E$35</f>
        <v>0.60000000000000009</v>
      </c>
      <c r="F34" s="68">
        <f t="shared" ref="F34:P34" si="6">F$13*F$35</f>
        <v>0.72</v>
      </c>
      <c r="G34" s="68">
        <f t="shared" si="6"/>
        <v>1</v>
      </c>
      <c r="H34" s="68">
        <f t="shared" si="6"/>
        <v>0.96</v>
      </c>
      <c r="I34" s="68">
        <f t="shared" si="6"/>
        <v>0.84000000000000008</v>
      </c>
      <c r="J34" s="68">
        <f t="shared" si="6"/>
        <v>0.96</v>
      </c>
      <c r="K34" s="68">
        <f t="shared" si="6"/>
        <v>1.2000000000000002</v>
      </c>
      <c r="L34" s="68">
        <f t="shared" si="6"/>
        <v>1.44</v>
      </c>
      <c r="M34" s="68">
        <f t="shared" si="6"/>
        <v>1.6800000000000002</v>
      </c>
      <c r="N34" s="68">
        <f t="shared" si="6"/>
        <v>1.92</v>
      </c>
      <c r="O34" s="68">
        <f t="shared" si="6"/>
        <v>2.16</v>
      </c>
      <c r="P34" s="68">
        <f t="shared" si="6"/>
        <v>2.4000000000000004</v>
      </c>
      <c r="Q34" s="4" t="s">
        <v>1163</v>
      </c>
      <c r="R34" s="4"/>
      <c r="S34" s="4"/>
    </row>
    <row r="35" spans="1:19" x14ac:dyDescent="0.25">
      <c r="A35" s="3"/>
      <c r="B35" s="67"/>
      <c r="C35" s="67" t="s">
        <v>1217</v>
      </c>
      <c r="D35" s="3" t="s">
        <v>1275</v>
      </c>
      <c r="E35" s="22">
        <v>3</v>
      </c>
      <c r="F35" s="67" t="str">
        <f t="shared" ref="F35:P35" si="7">GetPrintSpec( $E$2,F$1,"bottom_solid_layers")</f>
        <v>6</v>
      </c>
      <c r="G35" s="67" t="str">
        <f t="shared" si="7"/>
        <v>5</v>
      </c>
      <c r="H35" s="67" t="str">
        <f t="shared" si="7"/>
        <v>4</v>
      </c>
      <c r="I35" s="67" t="str">
        <f t="shared" si="7"/>
        <v>3</v>
      </c>
      <c r="J35" s="67" t="str">
        <f t="shared" si="7"/>
        <v>3</v>
      </c>
      <c r="K35" s="67" t="str">
        <f t="shared" si="7"/>
        <v>3</v>
      </c>
      <c r="L35" s="67" t="str">
        <f t="shared" si="7"/>
        <v>3</v>
      </c>
      <c r="M35" s="67" t="str">
        <f t="shared" si="7"/>
        <v>3</v>
      </c>
      <c r="N35" s="67" t="str">
        <f t="shared" si="7"/>
        <v>3</v>
      </c>
      <c r="O35" s="67" t="str">
        <f t="shared" si="7"/>
        <v>3</v>
      </c>
      <c r="P35" s="67" t="str">
        <f t="shared" si="7"/>
        <v>3</v>
      </c>
      <c r="Q35" s="3" t="s">
        <v>1164</v>
      </c>
      <c r="R35" s="3"/>
      <c r="S35" s="3"/>
    </row>
    <row r="36" spans="1:19" x14ac:dyDescent="0.25">
      <c r="A36" s="4"/>
      <c r="B36" s="68"/>
      <c r="C36" s="68" t="s">
        <v>1217</v>
      </c>
      <c r="D36" s="4" t="s">
        <v>790</v>
      </c>
      <c r="E36" s="25" t="s">
        <v>791</v>
      </c>
      <c r="F36" s="68"/>
      <c r="G36" s="68"/>
      <c r="H36" s="68"/>
      <c r="I36" s="68"/>
      <c r="J36" s="68"/>
      <c r="K36" s="68"/>
      <c r="L36" s="68"/>
      <c r="M36" s="68"/>
      <c r="N36" s="68"/>
      <c r="O36" s="68"/>
      <c r="P36" s="68"/>
      <c r="Q36" s="4" t="s">
        <v>792</v>
      </c>
      <c r="R36" s="4"/>
      <c r="S36" s="4"/>
    </row>
    <row r="37" spans="1:19" x14ac:dyDescent="0.25">
      <c r="A37" s="3"/>
      <c r="B37" s="67"/>
      <c r="C37" s="67" t="s">
        <v>208</v>
      </c>
      <c r="D37" s="3" t="s">
        <v>1277</v>
      </c>
      <c r="E37" s="22"/>
      <c r="F37" s="67"/>
      <c r="G37" s="67"/>
      <c r="H37" s="67"/>
      <c r="I37" s="67"/>
      <c r="J37" s="67"/>
      <c r="K37" s="67"/>
      <c r="L37" s="67"/>
      <c r="M37" s="67"/>
      <c r="N37" s="67"/>
      <c r="O37" s="67"/>
      <c r="P37" s="67"/>
      <c r="Q37" s="3" t="s">
        <v>1278</v>
      </c>
      <c r="R37" s="3"/>
      <c r="S37" s="3"/>
    </row>
    <row r="38" spans="1:19" x14ac:dyDescent="0.25">
      <c r="A38" s="4"/>
      <c r="B38" s="68"/>
      <c r="C38" s="68" t="s">
        <v>208</v>
      </c>
      <c r="D38" s="4" t="s">
        <v>793</v>
      </c>
      <c r="E38" s="25" t="str">
        <f>"True"</f>
        <v>True</v>
      </c>
      <c r="F38" s="68"/>
      <c r="G38" s="68"/>
      <c r="H38" s="68"/>
      <c r="I38" s="68"/>
      <c r="J38" s="68"/>
      <c r="K38" s="68"/>
      <c r="L38" s="68"/>
      <c r="M38" s="68"/>
      <c r="N38" s="68"/>
      <c r="O38" s="68"/>
      <c r="P38" s="68"/>
      <c r="Q38" s="4" t="s">
        <v>794</v>
      </c>
      <c r="R38" s="4"/>
      <c r="S38" s="4"/>
    </row>
    <row r="39" spans="1:19" x14ac:dyDescent="0.25">
      <c r="A39" s="3"/>
      <c r="B39" s="67"/>
      <c r="C39" s="67" t="s">
        <v>208</v>
      </c>
      <c r="D39" s="3" t="s">
        <v>795</v>
      </c>
      <c r="E39" s="22" t="str">
        <f>"True"</f>
        <v>True</v>
      </c>
      <c r="F39" s="67"/>
      <c r="G39" s="67"/>
      <c r="H39" s="67"/>
      <c r="I39" s="67"/>
      <c r="J39" s="67"/>
      <c r="K39" s="67"/>
      <c r="L39" s="67"/>
      <c r="M39" s="67"/>
      <c r="N39" s="67"/>
      <c r="O39" s="67"/>
      <c r="P39" s="67"/>
      <c r="Q39" s="3" t="s">
        <v>796</v>
      </c>
      <c r="R39" s="3"/>
      <c r="S39" s="3"/>
    </row>
    <row r="40" spans="1:19" x14ac:dyDescent="0.25">
      <c r="A40" s="4"/>
      <c r="B40" s="68"/>
      <c r="C40" s="68" t="s">
        <v>208</v>
      </c>
      <c r="D40" s="4" t="s">
        <v>797</v>
      </c>
      <c r="E40" s="25" t="str">
        <f>"False"</f>
        <v>False</v>
      </c>
      <c r="F40" s="68"/>
      <c r="G40" s="68"/>
      <c r="H40" s="68"/>
      <c r="I40" s="68"/>
      <c r="J40" s="68"/>
      <c r="K40" s="68"/>
      <c r="L40" s="68"/>
      <c r="M40" s="68"/>
      <c r="N40" s="68"/>
      <c r="O40" s="68"/>
      <c r="P40" s="68"/>
      <c r="Q40" s="4" t="s">
        <v>798</v>
      </c>
      <c r="R40" s="4"/>
      <c r="S40" s="4"/>
    </row>
    <row r="41" spans="1:19" x14ac:dyDescent="0.25">
      <c r="A41" s="3"/>
      <c r="B41" s="67"/>
      <c r="C41" s="67" t="s">
        <v>208</v>
      </c>
      <c r="D41" s="3" t="s">
        <v>799</v>
      </c>
      <c r="E41" s="22" t="str">
        <f>"False"</f>
        <v>False</v>
      </c>
      <c r="F41" s="67"/>
      <c r="G41" s="67"/>
      <c r="H41" s="67"/>
      <c r="I41" s="67"/>
      <c r="J41" s="67"/>
      <c r="K41" s="67"/>
      <c r="L41" s="67"/>
      <c r="M41" s="67"/>
      <c r="N41" s="67"/>
      <c r="O41" s="67"/>
      <c r="P41" s="67"/>
      <c r="Q41" s="3" t="s">
        <v>800</v>
      </c>
      <c r="R41" s="3"/>
      <c r="S41" s="3"/>
    </row>
    <row r="42" spans="1:19" x14ac:dyDescent="0.25">
      <c r="A42" s="4"/>
      <c r="B42" s="68"/>
      <c r="C42" s="68" t="s">
        <v>208</v>
      </c>
      <c r="D42" s="4" t="s">
        <v>801</v>
      </c>
      <c r="E42" s="25" t="str">
        <f>"True"</f>
        <v>True</v>
      </c>
      <c r="F42" s="68"/>
      <c r="G42" s="68"/>
      <c r="H42" s="68"/>
      <c r="I42" s="68"/>
      <c r="J42" s="68"/>
      <c r="K42" s="68"/>
      <c r="L42" s="68"/>
      <c r="M42" s="68"/>
      <c r="N42" s="68"/>
      <c r="O42" s="68"/>
      <c r="P42" s="68"/>
      <c r="Q42" s="4" t="s">
        <v>802</v>
      </c>
      <c r="R42" s="4"/>
      <c r="S42" s="4"/>
    </row>
    <row r="43" spans="1:19" x14ac:dyDescent="0.25">
      <c r="A43" s="3"/>
      <c r="B43" s="67"/>
      <c r="C43" s="67" t="s">
        <v>208</v>
      </c>
      <c r="D43" s="3" t="s">
        <v>803</v>
      </c>
      <c r="E43" s="22">
        <v>60</v>
      </c>
      <c r="F43" s="67"/>
      <c r="G43" s="67"/>
      <c r="H43" s="67"/>
      <c r="I43" s="67"/>
      <c r="J43" s="67"/>
      <c r="K43" s="67"/>
      <c r="L43" s="67"/>
      <c r="M43" s="67"/>
      <c r="N43" s="67"/>
      <c r="O43" s="67"/>
      <c r="P43" s="67"/>
      <c r="Q43" s="3" t="s">
        <v>804</v>
      </c>
      <c r="R43" s="3"/>
      <c r="S43" s="3"/>
    </row>
    <row r="44" spans="1:19" x14ac:dyDescent="0.25">
      <c r="A44" s="4"/>
      <c r="B44" s="68"/>
      <c r="C44" s="68" t="s">
        <v>208</v>
      </c>
      <c r="D44" s="4" t="s">
        <v>805</v>
      </c>
      <c r="E44" s="25" t="str">
        <f>"True"</f>
        <v>True</v>
      </c>
      <c r="F44" s="68"/>
      <c r="G44" s="68"/>
      <c r="H44" s="68"/>
      <c r="I44" s="68"/>
      <c r="J44" s="68"/>
      <c r="K44" s="68"/>
      <c r="L44" s="68"/>
      <c r="M44" s="68"/>
      <c r="N44" s="68"/>
      <c r="O44" s="68"/>
      <c r="P44" s="68"/>
      <c r="Q44" s="4" t="s">
        <v>806</v>
      </c>
      <c r="R44" s="4"/>
      <c r="S44" s="4"/>
    </row>
    <row r="45" spans="1:19" x14ac:dyDescent="0.25">
      <c r="A45" s="3"/>
      <c r="B45" s="67"/>
      <c r="C45" s="67" t="s">
        <v>208</v>
      </c>
      <c r="D45" s="3" t="s">
        <v>807</v>
      </c>
      <c r="E45" s="22" t="str">
        <f>"everywhere"</f>
        <v>everywhere</v>
      </c>
      <c r="F45" s="67"/>
      <c r="G45" s="67"/>
      <c r="H45" s="67"/>
      <c r="I45" s="67"/>
      <c r="J45" s="67"/>
      <c r="K45" s="67"/>
      <c r="L45" s="67"/>
      <c r="M45" s="67"/>
      <c r="N45" s="67"/>
      <c r="O45" s="67"/>
      <c r="P45" s="67"/>
      <c r="Q45" s="3" t="s">
        <v>808</v>
      </c>
      <c r="R45" s="3"/>
      <c r="S45" s="3"/>
    </row>
    <row r="46" spans="1:19" x14ac:dyDescent="0.25">
      <c r="A46" s="4"/>
      <c r="B46" s="68"/>
      <c r="C46" s="68" t="s">
        <v>208</v>
      </c>
      <c r="D46" s="4" t="s">
        <v>809</v>
      </c>
      <c r="E46" s="25" t="str">
        <f>"True"</f>
        <v>True</v>
      </c>
      <c r="F46" s="68"/>
      <c r="G46" s="68"/>
      <c r="H46" s="68"/>
      <c r="I46" s="68"/>
      <c r="J46" s="68"/>
      <c r="K46" s="68"/>
      <c r="L46" s="68"/>
      <c r="M46" s="68"/>
      <c r="N46" s="68"/>
      <c r="O46" s="68"/>
      <c r="P46" s="68"/>
      <c r="Q46" s="4" t="s">
        <v>810</v>
      </c>
      <c r="R46" s="4"/>
      <c r="S46" s="4"/>
    </row>
    <row r="47" spans="1:19" x14ac:dyDescent="0.25">
      <c r="A47" s="3"/>
      <c r="B47" s="67"/>
      <c r="C47" s="67" t="s">
        <v>208</v>
      </c>
      <c r="D47" s="3" t="s">
        <v>811</v>
      </c>
      <c r="E47" s="22" t="str">
        <f>"True"</f>
        <v>True</v>
      </c>
      <c r="F47" s="67"/>
      <c r="G47" s="67"/>
      <c r="H47" s="67"/>
      <c r="I47" s="67"/>
      <c r="J47" s="67"/>
      <c r="K47" s="67"/>
      <c r="L47" s="67"/>
      <c r="M47" s="67"/>
      <c r="N47" s="67"/>
      <c r="O47" s="67"/>
      <c r="P47" s="67"/>
      <c r="Q47" s="3" t="s">
        <v>812</v>
      </c>
      <c r="R47" s="3"/>
      <c r="S47" s="3"/>
    </row>
    <row r="48" spans="1:19" x14ac:dyDescent="0.25">
      <c r="A48" s="4"/>
      <c r="B48" s="68"/>
      <c r="C48" s="68" t="s">
        <v>1100</v>
      </c>
      <c r="D48" s="4" t="s">
        <v>813</v>
      </c>
      <c r="E48" s="25"/>
      <c r="F48" s="68"/>
      <c r="G48" s="68"/>
      <c r="H48" s="68"/>
      <c r="I48" s="68"/>
      <c r="J48" s="68"/>
      <c r="K48" s="68"/>
      <c r="L48" s="68"/>
      <c r="M48" s="68"/>
      <c r="N48" s="68"/>
      <c r="O48" s="68"/>
      <c r="P48" s="68"/>
      <c r="Q48" s="4" t="s">
        <v>814</v>
      </c>
      <c r="R48" s="4"/>
      <c r="S48" s="4"/>
    </row>
    <row r="49" spans="1:19" x14ac:dyDescent="0.25">
      <c r="A49" s="3"/>
      <c r="B49" s="67"/>
      <c r="C49" s="67" t="s">
        <v>1100</v>
      </c>
      <c r="D49" s="3" t="s">
        <v>815</v>
      </c>
      <c r="E49" s="22"/>
      <c r="F49" s="67"/>
      <c r="G49" s="67"/>
      <c r="H49" s="67"/>
      <c r="I49" s="67"/>
      <c r="J49" s="67"/>
      <c r="K49" s="67"/>
      <c r="L49" s="67"/>
      <c r="M49" s="67"/>
      <c r="N49" s="67"/>
      <c r="O49" s="67"/>
      <c r="P49" s="67"/>
      <c r="Q49" s="3" t="s">
        <v>816</v>
      </c>
      <c r="R49" s="3"/>
      <c r="S49" s="3"/>
    </row>
    <row r="50" spans="1:19" x14ac:dyDescent="0.25">
      <c r="A50" s="4"/>
      <c r="B50" s="68"/>
      <c r="C50" s="68" t="s">
        <v>1100</v>
      </c>
      <c r="D50" s="4" t="s">
        <v>1159</v>
      </c>
      <c r="E50" s="25"/>
      <c r="F50" s="68"/>
      <c r="G50" s="68"/>
      <c r="H50" s="68"/>
      <c r="I50" s="68"/>
      <c r="J50" s="68"/>
      <c r="K50" s="68"/>
      <c r="L50" s="68"/>
      <c r="M50" s="68"/>
      <c r="N50" s="68"/>
      <c r="O50" s="68"/>
      <c r="P50" s="68"/>
      <c r="Q50" s="4" t="s">
        <v>1160</v>
      </c>
      <c r="R50" s="4"/>
      <c r="S50" s="4"/>
    </row>
    <row r="51" spans="1:19" x14ac:dyDescent="0.25">
      <c r="A51" s="3"/>
      <c r="B51" s="67"/>
      <c r="C51" s="67" t="s">
        <v>208</v>
      </c>
      <c r="D51" s="3" t="s">
        <v>817</v>
      </c>
      <c r="E51" s="22" t="s">
        <v>1492</v>
      </c>
      <c r="F51" s="67"/>
      <c r="G51" s="67"/>
      <c r="H51" s="67"/>
      <c r="I51" s="67"/>
      <c r="J51" s="67"/>
      <c r="K51" s="67"/>
      <c r="L51" s="67"/>
      <c r="M51" s="67"/>
      <c r="N51" s="67"/>
      <c r="O51" s="67"/>
      <c r="P51" s="67"/>
      <c r="Q51" s="3" t="s">
        <v>818</v>
      </c>
      <c r="R51" s="3"/>
      <c r="S51" s="3"/>
    </row>
    <row r="52" spans="1:19" x14ac:dyDescent="0.25">
      <c r="A52" s="4"/>
      <c r="B52" s="68"/>
      <c r="C52" s="68" t="s">
        <v>208</v>
      </c>
      <c r="D52" s="4" t="s">
        <v>819</v>
      </c>
      <c r="E52" s="25" t="s">
        <v>820</v>
      </c>
      <c r="F52" s="68"/>
      <c r="G52" s="68"/>
      <c r="H52" s="68"/>
      <c r="I52" s="68"/>
      <c r="J52" s="68"/>
      <c r="K52" s="68"/>
      <c r="L52" s="68"/>
      <c r="M52" s="68"/>
      <c r="N52" s="68"/>
      <c r="O52" s="68"/>
      <c r="P52" s="68"/>
      <c r="Q52" s="4" t="s">
        <v>821</v>
      </c>
      <c r="R52" s="4"/>
      <c r="S52" s="4"/>
    </row>
    <row r="53" spans="1:19" x14ac:dyDescent="0.25">
      <c r="A53" s="3"/>
      <c r="B53" s="67"/>
      <c r="C53" s="67" t="s">
        <v>208</v>
      </c>
      <c r="D53" s="3" t="s">
        <v>822</v>
      </c>
      <c r="E53" s="22" t="str">
        <f>"True"</f>
        <v>True</v>
      </c>
      <c r="F53" s="67"/>
      <c r="G53" s="67"/>
      <c r="H53" s="67"/>
      <c r="I53" s="67"/>
      <c r="J53" s="67"/>
      <c r="K53" s="67"/>
      <c r="L53" s="67"/>
      <c r="M53" s="67"/>
      <c r="N53" s="67"/>
      <c r="O53" s="67"/>
      <c r="P53" s="67"/>
      <c r="Q53" s="3" t="s">
        <v>823</v>
      </c>
      <c r="R53" s="3"/>
      <c r="S53" s="3"/>
    </row>
    <row r="54" spans="1:19" x14ac:dyDescent="0.25">
      <c r="A54" s="4"/>
      <c r="B54" s="68"/>
      <c r="C54" s="68" t="s">
        <v>208</v>
      </c>
      <c r="D54" s="4" t="s">
        <v>1279</v>
      </c>
      <c r="E54" s="25"/>
      <c r="F54" s="68"/>
      <c r="G54" s="68"/>
      <c r="H54" s="68"/>
      <c r="I54" s="68"/>
      <c r="J54" s="68"/>
      <c r="K54" s="68"/>
      <c r="L54" s="68"/>
      <c r="M54" s="68"/>
      <c r="N54" s="68"/>
      <c r="O54" s="68"/>
      <c r="P54" s="68"/>
      <c r="Q54" s="4" t="s">
        <v>1280</v>
      </c>
      <c r="R54" s="4"/>
      <c r="S54" s="4"/>
    </row>
    <row r="55" spans="1:19" x14ac:dyDescent="0.25">
      <c r="A55" s="3"/>
      <c r="B55" s="67"/>
      <c r="C55" s="67" t="s">
        <v>1217</v>
      </c>
      <c r="D55" s="3" t="s">
        <v>824</v>
      </c>
      <c r="E55" s="22" t="str">
        <f>"False"</f>
        <v>False</v>
      </c>
      <c r="F55" s="67"/>
      <c r="G55" s="67"/>
      <c r="H55" s="67"/>
      <c r="I55" s="67"/>
      <c r="J55" s="67"/>
      <c r="K55" s="67"/>
      <c r="L55" s="67"/>
      <c r="M55" s="67"/>
      <c r="N55" s="67"/>
      <c r="O55" s="67"/>
      <c r="P55" s="67"/>
      <c r="Q55" s="3" t="s">
        <v>825</v>
      </c>
      <c r="R55" s="3"/>
      <c r="S55" s="3"/>
    </row>
    <row r="56" spans="1:19" x14ac:dyDescent="0.25">
      <c r="A56" s="4"/>
      <c r="B56" s="68"/>
      <c r="C56" s="68" t="s">
        <v>208</v>
      </c>
      <c r="D56" s="4" t="s">
        <v>826</v>
      </c>
      <c r="E56" s="25" t="str">
        <f>"True"</f>
        <v>True</v>
      </c>
      <c r="F56" s="68"/>
      <c r="G56" s="68"/>
      <c r="H56" s="68"/>
      <c r="I56" s="68"/>
      <c r="J56" s="68"/>
      <c r="K56" s="68"/>
      <c r="L56" s="68"/>
      <c r="M56" s="68"/>
      <c r="N56" s="68"/>
      <c r="O56" s="68"/>
      <c r="P56" s="68"/>
      <c r="Q56" s="4" t="s">
        <v>827</v>
      </c>
      <c r="R56" s="4"/>
      <c r="S56" s="4"/>
    </row>
    <row r="57" spans="1:19" x14ac:dyDescent="0.25">
      <c r="A57" s="3"/>
      <c r="B57" s="67"/>
      <c r="C57" s="67" t="s">
        <v>208</v>
      </c>
      <c r="D57" s="3" t="s">
        <v>1281</v>
      </c>
      <c r="E57" s="22"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67"/>
      <c r="G57" s="67"/>
      <c r="H57" s="67"/>
      <c r="I57" s="67"/>
      <c r="J57" s="67"/>
      <c r="K57" s="67"/>
      <c r="L57" s="67"/>
      <c r="M57" s="67"/>
      <c r="N57" s="67"/>
      <c r="O57" s="67"/>
      <c r="P57" s="67"/>
      <c r="Q57" s="3" t="s">
        <v>1288</v>
      </c>
      <c r="R57" s="3"/>
      <c r="S57" s="3"/>
    </row>
    <row r="58" spans="1:19" x14ac:dyDescent="0.25">
      <c r="A58" s="4"/>
      <c r="B58" s="68"/>
      <c r="C58" s="68" t="s">
        <v>208</v>
      </c>
      <c r="D58" s="4" t="s">
        <v>828</v>
      </c>
      <c r="E58" s="25"/>
      <c r="F58" s="68"/>
      <c r="G58" s="68"/>
      <c r="H58" s="68"/>
      <c r="I58" s="68"/>
      <c r="J58" s="68"/>
      <c r="K58" s="68"/>
      <c r="L58" s="68"/>
      <c r="M58" s="68"/>
      <c r="N58" s="68"/>
      <c r="O58" s="68"/>
      <c r="P58" s="68"/>
      <c r="Q58" s="4" t="s">
        <v>829</v>
      </c>
      <c r="R58" s="4"/>
      <c r="S58" s="4"/>
    </row>
    <row r="59" spans="1:19" x14ac:dyDescent="0.25">
      <c r="A59" s="3"/>
      <c r="B59" s="67"/>
      <c r="C59" s="67" t="s">
        <v>208</v>
      </c>
      <c r="D59" s="3" t="s">
        <v>830</v>
      </c>
      <c r="E59" s="22">
        <v>10</v>
      </c>
      <c r="F59" s="67"/>
      <c r="G59" s="67"/>
      <c r="H59" s="67"/>
      <c r="I59" s="67"/>
      <c r="J59" s="67"/>
      <c r="K59" s="67"/>
      <c r="L59" s="67"/>
      <c r="M59" s="67"/>
      <c r="N59" s="67"/>
      <c r="O59" s="67"/>
      <c r="P59" s="67"/>
      <c r="Q59" s="3" t="s">
        <v>831</v>
      </c>
      <c r="R59" s="3"/>
      <c r="S59" s="3"/>
    </row>
    <row r="60" spans="1:19" x14ac:dyDescent="0.25">
      <c r="A60" s="4"/>
      <c r="B60" s="68"/>
      <c r="C60" s="68" t="s">
        <v>208</v>
      </c>
      <c r="D60" s="4" t="s">
        <v>1282</v>
      </c>
      <c r="E60" s="25"/>
      <c r="F60" s="68"/>
      <c r="G60" s="68"/>
      <c r="H60" s="68"/>
      <c r="I60" s="68"/>
      <c r="J60" s="68"/>
      <c r="K60" s="68"/>
      <c r="L60" s="68"/>
      <c r="M60" s="68"/>
      <c r="N60" s="68"/>
      <c r="O60" s="68"/>
      <c r="P60" s="68"/>
      <c r="Q60" s="4" t="s">
        <v>1287</v>
      </c>
      <c r="R60" s="4"/>
      <c r="S60" s="4"/>
    </row>
    <row r="61" spans="1:19" x14ac:dyDescent="0.25">
      <c r="A61" s="3"/>
      <c r="B61" s="67" t="s">
        <v>1176</v>
      </c>
      <c r="C61" s="67" t="s">
        <v>1217</v>
      </c>
      <c r="D61" s="3" t="s">
        <v>832</v>
      </c>
      <c r="E61" s="22">
        <f>GetPrintSpec( $E$2,F$1,"fill_density")*100</f>
        <v>13</v>
      </c>
      <c r="F61" s="67"/>
      <c r="G61" s="67"/>
      <c r="H61" s="67"/>
      <c r="I61" s="67"/>
      <c r="J61" s="67"/>
      <c r="K61" s="67"/>
      <c r="L61" s="67"/>
      <c r="M61" s="67"/>
      <c r="N61" s="67"/>
      <c r="O61" s="67"/>
      <c r="P61" s="67"/>
      <c r="Q61" s="3" t="s">
        <v>833</v>
      </c>
      <c r="R61" s="3"/>
      <c r="S61" s="3"/>
    </row>
    <row r="62" spans="1:19" x14ac:dyDescent="0.25">
      <c r="A62" s="4"/>
      <c r="B62" s="68"/>
      <c r="C62" s="68" t="s">
        <v>208</v>
      </c>
      <c r="D62" s="4" t="s">
        <v>1283</v>
      </c>
      <c r="E62" s="25"/>
      <c r="F62" s="68"/>
      <c r="G62" s="68"/>
      <c r="H62" s="68"/>
      <c r="I62" s="68"/>
      <c r="J62" s="68"/>
      <c r="K62" s="68"/>
      <c r="L62" s="68"/>
      <c r="M62" s="68"/>
      <c r="N62" s="68"/>
      <c r="O62" s="68"/>
      <c r="P62" s="68"/>
      <c r="Q62" s="4" t="s">
        <v>1286</v>
      </c>
      <c r="R62" s="4"/>
      <c r="S62" s="4"/>
    </row>
    <row r="63" spans="1:19" x14ac:dyDescent="0.25">
      <c r="A63" s="3"/>
      <c r="B63" s="67"/>
      <c r="C63" s="67" t="s">
        <v>1217</v>
      </c>
      <c r="D63" s="3" t="s">
        <v>834</v>
      </c>
      <c r="E63" s="35" t="str">
        <f>"grid"</f>
        <v>grid</v>
      </c>
      <c r="F63" s="67"/>
      <c r="G63" s="67"/>
      <c r="H63" s="67"/>
      <c r="I63" s="67"/>
      <c r="J63" s="67"/>
      <c r="K63" s="67"/>
      <c r="L63" s="67"/>
      <c r="M63" s="67"/>
      <c r="N63" s="67"/>
      <c r="O63" s="67"/>
      <c r="P63" s="67"/>
      <c r="Q63" s="3" t="s">
        <v>835</v>
      </c>
      <c r="R63" s="3"/>
      <c r="S63" s="3"/>
    </row>
    <row r="64" spans="1:19" x14ac:dyDescent="0.25">
      <c r="A64" s="4"/>
      <c r="B64" s="68"/>
      <c r="C64" s="68" t="s">
        <v>208</v>
      </c>
      <c r="D64" s="4" t="s">
        <v>836</v>
      </c>
      <c r="E64" s="25" t="str">
        <f>"True"</f>
        <v>True</v>
      </c>
      <c r="F64" s="68"/>
      <c r="G64" s="68"/>
      <c r="H64" s="68"/>
      <c r="I64" s="68"/>
      <c r="J64" s="68"/>
      <c r="K64" s="68"/>
      <c r="L64" s="68"/>
      <c r="M64" s="68"/>
      <c r="N64" s="68"/>
      <c r="O64" s="68"/>
      <c r="P64" s="68"/>
      <c r="Q64" s="4" t="s">
        <v>837</v>
      </c>
      <c r="R64" s="4"/>
      <c r="S64" s="4"/>
    </row>
    <row r="65" spans="1:19" x14ac:dyDescent="0.25">
      <c r="A65" s="3"/>
      <c r="B65" s="67"/>
      <c r="C65" s="67" t="s">
        <v>208</v>
      </c>
      <c r="D65" s="3" t="s">
        <v>838</v>
      </c>
      <c r="E65" s="22" t="str">
        <f>"True"</f>
        <v>True</v>
      </c>
      <c r="F65" s="67"/>
      <c r="G65" s="67"/>
      <c r="H65" s="67"/>
      <c r="I65" s="67"/>
      <c r="J65" s="67"/>
      <c r="K65" s="67"/>
      <c r="L65" s="67"/>
      <c r="M65" s="67"/>
      <c r="N65" s="67"/>
      <c r="O65" s="67"/>
      <c r="P65" s="67"/>
      <c r="Q65" s="3" t="s">
        <v>839</v>
      </c>
      <c r="R65" s="3"/>
      <c r="S65" s="3"/>
    </row>
    <row r="66" spans="1:19" x14ac:dyDescent="0.25">
      <c r="A66" s="4"/>
      <c r="B66" s="68"/>
      <c r="C66" s="68" t="s">
        <v>1217</v>
      </c>
      <c r="D66" s="4" t="s">
        <v>1220</v>
      </c>
      <c r="E66" s="25"/>
      <c r="F66" s="68"/>
      <c r="G66" s="68"/>
      <c r="H66" s="68"/>
      <c r="I66" s="68"/>
      <c r="J66" s="68"/>
      <c r="K66" s="68"/>
      <c r="L66" s="68"/>
      <c r="M66" s="68"/>
      <c r="N66" s="68"/>
      <c r="O66" s="68"/>
      <c r="P66" s="68"/>
      <c r="Q66" s="4" t="s">
        <v>1222</v>
      </c>
      <c r="R66" s="4"/>
      <c r="S66" s="4"/>
    </row>
    <row r="67" spans="1:19" x14ac:dyDescent="0.25">
      <c r="A67" s="3"/>
      <c r="B67" s="67"/>
      <c r="C67" s="67" t="s">
        <v>1217</v>
      </c>
      <c r="D67" s="3" t="s">
        <v>1221</v>
      </c>
      <c r="E67" s="22"/>
      <c r="F67" s="67"/>
      <c r="G67" s="67"/>
      <c r="H67" s="67"/>
      <c r="I67" s="67"/>
      <c r="J67" s="67"/>
      <c r="K67" s="67"/>
      <c r="L67" s="67"/>
      <c r="M67" s="67"/>
      <c r="N67" s="67"/>
      <c r="O67" s="67"/>
      <c r="P67" s="67"/>
      <c r="Q67" s="3" t="s">
        <v>1223</v>
      </c>
      <c r="R67" s="3"/>
      <c r="S67" s="3"/>
    </row>
    <row r="68" spans="1:19" x14ac:dyDescent="0.25">
      <c r="A68" s="4"/>
      <c r="B68" s="68"/>
      <c r="C68" s="68" t="s">
        <v>1217</v>
      </c>
      <c r="D68" s="4" t="s">
        <v>1224</v>
      </c>
      <c r="E68" s="25"/>
      <c r="F68" s="68"/>
      <c r="G68" s="68"/>
      <c r="H68" s="68"/>
      <c r="I68" s="68"/>
      <c r="J68" s="68"/>
      <c r="K68" s="68"/>
      <c r="L68" s="68"/>
      <c r="M68" s="68"/>
      <c r="N68" s="68"/>
      <c r="O68" s="68"/>
      <c r="P68" s="68"/>
      <c r="Q68" s="4" t="s">
        <v>1227</v>
      </c>
      <c r="R68" s="4"/>
      <c r="S68" s="4"/>
    </row>
    <row r="69" spans="1:19" x14ac:dyDescent="0.25">
      <c r="A69" s="3"/>
      <c r="B69" s="67"/>
      <c r="C69" s="67" t="s">
        <v>208</v>
      </c>
      <c r="D69" s="67" t="s">
        <v>87</v>
      </c>
      <c r="E69" s="22">
        <v>10</v>
      </c>
      <c r="F69" s="67"/>
      <c r="G69" s="67"/>
      <c r="H69" s="67"/>
      <c r="I69" s="67"/>
      <c r="J69" s="67"/>
      <c r="K69" s="67"/>
      <c r="L69" s="67"/>
      <c r="M69" s="67"/>
      <c r="N69" s="67"/>
      <c r="O69" s="67"/>
      <c r="P69" s="67"/>
      <c r="Q69" s="3" t="s">
        <v>840</v>
      </c>
      <c r="R69" s="3"/>
      <c r="S69" s="3"/>
    </row>
    <row r="70" spans="1:19" x14ac:dyDescent="0.25">
      <c r="A70" s="4"/>
      <c r="B70" s="68"/>
      <c r="C70" s="68" t="s">
        <v>208</v>
      </c>
      <c r="D70" s="68" t="s">
        <v>1284</v>
      </c>
      <c r="E70" s="25"/>
      <c r="F70" s="68"/>
      <c r="G70" s="68"/>
      <c r="H70" s="68"/>
      <c r="I70" s="68"/>
      <c r="J70" s="68"/>
      <c r="K70" s="68"/>
      <c r="L70" s="68"/>
      <c r="M70" s="68"/>
      <c r="N70" s="68"/>
      <c r="O70" s="68"/>
      <c r="P70" s="68"/>
      <c r="Q70" s="4" t="s">
        <v>1285</v>
      </c>
      <c r="R70" s="4"/>
      <c r="S70" s="4"/>
    </row>
    <row r="71" spans="1:19" x14ac:dyDescent="0.25">
      <c r="A71" s="3"/>
      <c r="B71" s="67"/>
      <c r="C71" s="67" t="s">
        <v>208</v>
      </c>
      <c r="D71" s="3" t="s">
        <v>1117</v>
      </c>
      <c r="E71" s="22" t="str">
        <f>GetFilamentSpec($E$2,"#filament_wipe_distance")</f>
        <v>0.4</v>
      </c>
      <c r="F71" s="67"/>
      <c r="G71" s="67"/>
      <c r="H71" s="67"/>
      <c r="I71" s="67"/>
      <c r="J71" s="67"/>
      <c r="K71" s="67"/>
      <c r="L71" s="67"/>
      <c r="M71" s="67"/>
      <c r="N71" s="67"/>
      <c r="O71" s="67"/>
      <c r="P71" s="67"/>
      <c r="Q71" s="3" t="s">
        <v>1123</v>
      </c>
      <c r="R71" s="3"/>
      <c r="S71" s="3"/>
    </row>
    <row r="72" spans="1:19" x14ac:dyDescent="0.25">
      <c r="A72" s="4"/>
      <c r="B72" s="68"/>
      <c r="C72" s="68" t="s">
        <v>208</v>
      </c>
      <c r="D72" s="68" t="s">
        <v>841</v>
      </c>
      <c r="E72" s="25"/>
      <c r="F72" s="68"/>
      <c r="G72" s="68"/>
      <c r="H72" s="68"/>
      <c r="I72" s="68"/>
      <c r="J72" s="68"/>
      <c r="K72" s="68"/>
      <c r="L72" s="68"/>
      <c r="M72" s="68"/>
      <c r="N72" s="68"/>
      <c r="O72" s="68"/>
      <c r="P72" s="68"/>
      <c r="Q72" s="4" t="s">
        <v>842</v>
      </c>
      <c r="R72" s="4"/>
      <c r="S72" s="4"/>
    </row>
    <row r="73" spans="1:19" x14ac:dyDescent="0.25">
      <c r="A73" s="3"/>
      <c r="B73" s="67"/>
      <c r="C73" s="67" t="s">
        <v>1218</v>
      </c>
      <c r="D73" s="67" t="s">
        <v>1298</v>
      </c>
      <c r="E73" s="22"/>
      <c r="F73" s="67"/>
      <c r="G73" s="67"/>
      <c r="H73" s="67"/>
      <c r="I73" s="67"/>
      <c r="J73" s="67"/>
      <c r="K73" s="67"/>
      <c r="L73" s="67"/>
      <c r="M73" s="67"/>
      <c r="N73" s="67"/>
      <c r="O73" s="67"/>
      <c r="P73" s="67"/>
      <c r="Q73" s="3" t="s">
        <v>1300</v>
      </c>
      <c r="R73" s="3"/>
      <c r="S73" s="3"/>
    </row>
    <row r="74" spans="1:19" x14ac:dyDescent="0.25">
      <c r="A74" s="4"/>
      <c r="B74" s="68"/>
      <c r="C74" s="68" t="s">
        <v>1218</v>
      </c>
      <c r="D74" s="68" t="s">
        <v>1299</v>
      </c>
      <c r="E74" s="25"/>
      <c r="F74" s="68"/>
      <c r="G74" s="68"/>
      <c r="H74" s="68"/>
      <c r="I74" s="68"/>
      <c r="J74" s="68"/>
      <c r="K74" s="68"/>
      <c r="L74" s="68"/>
      <c r="M74" s="68"/>
      <c r="N74" s="68"/>
      <c r="O74" s="68"/>
      <c r="P74" s="68"/>
      <c r="Q74" s="4" t="s">
        <v>1301</v>
      </c>
      <c r="R74" s="4"/>
      <c r="S74" s="4"/>
    </row>
    <row r="75" spans="1:19" x14ac:dyDescent="0.25">
      <c r="A75" s="3"/>
      <c r="B75" s="67"/>
      <c r="C75" s="67" t="s">
        <v>1217</v>
      </c>
      <c r="D75" s="67" t="s">
        <v>843</v>
      </c>
      <c r="E75" s="22" t="str">
        <f>"True"</f>
        <v>True</v>
      </c>
      <c r="F75" s="67"/>
      <c r="G75" s="67"/>
      <c r="H75" s="67"/>
      <c r="I75" s="67"/>
      <c r="J75" s="67"/>
      <c r="K75" s="67"/>
      <c r="L75" s="67"/>
      <c r="M75" s="67"/>
      <c r="N75" s="67"/>
      <c r="O75" s="67"/>
      <c r="P75" s="67"/>
      <c r="Q75" s="3" t="s">
        <v>844</v>
      </c>
      <c r="R75" s="3"/>
      <c r="S75" s="3"/>
    </row>
    <row r="76" spans="1:19" x14ac:dyDescent="0.25">
      <c r="A76" s="4"/>
      <c r="B76" s="68"/>
      <c r="C76" s="68" t="s">
        <v>208</v>
      </c>
      <c r="D76" s="68" t="s">
        <v>1321</v>
      </c>
      <c r="E76" s="25"/>
      <c r="F76" s="68"/>
      <c r="G76" s="68"/>
      <c r="H76" s="68"/>
      <c r="I76" s="68"/>
      <c r="J76" s="68"/>
      <c r="K76" s="68"/>
      <c r="L76" s="68"/>
      <c r="M76" s="68"/>
      <c r="N76" s="68"/>
      <c r="O76" s="68"/>
      <c r="P76" s="68"/>
      <c r="Q76" s="4" t="s">
        <v>1322</v>
      </c>
      <c r="R76" s="4"/>
      <c r="S76" s="4"/>
    </row>
    <row r="77" spans="1:19" x14ac:dyDescent="0.25">
      <c r="A77" s="3"/>
      <c r="B77" s="67"/>
      <c r="C77" s="67" t="s">
        <v>208</v>
      </c>
      <c r="D77" s="67" t="s">
        <v>1323</v>
      </c>
      <c r="E77" s="22"/>
      <c r="F77" s="67"/>
      <c r="G77" s="67"/>
      <c r="H77" s="67"/>
      <c r="I77" s="67"/>
      <c r="J77" s="67"/>
      <c r="K77" s="67"/>
      <c r="L77" s="67"/>
      <c r="M77" s="67"/>
      <c r="N77" s="67"/>
      <c r="O77" s="67"/>
      <c r="P77" s="67"/>
      <c r="Q77" s="3" t="s">
        <v>1324</v>
      </c>
      <c r="R77" s="3"/>
      <c r="S77" s="3"/>
    </row>
    <row r="78" spans="1:19" x14ac:dyDescent="0.25">
      <c r="A78" s="4"/>
      <c r="B78" s="68"/>
      <c r="C78" s="68" t="s">
        <v>208</v>
      </c>
      <c r="D78" s="68" t="s">
        <v>1325</v>
      </c>
      <c r="E78" s="25"/>
      <c r="F78" s="68"/>
      <c r="G78" s="68"/>
      <c r="H78" s="68"/>
      <c r="I78" s="68"/>
      <c r="J78" s="68"/>
      <c r="K78" s="68"/>
      <c r="L78" s="68"/>
      <c r="M78" s="68"/>
      <c r="N78" s="68"/>
      <c r="O78" s="68"/>
      <c r="P78" s="68"/>
      <c r="Q78" s="4" t="s">
        <v>1326</v>
      </c>
      <c r="R78" s="4"/>
      <c r="S78" s="4"/>
    </row>
    <row r="79" spans="1:19" x14ac:dyDescent="0.25">
      <c r="A79" s="3"/>
      <c r="B79" s="67"/>
      <c r="C79" s="67" t="s">
        <v>208</v>
      </c>
      <c r="D79" s="67" t="s">
        <v>845</v>
      </c>
      <c r="E79" s="22" t="str">
        <f>"=wall_line_width * wall_line_width"</f>
        <v>=wall_line_width * wall_line_width</v>
      </c>
      <c r="F79" s="67"/>
      <c r="G79" s="67"/>
      <c r="H79" s="67"/>
      <c r="I79" s="67"/>
      <c r="J79" s="67"/>
      <c r="K79" s="67"/>
      <c r="L79" s="67"/>
      <c r="M79" s="67"/>
      <c r="N79" s="67"/>
      <c r="O79" s="67"/>
      <c r="P79" s="67"/>
      <c r="Q79" s="3" t="s">
        <v>846</v>
      </c>
      <c r="R79" s="3"/>
      <c r="S79" s="3"/>
    </row>
    <row r="80" spans="1:19" x14ac:dyDescent="0.25">
      <c r="A80" s="4"/>
      <c r="B80" s="68"/>
      <c r="C80" s="68" t="s">
        <v>208</v>
      </c>
      <c r="D80" s="4" t="s">
        <v>847</v>
      </c>
      <c r="E80" s="25" t="str">
        <f>"False"</f>
        <v>False</v>
      </c>
      <c r="F80" s="68"/>
      <c r="G80" s="68"/>
      <c r="H80" s="68"/>
      <c r="I80" s="68"/>
      <c r="J80" s="68"/>
      <c r="K80" s="68"/>
      <c r="L80" s="68"/>
      <c r="M80" s="68"/>
      <c r="N80" s="68"/>
      <c r="O80" s="68"/>
      <c r="P80" s="68"/>
      <c r="Q80" s="4" t="s">
        <v>848</v>
      </c>
      <c r="R80" s="4"/>
      <c r="S80" s="4"/>
    </row>
    <row r="81" spans="1:19" x14ac:dyDescent="0.25">
      <c r="A81" s="3"/>
      <c r="B81" s="67"/>
      <c r="C81" s="67" t="s">
        <v>208</v>
      </c>
      <c r="D81" s="3" t="s">
        <v>1325</v>
      </c>
      <c r="E81" s="22"/>
      <c r="F81" s="67"/>
      <c r="G81" s="67"/>
      <c r="H81" s="67"/>
      <c r="I81" s="67"/>
      <c r="J81" s="67"/>
      <c r="K81" s="67"/>
      <c r="L81" s="67"/>
      <c r="M81" s="67"/>
      <c r="N81" s="67"/>
      <c r="O81" s="67"/>
      <c r="P81" s="67"/>
      <c r="Q81" s="3" t="s">
        <v>1326</v>
      </c>
      <c r="R81" s="3"/>
      <c r="S81" s="3"/>
    </row>
    <row r="82" spans="1:19" x14ac:dyDescent="0.25">
      <c r="A82" s="4"/>
      <c r="B82" s="68"/>
      <c r="C82" s="68" t="s">
        <v>1217</v>
      </c>
      <c r="D82" s="4" t="s">
        <v>1329</v>
      </c>
      <c r="E82" s="25">
        <v>3</v>
      </c>
      <c r="F82" s="68"/>
      <c r="G82" s="68"/>
      <c r="H82" s="68"/>
      <c r="I82" s="68"/>
      <c r="J82" s="68"/>
      <c r="K82" s="68"/>
      <c r="L82" s="68"/>
      <c r="M82" s="68"/>
      <c r="N82" s="68"/>
      <c r="O82" s="68"/>
      <c r="P82" s="68"/>
      <c r="Q82" s="4" t="s">
        <v>1330</v>
      </c>
      <c r="R82" s="4"/>
      <c r="S82" s="4"/>
    </row>
    <row r="83" spans="1:19" x14ac:dyDescent="0.25">
      <c r="A83" s="3"/>
      <c r="B83" s="67" t="s">
        <v>1078</v>
      </c>
      <c r="C83" s="67" t="s">
        <v>1218</v>
      </c>
      <c r="D83" s="67" t="s">
        <v>849</v>
      </c>
      <c r="E83" s="22" t="str">
        <f>GetFilamentSpec($E$2,"temperature")</f>
        <v>255</v>
      </c>
      <c r="F83" s="67"/>
      <c r="G83" s="67"/>
      <c r="H83" s="67"/>
      <c r="I83" s="67"/>
      <c r="J83" s="67"/>
      <c r="K83" s="67"/>
      <c r="L83" s="67"/>
      <c r="M83" s="67"/>
      <c r="N83" s="67"/>
      <c r="O83" s="67"/>
      <c r="P83" s="67"/>
      <c r="Q83" s="3" t="s">
        <v>850</v>
      </c>
      <c r="R83" s="3"/>
      <c r="S83" s="3"/>
    </row>
    <row r="84" spans="1:19" x14ac:dyDescent="0.25">
      <c r="A84" s="4"/>
      <c r="B84" s="68"/>
      <c r="C84" s="68" t="s">
        <v>1218</v>
      </c>
      <c r="D84" s="4" t="s">
        <v>851</v>
      </c>
      <c r="E84" s="25" t="str">
        <f>GetFilamentSpec($E$2,"first_layer_temperature")</f>
        <v>255</v>
      </c>
      <c r="F84" s="68"/>
      <c r="G84" s="68"/>
      <c r="H84" s="68"/>
      <c r="I84" s="68"/>
      <c r="J84" s="68"/>
      <c r="K84" s="68"/>
      <c r="L84" s="68"/>
      <c r="M84" s="68"/>
      <c r="N84" s="68"/>
      <c r="O84" s="68"/>
      <c r="P84" s="68"/>
      <c r="Q84" s="4" t="s">
        <v>1125</v>
      </c>
      <c r="R84" s="4"/>
      <c r="S84" s="4"/>
    </row>
    <row r="85" spans="1:19" x14ac:dyDescent="0.25">
      <c r="A85" s="3"/>
      <c r="B85" s="67"/>
      <c r="C85" s="67" t="s">
        <v>1218</v>
      </c>
      <c r="D85" s="3" t="s">
        <v>852</v>
      </c>
      <c r="E85" s="22" t="str">
        <f>GetFilamentSpec($E$2,"bed_temperature")</f>
        <v>90</v>
      </c>
      <c r="F85" s="67"/>
      <c r="G85" s="67"/>
      <c r="H85" s="67"/>
      <c r="I85" s="67"/>
      <c r="J85" s="67"/>
      <c r="K85" s="67"/>
      <c r="L85" s="67"/>
      <c r="M85" s="67"/>
      <c r="N85" s="67"/>
      <c r="O85" s="67"/>
      <c r="P85" s="67"/>
      <c r="Q85" s="3" t="s">
        <v>853</v>
      </c>
      <c r="R85" s="3"/>
      <c r="S85" s="3"/>
    </row>
    <row r="86" spans="1:19" x14ac:dyDescent="0.25">
      <c r="A86" s="4"/>
      <c r="B86" s="68"/>
      <c r="C86" s="68" t="s">
        <v>1218</v>
      </c>
      <c r="D86" s="4" t="s">
        <v>854</v>
      </c>
      <c r="E86" s="25" t="str">
        <f>GetFilamentSpec($E$2,"first_layer_bed_temperature")</f>
        <v>90</v>
      </c>
      <c r="F86" s="68"/>
      <c r="G86" s="68"/>
      <c r="H86" s="68"/>
      <c r="I86" s="68"/>
      <c r="J86" s="68"/>
      <c r="K86" s="68"/>
      <c r="L86" s="68"/>
      <c r="M86" s="68"/>
      <c r="N86" s="68"/>
      <c r="O86" s="68"/>
      <c r="P86" s="68"/>
      <c r="Q86" s="4" t="s">
        <v>1126</v>
      </c>
      <c r="R86" s="4"/>
      <c r="S86" s="4"/>
    </row>
    <row r="87" spans="1:19" x14ac:dyDescent="0.25">
      <c r="A87" s="3"/>
      <c r="B87" s="67"/>
      <c r="C87" s="67" t="s">
        <v>1218</v>
      </c>
      <c r="D87" s="3" t="s">
        <v>855</v>
      </c>
      <c r="E87" s="22">
        <f>GetFilamentSpec($E$2,"extrusion_multiplier")*100</f>
        <v>100</v>
      </c>
      <c r="F87" s="67"/>
      <c r="G87" s="67"/>
      <c r="H87" s="67"/>
      <c r="I87" s="67"/>
      <c r="J87" s="67"/>
      <c r="K87" s="67"/>
      <c r="L87" s="67"/>
      <c r="M87" s="67"/>
      <c r="N87" s="67"/>
      <c r="O87" s="67"/>
      <c r="P87" s="67"/>
      <c r="Q87" s="3" t="s">
        <v>856</v>
      </c>
      <c r="R87" s="3"/>
      <c r="S87" s="3"/>
    </row>
    <row r="88" spans="1:19" x14ac:dyDescent="0.25">
      <c r="A88" s="4"/>
      <c r="B88" s="68"/>
      <c r="C88" s="68" t="s">
        <v>1218</v>
      </c>
      <c r="D88" s="4" t="s">
        <v>857</v>
      </c>
      <c r="E88" s="25">
        <f>GetFilamentSpec($E$2,"extrusion_multiplier")*100</f>
        <v>100</v>
      </c>
      <c r="F88" s="68"/>
      <c r="G88" s="68"/>
      <c r="H88" s="68"/>
      <c r="I88" s="68"/>
      <c r="J88" s="68"/>
      <c r="K88" s="68"/>
      <c r="L88" s="68"/>
      <c r="M88" s="68"/>
      <c r="N88" s="68"/>
      <c r="O88" s="68"/>
      <c r="P88" s="68"/>
      <c r="Q88" s="4" t="s">
        <v>1127</v>
      </c>
      <c r="R88" s="4"/>
      <c r="S88" s="4"/>
    </row>
    <row r="89" spans="1:19" x14ac:dyDescent="0.25">
      <c r="A89" s="6"/>
      <c r="B89" s="86" t="s">
        <v>565</v>
      </c>
      <c r="C89" s="86"/>
      <c r="D89" s="6" t="s">
        <v>878</v>
      </c>
      <c r="E89" s="34"/>
      <c r="F89" s="89">
        <f>IFERROR(VLOOKUP($E$2,spec_filament!$A$22:$M$32,2,FALSE)/((Nozzle_Diameter*1.2)*F$1),0)</f>
        <v>115.74074074074075</v>
      </c>
      <c r="G89" s="89">
        <f>IFERROR(VLOOKUP($E$2,spec_filament!$A$22:$M$32,2,FALSE)/((Nozzle_Diameter*1.2)*G$1),0)</f>
        <v>69.444444444444443</v>
      </c>
      <c r="H89" s="89">
        <f>IFERROR(VLOOKUP($E$2,spec_filament!$A$22:$M$32,2,FALSE)/((Nozzle_Diameter*1.2)*H$1),0)</f>
        <v>57.870370370370374</v>
      </c>
      <c r="I89" s="89">
        <f>IFERROR(VLOOKUP($E$2,spec_filament!$A$22:$M$32,2,FALSE)/((Nozzle_Diameter*1.2)*I$1),0)</f>
        <v>49.603174603174601</v>
      </c>
      <c r="J89" s="89">
        <f>IFERROR(VLOOKUP($E$2,spec_filament!$A$22:$M$32,2,FALSE)/((Nozzle_Diameter*1.2)*J$1),0)</f>
        <v>43.402777777777779</v>
      </c>
      <c r="K89" s="89">
        <f>IFERROR(VLOOKUP($E$2,spec_filament!$A$22:$M$32,2,FALSE)/((Nozzle_Diameter*1.2)*K$1),0)</f>
        <v>34.722222222222221</v>
      </c>
      <c r="L89" s="89">
        <f>IFERROR(VLOOKUP($E$2,spec_filament!$A$22:$M$32,2,FALSE)/((Nozzle_Diameter*1.2)*L$1),0)</f>
        <v>28.935185185185187</v>
      </c>
      <c r="M89" s="89">
        <f>IFERROR(VLOOKUP($E$2,spec_filament!$A$22:$M$32,2,FALSE)/((Nozzle_Diameter*1.2)*M$1),0)</f>
        <v>24.801587301587301</v>
      </c>
      <c r="N89" s="89">
        <f>IFERROR(VLOOKUP($E$2,spec_filament!$A$22:$M$32,2,FALSE)/((Nozzle_Diameter*1.2)*N$1),0)</f>
        <v>21.701388888888889</v>
      </c>
      <c r="O89" s="89">
        <f>IFERROR(VLOOKUP($E$2,spec_filament!$A$22:$M$32,2,FALSE)/((Nozzle_Diameter*1.2)*O$1),0)</f>
        <v>19.290123456790123</v>
      </c>
      <c r="P89" s="89">
        <f>IFERROR(VLOOKUP($E$2,spec_filament!$A$22:$M$32,2,FALSE)/((Nozzle_Diameter*1.2)*P$1),0)</f>
        <v>17.361111111111111</v>
      </c>
      <c r="Q89" s="6"/>
      <c r="R89" s="6"/>
      <c r="S89" s="6"/>
    </row>
    <row r="90" spans="1:19" x14ac:dyDescent="0.25">
      <c r="A90" s="6"/>
      <c r="B90" s="86"/>
      <c r="C90" s="86"/>
      <c r="D90" s="6" t="s">
        <v>879</v>
      </c>
      <c r="E90" s="34" t="str">
        <f t="shared" ref="E90:P90" si="8">GetPrintSpec( $E$2,E$1,"max_print_speed")</f>
        <v>65</v>
      </c>
      <c r="F90" s="86" t="str">
        <f t="shared" si="8"/>
        <v>65</v>
      </c>
      <c r="G90" s="86" t="str">
        <f t="shared" si="8"/>
        <v>60</v>
      </c>
      <c r="H90" s="86" t="str">
        <f t="shared" si="8"/>
        <v>60</v>
      </c>
      <c r="I90" s="86" t="str">
        <f t="shared" si="8"/>
        <v>60</v>
      </c>
      <c r="J90" s="86" t="str">
        <f t="shared" si="8"/>
        <v>55</v>
      </c>
      <c r="K90" s="86" t="str">
        <f t="shared" si="8"/>
        <v>50</v>
      </c>
      <c r="L90" s="86" t="str">
        <f t="shared" si="8"/>
        <v>45</v>
      </c>
      <c r="M90" s="86" t="str">
        <f t="shared" si="8"/>
        <v>40</v>
      </c>
      <c r="N90" s="86" t="str">
        <f t="shared" si="8"/>
        <v>35</v>
      </c>
      <c r="O90" s="86" t="str">
        <f t="shared" si="8"/>
        <v>30</v>
      </c>
      <c r="P90" s="86" t="str">
        <f t="shared" si="8"/>
        <v>25</v>
      </c>
      <c r="Q90" s="6"/>
      <c r="R90" s="6"/>
      <c r="S90" s="6"/>
    </row>
    <row r="91" spans="1:19" x14ac:dyDescent="0.25">
      <c r="A91" s="3"/>
      <c r="B91" s="67"/>
      <c r="C91" s="67" t="s">
        <v>1218</v>
      </c>
      <c r="D91" s="3" t="s">
        <v>880</v>
      </c>
      <c r="E91" s="22" t="str">
        <f t="shared" ref="E91:P92" si="9">GetPrintSpec( $E$2,E$1,"infill_speed")</f>
        <v>45</v>
      </c>
      <c r="F91" s="67" t="str">
        <f t="shared" si="9"/>
        <v>45</v>
      </c>
      <c r="G91" s="67" t="str">
        <f t="shared" si="9"/>
        <v>45</v>
      </c>
      <c r="H91" s="67" t="str">
        <f t="shared" si="9"/>
        <v>45</v>
      </c>
      <c r="I91" s="67" t="str">
        <f t="shared" si="9"/>
        <v>45</v>
      </c>
      <c r="J91" s="67" t="str">
        <f t="shared" si="9"/>
        <v>45</v>
      </c>
      <c r="K91" s="67" t="str">
        <f t="shared" si="9"/>
        <v>38</v>
      </c>
      <c r="L91" s="67" t="str">
        <f t="shared" si="9"/>
        <v>32</v>
      </c>
      <c r="M91" s="67" t="str">
        <f t="shared" si="9"/>
        <v>27</v>
      </c>
      <c r="N91" s="67" t="str">
        <f t="shared" si="9"/>
        <v>24</v>
      </c>
      <c r="O91" s="67" t="str">
        <f t="shared" si="9"/>
        <v>21</v>
      </c>
      <c r="P91" s="67" t="str">
        <f t="shared" si="9"/>
        <v>19</v>
      </c>
      <c r="Q91" s="3" t="s">
        <v>1128</v>
      </c>
      <c r="R91" s="3"/>
      <c r="S91" s="3"/>
    </row>
    <row r="92" spans="1:19" x14ac:dyDescent="0.25">
      <c r="A92" s="4"/>
      <c r="B92" s="68"/>
      <c r="C92" s="68" t="s">
        <v>1218</v>
      </c>
      <c r="D92" s="4" t="s">
        <v>881</v>
      </c>
      <c r="E92" s="25" t="str">
        <f>GetPrintSpec( $E$2,E$1,"infill_speed")</f>
        <v>45</v>
      </c>
      <c r="F92" s="68" t="str">
        <f t="shared" si="9"/>
        <v>45</v>
      </c>
      <c r="G92" s="68" t="str">
        <f t="shared" si="9"/>
        <v>45</v>
      </c>
      <c r="H92" s="68" t="str">
        <f t="shared" si="9"/>
        <v>45</v>
      </c>
      <c r="I92" s="68" t="str">
        <f t="shared" si="9"/>
        <v>45</v>
      </c>
      <c r="J92" s="68" t="str">
        <f t="shared" si="9"/>
        <v>45</v>
      </c>
      <c r="K92" s="68" t="str">
        <f t="shared" si="9"/>
        <v>38</v>
      </c>
      <c r="L92" s="68" t="str">
        <f t="shared" si="9"/>
        <v>32</v>
      </c>
      <c r="M92" s="68" t="str">
        <f t="shared" si="9"/>
        <v>27</v>
      </c>
      <c r="N92" s="68" t="str">
        <f t="shared" si="9"/>
        <v>24</v>
      </c>
      <c r="O92" s="68" t="str">
        <f t="shared" si="9"/>
        <v>21</v>
      </c>
      <c r="P92" s="68" t="str">
        <f t="shared" si="9"/>
        <v>19</v>
      </c>
      <c r="Q92" s="4" t="s">
        <v>1129</v>
      </c>
      <c r="R92" s="4"/>
      <c r="S92" s="4"/>
    </row>
    <row r="93" spans="1:19" x14ac:dyDescent="0.25">
      <c r="A93" s="3"/>
      <c r="B93" s="67"/>
      <c r="C93" s="67" t="s">
        <v>1218</v>
      </c>
      <c r="D93" s="3" t="s">
        <v>882</v>
      </c>
      <c r="E93" s="22" t="str">
        <f t="shared" ref="E93:P93" si="10">GetPrintSpec( $E$2,E$1,"perimeter_speed")</f>
        <v>45</v>
      </c>
      <c r="F93" s="67" t="str">
        <f t="shared" si="10"/>
        <v>45</v>
      </c>
      <c r="G93" s="67" t="str">
        <f t="shared" si="10"/>
        <v>45</v>
      </c>
      <c r="H93" s="67" t="str">
        <f t="shared" si="10"/>
        <v>45</v>
      </c>
      <c r="I93" s="67" t="str">
        <f t="shared" si="10"/>
        <v>45</v>
      </c>
      <c r="J93" s="67" t="str">
        <f t="shared" si="10"/>
        <v>45</v>
      </c>
      <c r="K93" s="67" t="str">
        <f t="shared" si="10"/>
        <v>38</v>
      </c>
      <c r="L93" s="67" t="str">
        <f t="shared" si="10"/>
        <v>32</v>
      </c>
      <c r="M93" s="67" t="str">
        <f t="shared" si="10"/>
        <v>27</v>
      </c>
      <c r="N93" s="67" t="str">
        <f t="shared" si="10"/>
        <v>24</v>
      </c>
      <c r="O93" s="67" t="str">
        <f t="shared" si="10"/>
        <v>21</v>
      </c>
      <c r="P93" s="67" t="str">
        <f t="shared" si="10"/>
        <v>19</v>
      </c>
      <c r="Q93" s="3" t="s">
        <v>1130</v>
      </c>
      <c r="R93" s="3"/>
      <c r="S93" s="3"/>
    </row>
    <row r="94" spans="1:19" x14ac:dyDescent="0.25">
      <c r="A94" s="4"/>
      <c r="B94" s="68"/>
      <c r="C94" s="68" t="s">
        <v>1218</v>
      </c>
      <c r="D94" s="4" t="s">
        <v>883</v>
      </c>
      <c r="E94" s="25" t="str">
        <f t="shared" ref="E94:P94" si="11">GetPrintSpec( $E$2,E$1,"external_perimeter_speed")</f>
        <v>40</v>
      </c>
      <c r="F94" s="68" t="str">
        <f t="shared" si="11"/>
        <v>40</v>
      </c>
      <c r="G94" s="68" t="str">
        <f t="shared" si="11"/>
        <v>40</v>
      </c>
      <c r="H94" s="68" t="str">
        <f t="shared" si="11"/>
        <v>40</v>
      </c>
      <c r="I94" s="68" t="str">
        <f t="shared" si="11"/>
        <v>40</v>
      </c>
      <c r="J94" s="68" t="str">
        <f t="shared" si="11"/>
        <v>40</v>
      </c>
      <c r="K94" s="68" t="str">
        <f t="shared" si="11"/>
        <v>38</v>
      </c>
      <c r="L94" s="68" t="str">
        <f t="shared" si="11"/>
        <v>32</v>
      </c>
      <c r="M94" s="68" t="str">
        <f t="shared" si="11"/>
        <v>27</v>
      </c>
      <c r="N94" s="68" t="str">
        <f t="shared" si="11"/>
        <v>24</v>
      </c>
      <c r="O94" s="68" t="str">
        <f t="shared" si="11"/>
        <v>21</v>
      </c>
      <c r="P94" s="68" t="str">
        <f t="shared" si="11"/>
        <v>19</v>
      </c>
      <c r="Q94" s="4" t="s">
        <v>1131</v>
      </c>
      <c r="R94" s="4"/>
      <c r="S94" s="4"/>
    </row>
    <row r="95" spans="1:19" x14ac:dyDescent="0.25">
      <c r="A95" s="3"/>
      <c r="B95" s="67"/>
      <c r="C95" s="67" t="s">
        <v>1218</v>
      </c>
      <c r="D95" s="67" t="s">
        <v>884</v>
      </c>
      <c r="E95" s="22" t="str">
        <f t="shared" ref="E95:P95" si="12">GetPrintSpec( $E$2,E$1,"perimeter_speed")</f>
        <v>45</v>
      </c>
      <c r="F95" s="67" t="str">
        <f t="shared" si="12"/>
        <v>45</v>
      </c>
      <c r="G95" s="67" t="str">
        <f t="shared" si="12"/>
        <v>45</v>
      </c>
      <c r="H95" s="67" t="str">
        <f t="shared" si="12"/>
        <v>45</v>
      </c>
      <c r="I95" s="67" t="str">
        <f t="shared" si="12"/>
        <v>45</v>
      </c>
      <c r="J95" s="67" t="str">
        <f t="shared" si="12"/>
        <v>45</v>
      </c>
      <c r="K95" s="67" t="str">
        <f t="shared" si="12"/>
        <v>38</v>
      </c>
      <c r="L95" s="67" t="str">
        <f t="shared" si="12"/>
        <v>32</v>
      </c>
      <c r="M95" s="67" t="str">
        <f t="shared" si="12"/>
        <v>27</v>
      </c>
      <c r="N95" s="67" t="str">
        <f t="shared" si="12"/>
        <v>24</v>
      </c>
      <c r="O95" s="67" t="str">
        <f t="shared" si="12"/>
        <v>21</v>
      </c>
      <c r="P95" s="67" t="str">
        <f t="shared" si="12"/>
        <v>19</v>
      </c>
      <c r="Q95" s="3" t="s">
        <v>1133</v>
      </c>
      <c r="R95" s="3"/>
      <c r="S95" s="3"/>
    </row>
    <row r="96" spans="1:19" x14ac:dyDescent="0.25">
      <c r="A96" s="4"/>
      <c r="B96" s="68"/>
      <c r="C96" s="68" t="s">
        <v>1218</v>
      </c>
      <c r="D96" s="68" t="s">
        <v>1134</v>
      </c>
      <c r="E96" s="25" t="str">
        <f>E97</f>
        <v>45</v>
      </c>
      <c r="F96" s="68"/>
      <c r="G96" s="68"/>
      <c r="H96" s="68"/>
      <c r="I96" s="68"/>
      <c r="J96" s="68"/>
      <c r="K96" s="68"/>
      <c r="L96" s="68"/>
      <c r="M96" s="68"/>
      <c r="N96" s="68"/>
      <c r="O96" s="68"/>
      <c r="P96" s="68"/>
      <c r="Q96" s="4" t="s">
        <v>1135</v>
      </c>
      <c r="R96" s="4"/>
      <c r="S96" s="4"/>
    </row>
    <row r="97" spans="1:19" x14ac:dyDescent="0.25">
      <c r="A97" s="3"/>
      <c r="B97" s="67"/>
      <c r="C97" s="67" t="s">
        <v>1218</v>
      </c>
      <c r="D97" s="3" t="s">
        <v>885</v>
      </c>
      <c r="E97" s="22" t="str">
        <f t="shared" ref="E97:P97" si="13">GetPrintSpec( $E$2,E$1,"solid_infill_speed")</f>
        <v>45</v>
      </c>
      <c r="F97" s="67" t="str">
        <f t="shared" si="13"/>
        <v>45</v>
      </c>
      <c r="G97" s="67" t="str">
        <f t="shared" si="13"/>
        <v>45</v>
      </c>
      <c r="H97" s="67" t="str">
        <f t="shared" si="13"/>
        <v>45</v>
      </c>
      <c r="I97" s="67" t="str">
        <f t="shared" si="13"/>
        <v>45</v>
      </c>
      <c r="J97" s="67" t="str">
        <f t="shared" si="13"/>
        <v>45</v>
      </c>
      <c r="K97" s="67" t="str">
        <f t="shared" si="13"/>
        <v>38</v>
      </c>
      <c r="L97" s="67" t="str">
        <f t="shared" si="13"/>
        <v>32</v>
      </c>
      <c r="M97" s="67" t="str">
        <f t="shared" si="13"/>
        <v>27</v>
      </c>
      <c r="N97" s="67" t="str">
        <f t="shared" si="13"/>
        <v>24</v>
      </c>
      <c r="O97" s="67" t="str">
        <f t="shared" si="13"/>
        <v>21</v>
      </c>
      <c r="P97" s="67" t="str">
        <f t="shared" si="13"/>
        <v>19</v>
      </c>
      <c r="Q97" s="3" t="s">
        <v>1136</v>
      </c>
      <c r="R97" s="3"/>
      <c r="S97" s="3"/>
    </row>
    <row r="98" spans="1:19" x14ac:dyDescent="0.25">
      <c r="A98" s="4"/>
      <c r="B98" s="68"/>
      <c r="C98" s="68" t="s">
        <v>1218</v>
      </c>
      <c r="D98" s="4" t="s">
        <v>886</v>
      </c>
      <c r="E98" s="25" t="str">
        <f t="shared" ref="E98:P98" si="14">GetPrintSpec( $E$2,E$1,"support_material_speed")</f>
        <v>45</v>
      </c>
      <c r="F98" s="68" t="str">
        <f t="shared" si="14"/>
        <v>45</v>
      </c>
      <c r="G98" s="68" t="str">
        <f t="shared" si="14"/>
        <v>45</v>
      </c>
      <c r="H98" s="68" t="str">
        <f t="shared" si="14"/>
        <v>45</v>
      </c>
      <c r="I98" s="68" t="str">
        <f t="shared" si="14"/>
        <v>45</v>
      </c>
      <c r="J98" s="68" t="str">
        <f t="shared" si="14"/>
        <v>45</v>
      </c>
      <c r="K98" s="68" t="str">
        <f t="shared" si="14"/>
        <v>38</v>
      </c>
      <c r="L98" s="68" t="str">
        <f t="shared" si="14"/>
        <v>32</v>
      </c>
      <c r="M98" s="68" t="str">
        <f t="shared" si="14"/>
        <v>27</v>
      </c>
      <c r="N98" s="68" t="str">
        <f t="shared" si="14"/>
        <v>24</v>
      </c>
      <c r="O98" s="68" t="str">
        <f t="shared" si="14"/>
        <v>21</v>
      </c>
      <c r="P98" s="68" t="str">
        <f t="shared" si="14"/>
        <v>19</v>
      </c>
      <c r="Q98" s="74" t="s">
        <v>1137</v>
      </c>
      <c r="R98" s="4"/>
      <c r="S98" s="4"/>
    </row>
    <row r="99" spans="1:19" x14ac:dyDescent="0.25">
      <c r="A99" s="3"/>
      <c r="B99" s="67"/>
      <c r="C99" s="67" t="s">
        <v>208</v>
      </c>
      <c r="D99" s="3" t="s">
        <v>887</v>
      </c>
      <c r="E99" s="22" t="str">
        <f>GetPrintSpec( $E$2,E$1,"travel_speed")</f>
        <v>140</v>
      </c>
      <c r="F99" s="67"/>
      <c r="G99" s="67"/>
      <c r="H99" s="67"/>
      <c r="I99" s="67"/>
      <c r="J99" s="67"/>
      <c r="K99" s="67"/>
      <c r="L99" s="67"/>
      <c r="M99" s="67"/>
      <c r="N99" s="67"/>
      <c r="O99" s="67"/>
      <c r="P99" s="67"/>
      <c r="Q99" s="3" t="s">
        <v>1138</v>
      </c>
      <c r="R99" s="3"/>
      <c r="S99" s="3"/>
    </row>
    <row r="100" spans="1:19" x14ac:dyDescent="0.25">
      <c r="A100" s="4"/>
      <c r="B100" s="68"/>
      <c r="C100" s="68" t="s">
        <v>1218</v>
      </c>
      <c r="D100" s="4" t="s">
        <v>888</v>
      </c>
      <c r="E100" s="25" t="str">
        <f>GetPrintSpec( $E$2,E$1,"first_layer_speed")</f>
        <v>30</v>
      </c>
      <c r="F100" s="68"/>
      <c r="G100" s="68"/>
      <c r="H100" s="68"/>
      <c r="I100" s="68"/>
      <c r="J100" s="68"/>
      <c r="K100" s="68"/>
      <c r="L100" s="68"/>
      <c r="M100" s="68"/>
      <c r="N100" s="68"/>
      <c r="O100" s="68"/>
      <c r="P100" s="68"/>
      <c r="Q100" s="4" t="s">
        <v>1139</v>
      </c>
      <c r="R100" s="4"/>
      <c r="S100" s="4"/>
    </row>
    <row r="101" spans="1:19" x14ac:dyDescent="0.25">
      <c r="A101" s="3"/>
      <c r="B101" s="67"/>
      <c r="C101" s="67" t="s">
        <v>1100</v>
      </c>
      <c r="D101" s="3" t="s">
        <v>889</v>
      </c>
      <c r="E101" s="22"/>
      <c r="F101" s="67"/>
      <c r="G101" s="67"/>
      <c r="H101" s="67"/>
      <c r="I101" s="67"/>
      <c r="J101" s="67"/>
      <c r="K101" s="67"/>
      <c r="L101" s="67"/>
      <c r="M101" s="67"/>
      <c r="N101" s="67"/>
      <c r="O101" s="67"/>
      <c r="P101" s="67"/>
      <c r="Q101" s="3" t="s">
        <v>1142</v>
      </c>
      <c r="R101" s="3"/>
      <c r="S101" s="3"/>
    </row>
    <row r="102" spans="1:19" x14ac:dyDescent="0.25">
      <c r="A102" s="4"/>
      <c r="B102" s="68"/>
      <c r="C102" s="68" t="s">
        <v>1100</v>
      </c>
      <c r="D102" s="68" t="s">
        <v>890</v>
      </c>
      <c r="E102" s="25" t="str">
        <f>IF(VALUE(GetFilamentSpec($E$2,"filament_retract_lift")) &gt; 0,GetPrintSpec( $E$2,E$1,"travel_speed"),"")</f>
        <v/>
      </c>
      <c r="F102" s="68"/>
      <c r="G102" s="68"/>
      <c r="H102" s="68"/>
      <c r="I102" s="68"/>
      <c r="J102" s="68"/>
      <c r="K102" s="68"/>
      <c r="L102" s="68"/>
      <c r="M102" s="68"/>
      <c r="N102" s="68"/>
      <c r="O102" s="68"/>
      <c r="P102" s="68"/>
      <c r="Q102" s="4" t="s">
        <v>1141</v>
      </c>
      <c r="R102" s="4"/>
      <c r="S102" s="4"/>
    </row>
    <row r="103" spans="1:19" x14ac:dyDescent="0.25">
      <c r="A103" s="3"/>
      <c r="B103" s="67"/>
      <c r="C103" s="67" t="s">
        <v>208</v>
      </c>
      <c r="D103" s="3" t="s">
        <v>1077</v>
      </c>
      <c r="E103" s="22">
        <v>5</v>
      </c>
      <c r="F103" s="67"/>
      <c r="G103" s="67"/>
      <c r="H103" s="67"/>
      <c r="I103" s="67"/>
      <c r="J103" s="67"/>
      <c r="K103" s="67"/>
      <c r="L103" s="67"/>
      <c r="M103" s="67"/>
      <c r="N103" s="67"/>
      <c r="O103" s="67"/>
      <c r="P103" s="67"/>
      <c r="Q103" s="3" t="s">
        <v>1140</v>
      </c>
      <c r="R103" s="3"/>
      <c r="S103" s="3"/>
    </row>
    <row r="104" spans="1:19" x14ac:dyDescent="0.25">
      <c r="A104" s="4"/>
      <c r="B104" s="68"/>
      <c r="C104" s="68" t="s">
        <v>1100</v>
      </c>
      <c r="D104" s="4" t="s">
        <v>891</v>
      </c>
      <c r="E104" s="25">
        <v>1</v>
      </c>
      <c r="F104" s="68"/>
      <c r="G104" s="68"/>
      <c r="H104" s="68"/>
      <c r="I104" s="68"/>
      <c r="J104" s="68"/>
      <c r="K104" s="68"/>
      <c r="L104" s="68"/>
      <c r="M104" s="68"/>
      <c r="N104" s="68"/>
      <c r="O104" s="68"/>
      <c r="P104" s="68"/>
      <c r="Q104" s="4" t="s">
        <v>1144</v>
      </c>
      <c r="R104" s="4"/>
      <c r="S104" s="4"/>
    </row>
    <row r="105" spans="1:19" x14ac:dyDescent="0.25">
      <c r="A105" s="3"/>
      <c r="B105" s="67"/>
      <c r="C105" s="67" t="s">
        <v>208</v>
      </c>
      <c r="D105" s="67" t="s">
        <v>892</v>
      </c>
      <c r="E105" s="22" t="str">
        <f>"True"</f>
        <v>True</v>
      </c>
      <c r="F105" s="67"/>
      <c r="G105" s="67"/>
      <c r="H105" s="67"/>
      <c r="I105" s="67"/>
      <c r="J105" s="67"/>
      <c r="K105" s="67"/>
      <c r="L105" s="67"/>
      <c r="M105" s="67"/>
      <c r="N105" s="67"/>
      <c r="O105" s="67"/>
      <c r="P105" s="67"/>
      <c r="Q105" s="3" t="s">
        <v>1143</v>
      </c>
      <c r="R105" s="3"/>
      <c r="S105" s="3"/>
    </row>
    <row r="106" spans="1:19" x14ac:dyDescent="0.25">
      <c r="A106" s="4"/>
      <c r="B106" s="68"/>
      <c r="C106" s="68" t="s">
        <v>1100</v>
      </c>
      <c r="D106" s="68" t="s">
        <v>1225</v>
      </c>
      <c r="E106" s="25"/>
      <c r="F106" s="68"/>
      <c r="G106" s="68"/>
      <c r="H106" s="68"/>
      <c r="I106" s="68"/>
      <c r="J106" s="68"/>
      <c r="K106" s="68"/>
      <c r="L106" s="68"/>
      <c r="M106" s="68"/>
      <c r="N106" s="68"/>
      <c r="O106" s="68"/>
      <c r="P106" s="68"/>
      <c r="Q106" s="4" t="s">
        <v>1226</v>
      </c>
      <c r="R106" s="4"/>
      <c r="S106" s="4"/>
    </row>
    <row r="107" spans="1:19" x14ac:dyDescent="0.25">
      <c r="A107" s="3"/>
      <c r="B107" s="67"/>
      <c r="C107" s="67" t="s">
        <v>208</v>
      </c>
      <c r="D107" s="3" t="s">
        <v>893</v>
      </c>
      <c r="E107" s="22" t="str">
        <f>"True"</f>
        <v>True</v>
      </c>
      <c r="F107" s="67"/>
      <c r="G107" s="67"/>
      <c r="H107" s="67"/>
      <c r="I107" s="67"/>
      <c r="J107" s="67"/>
      <c r="K107" s="67"/>
      <c r="L107" s="67"/>
      <c r="M107" s="67"/>
      <c r="N107" s="67"/>
      <c r="O107" s="67"/>
      <c r="P107" s="67"/>
      <c r="Q107" s="3" t="s">
        <v>1209</v>
      </c>
      <c r="R107" s="3"/>
      <c r="S107" s="3"/>
    </row>
    <row r="108" spans="1:19" x14ac:dyDescent="0.25">
      <c r="A108" s="4"/>
      <c r="B108" s="68"/>
      <c r="C108" s="68" t="s">
        <v>208</v>
      </c>
      <c r="D108" s="4" t="s">
        <v>894</v>
      </c>
      <c r="E108" s="25" t="str">
        <f>Get_Machine_Spec("machine_max_acceleration_extruding")</f>
        <v>1000</v>
      </c>
      <c r="F108" s="68"/>
      <c r="G108" s="68"/>
      <c r="H108" s="68"/>
      <c r="I108" s="68"/>
      <c r="J108" s="68"/>
      <c r="K108" s="68"/>
      <c r="L108" s="68"/>
      <c r="M108" s="68"/>
      <c r="N108" s="68"/>
      <c r="O108" s="68"/>
      <c r="P108" s="68"/>
      <c r="Q108" s="4" t="s">
        <v>1210</v>
      </c>
      <c r="R108" s="4"/>
      <c r="S108" s="4"/>
    </row>
    <row r="109" spans="1:19" x14ac:dyDescent="0.25">
      <c r="A109" s="3"/>
      <c r="B109" s="67"/>
      <c r="C109" s="67" t="s">
        <v>208</v>
      </c>
      <c r="D109" s="3" t="s">
        <v>895</v>
      </c>
      <c r="E109" s="22" t="str">
        <f>Get_Machine_Spec("machine_max_acceleration_travel")</f>
        <v>1000</v>
      </c>
      <c r="F109" s="67"/>
      <c r="G109" s="67"/>
      <c r="H109" s="67"/>
      <c r="I109" s="67"/>
      <c r="J109" s="67"/>
      <c r="K109" s="67"/>
      <c r="L109" s="67"/>
      <c r="M109" s="67"/>
      <c r="N109" s="67"/>
      <c r="O109" s="67"/>
      <c r="P109" s="67"/>
      <c r="Q109" s="3" t="s">
        <v>1211</v>
      </c>
      <c r="R109" s="3"/>
      <c r="S109" s="3"/>
    </row>
    <row r="110" spans="1:19" x14ac:dyDescent="0.25">
      <c r="A110" s="4"/>
      <c r="B110" s="68"/>
      <c r="C110" s="68" t="s">
        <v>208</v>
      </c>
      <c r="D110" s="4" t="s">
        <v>896</v>
      </c>
      <c r="E110" s="25" t="str">
        <f t="shared" ref="E110" si="15">Get_Machine_Spec("machine_max_acceleration_extruding")</f>
        <v>1000</v>
      </c>
      <c r="F110" s="68"/>
      <c r="G110" s="68"/>
      <c r="H110" s="68"/>
      <c r="I110" s="68"/>
      <c r="J110" s="68"/>
      <c r="K110" s="68"/>
      <c r="L110" s="68"/>
      <c r="M110" s="68"/>
      <c r="N110" s="68"/>
      <c r="O110" s="68"/>
      <c r="P110" s="68"/>
      <c r="Q110" s="4" t="s">
        <v>1212</v>
      </c>
      <c r="R110" s="4"/>
      <c r="S110" s="4"/>
    </row>
    <row r="111" spans="1:19" x14ac:dyDescent="0.25">
      <c r="A111" s="3"/>
      <c r="B111" s="67"/>
      <c r="C111" s="67" t="s">
        <v>208</v>
      </c>
      <c r="D111" s="3" t="s">
        <v>897</v>
      </c>
      <c r="E111" s="22" t="str">
        <f>"False"</f>
        <v>False</v>
      </c>
      <c r="F111" s="67"/>
      <c r="G111" s="67"/>
      <c r="H111" s="67"/>
      <c r="I111" s="67"/>
      <c r="J111" s="67"/>
      <c r="K111" s="67"/>
      <c r="L111" s="67"/>
      <c r="M111" s="67"/>
      <c r="N111" s="67"/>
      <c r="O111" s="67"/>
      <c r="P111" s="67"/>
      <c r="Q111" s="3" t="s">
        <v>1213</v>
      </c>
      <c r="R111" s="3"/>
      <c r="S111" s="3"/>
    </row>
    <row r="112" spans="1:19" x14ac:dyDescent="0.25">
      <c r="A112" s="4"/>
      <c r="B112" s="68"/>
      <c r="C112" s="68" t="s">
        <v>208</v>
      </c>
      <c r="D112" s="4" t="s">
        <v>898</v>
      </c>
      <c r="E112" s="25"/>
      <c r="F112" s="68"/>
      <c r="G112" s="68"/>
      <c r="H112" s="68"/>
      <c r="I112" s="68"/>
      <c r="J112" s="68"/>
      <c r="K112" s="68"/>
      <c r="L112" s="68"/>
      <c r="M112" s="68"/>
      <c r="N112" s="68"/>
      <c r="O112" s="68"/>
      <c r="P112" s="68"/>
      <c r="Q112" s="4" t="s">
        <v>1214</v>
      </c>
      <c r="R112" s="4"/>
      <c r="S112" s="4"/>
    </row>
    <row r="113" spans="1:19" x14ac:dyDescent="0.25">
      <c r="A113" s="3"/>
      <c r="B113" s="67"/>
      <c r="C113" s="67" t="s">
        <v>208</v>
      </c>
      <c r="D113" s="3" t="s">
        <v>899</v>
      </c>
      <c r="E113" s="22"/>
      <c r="F113" s="67"/>
      <c r="G113" s="67"/>
      <c r="H113" s="67"/>
      <c r="I113" s="67"/>
      <c r="J113" s="67"/>
      <c r="K113" s="67"/>
      <c r="L113" s="67"/>
      <c r="M113" s="67"/>
      <c r="N113" s="67"/>
      <c r="O113" s="67"/>
      <c r="P113" s="67"/>
      <c r="Q113" s="3" t="s">
        <v>1215</v>
      </c>
      <c r="R113" s="3"/>
      <c r="S113" s="3"/>
    </row>
    <row r="114" spans="1:19" x14ac:dyDescent="0.25">
      <c r="A114" s="4"/>
      <c r="B114" s="68"/>
      <c r="C114" s="68" t="s">
        <v>208</v>
      </c>
      <c r="D114" s="4" t="s">
        <v>900</v>
      </c>
      <c r="E114" s="25"/>
      <c r="F114" s="68"/>
      <c r="G114" s="68"/>
      <c r="H114" s="68"/>
      <c r="I114" s="68"/>
      <c r="J114" s="68"/>
      <c r="K114" s="68"/>
      <c r="L114" s="68"/>
      <c r="M114" s="68"/>
      <c r="N114" s="68"/>
      <c r="O114" s="68"/>
      <c r="P114" s="68"/>
      <c r="Q114" s="4" t="s">
        <v>1216</v>
      </c>
      <c r="R114" s="4"/>
      <c r="S114" s="4"/>
    </row>
    <row r="115" spans="1:19" x14ac:dyDescent="0.25">
      <c r="A115" s="6"/>
      <c r="B115" s="86" t="s">
        <v>1178</v>
      </c>
      <c r="C115" s="86"/>
      <c r="D115" s="6" t="s">
        <v>1179</v>
      </c>
      <c r="E115" s="34"/>
      <c r="F115" s="86"/>
      <c r="G115" s="86"/>
      <c r="H115" s="86"/>
      <c r="I115" s="86"/>
      <c r="J115" s="86"/>
      <c r="K115" s="86"/>
      <c r="L115" s="86"/>
      <c r="M115" s="86"/>
      <c r="N115" s="86"/>
      <c r="O115" s="86"/>
      <c r="P115" s="86"/>
      <c r="Q115" s="6"/>
      <c r="R115" s="6"/>
      <c r="S115" s="6"/>
    </row>
    <row r="116" spans="1:19" x14ac:dyDescent="0.25">
      <c r="A116" s="3"/>
      <c r="B116" s="67" t="s">
        <v>1180</v>
      </c>
      <c r="C116" s="67" t="s">
        <v>1218</v>
      </c>
      <c r="D116" s="3" t="s">
        <v>858</v>
      </c>
      <c r="E116" s="22" t="str">
        <f>IF(VALUE(GetFilamentSpec($E$2,"filament_retract_length"))&gt;0,"True","False")</f>
        <v>True</v>
      </c>
      <c r="F116" s="67"/>
      <c r="G116" s="67"/>
      <c r="H116" s="67"/>
      <c r="I116" s="67"/>
      <c r="J116" s="67"/>
      <c r="K116" s="67"/>
      <c r="L116" s="67"/>
      <c r="M116" s="67"/>
      <c r="N116" s="67"/>
      <c r="O116" s="67"/>
      <c r="P116" s="67"/>
      <c r="Q116" s="3" t="s">
        <v>859</v>
      </c>
      <c r="R116" s="3"/>
      <c r="S116" s="3"/>
    </row>
    <row r="117" spans="1:19" x14ac:dyDescent="0.25">
      <c r="A117" s="4"/>
      <c r="B117" s="68"/>
      <c r="C117" s="68" t="s">
        <v>1100</v>
      </c>
      <c r="D117" s="4" t="s">
        <v>860</v>
      </c>
      <c r="E117" s="25" t="str">
        <f>IF(VALUE(GetFilamentSpec($E$2,"filament_retract_layer_change")) &gt; 0,"True","False")</f>
        <v>True</v>
      </c>
      <c r="F117" s="68"/>
      <c r="G117" s="68"/>
      <c r="H117" s="68"/>
      <c r="I117" s="68"/>
      <c r="J117" s="68"/>
      <c r="K117" s="68"/>
      <c r="L117" s="68"/>
      <c r="M117" s="68"/>
      <c r="N117" s="68"/>
      <c r="O117" s="68"/>
      <c r="P117" s="68"/>
      <c r="Q117" s="4" t="s">
        <v>861</v>
      </c>
      <c r="R117" s="4"/>
      <c r="S117" s="4"/>
    </row>
    <row r="118" spans="1:19" x14ac:dyDescent="0.25">
      <c r="A118" s="3"/>
      <c r="B118" s="67"/>
      <c r="C118" s="67" t="s">
        <v>1218</v>
      </c>
      <c r="D118" s="3" t="s">
        <v>862</v>
      </c>
      <c r="E118" s="22" t="str">
        <f>GetFilamentSpec($E$2,"#filament_retract_length")</f>
        <v>0.8</v>
      </c>
      <c r="F118" s="67"/>
      <c r="G118" s="67"/>
      <c r="H118" s="67"/>
      <c r="I118" s="67"/>
      <c r="J118" s="67"/>
      <c r="K118" s="67"/>
      <c r="L118" s="67"/>
      <c r="M118" s="67"/>
      <c r="N118" s="67"/>
      <c r="O118" s="67"/>
      <c r="P118" s="67"/>
      <c r="Q118" s="3" t="s">
        <v>863</v>
      </c>
      <c r="R118" s="3"/>
      <c r="S118" s="3"/>
    </row>
    <row r="119" spans="1:19" x14ac:dyDescent="0.25">
      <c r="A119" s="4"/>
      <c r="B119" s="68"/>
      <c r="C119" s="68" t="s">
        <v>1218</v>
      </c>
      <c r="D119" s="4" t="s">
        <v>1181</v>
      </c>
      <c r="E119" s="25" t="str">
        <f>GetFilamentSpec($E$2,"filament_retract_speed")</f>
        <v>35</v>
      </c>
      <c r="F119" s="68"/>
      <c r="G119" s="68"/>
      <c r="H119" s="68"/>
      <c r="I119" s="68"/>
      <c r="J119" s="68"/>
      <c r="K119" s="68"/>
      <c r="L119" s="68"/>
      <c r="M119" s="68"/>
      <c r="N119" s="68"/>
      <c r="O119" s="68"/>
      <c r="P119" s="68"/>
      <c r="Q119" s="4" t="s">
        <v>1208</v>
      </c>
      <c r="R119" s="4"/>
      <c r="S119" s="4"/>
    </row>
    <row r="120" spans="1:19" x14ac:dyDescent="0.25">
      <c r="A120" s="3"/>
      <c r="B120" s="67"/>
      <c r="C120" s="67" t="s">
        <v>1218</v>
      </c>
      <c r="D120" s="3" t="s">
        <v>864</v>
      </c>
      <c r="E120" s="22" t="str">
        <f>GetFilamentSpec($E$2,"filament_retract_speed")</f>
        <v>35</v>
      </c>
      <c r="F120" s="67"/>
      <c r="G120" s="67"/>
      <c r="H120" s="67"/>
      <c r="I120" s="67"/>
      <c r="J120" s="67"/>
      <c r="K120" s="67"/>
      <c r="L120" s="67"/>
      <c r="M120" s="67"/>
      <c r="N120" s="67"/>
      <c r="O120" s="67"/>
      <c r="P120" s="67"/>
      <c r="Q120" s="3" t="s">
        <v>865</v>
      </c>
      <c r="R120" s="3"/>
      <c r="S120" s="3"/>
    </row>
    <row r="121" spans="1:19" x14ac:dyDescent="0.25">
      <c r="A121" s="4"/>
      <c r="B121" s="68"/>
      <c r="C121" s="68" t="s">
        <v>1218</v>
      </c>
      <c r="D121" s="4" t="s">
        <v>866</v>
      </c>
      <c r="E121" s="25" t="str">
        <f>IF(VALUE(GetFilamentSpec($E$2,"filament_deretract_speed")) &gt; 0,GetFilamentSpec($E$2,"filament_deretract_speed"),"")</f>
        <v>25</v>
      </c>
      <c r="F121" s="68"/>
      <c r="G121" s="68"/>
      <c r="H121" s="68"/>
      <c r="I121" s="68"/>
      <c r="J121" s="68"/>
      <c r="K121" s="68"/>
      <c r="L121" s="68"/>
      <c r="M121" s="68"/>
      <c r="N121" s="68"/>
      <c r="O121" s="68"/>
      <c r="P121" s="68"/>
      <c r="Q121" s="4" t="s">
        <v>867</v>
      </c>
      <c r="R121" s="4"/>
      <c r="S121" s="4"/>
    </row>
    <row r="122" spans="1:19" x14ac:dyDescent="0.25">
      <c r="A122" s="3"/>
      <c r="B122" s="67"/>
      <c r="C122" s="67" t="s">
        <v>1100</v>
      </c>
      <c r="D122" s="3" t="s">
        <v>868</v>
      </c>
      <c r="E122" s="22" t="str">
        <f>IF(VALUE(GetFilamentSpec($E$2,"filament_retract_restart_extra")) &gt; 0,GetFilamentSpec($E$2,"filament_retract_restart_extra"),"")</f>
        <v/>
      </c>
      <c r="F122" s="67"/>
      <c r="G122" s="67"/>
      <c r="H122" s="67"/>
      <c r="I122" s="67"/>
      <c r="J122" s="67"/>
      <c r="K122" s="67"/>
      <c r="L122" s="67"/>
      <c r="M122" s="67"/>
      <c r="N122" s="67"/>
      <c r="O122" s="67"/>
      <c r="P122" s="67"/>
      <c r="Q122" s="3" t="s">
        <v>869</v>
      </c>
      <c r="R122" s="3"/>
      <c r="S122" s="3"/>
    </row>
    <row r="123" spans="1:19" x14ac:dyDescent="0.25">
      <c r="A123" s="4"/>
      <c r="B123" s="68"/>
      <c r="C123" s="68" t="s">
        <v>1100</v>
      </c>
      <c r="D123" s="4" t="s">
        <v>870</v>
      </c>
      <c r="E123" s="25"/>
      <c r="F123" s="68"/>
      <c r="G123" s="68"/>
      <c r="H123" s="68"/>
      <c r="I123" s="68"/>
      <c r="J123" s="68"/>
      <c r="K123" s="68"/>
      <c r="L123" s="68"/>
      <c r="M123" s="68"/>
      <c r="N123" s="68"/>
      <c r="O123" s="68"/>
      <c r="P123" s="68"/>
      <c r="Q123" s="4" t="s">
        <v>871</v>
      </c>
      <c r="R123" s="4"/>
      <c r="S123" s="4"/>
    </row>
    <row r="124" spans="1:19" x14ac:dyDescent="0.25">
      <c r="A124" s="3"/>
      <c r="B124" s="67"/>
      <c r="C124" s="67" t="s">
        <v>1100</v>
      </c>
      <c r="D124" s="3" t="s">
        <v>872</v>
      </c>
      <c r="E124" s="22"/>
      <c r="F124" s="67"/>
      <c r="G124" s="67"/>
      <c r="H124" s="67"/>
      <c r="I124" s="67"/>
      <c r="J124" s="67"/>
      <c r="K124" s="67"/>
      <c r="L124" s="67"/>
      <c r="M124" s="67"/>
      <c r="N124" s="67"/>
      <c r="O124" s="67"/>
      <c r="P124" s="67"/>
      <c r="Q124" s="3" t="s">
        <v>873</v>
      </c>
      <c r="R124" s="3"/>
      <c r="S124" s="3"/>
    </row>
    <row r="125" spans="1:19" x14ac:dyDescent="0.25">
      <c r="A125" s="4"/>
      <c r="B125" s="68"/>
      <c r="C125" s="68" t="s">
        <v>1100</v>
      </c>
      <c r="D125" s="4" t="s">
        <v>874</v>
      </c>
      <c r="E125" s="25"/>
      <c r="F125" s="68"/>
      <c r="G125" s="68"/>
      <c r="H125" s="68"/>
      <c r="I125" s="68"/>
      <c r="J125" s="68"/>
      <c r="K125" s="68"/>
      <c r="L125" s="68"/>
      <c r="M125" s="68"/>
      <c r="N125" s="68"/>
      <c r="O125" s="68"/>
      <c r="P125" s="68"/>
      <c r="Q125" s="4" t="s">
        <v>875</v>
      </c>
      <c r="R125" s="4"/>
      <c r="S125" s="4"/>
    </row>
    <row r="126" spans="1:19" x14ac:dyDescent="0.25">
      <c r="A126" s="3"/>
      <c r="B126" s="67"/>
      <c r="C126" s="67" t="s">
        <v>208</v>
      </c>
      <c r="D126" s="3" t="s">
        <v>876</v>
      </c>
      <c r="E126" s="22"/>
      <c r="F126" s="67"/>
      <c r="G126" s="67"/>
      <c r="H126" s="67"/>
      <c r="I126" s="67"/>
      <c r="J126" s="67"/>
      <c r="K126" s="67"/>
      <c r="L126" s="67"/>
      <c r="M126" s="67"/>
      <c r="N126" s="67"/>
      <c r="O126" s="67"/>
      <c r="P126" s="67"/>
      <c r="Q126" s="3" t="s">
        <v>877</v>
      </c>
      <c r="R126" s="3"/>
      <c r="S126" s="3"/>
    </row>
    <row r="127" spans="1:19" x14ac:dyDescent="0.25">
      <c r="A127" s="4"/>
      <c r="B127" s="68"/>
      <c r="C127" s="68" t="s">
        <v>1218</v>
      </c>
      <c r="D127" s="4" t="s">
        <v>1085</v>
      </c>
      <c r="E127" s="25" t="str">
        <f>GetFilamentSpec($E$2,"#filament_pressure_advance")</f>
        <v>0</v>
      </c>
      <c r="F127" s="68"/>
      <c r="G127" s="68"/>
      <c r="H127" s="68"/>
      <c r="I127" s="68"/>
      <c r="J127" s="68"/>
      <c r="K127" s="68"/>
      <c r="L127" s="68"/>
      <c r="M127" s="68"/>
      <c r="N127" s="68"/>
      <c r="O127" s="68"/>
      <c r="P127" s="68"/>
      <c r="Q127" s="4"/>
      <c r="R127" s="4"/>
      <c r="S127" s="4"/>
    </row>
    <row r="128" spans="1:19" x14ac:dyDescent="0.25">
      <c r="A128" s="3"/>
      <c r="B128" s="67"/>
      <c r="C128" s="67" t="s">
        <v>1218</v>
      </c>
      <c r="D128" s="3" t="s">
        <v>1086</v>
      </c>
      <c r="E128" s="22" t="str">
        <f>GetFilamentSpec($E$2,"#filament_z_offset")</f>
        <v>0</v>
      </c>
      <c r="F128" s="67"/>
      <c r="G128" s="67"/>
      <c r="H128" s="67"/>
      <c r="I128" s="67"/>
      <c r="J128" s="67"/>
      <c r="K128" s="67"/>
      <c r="L128" s="67"/>
      <c r="M128" s="67"/>
      <c r="N128" s="67"/>
      <c r="O128" s="67"/>
      <c r="P128" s="67"/>
      <c r="Q128" s="3"/>
      <c r="R128" s="3"/>
      <c r="S128" s="3"/>
    </row>
    <row r="129" spans="1:19" x14ac:dyDescent="0.25">
      <c r="A129" s="4"/>
      <c r="B129" s="68" t="s">
        <v>1177</v>
      </c>
      <c r="C129" s="68" t="s">
        <v>1218</v>
      </c>
      <c r="D129" s="4" t="s">
        <v>901</v>
      </c>
      <c r="E129" s="25" t="str">
        <f>GetFilamentSpec($E$2,"#filament_combingmode")</f>
        <v>off</v>
      </c>
      <c r="F129" s="68"/>
      <c r="G129" s="68"/>
      <c r="H129" s="68"/>
      <c r="I129" s="68"/>
      <c r="J129" s="68"/>
      <c r="K129" s="68"/>
      <c r="L129" s="68"/>
      <c r="M129" s="68"/>
      <c r="N129" s="68"/>
      <c r="O129" s="68"/>
      <c r="P129" s="68"/>
      <c r="Q129" s="4" t="s">
        <v>902</v>
      </c>
      <c r="R129" s="4"/>
      <c r="S129" s="4"/>
    </row>
    <row r="130" spans="1:19" x14ac:dyDescent="0.25">
      <c r="A130" s="3"/>
      <c r="B130" s="67"/>
      <c r="C130" s="67" t="s">
        <v>1100</v>
      </c>
      <c r="D130" s="3" t="s">
        <v>903</v>
      </c>
      <c r="E130" s="22">
        <v>20</v>
      </c>
      <c r="F130" s="67"/>
      <c r="G130" s="67"/>
      <c r="H130" s="67"/>
      <c r="I130" s="67"/>
      <c r="J130" s="67"/>
      <c r="K130" s="67"/>
      <c r="L130" s="67"/>
      <c r="M130" s="67"/>
      <c r="N130" s="67"/>
      <c r="O130" s="67"/>
      <c r="P130" s="67"/>
      <c r="Q130" s="3" t="s">
        <v>904</v>
      </c>
      <c r="R130" s="3"/>
      <c r="S130" s="3"/>
    </row>
    <row r="131" spans="1:19" x14ac:dyDescent="0.25">
      <c r="A131" s="4"/>
      <c r="B131" s="68"/>
      <c r="C131" s="68" t="s">
        <v>1100</v>
      </c>
      <c r="D131" s="4" t="s">
        <v>905</v>
      </c>
      <c r="E131" s="25" t="str">
        <f>"False"</f>
        <v>False</v>
      </c>
      <c r="F131" s="68"/>
      <c r="G131" s="68"/>
      <c r="H131" s="68"/>
      <c r="I131" s="68"/>
      <c r="J131" s="68"/>
      <c r="K131" s="68"/>
      <c r="L131" s="68"/>
      <c r="M131" s="68"/>
      <c r="N131" s="68"/>
      <c r="O131" s="68"/>
      <c r="P131" s="68"/>
      <c r="Q131" s="4" t="s">
        <v>906</v>
      </c>
      <c r="R131" s="4"/>
      <c r="S131" s="4"/>
    </row>
    <row r="132" spans="1:19" x14ac:dyDescent="0.25">
      <c r="A132" s="3"/>
      <c r="B132" s="67"/>
      <c r="C132" s="67" t="s">
        <v>1100</v>
      </c>
      <c r="D132" s="3" t="s">
        <v>907</v>
      </c>
      <c r="E132" s="22" t="str">
        <f>"True"</f>
        <v>True</v>
      </c>
      <c r="F132" s="67"/>
      <c r="G132" s="67"/>
      <c r="H132" s="67"/>
      <c r="I132" s="67"/>
      <c r="J132" s="67"/>
      <c r="K132" s="67"/>
      <c r="L132" s="67"/>
      <c r="M132" s="67"/>
      <c r="N132" s="67"/>
      <c r="O132" s="67"/>
      <c r="P132" s="67"/>
      <c r="Q132" s="3" t="s">
        <v>908</v>
      </c>
      <c r="R132" s="3"/>
      <c r="S132" s="3"/>
    </row>
    <row r="133" spans="1:19" x14ac:dyDescent="0.25">
      <c r="A133" s="4"/>
      <c r="B133" s="68"/>
      <c r="C133" s="68" t="s">
        <v>1100</v>
      </c>
      <c r="D133" s="4" t="s">
        <v>909</v>
      </c>
      <c r="E133" s="25" t="str">
        <f>"False"</f>
        <v>False</v>
      </c>
      <c r="F133" s="68"/>
      <c r="G133" s="68"/>
      <c r="H133" s="68"/>
      <c r="I133" s="68"/>
      <c r="J133" s="68"/>
      <c r="K133" s="68"/>
      <c r="L133" s="68"/>
      <c r="M133" s="68"/>
      <c r="N133" s="68"/>
      <c r="O133" s="68"/>
      <c r="P133" s="68"/>
      <c r="Q133" s="4" t="s">
        <v>910</v>
      </c>
      <c r="R133" s="4"/>
      <c r="S133" s="4"/>
    </row>
    <row r="134" spans="1:19" x14ac:dyDescent="0.25">
      <c r="A134" s="3"/>
      <c r="B134" s="67"/>
      <c r="C134" s="67" t="s">
        <v>1100</v>
      </c>
      <c r="D134" s="3" t="s">
        <v>1228</v>
      </c>
      <c r="E134" s="22"/>
      <c r="F134" s="67"/>
      <c r="G134" s="67"/>
      <c r="H134" s="67"/>
      <c r="I134" s="67"/>
      <c r="J134" s="67"/>
      <c r="K134" s="67"/>
      <c r="L134" s="67"/>
      <c r="M134" s="67"/>
      <c r="N134" s="67"/>
      <c r="O134" s="67"/>
      <c r="P134" s="67"/>
      <c r="Q134" s="3" t="s">
        <v>1229</v>
      </c>
      <c r="R134" s="3"/>
      <c r="S134" s="3"/>
    </row>
    <row r="135" spans="1:19" x14ac:dyDescent="0.25">
      <c r="A135" s="4"/>
      <c r="B135" s="68"/>
      <c r="C135" s="68" t="s">
        <v>1218</v>
      </c>
      <c r="D135" s="4" t="s">
        <v>911</v>
      </c>
      <c r="E135" s="25" t="str">
        <f>IF(VALUE(GetFilamentSpec($E$2,"filament_retract_lift")) &gt; 0,"True","False")</f>
        <v>False</v>
      </c>
      <c r="F135" s="68"/>
      <c r="G135" s="68"/>
      <c r="H135" s="68"/>
      <c r="I135" s="68"/>
      <c r="J135" s="68"/>
      <c r="K135" s="68"/>
      <c r="L135" s="68"/>
      <c r="M135" s="68"/>
      <c r="N135" s="68"/>
      <c r="O135" s="68"/>
      <c r="P135" s="68"/>
      <c r="Q135" s="4" t="s">
        <v>912</v>
      </c>
      <c r="R135" s="4"/>
      <c r="S135" s="4"/>
    </row>
    <row r="136" spans="1:19" x14ac:dyDescent="0.25">
      <c r="A136" s="3"/>
      <c r="B136" s="67"/>
      <c r="C136" s="67" t="s">
        <v>1218</v>
      </c>
      <c r="D136" s="3" t="s">
        <v>913</v>
      </c>
      <c r="E136" s="22" t="str">
        <f>"True"</f>
        <v>True</v>
      </c>
      <c r="F136" s="67"/>
      <c r="G136" s="67"/>
      <c r="H136" s="67"/>
      <c r="I136" s="67"/>
      <c r="J136" s="67"/>
      <c r="K136" s="67"/>
      <c r="L136" s="67"/>
      <c r="M136" s="67"/>
      <c r="N136" s="67"/>
      <c r="O136" s="67"/>
      <c r="P136" s="67"/>
      <c r="Q136" s="3" t="s">
        <v>914</v>
      </c>
      <c r="R136" s="3"/>
      <c r="S136" s="3"/>
    </row>
    <row r="137" spans="1:19" x14ac:dyDescent="0.25">
      <c r="A137" s="4"/>
      <c r="B137" s="68"/>
      <c r="C137" s="68" t="s">
        <v>1218</v>
      </c>
      <c r="D137" s="4" t="s">
        <v>915</v>
      </c>
      <c r="E137" s="25" t="str">
        <f>IF(VALUE(GetFilamentSpec($E$2,"filament_retract_lift"))&gt; 0,GetFilamentSpec($E$2,"filament_retract_lift"),"=layer_height*2")</f>
        <v>=layer_height*2</v>
      </c>
      <c r="F137" s="68"/>
      <c r="G137" s="68"/>
      <c r="H137" s="68"/>
      <c r="I137" s="68"/>
      <c r="J137" s="68"/>
      <c r="K137" s="68"/>
      <c r="L137" s="68"/>
      <c r="M137" s="68"/>
      <c r="N137" s="68"/>
      <c r="O137" s="68"/>
      <c r="P137" s="68"/>
      <c r="Q137" s="4" t="s">
        <v>916</v>
      </c>
      <c r="R137" s="4"/>
      <c r="S137" s="4"/>
    </row>
    <row r="138" spans="1:19" x14ac:dyDescent="0.25">
      <c r="A138" s="3"/>
      <c r="B138" s="67" t="s">
        <v>112</v>
      </c>
      <c r="C138" s="67" t="s">
        <v>1218</v>
      </c>
      <c r="D138" s="3" t="s">
        <v>917</v>
      </c>
      <c r="E138" s="22" t="str">
        <f>IF(VALUE(GetFilamentSpec($E$2,"fan_always_on")) &gt; 0,"True","False")</f>
        <v>False</v>
      </c>
      <c r="F138" s="67"/>
      <c r="G138" s="67"/>
      <c r="H138" s="67"/>
      <c r="I138" s="67"/>
      <c r="J138" s="67"/>
      <c r="K138" s="67"/>
      <c r="L138" s="67"/>
      <c r="M138" s="67"/>
      <c r="N138" s="67"/>
      <c r="O138" s="67"/>
      <c r="P138" s="67"/>
      <c r="Q138" s="3" t="s">
        <v>918</v>
      </c>
      <c r="R138" s="3"/>
      <c r="S138" s="3"/>
    </row>
    <row r="139" spans="1:19" x14ac:dyDescent="0.25">
      <c r="A139" s="4"/>
      <c r="B139" s="68"/>
      <c r="C139" s="68" t="s">
        <v>1218</v>
      </c>
      <c r="D139" s="4" t="s">
        <v>919</v>
      </c>
      <c r="E139" s="25">
        <f>GetFilamentSpec($E$2,"min_fan_speed")*100</f>
        <v>0</v>
      </c>
      <c r="F139" s="68"/>
      <c r="G139" s="68"/>
      <c r="H139" s="68"/>
      <c r="I139" s="68"/>
      <c r="J139" s="68"/>
      <c r="K139" s="68"/>
      <c r="L139" s="68"/>
      <c r="M139" s="68"/>
      <c r="N139" s="68"/>
      <c r="O139" s="68"/>
      <c r="P139" s="68"/>
      <c r="Q139" s="4" t="s">
        <v>920</v>
      </c>
      <c r="R139" s="4"/>
      <c r="S139" s="4"/>
    </row>
    <row r="140" spans="1:19" x14ac:dyDescent="0.25">
      <c r="A140" s="3"/>
      <c r="B140" s="67"/>
      <c r="C140" s="67" t="s">
        <v>1218</v>
      </c>
      <c r="D140" s="3" t="s">
        <v>921</v>
      </c>
      <c r="E140" s="22">
        <f>GetFilamentSpec($E$2,"min_fan_speed")*100</f>
        <v>0</v>
      </c>
      <c r="F140" s="67"/>
      <c r="G140" s="67"/>
      <c r="H140" s="67"/>
      <c r="I140" s="67"/>
      <c r="J140" s="67"/>
      <c r="K140" s="67"/>
      <c r="L140" s="67"/>
      <c r="M140" s="67"/>
      <c r="N140" s="67"/>
      <c r="O140" s="67"/>
      <c r="P140" s="67"/>
      <c r="Q140" s="3" t="s">
        <v>922</v>
      </c>
      <c r="R140" s="3"/>
      <c r="S140" s="3"/>
    </row>
    <row r="141" spans="1:19" x14ac:dyDescent="0.25">
      <c r="A141" s="4"/>
      <c r="B141" s="68"/>
      <c r="C141" s="68" t="s">
        <v>1218</v>
      </c>
      <c r="D141" s="4" t="s">
        <v>923</v>
      </c>
      <c r="E141" s="25">
        <f>GetFilamentSpec($E$2,"max_fan_speed")*100</f>
        <v>0</v>
      </c>
      <c r="F141" s="68"/>
      <c r="G141" s="68"/>
      <c r="H141" s="68"/>
      <c r="I141" s="68"/>
      <c r="J141" s="68"/>
      <c r="K141" s="68"/>
      <c r="L141" s="68"/>
      <c r="M141" s="68"/>
      <c r="N141" s="68"/>
      <c r="O141" s="68"/>
      <c r="P141" s="68"/>
      <c r="Q141" s="4" t="s">
        <v>924</v>
      </c>
      <c r="R141" s="4"/>
      <c r="S141" s="4"/>
    </row>
    <row r="142" spans="1:19" x14ac:dyDescent="0.25">
      <c r="A142" s="3"/>
      <c r="B142" s="67"/>
      <c r="C142" s="67" t="s">
        <v>1218</v>
      </c>
      <c r="D142" s="3" t="s">
        <v>925</v>
      </c>
      <c r="E142" s="22" t="str">
        <f>GetFilamentSpec($E$2,"fan_below_layer_time")</f>
        <v>20</v>
      </c>
      <c r="F142" s="67"/>
      <c r="G142" s="67"/>
      <c r="H142" s="67"/>
      <c r="I142" s="67"/>
      <c r="J142" s="67"/>
      <c r="K142" s="67"/>
      <c r="L142" s="67"/>
      <c r="M142" s="67"/>
      <c r="N142" s="67"/>
      <c r="O142" s="67"/>
      <c r="P142" s="67"/>
      <c r="Q142" s="3" t="s">
        <v>926</v>
      </c>
      <c r="R142" s="3"/>
      <c r="S142" s="3"/>
    </row>
    <row r="143" spans="1:19" x14ac:dyDescent="0.25">
      <c r="A143" s="4"/>
      <c r="B143" s="68"/>
      <c r="C143" s="68" t="s">
        <v>1218</v>
      </c>
      <c r="D143" s="4" t="s">
        <v>927</v>
      </c>
      <c r="E143" s="25"/>
      <c r="F143" s="68"/>
      <c r="G143" s="68"/>
      <c r="H143" s="68"/>
      <c r="I143" s="68"/>
      <c r="J143" s="68"/>
      <c r="K143" s="68"/>
      <c r="L143" s="68"/>
      <c r="M143" s="68"/>
      <c r="N143" s="68"/>
      <c r="O143" s="68"/>
      <c r="P143" s="68"/>
      <c r="Q143" s="4" t="s">
        <v>928</v>
      </c>
      <c r="R143" s="4"/>
      <c r="S143" s="4"/>
    </row>
    <row r="144" spans="1:19" x14ac:dyDescent="0.25">
      <c r="A144" s="3"/>
      <c r="B144" s="67"/>
      <c r="C144" s="67" t="s">
        <v>1218</v>
      </c>
      <c r="D144" s="3" t="s">
        <v>929</v>
      </c>
      <c r="E144" s="22"/>
      <c r="F144" s="67"/>
      <c r="G144" s="67"/>
      <c r="H144" s="67"/>
      <c r="I144" s="67"/>
      <c r="J144" s="67"/>
      <c r="K144" s="67"/>
      <c r="L144" s="67"/>
      <c r="M144" s="67"/>
      <c r="N144" s="67"/>
      <c r="O144" s="67"/>
      <c r="P144" s="67"/>
      <c r="Q144" s="3" t="s">
        <v>930</v>
      </c>
      <c r="R144" s="3"/>
      <c r="S144" s="3"/>
    </row>
    <row r="145" spans="1:19" x14ac:dyDescent="0.25">
      <c r="A145" s="4"/>
      <c r="B145" s="68"/>
      <c r="C145" s="68" t="s">
        <v>1218</v>
      </c>
      <c r="D145" s="4" t="s">
        <v>931</v>
      </c>
      <c r="E145" s="25">
        <f>GetFilamentSpec($E$2,"disable_fan_first_layers")+1</f>
        <v>4</v>
      </c>
      <c r="F145" s="68"/>
      <c r="G145" s="68"/>
      <c r="H145" s="68"/>
      <c r="I145" s="68"/>
      <c r="J145" s="68"/>
      <c r="K145" s="68"/>
      <c r="L145" s="68"/>
      <c r="M145" s="68"/>
      <c r="N145" s="68"/>
      <c r="O145" s="68"/>
      <c r="P145" s="68"/>
      <c r="Q145" s="4" t="s">
        <v>932</v>
      </c>
      <c r="R145" s="4"/>
      <c r="S145" s="4"/>
    </row>
    <row r="146" spans="1:19" x14ac:dyDescent="0.25">
      <c r="A146" s="3"/>
      <c r="B146" s="67"/>
      <c r="C146" s="67" t="s">
        <v>1218</v>
      </c>
      <c r="D146" s="3" t="s">
        <v>933</v>
      </c>
      <c r="E146" s="22" t="str">
        <f>GetFilamentSpec($E$2,"slowdown_below_layer_time")</f>
        <v>15</v>
      </c>
      <c r="F146" s="67"/>
      <c r="G146" s="67"/>
      <c r="H146" s="67"/>
      <c r="I146" s="67"/>
      <c r="J146" s="67"/>
      <c r="K146" s="67"/>
      <c r="L146" s="67"/>
      <c r="M146" s="67"/>
      <c r="N146" s="67"/>
      <c r="O146" s="67"/>
      <c r="P146" s="67"/>
      <c r="Q146" s="3" t="s">
        <v>934</v>
      </c>
      <c r="R146" s="3"/>
      <c r="S146" s="3"/>
    </row>
    <row r="147" spans="1:19" x14ac:dyDescent="0.25">
      <c r="A147" s="4"/>
      <c r="B147" s="68"/>
      <c r="C147" s="68" t="s">
        <v>1100</v>
      </c>
      <c r="D147" s="4" t="s">
        <v>935</v>
      </c>
      <c r="E147" s="25" t="str">
        <f>GetFilamentSpec($E$2,"min_print_speed")</f>
        <v>15</v>
      </c>
      <c r="F147" s="68"/>
      <c r="G147" s="68"/>
      <c r="H147" s="68"/>
      <c r="I147" s="68"/>
      <c r="J147" s="68"/>
      <c r="K147" s="68"/>
      <c r="L147" s="68"/>
      <c r="M147" s="68"/>
      <c r="N147" s="68"/>
      <c r="O147" s="68"/>
      <c r="P147" s="68"/>
      <c r="Q147" s="4" t="s">
        <v>936</v>
      </c>
      <c r="R147" s="4"/>
      <c r="S147" s="4"/>
    </row>
    <row r="148" spans="1:19" x14ac:dyDescent="0.25">
      <c r="A148" s="3"/>
      <c r="B148" s="67"/>
      <c r="C148" s="67" t="s">
        <v>208</v>
      </c>
      <c r="D148" s="3" t="s">
        <v>937</v>
      </c>
      <c r="E148" s="22" t="str">
        <f>"False"</f>
        <v>False</v>
      </c>
      <c r="F148" s="67"/>
      <c r="G148" s="67"/>
      <c r="H148" s="67"/>
      <c r="I148" s="67"/>
      <c r="J148" s="67"/>
      <c r="K148" s="67"/>
      <c r="L148" s="67"/>
      <c r="M148" s="67"/>
      <c r="N148" s="67"/>
      <c r="O148" s="67"/>
      <c r="P148" s="67"/>
      <c r="Q148" s="3" t="s">
        <v>938</v>
      </c>
      <c r="R148" s="3"/>
      <c r="S148" s="3"/>
    </row>
    <row r="149" spans="1:19" x14ac:dyDescent="0.25">
      <c r="A149" s="4"/>
      <c r="B149" s="68" t="s">
        <v>1182</v>
      </c>
      <c r="C149" s="68" t="s">
        <v>1217</v>
      </c>
      <c r="D149" s="4" t="s">
        <v>939</v>
      </c>
      <c r="E149" s="25" t="str">
        <f>"True"</f>
        <v>True</v>
      </c>
      <c r="F149" s="68"/>
      <c r="G149" s="68"/>
      <c r="H149" s="68"/>
      <c r="I149" s="68"/>
      <c r="J149" s="68"/>
      <c r="K149" s="68"/>
      <c r="L149" s="68"/>
      <c r="M149" s="68"/>
      <c r="N149" s="68"/>
      <c r="O149" s="68"/>
      <c r="P149" s="68"/>
      <c r="Q149" s="4" t="s">
        <v>940</v>
      </c>
      <c r="R149" s="4"/>
      <c r="S149" s="4"/>
    </row>
    <row r="150" spans="1:19" x14ac:dyDescent="0.25">
      <c r="A150" s="3"/>
      <c r="B150" s="67"/>
      <c r="C150" s="67" t="s">
        <v>1217</v>
      </c>
      <c r="D150" s="3" t="s">
        <v>1319</v>
      </c>
      <c r="E150" s="22" t="str">
        <f>"tree"</f>
        <v>tree</v>
      </c>
      <c r="F150" s="67"/>
      <c r="G150" s="67"/>
      <c r="H150" s="67"/>
      <c r="I150" s="67"/>
      <c r="J150" s="67"/>
      <c r="K150" s="67"/>
      <c r="L150" s="67"/>
      <c r="M150" s="67"/>
      <c r="N150" s="67"/>
      <c r="O150" s="67"/>
      <c r="P150" s="67"/>
      <c r="Q150" s="3" t="s">
        <v>1328</v>
      </c>
      <c r="R150" s="3"/>
      <c r="S150" s="3"/>
    </row>
    <row r="151" spans="1:19" x14ac:dyDescent="0.25">
      <c r="A151" s="4"/>
      <c r="B151" s="68"/>
      <c r="C151" s="68" t="s">
        <v>208</v>
      </c>
      <c r="D151" s="4" t="s">
        <v>1320</v>
      </c>
      <c r="E151" s="25"/>
      <c r="F151" s="68"/>
      <c r="G151" s="68"/>
      <c r="H151" s="68"/>
      <c r="I151" s="68"/>
      <c r="J151" s="68"/>
      <c r="K151" s="68"/>
      <c r="L151" s="68"/>
      <c r="M151" s="68"/>
      <c r="N151" s="68"/>
      <c r="O151" s="68"/>
      <c r="P151" s="68"/>
      <c r="Q151" s="4" t="s">
        <v>1327</v>
      </c>
      <c r="R151" s="4"/>
      <c r="S151" s="4"/>
    </row>
    <row r="152" spans="1:19" x14ac:dyDescent="0.25">
      <c r="A152" s="3"/>
      <c r="B152" s="67"/>
      <c r="C152" s="67" t="s">
        <v>208</v>
      </c>
      <c r="D152" s="3" t="s">
        <v>1014</v>
      </c>
      <c r="E152" s="22"/>
      <c r="F152" s="67"/>
      <c r="G152" s="67"/>
      <c r="H152" s="67"/>
      <c r="I152" s="67"/>
      <c r="J152" s="67"/>
      <c r="K152" s="67"/>
      <c r="L152" s="67"/>
      <c r="M152" s="67"/>
      <c r="N152" s="67"/>
      <c r="O152" s="67"/>
      <c r="P152" s="67"/>
      <c r="Q152" s="3" t="s">
        <v>1015</v>
      </c>
      <c r="R152" s="3"/>
      <c r="S152" s="3"/>
    </row>
    <row r="153" spans="1:19" x14ac:dyDescent="0.25">
      <c r="A153" s="4"/>
      <c r="B153" s="68"/>
      <c r="C153" s="68" t="s">
        <v>1217</v>
      </c>
      <c r="D153" s="4" t="s">
        <v>941</v>
      </c>
      <c r="E153" s="25" t="s">
        <v>942</v>
      </c>
      <c r="F153" s="68"/>
      <c r="G153" s="68"/>
      <c r="H153" s="68"/>
      <c r="I153" s="68"/>
      <c r="J153" s="68"/>
      <c r="K153" s="68"/>
      <c r="L153" s="68"/>
      <c r="M153" s="68"/>
      <c r="N153" s="68"/>
      <c r="O153" s="68"/>
      <c r="P153" s="68"/>
      <c r="Q153" s="4" t="s">
        <v>943</v>
      </c>
      <c r="R153" s="4"/>
      <c r="S153" s="4"/>
    </row>
    <row r="154" spans="1:19" x14ac:dyDescent="0.25">
      <c r="A154" s="3"/>
      <c r="B154" s="67"/>
      <c r="C154" s="67" t="s">
        <v>208</v>
      </c>
      <c r="D154" s="3" t="s">
        <v>944</v>
      </c>
      <c r="E154" s="85" t="s">
        <v>1107</v>
      </c>
      <c r="F154" s="67"/>
      <c r="G154" s="67"/>
      <c r="H154" s="67"/>
      <c r="I154" s="67"/>
      <c r="J154" s="67"/>
      <c r="K154" s="67"/>
      <c r="L154" s="67"/>
      <c r="M154" s="67"/>
      <c r="N154" s="67"/>
      <c r="O154" s="67"/>
      <c r="P154" s="67"/>
      <c r="Q154" s="3" t="s">
        <v>945</v>
      </c>
      <c r="R154" s="3"/>
      <c r="S154" s="3"/>
    </row>
    <row r="155" spans="1:19" x14ac:dyDescent="0.25">
      <c r="A155" s="4"/>
      <c r="B155" s="68"/>
      <c r="C155" s="68" t="s">
        <v>208</v>
      </c>
      <c r="D155" s="4" t="s">
        <v>1108</v>
      </c>
      <c r="E155" s="69" t="s">
        <v>791</v>
      </c>
      <c r="F155" s="68"/>
      <c r="G155" s="68"/>
      <c r="H155" s="68"/>
      <c r="I155" s="68"/>
      <c r="J155" s="68"/>
      <c r="K155" s="68"/>
      <c r="L155" s="68"/>
      <c r="M155" s="68"/>
      <c r="N155" s="68"/>
      <c r="O155" s="68"/>
      <c r="P155" s="68"/>
      <c r="Q155" s="4" t="s">
        <v>1207</v>
      </c>
      <c r="R155" s="4"/>
      <c r="S155" s="4"/>
    </row>
    <row r="156" spans="1:19" x14ac:dyDescent="0.25">
      <c r="A156" s="3"/>
      <c r="B156" s="67"/>
      <c r="C156" s="67" t="s">
        <v>208</v>
      </c>
      <c r="D156" s="3" t="s">
        <v>946</v>
      </c>
      <c r="E156" s="22">
        <v>1</v>
      </c>
      <c r="F156" s="67"/>
      <c r="G156" s="67"/>
      <c r="H156" s="67"/>
      <c r="I156" s="67"/>
      <c r="J156" s="67"/>
      <c r="K156" s="67"/>
      <c r="L156" s="67"/>
      <c r="M156" s="67"/>
      <c r="N156" s="67"/>
      <c r="O156" s="67"/>
      <c r="P156" s="67"/>
      <c r="Q156" s="3" t="s">
        <v>947</v>
      </c>
      <c r="R156" s="3"/>
      <c r="S156" s="3"/>
    </row>
    <row r="157" spans="1:19" x14ac:dyDescent="0.25">
      <c r="A157" s="4"/>
      <c r="B157" s="68"/>
      <c r="C157" s="68" t="s">
        <v>208</v>
      </c>
      <c r="D157" s="4" t="s">
        <v>948</v>
      </c>
      <c r="E157" s="25"/>
      <c r="F157" s="68"/>
      <c r="G157" s="68"/>
      <c r="H157" s="68"/>
      <c r="I157" s="68"/>
      <c r="J157" s="68"/>
      <c r="K157" s="68"/>
      <c r="L157" s="68"/>
      <c r="M157" s="68"/>
      <c r="N157" s="68"/>
      <c r="O157" s="68"/>
      <c r="P157" s="68"/>
      <c r="Q157" s="4" t="s">
        <v>949</v>
      </c>
      <c r="R157" s="4"/>
      <c r="S157" s="4"/>
    </row>
    <row r="158" spans="1:19" x14ac:dyDescent="0.25">
      <c r="A158" s="3"/>
      <c r="B158" s="67"/>
      <c r="C158" s="67" t="s">
        <v>208</v>
      </c>
      <c r="D158" s="3" t="s">
        <v>950</v>
      </c>
      <c r="E158" s="22"/>
      <c r="F158" s="67"/>
      <c r="G158" s="67"/>
      <c r="H158" s="67"/>
      <c r="I158" s="67"/>
      <c r="J158" s="67"/>
      <c r="K158" s="67"/>
      <c r="L158" s="67"/>
      <c r="M158" s="67"/>
      <c r="N158" s="67"/>
      <c r="O158" s="67"/>
      <c r="P158" s="67"/>
      <c r="Q158" s="3" t="s">
        <v>951</v>
      </c>
      <c r="R158" s="3"/>
      <c r="S158" s="3"/>
    </row>
    <row r="159" spans="1:19" x14ac:dyDescent="0.25">
      <c r="A159" s="4"/>
      <c r="B159" s="68"/>
      <c r="C159" s="68" t="s">
        <v>208</v>
      </c>
      <c r="D159" s="4" t="s">
        <v>952</v>
      </c>
      <c r="E159" s="69" t="str">
        <f>"=0 if support_tree_enable else 15"</f>
        <v>=0 if support_tree_enable else 15</v>
      </c>
      <c r="F159" s="68"/>
      <c r="G159" s="68"/>
      <c r="H159" s="68"/>
      <c r="I159" s="68"/>
      <c r="J159" s="68"/>
      <c r="K159" s="68"/>
      <c r="L159" s="68"/>
      <c r="M159" s="68"/>
      <c r="N159" s="68"/>
      <c r="O159" s="68"/>
      <c r="P159" s="68"/>
      <c r="Q159" s="4" t="s">
        <v>953</v>
      </c>
      <c r="R159" s="4"/>
      <c r="S159" s="4"/>
    </row>
    <row r="160" spans="1:19" x14ac:dyDescent="0.25">
      <c r="A160" s="3"/>
      <c r="B160" s="67"/>
      <c r="C160" s="67" t="s">
        <v>208</v>
      </c>
      <c r="D160" s="3" t="s">
        <v>954</v>
      </c>
      <c r="E160" s="22" t="str">
        <f>"True"</f>
        <v>True</v>
      </c>
      <c r="F160" s="67"/>
      <c r="G160" s="67"/>
      <c r="H160" s="67"/>
      <c r="I160" s="67"/>
      <c r="J160" s="67"/>
      <c r="K160" s="67"/>
      <c r="L160" s="67"/>
      <c r="M160" s="67"/>
      <c r="N160" s="67"/>
      <c r="O160" s="67"/>
      <c r="P160" s="67"/>
      <c r="Q160" s="3" t="s">
        <v>955</v>
      </c>
      <c r="R160" s="3"/>
      <c r="S160" s="3"/>
    </row>
    <row r="161" spans="1:19" x14ac:dyDescent="0.25">
      <c r="A161" s="4"/>
      <c r="B161" s="68"/>
      <c r="C161" s="68" t="s">
        <v>208</v>
      </c>
      <c r="D161" s="4" t="s">
        <v>956</v>
      </c>
      <c r="E161" s="69" t="s">
        <v>1114</v>
      </c>
      <c r="F161" s="68"/>
      <c r="G161" s="68"/>
      <c r="H161" s="68"/>
      <c r="I161" s="68"/>
      <c r="J161" s="68"/>
      <c r="K161" s="68"/>
      <c r="L161" s="68"/>
      <c r="M161" s="68"/>
      <c r="N161" s="68"/>
      <c r="O161" s="68"/>
      <c r="P161" s="68"/>
      <c r="Q161" s="4" t="s">
        <v>957</v>
      </c>
      <c r="R161" s="4"/>
      <c r="S161" s="4"/>
    </row>
    <row r="162" spans="1:19" x14ac:dyDescent="0.25">
      <c r="A162" s="3"/>
      <c r="B162" s="67"/>
      <c r="C162" s="67" t="s">
        <v>208</v>
      </c>
      <c r="D162" s="3" t="s">
        <v>1183</v>
      </c>
      <c r="E162" s="85"/>
      <c r="F162" s="67"/>
      <c r="G162" s="67"/>
      <c r="H162" s="67"/>
      <c r="I162" s="67"/>
      <c r="J162" s="67"/>
      <c r="K162" s="67"/>
      <c r="L162" s="67"/>
      <c r="M162" s="67"/>
      <c r="N162" s="67"/>
      <c r="O162" s="67"/>
      <c r="P162" s="67"/>
      <c r="Q162" s="3" t="s">
        <v>1206</v>
      </c>
      <c r="R162" s="3"/>
      <c r="S162" s="3"/>
    </row>
    <row r="163" spans="1:19" x14ac:dyDescent="0.25">
      <c r="A163" s="4"/>
      <c r="B163" s="68"/>
      <c r="C163" s="68" t="s">
        <v>208</v>
      </c>
      <c r="D163" s="4" t="s">
        <v>958</v>
      </c>
      <c r="E163" s="69" t="s">
        <v>1111</v>
      </c>
      <c r="F163" s="25"/>
      <c r="G163" s="25"/>
      <c r="H163" s="25"/>
      <c r="I163" s="25"/>
      <c r="J163" s="25"/>
      <c r="K163" s="25"/>
      <c r="L163" s="25"/>
      <c r="M163" s="25"/>
      <c r="N163" s="25"/>
      <c r="O163" s="25"/>
      <c r="P163" s="25"/>
      <c r="Q163" s="4" t="s">
        <v>959</v>
      </c>
      <c r="R163" s="4"/>
      <c r="S163" s="4"/>
    </row>
    <row r="164" spans="1:19" x14ac:dyDescent="0.25">
      <c r="A164" s="3"/>
      <c r="B164" s="67"/>
      <c r="C164" s="67" t="s">
        <v>208</v>
      </c>
      <c r="D164" s="3" t="s">
        <v>1184</v>
      </c>
      <c r="E164" s="85"/>
      <c r="F164" s="22"/>
      <c r="G164" s="22"/>
      <c r="H164" s="22"/>
      <c r="I164" s="22"/>
      <c r="J164" s="22"/>
      <c r="K164" s="22"/>
      <c r="L164" s="22"/>
      <c r="M164" s="22"/>
      <c r="N164" s="22"/>
      <c r="O164" s="22"/>
      <c r="P164" s="22"/>
      <c r="Q164" s="3" t="s">
        <v>1204</v>
      </c>
      <c r="R164" s="3"/>
      <c r="S164" s="3"/>
    </row>
    <row r="165" spans="1:19" x14ac:dyDescent="0.25">
      <c r="A165" s="4"/>
      <c r="B165" s="68"/>
      <c r="C165" s="68" t="s">
        <v>208</v>
      </c>
      <c r="D165" s="4" t="s">
        <v>1185</v>
      </c>
      <c r="E165" s="69"/>
      <c r="F165" s="25"/>
      <c r="G165" s="25"/>
      <c r="H165" s="25"/>
      <c r="I165" s="25"/>
      <c r="J165" s="25"/>
      <c r="K165" s="25"/>
      <c r="L165" s="25"/>
      <c r="M165" s="25"/>
      <c r="N165" s="25"/>
      <c r="O165" s="25"/>
      <c r="P165" s="25"/>
      <c r="Q165" s="4" t="s">
        <v>1205</v>
      </c>
      <c r="R165" s="4"/>
      <c r="S165" s="4"/>
    </row>
    <row r="166" spans="1:19" x14ac:dyDescent="0.25">
      <c r="A166" s="3"/>
      <c r="B166" s="67"/>
      <c r="C166" s="67" t="s">
        <v>208</v>
      </c>
      <c r="D166" s="3" t="s">
        <v>960</v>
      </c>
      <c r="E166" s="85" t="s">
        <v>1109</v>
      </c>
      <c r="F166" s="67"/>
      <c r="G166" s="67"/>
      <c r="H166" s="67"/>
      <c r="I166" s="67"/>
      <c r="J166" s="67"/>
      <c r="K166" s="67"/>
      <c r="L166" s="67"/>
      <c r="M166" s="67"/>
      <c r="N166" s="67"/>
      <c r="O166" s="67"/>
      <c r="P166" s="67"/>
      <c r="Q166" s="3" t="s">
        <v>961</v>
      </c>
      <c r="R166" s="3"/>
      <c r="S166" s="3"/>
    </row>
    <row r="167" spans="1:19" x14ac:dyDescent="0.25">
      <c r="A167" s="4"/>
      <c r="B167" s="68"/>
      <c r="C167" s="68" t="s">
        <v>208</v>
      </c>
      <c r="D167" s="4" t="s">
        <v>1112</v>
      </c>
      <c r="E167" s="69" t="s">
        <v>1113</v>
      </c>
      <c r="F167" s="25"/>
      <c r="G167" s="25"/>
      <c r="H167" s="25"/>
      <c r="I167" s="25"/>
      <c r="J167" s="25"/>
      <c r="K167" s="25"/>
      <c r="L167" s="25"/>
      <c r="M167" s="25"/>
      <c r="N167" s="25"/>
      <c r="O167" s="25"/>
      <c r="P167" s="25"/>
      <c r="Q167" s="4" t="s">
        <v>1203</v>
      </c>
      <c r="R167" s="4"/>
      <c r="S167" s="4"/>
    </row>
    <row r="168" spans="1:19" x14ac:dyDescent="0.25">
      <c r="A168" s="3"/>
      <c r="B168" s="67"/>
      <c r="C168" s="67" t="s">
        <v>208</v>
      </c>
      <c r="D168" s="3" t="s">
        <v>962</v>
      </c>
      <c r="E168" s="85" t="s">
        <v>1110</v>
      </c>
      <c r="F168" s="67"/>
      <c r="G168" s="67"/>
      <c r="H168" s="67"/>
      <c r="I168" s="67"/>
      <c r="J168" s="67"/>
      <c r="K168" s="67"/>
      <c r="L168" s="67"/>
      <c r="M168" s="67"/>
      <c r="N168" s="67"/>
      <c r="O168" s="67"/>
      <c r="P168" s="67"/>
      <c r="Q168" s="3" t="s">
        <v>963</v>
      </c>
      <c r="R168" s="3"/>
      <c r="S168" s="3"/>
    </row>
    <row r="169" spans="1:19" x14ac:dyDescent="0.25">
      <c r="A169" s="4"/>
      <c r="B169" s="68"/>
      <c r="C169" s="68" t="s">
        <v>208</v>
      </c>
      <c r="D169" s="4" t="s">
        <v>1240</v>
      </c>
      <c r="E169" s="69">
        <v>0.3</v>
      </c>
      <c r="F169" s="4">
        <f>MAX(IF(F$13 &gt; 0.16,F$13,F$13*2),0.3)</f>
        <v>0.3</v>
      </c>
      <c r="G169" s="4">
        <f t="shared" ref="G169:P169" si="16">MAX(IF(G$13 &gt; 0.16,G$13,G$13*2),0.3)</f>
        <v>0.3</v>
      </c>
      <c r="H169" s="4">
        <f t="shared" si="16"/>
        <v>0.3</v>
      </c>
      <c r="I169" s="4">
        <f t="shared" si="16"/>
        <v>0.3</v>
      </c>
      <c r="J169" s="4">
        <f t="shared" si="16"/>
        <v>0.32</v>
      </c>
      <c r="K169" s="4">
        <f t="shared" si="16"/>
        <v>0.4</v>
      </c>
      <c r="L169" s="4">
        <f t="shared" si="16"/>
        <v>0.48</v>
      </c>
      <c r="M169" s="4">
        <f t="shared" si="16"/>
        <v>0.56000000000000005</v>
      </c>
      <c r="N169" s="4">
        <f t="shared" si="16"/>
        <v>0.64</v>
      </c>
      <c r="O169" s="4">
        <f t="shared" si="16"/>
        <v>0.72</v>
      </c>
      <c r="P169" s="4">
        <f t="shared" si="16"/>
        <v>0.8</v>
      </c>
      <c r="Q169" s="4" t="s">
        <v>1242</v>
      </c>
      <c r="R169" s="4"/>
      <c r="S169" s="4"/>
    </row>
    <row r="170" spans="1:19" x14ac:dyDescent="0.25">
      <c r="A170" s="3"/>
      <c r="B170" s="67"/>
      <c r="C170" s="67" t="s">
        <v>208</v>
      </c>
      <c r="D170" s="3" t="s">
        <v>1241</v>
      </c>
      <c r="E170" s="85"/>
      <c r="F170" s="67"/>
      <c r="G170" s="67"/>
      <c r="H170" s="67"/>
      <c r="I170" s="67"/>
      <c r="J170" s="67"/>
      <c r="K170" s="67"/>
      <c r="L170" s="67"/>
      <c r="M170" s="67"/>
      <c r="N170" s="67"/>
      <c r="O170" s="67"/>
      <c r="P170" s="67"/>
      <c r="Q170" s="3"/>
      <c r="R170" s="3"/>
      <c r="S170" s="3"/>
    </row>
    <row r="171" spans="1:19" x14ac:dyDescent="0.25">
      <c r="A171" s="4"/>
      <c r="B171" s="68"/>
      <c r="C171" s="68" t="s">
        <v>208</v>
      </c>
      <c r="D171" s="4" t="s">
        <v>964</v>
      </c>
      <c r="E171" s="25"/>
      <c r="F171" s="68"/>
      <c r="G171" s="68"/>
      <c r="H171" s="68"/>
      <c r="I171" s="68"/>
      <c r="J171" s="68"/>
      <c r="K171" s="68"/>
      <c r="L171" s="68"/>
      <c r="M171" s="68"/>
      <c r="N171" s="68"/>
      <c r="O171" s="68"/>
      <c r="P171" s="68"/>
      <c r="Q171" s="4" t="s">
        <v>965</v>
      </c>
      <c r="R171" s="4"/>
      <c r="S171" s="4"/>
    </row>
    <row r="172" spans="1:19" x14ac:dyDescent="0.25">
      <c r="A172" s="3"/>
      <c r="B172" s="67"/>
      <c r="C172" s="67" t="s">
        <v>208</v>
      </c>
      <c r="D172" s="3" t="s">
        <v>966</v>
      </c>
      <c r="E172" s="22"/>
      <c r="F172" s="67"/>
      <c r="G172" s="67"/>
      <c r="H172" s="67"/>
      <c r="I172" s="67"/>
      <c r="J172" s="67"/>
      <c r="K172" s="67"/>
      <c r="L172" s="67"/>
      <c r="M172" s="67"/>
      <c r="N172" s="67"/>
      <c r="O172" s="67"/>
      <c r="P172" s="67"/>
      <c r="Q172" s="3" t="s">
        <v>967</v>
      </c>
      <c r="R172" s="3"/>
      <c r="S172" s="3"/>
    </row>
    <row r="173" spans="1:19" x14ac:dyDescent="0.25">
      <c r="A173" s="4"/>
      <c r="B173" s="68"/>
      <c r="C173" s="68" t="s">
        <v>208</v>
      </c>
      <c r="D173" s="4" t="s">
        <v>968</v>
      </c>
      <c r="E173" s="25"/>
      <c r="F173" s="68"/>
      <c r="G173" s="68"/>
      <c r="H173" s="68"/>
      <c r="I173" s="68"/>
      <c r="J173" s="68"/>
      <c r="K173" s="68"/>
      <c r="L173" s="68"/>
      <c r="M173" s="68"/>
      <c r="N173" s="68"/>
      <c r="O173" s="68"/>
      <c r="P173" s="68"/>
      <c r="Q173" s="4" t="s">
        <v>969</v>
      </c>
      <c r="R173" s="4"/>
      <c r="S173" s="4"/>
    </row>
    <row r="174" spans="1:19" x14ac:dyDescent="0.25">
      <c r="A174" s="3"/>
      <c r="B174" s="67"/>
      <c r="C174" s="67" t="s">
        <v>208</v>
      </c>
      <c r="D174" s="3" t="s">
        <v>970</v>
      </c>
      <c r="E174" s="22">
        <v>2</v>
      </c>
      <c r="F174" s="67"/>
      <c r="G174" s="67"/>
      <c r="H174" s="67"/>
      <c r="I174" s="67"/>
      <c r="J174" s="67"/>
      <c r="K174" s="67"/>
      <c r="L174" s="67"/>
      <c r="M174" s="67"/>
      <c r="N174" s="67"/>
      <c r="O174" s="67"/>
      <c r="P174" s="67"/>
      <c r="Q174" s="3" t="s">
        <v>971</v>
      </c>
      <c r="R174" s="3"/>
      <c r="S174" s="3"/>
    </row>
    <row r="175" spans="1:19" x14ac:dyDescent="0.25">
      <c r="A175" s="4"/>
      <c r="B175" s="68"/>
      <c r="C175" s="68" t="s">
        <v>208</v>
      </c>
      <c r="D175" s="4" t="s">
        <v>972</v>
      </c>
      <c r="E175" s="25" t="str">
        <f>"True"</f>
        <v>True</v>
      </c>
      <c r="F175" s="68"/>
      <c r="G175" s="68"/>
      <c r="H175" s="68"/>
      <c r="I175" s="68"/>
      <c r="J175" s="68"/>
      <c r="K175" s="68"/>
      <c r="L175" s="68"/>
      <c r="M175" s="68"/>
      <c r="N175" s="68"/>
      <c r="O175" s="68"/>
      <c r="P175" s="68"/>
      <c r="Q175" s="4" t="s">
        <v>973</v>
      </c>
      <c r="R175" s="4"/>
      <c r="S175" s="4"/>
    </row>
    <row r="176" spans="1:19" x14ac:dyDescent="0.25">
      <c r="A176" s="3"/>
      <c r="B176" s="67"/>
      <c r="C176" s="67" t="s">
        <v>208</v>
      </c>
      <c r="D176" s="3" t="s">
        <v>1119</v>
      </c>
      <c r="E176" s="22" t="str">
        <f>"True"</f>
        <v>True</v>
      </c>
      <c r="F176" s="67"/>
      <c r="G176" s="67"/>
      <c r="H176" s="67"/>
      <c r="I176" s="67"/>
      <c r="J176" s="67"/>
      <c r="K176" s="67"/>
      <c r="L176" s="67"/>
      <c r="M176" s="67"/>
      <c r="N176" s="67"/>
      <c r="O176" s="67"/>
      <c r="P176" s="67"/>
      <c r="Q176" s="3" t="s">
        <v>1145</v>
      </c>
      <c r="R176" s="3"/>
      <c r="S176" s="3"/>
    </row>
    <row r="177" spans="1:19" x14ac:dyDescent="0.25">
      <c r="A177" s="4"/>
      <c r="B177" s="68"/>
      <c r="C177" s="68" t="s">
        <v>208</v>
      </c>
      <c r="D177" s="4" t="s">
        <v>1120</v>
      </c>
      <c r="E177" s="25" t="str">
        <f>"False"</f>
        <v>False</v>
      </c>
      <c r="F177" s="68"/>
      <c r="G177" s="68"/>
      <c r="H177" s="68"/>
      <c r="I177" s="68"/>
      <c r="J177" s="68"/>
      <c r="K177" s="68"/>
      <c r="L177" s="68"/>
      <c r="M177" s="68"/>
      <c r="N177" s="68"/>
      <c r="O177" s="68"/>
      <c r="P177" s="68"/>
      <c r="Q177" s="4" t="s">
        <v>1146</v>
      </c>
      <c r="R177" s="4"/>
      <c r="S177" s="4"/>
    </row>
    <row r="178" spans="1:19" x14ac:dyDescent="0.25">
      <c r="A178" s="3"/>
      <c r="B178" s="67"/>
      <c r="C178" s="67" t="s">
        <v>208</v>
      </c>
      <c r="D178" s="3" t="s">
        <v>974</v>
      </c>
      <c r="E178" s="85" t="s">
        <v>1115</v>
      </c>
      <c r="F178" s="67"/>
      <c r="G178" s="67"/>
      <c r="H178" s="67"/>
      <c r="I178" s="67"/>
      <c r="J178" s="67"/>
      <c r="K178" s="67"/>
      <c r="L178" s="67"/>
      <c r="M178" s="67"/>
      <c r="N178" s="67"/>
      <c r="O178" s="67"/>
      <c r="P178" s="67"/>
      <c r="Q178" s="3" t="s">
        <v>975</v>
      </c>
      <c r="R178" s="3"/>
      <c r="S178" s="3"/>
    </row>
    <row r="179" spans="1:19" x14ac:dyDescent="0.25">
      <c r="A179" s="4"/>
      <c r="B179" s="68"/>
      <c r="C179" s="68" t="s">
        <v>208</v>
      </c>
      <c r="D179" s="4" t="s">
        <v>976</v>
      </c>
      <c r="E179" s="25">
        <v>33.333300000000001</v>
      </c>
      <c r="F179" s="68"/>
      <c r="G179" s="68"/>
      <c r="H179" s="68"/>
      <c r="I179" s="68"/>
      <c r="J179" s="68"/>
      <c r="K179" s="68"/>
      <c r="L179" s="68"/>
      <c r="M179" s="68"/>
      <c r="N179" s="68"/>
      <c r="O179" s="68"/>
      <c r="P179" s="68"/>
      <c r="Q179" s="4" t="s">
        <v>977</v>
      </c>
      <c r="R179" s="4"/>
      <c r="S179" s="4"/>
    </row>
    <row r="180" spans="1:19" x14ac:dyDescent="0.25">
      <c r="A180" s="3"/>
      <c r="B180" s="67"/>
      <c r="C180" s="67" t="s">
        <v>208</v>
      </c>
      <c r="D180" s="3" t="s">
        <v>978</v>
      </c>
      <c r="E180" s="22">
        <f>Nozzle_Diameter</f>
        <v>0.6</v>
      </c>
      <c r="F180" s="67"/>
      <c r="G180" s="67"/>
      <c r="H180" s="67"/>
      <c r="I180" s="67"/>
      <c r="J180" s="67"/>
      <c r="K180" s="67"/>
      <c r="L180" s="67"/>
      <c r="M180" s="67"/>
      <c r="N180" s="67"/>
      <c r="O180" s="67"/>
      <c r="P180" s="67"/>
      <c r="Q180" s="3" t="s">
        <v>979</v>
      </c>
      <c r="R180" s="3"/>
      <c r="S180" s="3"/>
    </row>
    <row r="181" spans="1:19" x14ac:dyDescent="0.25">
      <c r="A181" s="4"/>
      <c r="B181" s="68"/>
      <c r="C181" s="68" t="s">
        <v>208</v>
      </c>
      <c r="D181" s="4" t="s">
        <v>980</v>
      </c>
      <c r="E181" s="25">
        <f>Nozzle_Diameter</f>
        <v>0.6</v>
      </c>
      <c r="F181" s="68"/>
      <c r="G181" s="68"/>
      <c r="H181" s="68"/>
      <c r="I181" s="68"/>
      <c r="J181" s="68"/>
      <c r="K181" s="68"/>
      <c r="L181" s="68"/>
      <c r="M181" s="68"/>
      <c r="N181" s="68"/>
      <c r="O181" s="68"/>
      <c r="P181" s="68"/>
      <c r="Q181" s="4" t="s">
        <v>981</v>
      </c>
      <c r="R181" s="4"/>
      <c r="S181" s="4"/>
    </row>
    <row r="182" spans="1:19" x14ac:dyDescent="0.25">
      <c r="A182" s="3"/>
      <c r="B182" s="67"/>
      <c r="C182" s="67" t="s">
        <v>208</v>
      </c>
      <c r="D182" s="3" t="s">
        <v>982</v>
      </c>
      <c r="E182" s="22" t="s">
        <v>348</v>
      </c>
      <c r="F182" s="67"/>
      <c r="G182" s="67"/>
      <c r="H182" s="67"/>
      <c r="I182" s="67"/>
      <c r="J182" s="67"/>
      <c r="K182" s="67"/>
      <c r="L182" s="67"/>
      <c r="M182" s="67"/>
      <c r="N182" s="67"/>
      <c r="O182" s="67"/>
      <c r="P182" s="67"/>
      <c r="Q182" s="3" t="s">
        <v>983</v>
      </c>
      <c r="R182" s="3"/>
      <c r="S182" s="3"/>
    </row>
    <row r="183" spans="1:19" x14ac:dyDescent="0.25">
      <c r="A183" s="4"/>
      <c r="B183" s="68"/>
      <c r="C183" s="68" t="s">
        <v>208</v>
      </c>
      <c r="D183" s="4" t="s">
        <v>1243</v>
      </c>
      <c r="E183" s="25" t="s">
        <v>1244</v>
      </c>
      <c r="F183" s="68"/>
      <c r="G183" s="68"/>
      <c r="H183" s="68"/>
      <c r="I183" s="68"/>
      <c r="J183" s="68"/>
      <c r="K183" s="68"/>
      <c r="L183" s="68"/>
      <c r="M183" s="68"/>
      <c r="N183" s="68"/>
      <c r="O183" s="68"/>
      <c r="P183" s="68"/>
      <c r="Q183" s="4" t="s">
        <v>1245</v>
      </c>
      <c r="R183" s="4"/>
      <c r="S183" s="4"/>
    </row>
    <row r="184" spans="1:19" x14ac:dyDescent="0.25">
      <c r="A184" s="3"/>
      <c r="B184" s="67"/>
      <c r="C184" s="67" t="s">
        <v>208</v>
      </c>
      <c r="D184" s="3" t="s">
        <v>1116</v>
      </c>
      <c r="E184" s="22">
        <v>0.2</v>
      </c>
      <c r="F184" s="67"/>
      <c r="G184" s="67"/>
      <c r="H184" s="67"/>
      <c r="I184" s="67"/>
      <c r="J184" s="67"/>
      <c r="K184" s="67"/>
      <c r="L184" s="67"/>
      <c r="M184" s="67"/>
      <c r="N184" s="67"/>
      <c r="O184" s="67"/>
      <c r="P184" s="67"/>
      <c r="Q184" s="3" t="s">
        <v>1147</v>
      </c>
      <c r="R184" s="3"/>
      <c r="S184" s="3"/>
    </row>
    <row r="185" spans="1:19" x14ac:dyDescent="0.25">
      <c r="A185" s="4"/>
      <c r="B185" s="68"/>
      <c r="C185" s="68" t="s">
        <v>208</v>
      </c>
      <c r="D185" s="4" t="s">
        <v>984</v>
      </c>
      <c r="E185" s="25">
        <v>10</v>
      </c>
      <c r="F185" s="68"/>
      <c r="G185" s="68"/>
      <c r="H185" s="68"/>
      <c r="I185" s="68"/>
      <c r="J185" s="68"/>
      <c r="K185" s="68"/>
      <c r="L185" s="68"/>
      <c r="M185" s="68"/>
      <c r="N185" s="68"/>
      <c r="O185" s="68"/>
      <c r="P185" s="68"/>
      <c r="Q185" s="4" t="s">
        <v>985</v>
      </c>
      <c r="R185" s="4"/>
      <c r="S185" s="4"/>
    </row>
    <row r="186" spans="1:19" x14ac:dyDescent="0.25">
      <c r="A186" s="3"/>
      <c r="B186" s="67"/>
      <c r="C186" s="67" t="s">
        <v>208</v>
      </c>
      <c r="D186" s="3" t="s">
        <v>986</v>
      </c>
      <c r="E186" s="22"/>
      <c r="F186" s="67"/>
      <c r="G186" s="67"/>
      <c r="H186" s="67"/>
      <c r="I186" s="67"/>
      <c r="J186" s="67"/>
      <c r="K186" s="67"/>
      <c r="L186" s="67"/>
      <c r="M186" s="67"/>
      <c r="N186" s="67"/>
      <c r="O186" s="67"/>
      <c r="P186" s="67"/>
      <c r="Q186" s="3" t="s">
        <v>987</v>
      </c>
      <c r="R186" s="3"/>
      <c r="S186" s="3"/>
    </row>
    <row r="187" spans="1:19" x14ac:dyDescent="0.25">
      <c r="A187" s="4"/>
      <c r="B187" s="68"/>
      <c r="C187" s="68" t="s">
        <v>208</v>
      </c>
      <c r="D187" s="4" t="s">
        <v>988</v>
      </c>
      <c r="E187" s="25" t="str">
        <f>"True"</f>
        <v>True</v>
      </c>
      <c r="F187" s="68"/>
      <c r="G187" s="68"/>
      <c r="H187" s="68"/>
      <c r="I187" s="68"/>
      <c r="J187" s="68"/>
      <c r="K187" s="68"/>
      <c r="L187" s="68"/>
      <c r="M187" s="68"/>
      <c r="N187" s="68"/>
      <c r="O187" s="68"/>
      <c r="P187" s="68"/>
      <c r="Q187" s="4" t="s">
        <v>989</v>
      </c>
      <c r="R187" s="4"/>
      <c r="S187" s="4"/>
    </row>
    <row r="188" spans="1:19" x14ac:dyDescent="0.25">
      <c r="A188" s="3"/>
      <c r="B188" s="67"/>
      <c r="C188" s="67" t="s">
        <v>208</v>
      </c>
      <c r="D188" s="3" t="s">
        <v>990</v>
      </c>
      <c r="E188" s="22">
        <v>100</v>
      </c>
      <c r="F188" s="67"/>
      <c r="G188" s="67"/>
      <c r="H188" s="67"/>
      <c r="I188" s="67"/>
      <c r="J188" s="67"/>
      <c r="K188" s="67"/>
      <c r="L188" s="67"/>
      <c r="M188" s="67"/>
      <c r="N188" s="67"/>
      <c r="O188" s="67"/>
      <c r="P188" s="67"/>
      <c r="Q188" s="3" t="s">
        <v>991</v>
      </c>
      <c r="R188" s="3"/>
      <c r="S188" s="3"/>
    </row>
    <row r="189" spans="1:19" x14ac:dyDescent="0.25">
      <c r="A189" s="4"/>
      <c r="B189" s="68"/>
      <c r="C189" s="68" t="s">
        <v>208</v>
      </c>
      <c r="D189" s="4" t="s">
        <v>992</v>
      </c>
      <c r="E189" s="25" t="str">
        <f>"True"</f>
        <v>True</v>
      </c>
      <c r="F189" s="68"/>
      <c r="G189" s="68"/>
      <c r="H189" s="68"/>
      <c r="I189" s="68"/>
      <c r="J189" s="68"/>
      <c r="K189" s="68"/>
      <c r="L189" s="68"/>
      <c r="M189" s="68"/>
      <c r="N189" s="68"/>
      <c r="O189" s="68"/>
      <c r="P189" s="68"/>
      <c r="Q189" s="4" t="s">
        <v>993</v>
      </c>
      <c r="R189" s="4"/>
      <c r="S189" s="4"/>
    </row>
    <row r="190" spans="1:19" x14ac:dyDescent="0.25">
      <c r="A190" s="3"/>
      <c r="B190" s="67"/>
      <c r="C190" s="67" t="s">
        <v>208</v>
      </c>
      <c r="D190" s="3" t="s">
        <v>1246</v>
      </c>
      <c r="E190" s="22"/>
      <c r="F190" s="67"/>
      <c r="G190" s="67"/>
      <c r="H190" s="67"/>
      <c r="I190" s="67"/>
      <c r="J190" s="67"/>
      <c r="K190" s="67"/>
      <c r="L190" s="67"/>
      <c r="M190" s="67"/>
      <c r="N190" s="67"/>
      <c r="O190" s="67"/>
      <c r="P190" s="67"/>
      <c r="Q190" s="3" t="s">
        <v>1247</v>
      </c>
      <c r="R190" s="3"/>
      <c r="S190" s="3"/>
    </row>
    <row r="191" spans="1:19" x14ac:dyDescent="0.25">
      <c r="A191" s="4"/>
      <c r="B191" s="68"/>
      <c r="C191" s="68" t="s">
        <v>208</v>
      </c>
      <c r="D191" s="4" t="s">
        <v>1249</v>
      </c>
      <c r="E191" s="25"/>
      <c r="F191" s="68"/>
      <c r="G191" s="68"/>
      <c r="H191" s="68"/>
      <c r="I191" s="68"/>
      <c r="J191" s="68"/>
      <c r="K191" s="68"/>
      <c r="L191" s="68"/>
      <c r="M191" s="68"/>
      <c r="N191" s="68"/>
      <c r="O191" s="68"/>
      <c r="P191" s="68"/>
      <c r="Q191" s="4" t="s">
        <v>1248</v>
      </c>
      <c r="R191" s="4"/>
      <c r="S191" s="4"/>
    </row>
    <row r="192" spans="1:19" x14ac:dyDescent="0.25">
      <c r="A192" s="3"/>
      <c r="B192" s="67"/>
      <c r="C192" s="67" t="s">
        <v>208</v>
      </c>
      <c r="D192" s="3" t="s">
        <v>1250</v>
      </c>
      <c r="E192" s="22"/>
      <c r="F192" s="67"/>
      <c r="G192" s="67"/>
      <c r="H192" s="67"/>
      <c r="I192" s="67"/>
      <c r="J192" s="67"/>
      <c r="K192" s="67"/>
      <c r="L192" s="67"/>
      <c r="M192" s="67"/>
      <c r="N192" s="67"/>
      <c r="O192" s="67"/>
      <c r="P192" s="67"/>
      <c r="Q192" s="3" t="s">
        <v>1251</v>
      </c>
      <c r="R192" s="3"/>
      <c r="S192" s="3"/>
    </row>
    <row r="193" spans="1:19" x14ac:dyDescent="0.25">
      <c r="A193" s="4"/>
      <c r="B193" s="68" t="s">
        <v>1186</v>
      </c>
      <c r="C193" s="68" t="s">
        <v>1217</v>
      </c>
      <c r="D193" s="4" t="s">
        <v>994</v>
      </c>
      <c r="E193" s="25" t="s">
        <v>995</v>
      </c>
      <c r="F193" s="68"/>
      <c r="G193" s="68"/>
      <c r="H193" s="68"/>
      <c r="I193" s="68"/>
      <c r="J193" s="68"/>
      <c r="K193" s="68"/>
      <c r="L193" s="68"/>
      <c r="M193" s="68"/>
      <c r="N193" s="68"/>
      <c r="O193" s="68"/>
      <c r="P193" s="68"/>
      <c r="Q193" s="4" t="s">
        <v>996</v>
      </c>
      <c r="R193" s="4"/>
      <c r="S193" s="4"/>
    </row>
    <row r="194" spans="1:19" x14ac:dyDescent="0.25">
      <c r="A194" s="3"/>
      <c r="B194" s="67"/>
      <c r="C194" s="67" t="s">
        <v>208</v>
      </c>
      <c r="D194" s="3" t="s">
        <v>997</v>
      </c>
      <c r="E194" s="22">
        <v>3</v>
      </c>
      <c r="F194" s="67"/>
      <c r="G194" s="67"/>
      <c r="H194" s="67"/>
      <c r="I194" s="67"/>
      <c r="J194" s="67"/>
      <c r="K194" s="67"/>
      <c r="L194" s="67"/>
      <c r="M194" s="67"/>
      <c r="N194" s="67"/>
      <c r="O194" s="67"/>
      <c r="P194" s="67"/>
      <c r="Q194" s="3" t="s">
        <v>998</v>
      </c>
      <c r="R194" s="3"/>
      <c r="S194" s="3"/>
    </row>
    <row r="195" spans="1:19" x14ac:dyDescent="0.25">
      <c r="A195" s="4"/>
      <c r="B195" s="68"/>
      <c r="C195" s="68" t="s">
        <v>208</v>
      </c>
      <c r="D195" s="4" t="s">
        <v>999</v>
      </c>
      <c r="E195" s="25">
        <v>5</v>
      </c>
      <c r="F195" s="68"/>
      <c r="G195" s="68"/>
      <c r="H195" s="68"/>
      <c r="I195" s="68"/>
      <c r="J195" s="68"/>
      <c r="K195" s="68"/>
      <c r="L195" s="68"/>
      <c r="M195" s="68"/>
      <c r="N195" s="68"/>
      <c r="O195" s="68"/>
      <c r="P195" s="68"/>
      <c r="Q195" s="4" t="s">
        <v>1000</v>
      </c>
      <c r="R195" s="4"/>
      <c r="S195" s="4"/>
    </row>
    <row r="196" spans="1:19" x14ac:dyDescent="0.25">
      <c r="A196" s="3"/>
      <c r="B196" s="67"/>
      <c r="C196" s="67" t="s">
        <v>208</v>
      </c>
      <c r="D196" s="3" t="s">
        <v>1001</v>
      </c>
      <c r="E196" s="22"/>
      <c r="F196" s="67"/>
      <c r="G196" s="67"/>
      <c r="H196" s="67"/>
      <c r="I196" s="67"/>
      <c r="J196" s="67"/>
      <c r="K196" s="67"/>
      <c r="L196" s="67"/>
      <c r="M196" s="67"/>
      <c r="N196" s="67"/>
      <c r="O196" s="67"/>
      <c r="P196" s="67"/>
      <c r="Q196" s="3" t="s">
        <v>1002</v>
      </c>
      <c r="R196" s="3"/>
      <c r="S196" s="3"/>
    </row>
    <row r="197" spans="1:19" x14ac:dyDescent="0.25">
      <c r="A197" s="4"/>
      <c r="B197" s="68"/>
      <c r="C197" s="68" t="s">
        <v>208</v>
      </c>
      <c r="D197" s="4" t="s">
        <v>28</v>
      </c>
      <c r="E197" s="25"/>
      <c r="F197" s="68"/>
      <c r="G197" s="68"/>
      <c r="H197" s="68"/>
      <c r="I197" s="68"/>
      <c r="J197" s="68"/>
      <c r="K197" s="68"/>
      <c r="L197" s="68"/>
      <c r="M197" s="68"/>
      <c r="N197" s="68"/>
      <c r="O197" s="68"/>
      <c r="P197" s="68"/>
      <c r="Q197" s="4" t="s">
        <v>1003</v>
      </c>
      <c r="R197" s="4"/>
      <c r="S197" s="4"/>
    </row>
    <row r="198" spans="1:19" x14ac:dyDescent="0.25">
      <c r="A198" s="3"/>
      <c r="B198" s="67"/>
      <c r="C198" s="67" t="s">
        <v>208</v>
      </c>
      <c r="D198" s="3" t="s">
        <v>1004</v>
      </c>
      <c r="E198" s="22">
        <v>3</v>
      </c>
      <c r="F198" s="67"/>
      <c r="G198" s="67"/>
      <c r="H198" s="67"/>
      <c r="I198" s="67"/>
      <c r="J198" s="67"/>
      <c r="K198" s="67"/>
      <c r="L198" s="67"/>
      <c r="M198" s="67"/>
      <c r="N198" s="67"/>
      <c r="O198" s="67"/>
      <c r="P198" s="67"/>
      <c r="Q198" s="3" t="s">
        <v>1005</v>
      </c>
      <c r="R198" s="3"/>
      <c r="S198" s="3"/>
    </row>
    <row r="199" spans="1:19" x14ac:dyDescent="0.25">
      <c r="A199" s="4"/>
      <c r="B199" s="68"/>
      <c r="C199" s="68" t="s">
        <v>208</v>
      </c>
      <c r="D199" s="4" t="s">
        <v>1006</v>
      </c>
      <c r="E199" s="69"/>
      <c r="F199" s="68"/>
      <c r="G199" s="68"/>
      <c r="H199" s="68"/>
      <c r="I199" s="68"/>
      <c r="J199" s="68"/>
      <c r="K199" s="68"/>
      <c r="L199" s="68"/>
      <c r="M199" s="68"/>
      <c r="N199" s="68"/>
      <c r="O199" s="68"/>
      <c r="P199" s="68"/>
      <c r="Q199" s="4" t="s">
        <v>1007</v>
      </c>
      <c r="R199" s="4"/>
      <c r="S199" s="4"/>
    </row>
    <row r="200" spans="1:19" x14ac:dyDescent="0.25">
      <c r="A200" s="3"/>
      <c r="B200" s="67"/>
      <c r="C200" s="67" t="s">
        <v>208</v>
      </c>
      <c r="D200" s="3" t="s">
        <v>1008</v>
      </c>
      <c r="E200" s="85"/>
      <c r="F200" s="67"/>
      <c r="G200" s="67"/>
      <c r="H200" s="67"/>
      <c r="I200" s="67"/>
      <c r="J200" s="67"/>
      <c r="K200" s="67"/>
      <c r="L200" s="67"/>
      <c r="M200" s="67"/>
      <c r="N200" s="67"/>
      <c r="O200" s="67"/>
      <c r="P200" s="67"/>
      <c r="Q200" s="3" t="s">
        <v>1010</v>
      </c>
      <c r="R200" s="3"/>
      <c r="S200" s="3"/>
    </row>
    <row r="201" spans="1:19" x14ac:dyDescent="0.25">
      <c r="A201" s="4"/>
      <c r="B201" s="68"/>
      <c r="C201" s="68" t="s">
        <v>208</v>
      </c>
      <c r="D201" s="4" t="s">
        <v>1488</v>
      </c>
      <c r="E201" s="69">
        <v>5</v>
      </c>
      <c r="F201" s="68"/>
      <c r="G201" s="68"/>
      <c r="H201" s="68"/>
      <c r="I201" s="68"/>
      <c r="J201" s="68"/>
      <c r="K201" s="68"/>
      <c r="L201" s="68"/>
      <c r="M201" s="68"/>
      <c r="N201" s="68"/>
      <c r="O201" s="68"/>
      <c r="P201" s="68"/>
      <c r="Q201" s="4" t="s">
        <v>1490</v>
      </c>
      <c r="R201" s="4"/>
      <c r="S201" s="4"/>
    </row>
    <row r="202" spans="1:19" x14ac:dyDescent="0.25">
      <c r="A202" s="3"/>
      <c r="B202" s="67"/>
      <c r="C202" s="67" t="s">
        <v>208</v>
      </c>
      <c r="D202" s="3" t="s">
        <v>1489</v>
      </c>
      <c r="E202" s="85"/>
      <c r="F202" s="67"/>
      <c r="G202" s="67"/>
      <c r="H202" s="67"/>
      <c r="I202" s="67"/>
      <c r="J202" s="67"/>
      <c r="K202" s="67"/>
      <c r="L202" s="67"/>
      <c r="M202" s="67"/>
      <c r="N202" s="67"/>
      <c r="O202" s="67"/>
      <c r="P202" s="67"/>
      <c r="Q202" s="3" t="s">
        <v>1491</v>
      </c>
      <c r="R202" s="3"/>
      <c r="S202" s="3"/>
    </row>
    <row r="203" spans="1:19" x14ac:dyDescent="0.25">
      <c r="A203" s="4"/>
      <c r="B203" s="68" t="s">
        <v>1196</v>
      </c>
      <c r="C203" s="68" t="s">
        <v>1217</v>
      </c>
      <c r="D203" s="4" t="s">
        <v>1302</v>
      </c>
      <c r="E203" s="69"/>
      <c r="F203" s="68"/>
      <c r="G203" s="68"/>
      <c r="H203" s="68"/>
      <c r="I203" s="68"/>
      <c r="J203" s="68"/>
      <c r="K203" s="68"/>
      <c r="L203" s="68"/>
      <c r="M203" s="68"/>
      <c r="N203" s="68"/>
      <c r="O203" s="68"/>
      <c r="P203" s="68"/>
      <c r="Q203" s="4"/>
      <c r="R203" s="4"/>
      <c r="S203" s="4"/>
    </row>
    <row r="204" spans="1:19" x14ac:dyDescent="0.25">
      <c r="A204" s="3"/>
      <c r="B204" s="67"/>
      <c r="C204" s="67" t="s">
        <v>1217</v>
      </c>
      <c r="D204" s="3" t="s">
        <v>1303</v>
      </c>
      <c r="E204" s="85"/>
      <c r="F204" s="67"/>
      <c r="G204" s="67"/>
      <c r="H204" s="67"/>
      <c r="I204" s="67"/>
      <c r="J204" s="67"/>
      <c r="K204" s="67"/>
      <c r="L204" s="67"/>
      <c r="M204" s="67"/>
      <c r="N204" s="67"/>
      <c r="O204" s="67"/>
      <c r="P204" s="67"/>
      <c r="Q204" s="3"/>
      <c r="R204" s="3"/>
      <c r="S204" s="3"/>
    </row>
    <row r="205" spans="1:19" x14ac:dyDescent="0.25">
      <c r="A205" s="4"/>
      <c r="B205" s="68"/>
      <c r="C205" s="68" t="s">
        <v>208</v>
      </c>
      <c r="D205" s="4" t="s">
        <v>1071</v>
      </c>
      <c r="E205" s="25"/>
      <c r="F205" s="68"/>
      <c r="G205" s="68"/>
      <c r="H205" s="68"/>
      <c r="I205" s="68"/>
      <c r="J205" s="68"/>
      <c r="K205" s="68"/>
      <c r="L205" s="68"/>
      <c r="M205" s="68"/>
      <c r="N205" s="68"/>
      <c r="O205" s="68"/>
      <c r="P205" s="68"/>
      <c r="Q205" s="4" t="s">
        <v>1072</v>
      </c>
      <c r="R205" s="4"/>
      <c r="S205" s="4"/>
    </row>
    <row r="206" spans="1:19" x14ac:dyDescent="0.25">
      <c r="A206" s="3"/>
      <c r="B206" s="67"/>
      <c r="C206" s="67" t="s">
        <v>208</v>
      </c>
      <c r="D206" s="3" t="s">
        <v>1073</v>
      </c>
      <c r="E206" s="22">
        <v>0.05</v>
      </c>
      <c r="F206" s="67"/>
      <c r="G206" s="67"/>
      <c r="H206" s="67"/>
      <c r="I206" s="67"/>
      <c r="J206" s="67"/>
      <c r="K206" s="67"/>
      <c r="L206" s="67"/>
      <c r="M206" s="67"/>
      <c r="N206" s="67"/>
      <c r="O206" s="67"/>
      <c r="P206" s="67"/>
      <c r="Q206" s="3" t="s">
        <v>1074</v>
      </c>
      <c r="R206" s="3"/>
      <c r="S206" s="3"/>
    </row>
    <row r="207" spans="1:19" x14ac:dyDescent="0.25">
      <c r="A207" s="4"/>
      <c r="B207" s="68"/>
      <c r="C207" s="68" t="s">
        <v>208</v>
      </c>
      <c r="D207" s="4" t="s">
        <v>1075</v>
      </c>
      <c r="E207" s="69" t="str">
        <f>"=meshfix_maximum_resolution"</f>
        <v>=meshfix_maximum_resolution</v>
      </c>
      <c r="F207" s="68"/>
      <c r="G207" s="68"/>
      <c r="H207" s="68"/>
      <c r="I207" s="68"/>
      <c r="J207" s="68"/>
      <c r="K207" s="68"/>
      <c r="L207" s="68"/>
      <c r="M207" s="68"/>
      <c r="N207" s="68"/>
      <c r="O207" s="68"/>
      <c r="P207" s="68"/>
      <c r="Q207" s="4" t="s">
        <v>1076</v>
      </c>
      <c r="R207" s="4"/>
      <c r="S207" s="4"/>
    </row>
    <row r="208" spans="1:19" x14ac:dyDescent="0.25">
      <c r="A208" s="3"/>
      <c r="B208" s="67" t="s">
        <v>1187</v>
      </c>
      <c r="C208" s="67" t="s">
        <v>208</v>
      </c>
      <c r="D208" s="3" t="s">
        <v>1197</v>
      </c>
      <c r="E208" s="85"/>
      <c r="F208" s="67"/>
      <c r="G208" s="67"/>
      <c r="H208" s="67"/>
      <c r="I208" s="67"/>
      <c r="J208" s="67"/>
      <c r="K208" s="67"/>
      <c r="L208" s="67"/>
      <c r="M208" s="67"/>
      <c r="N208" s="67"/>
      <c r="O208" s="67"/>
      <c r="P208" s="67"/>
      <c r="Q208" s="3" t="s">
        <v>1202</v>
      </c>
      <c r="R208" s="3"/>
      <c r="S208" s="3"/>
    </row>
    <row r="209" spans="1:19" x14ac:dyDescent="0.25">
      <c r="A209" s="4"/>
      <c r="B209" s="68"/>
      <c r="C209" s="68" t="s">
        <v>1217</v>
      </c>
      <c r="D209" s="4" t="s">
        <v>1252</v>
      </c>
      <c r="E209" s="69"/>
      <c r="F209" s="68"/>
      <c r="G209" s="68"/>
      <c r="H209" s="68"/>
      <c r="I209" s="68"/>
      <c r="J209" s="68"/>
      <c r="K209" s="68"/>
      <c r="L209" s="68"/>
      <c r="M209" s="68"/>
      <c r="N209" s="68"/>
      <c r="O209" s="68"/>
      <c r="P209" s="68"/>
      <c r="Q209" s="4" t="s">
        <v>1253</v>
      </c>
      <c r="R209" s="4"/>
      <c r="S209" s="4"/>
    </row>
    <row r="210" spans="1:19" x14ac:dyDescent="0.25">
      <c r="A210" s="3"/>
      <c r="B210" s="67"/>
      <c r="C210" s="67" t="s">
        <v>208</v>
      </c>
      <c r="D210" s="3" t="s">
        <v>1011</v>
      </c>
      <c r="E210" s="85" t="s">
        <v>1009</v>
      </c>
      <c r="F210" s="67"/>
      <c r="G210" s="67"/>
      <c r="H210" s="67"/>
      <c r="I210" s="67"/>
      <c r="J210" s="67"/>
      <c r="K210" s="67"/>
      <c r="L210" s="67"/>
      <c r="M210" s="67"/>
      <c r="N210" s="67"/>
      <c r="O210" s="67"/>
      <c r="P210" s="67"/>
      <c r="Q210" s="3" t="s">
        <v>1012</v>
      </c>
      <c r="R210" s="3"/>
      <c r="S210" s="3"/>
    </row>
    <row r="211" spans="1:19" x14ac:dyDescent="0.25">
      <c r="A211" s="4"/>
      <c r="B211" s="68"/>
      <c r="C211" s="68" t="s">
        <v>1217</v>
      </c>
      <c r="D211" s="4" t="s">
        <v>1198</v>
      </c>
      <c r="E211" s="69"/>
      <c r="F211" s="68"/>
      <c r="G211" s="68"/>
      <c r="H211" s="68"/>
      <c r="I211" s="68"/>
      <c r="J211" s="68"/>
      <c r="K211" s="68"/>
      <c r="L211" s="68"/>
      <c r="M211" s="68"/>
      <c r="N211" s="68"/>
      <c r="O211" s="68"/>
      <c r="P211" s="68"/>
      <c r="Q211" s="4" t="s">
        <v>1201</v>
      </c>
      <c r="R211" s="4"/>
      <c r="S211" s="4"/>
    </row>
    <row r="212" spans="1:19" x14ac:dyDescent="0.25">
      <c r="A212" s="3"/>
      <c r="B212" s="67"/>
      <c r="C212" s="67" t="s">
        <v>208</v>
      </c>
      <c r="D212" s="3" t="s">
        <v>1254</v>
      </c>
      <c r="E212" s="85"/>
      <c r="F212" s="67"/>
      <c r="G212" s="67"/>
      <c r="H212" s="67"/>
      <c r="I212" s="67"/>
      <c r="J212" s="67"/>
      <c r="K212" s="67"/>
      <c r="L212" s="67"/>
      <c r="M212" s="67"/>
      <c r="N212" s="67"/>
      <c r="O212" s="67"/>
      <c r="P212" s="67"/>
      <c r="Q212" s="3" t="s">
        <v>1255</v>
      </c>
      <c r="R212" s="3"/>
      <c r="S212" s="3"/>
    </row>
    <row r="213" spans="1:19" x14ac:dyDescent="0.25">
      <c r="A213" s="6"/>
      <c r="B213" s="86" t="s">
        <v>1188</v>
      </c>
      <c r="C213" s="86"/>
      <c r="D213" s="6" t="s">
        <v>1148</v>
      </c>
      <c r="E213" s="87"/>
      <c r="F213" s="86"/>
      <c r="G213" s="86"/>
      <c r="H213" s="86"/>
      <c r="I213" s="86"/>
      <c r="J213" s="86"/>
      <c r="K213" s="86"/>
      <c r="L213" s="86"/>
      <c r="M213" s="86"/>
      <c r="N213" s="86"/>
      <c r="O213" s="86"/>
      <c r="P213" s="86"/>
      <c r="Q213" s="6"/>
      <c r="R213" s="6"/>
      <c r="S213" s="6"/>
    </row>
    <row r="214" spans="1:19" x14ac:dyDescent="0.25">
      <c r="A214" s="3"/>
      <c r="B214" s="67"/>
      <c r="C214" s="67" t="s">
        <v>208</v>
      </c>
      <c r="D214" s="3" t="s">
        <v>1024</v>
      </c>
      <c r="E214" s="85" t="s">
        <v>1009</v>
      </c>
      <c r="F214" s="67"/>
      <c r="G214" s="67"/>
      <c r="H214" s="67"/>
      <c r="I214" s="67"/>
      <c r="J214" s="67"/>
      <c r="K214" s="67"/>
      <c r="L214" s="67"/>
      <c r="M214" s="67"/>
      <c r="N214" s="67"/>
      <c r="O214" s="67"/>
      <c r="P214" s="67"/>
      <c r="Q214" s="3" t="s">
        <v>1025</v>
      </c>
      <c r="R214" s="3"/>
      <c r="S214" s="3"/>
    </row>
    <row r="215" spans="1:19" x14ac:dyDescent="0.25">
      <c r="A215" s="4"/>
      <c r="B215" s="68"/>
      <c r="C215" s="68" t="s">
        <v>208</v>
      </c>
      <c r="D215" s="4" t="s">
        <v>1331</v>
      </c>
      <c r="E215" s="69"/>
      <c r="F215" s="68"/>
      <c r="G215" s="68"/>
      <c r="H215" s="68"/>
      <c r="I215" s="68"/>
      <c r="J215" s="68"/>
      <c r="K215" s="68"/>
      <c r="L215" s="68"/>
      <c r="M215" s="68"/>
      <c r="N215" s="68"/>
      <c r="O215" s="68"/>
      <c r="P215" s="68"/>
      <c r="Q215" s="4" t="s">
        <v>1333</v>
      </c>
      <c r="R215" s="4"/>
      <c r="S215" s="4"/>
    </row>
    <row r="216" spans="1:19" x14ac:dyDescent="0.25">
      <c r="A216" s="3"/>
      <c r="B216" s="67"/>
      <c r="C216" s="67" t="s">
        <v>208</v>
      </c>
      <c r="D216" s="3" t="s">
        <v>1332</v>
      </c>
      <c r="E216" s="85" t="str">
        <f>"=5 if support_line_distance == 0 else round(support_skip_zag_per_mm / support_line_distance)"</f>
        <v>=5 if support_line_distance == 0 else round(support_skip_zag_per_mm / support_line_distance)</v>
      </c>
      <c r="F216" s="67"/>
      <c r="G216" s="67"/>
      <c r="H216" s="67"/>
      <c r="I216" s="67"/>
      <c r="J216" s="67"/>
      <c r="K216" s="67"/>
      <c r="L216" s="67"/>
      <c r="M216" s="67"/>
      <c r="N216" s="67"/>
      <c r="O216" s="67"/>
      <c r="P216" s="67"/>
      <c r="Q216" s="3" t="s">
        <v>1334</v>
      </c>
      <c r="R216" s="3"/>
      <c r="S216" s="3"/>
    </row>
    <row r="217" spans="1:19" x14ac:dyDescent="0.25">
      <c r="A217" s="4"/>
      <c r="B217" s="68"/>
      <c r="C217" s="68" t="s">
        <v>1217</v>
      </c>
      <c r="D217" s="4" t="s">
        <v>1028</v>
      </c>
      <c r="E217" s="25" t="str">
        <f>"False"</f>
        <v>False</v>
      </c>
      <c r="F217" s="68"/>
      <c r="G217" s="68"/>
      <c r="H217" s="68"/>
      <c r="I217" s="68"/>
      <c r="J217" s="68"/>
      <c r="K217" s="68"/>
      <c r="L217" s="68"/>
      <c r="M217" s="68"/>
      <c r="N217" s="68"/>
      <c r="O217" s="68"/>
      <c r="P217" s="68"/>
      <c r="Q217" s="4" t="s">
        <v>1029</v>
      </c>
      <c r="R217" s="4"/>
      <c r="S217" s="4"/>
    </row>
    <row r="218" spans="1:19" x14ac:dyDescent="0.25">
      <c r="A218" s="3"/>
      <c r="B218" s="67"/>
      <c r="C218" s="67" t="s">
        <v>1217</v>
      </c>
      <c r="D218" s="3" t="s">
        <v>1037</v>
      </c>
      <c r="E218" s="22" t="str">
        <f>"False"</f>
        <v>False</v>
      </c>
      <c r="F218" s="67"/>
      <c r="G218" s="67"/>
      <c r="H218" s="67"/>
      <c r="I218" s="67"/>
      <c r="J218" s="67"/>
      <c r="K218" s="67"/>
      <c r="L218" s="67"/>
      <c r="M218" s="67"/>
      <c r="N218" s="67"/>
      <c r="O218" s="67"/>
      <c r="P218" s="67"/>
      <c r="Q218" s="3" t="s">
        <v>1149</v>
      </c>
      <c r="R218" s="3"/>
      <c r="S218" s="3"/>
    </row>
    <row r="219" spans="1:19" x14ac:dyDescent="0.25">
      <c r="A219" s="4"/>
      <c r="B219" s="68"/>
      <c r="C219" s="68" t="s">
        <v>208</v>
      </c>
      <c r="D219" s="4" t="s">
        <v>1256</v>
      </c>
      <c r="E219" s="25"/>
      <c r="F219" s="68"/>
      <c r="G219" s="68"/>
      <c r="H219" s="68"/>
      <c r="I219" s="68"/>
      <c r="J219" s="68"/>
      <c r="K219" s="68"/>
      <c r="L219" s="68"/>
      <c r="M219" s="68"/>
      <c r="N219" s="68"/>
      <c r="O219" s="68"/>
      <c r="P219" s="68"/>
      <c r="Q219" s="4" t="s">
        <v>1258</v>
      </c>
      <c r="R219" s="4"/>
      <c r="S219" s="4"/>
    </row>
    <row r="220" spans="1:19" x14ac:dyDescent="0.25">
      <c r="A220" s="3"/>
      <c r="B220" s="67"/>
      <c r="C220" s="67" t="s">
        <v>208</v>
      </c>
      <c r="D220" s="3" t="s">
        <v>1257</v>
      </c>
      <c r="E220" s="22"/>
      <c r="F220" s="67"/>
      <c r="G220" s="67"/>
      <c r="H220" s="67"/>
      <c r="I220" s="67"/>
      <c r="J220" s="67"/>
      <c r="K220" s="67"/>
      <c r="L220" s="67"/>
      <c r="M220" s="67"/>
      <c r="N220" s="67"/>
      <c r="O220" s="67"/>
      <c r="P220" s="67"/>
      <c r="Q220" s="3" t="s">
        <v>1259</v>
      </c>
      <c r="R220" s="3"/>
      <c r="S220" s="3"/>
    </row>
    <row r="221" spans="1:19" ht="16.5" customHeight="1" x14ac:dyDescent="0.25">
      <c r="A221" s="4"/>
      <c r="B221" s="68" t="s">
        <v>1189</v>
      </c>
      <c r="C221" s="68" t="s">
        <v>1217</v>
      </c>
      <c r="D221" s="4" t="s">
        <v>1046</v>
      </c>
      <c r="E221" s="25"/>
      <c r="F221" s="68"/>
      <c r="G221" s="68"/>
      <c r="H221" s="68"/>
      <c r="I221" s="68"/>
      <c r="J221" s="68"/>
      <c r="K221" s="68"/>
      <c r="L221" s="68"/>
      <c r="M221" s="68"/>
      <c r="N221" s="68"/>
      <c r="O221" s="68"/>
      <c r="P221" s="68"/>
      <c r="Q221" s="4" t="s">
        <v>1047</v>
      </c>
      <c r="R221" s="4"/>
      <c r="S221" s="4"/>
    </row>
    <row r="222" spans="1:19" x14ac:dyDescent="0.25">
      <c r="A222" s="3"/>
      <c r="B222" s="67"/>
      <c r="C222" s="67" t="s">
        <v>1217</v>
      </c>
      <c r="D222" s="3" t="s">
        <v>1048</v>
      </c>
      <c r="E222" s="22"/>
      <c r="F222" s="67"/>
      <c r="G222" s="67"/>
      <c r="H222" s="67"/>
      <c r="I222" s="67"/>
      <c r="J222" s="67"/>
      <c r="K222" s="67"/>
      <c r="L222" s="67"/>
      <c r="M222" s="67"/>
      <c r="N222" s="67"/>
      <c r="O222" s="67"/>
      <c r="P222" s="67"/>
      <c r="Q222" s="3" t="s">
        <v>1049</v>
      </c>
      <c r="R222" s="3"/>
      <c r="S222" s="3"/>
    </row>
    <row r="223" spans="1:19" x14ac:dyDescent="0.25">
      <c r="A223" s="4"/>
      <c r="B223" s="68" t="s">
        <v>1190</v>
      </c>
      <c r="C223" s="68" t="s">
        <v>208</v>
      </c>
      <c r="D223" s="4" t="s">
        <v>1016</v>
      </c>
      <c r="E223" s="25"/>
      <c r="F223" s="68"/>
      <c r="G223" s="68"/>
      <c r="H223" s="68"/>
      <c r="I223" s="68"/>
      <c r="J223" s="68"/>
      <c r="K223" s="68"/>
      <c r="L223" s="68"/>
      <c r="M223" s="68"/>
      <c r="N223" s="68"/>
      <c r="O223" s="68"/>
      <c r="P223" s="68"/>
      <c r="Q223" s="4" t="s">
        <v>1017</v>
      </c>
      <c r="R223" s="4"/>
      <c r="S223" s="4"/>
    </row>
    <row r="224" spans="1:19" x14ac:dyDescent="0.25">
      <c r="A224" s="3"/>
      <c r="B224" s="67"/>
      <c r="C224" s="67" t="s">
        <v>1217</v>
      </c>
      <c r="D224" s="3" t="s">
        <v>1018</v>
      </c>
      <c r="E224" s="22"/>
      <c r="F224" s="67"/>
      <c r="G224" s="67"/>
      <c r="H224" s="67"/>
      <c r="I224" s="67"/>
      <c r="J224" s="67"/>
      <c r="K224" s="67"/>
      <c r="L224" s="67"/>
      <c r="M224" s="67"/>
      <c r="N224" s="67"/>
      <c r="O224" s="67"/>
      <c r="P224" s="67"/>
      <c r="Q224" s="3" t="s">
        <v>1019</v>
      </c>
      <c r="R224" s="3"/>
      <c r="S224" s="3"/>
    </row>
    <row r="225" spans="1:19" x14ac:dyDescent="0.25">
      <c r="A225" s="4"/>
      <c r="B225" s="68"/>
      <c r="C225" s="68" t="s">
        <v>208</v>
      </c>
      <c r="D225" s="4" t="s">
        <v>1020</v>
      </c>
      <c r="E225" s="25"/>
      <c r="F225" s="68"/>
      <c r="G225" s="68"/>
      <c r="H225" s="68"/>
      <c r="I225" s="68"/>
      <c r="J225" s="68"/>
      <c r="K225" s="68"/>
      <c r="L225" s="68"/>
      <c r="M225" s="68"/>
      <c r="N225" s="68"/>
      <c r="O225" s="68"/>
      <c r="P225" s="68"/>
      <c r="Q225" s="4" t="s">
        <v>1021</v>
      </c>
      <c r="R225" s="4"/>
      <c r="S225" s="4"/>
    </row>
    <row r="226" spans="1:19" x14ac:dyDescent="0.25">
      <c r="A226" s="3"/>
      <c r="B226" s="67" t="s">
        <v>1191</v>
      </c>
      <c r="C226" s="67" t="s">
        <v>208</v>
      </c>
      <c r="D226" s="3" t="s">
        <v>1022</v>
      </c>
      <c r="E226" s="85" t="s">
        <v>1009</v>
      </c>
      <c r="F226" s="67"/>
      <c r="G226" s="67"/>
      <c r="H226" s="67"/>
      <c r="I226" s="67"/>
      <c r="J226" s="67"/>
      <c r="K226" s="67"/>
      <c r="L226" s="67"/>
      <c r="M226" s="67"/>
      <c r="N226" s="67"/>
      <c r="O226" s="67"/>
      <c r="P226" s="67"/>
      <c r="Q226" s="3" t="s">
        <v>1023</v>
      </c>
      <c r="R226" s="3"/>
      <c r="S226" s="3"/>
    </row>
    <row r="227" spans="1:19" x14ac:dyDescent="0.25">
      <c r="A227" s="4"/>
      <c r="B227" s="68"/>
      <c r="C227" s="68" t="s">
        <v>208</v>
      </c>
      <c r="D227" s="4" t="s">
        <v>1199</v>
      </c>
      <c r="E227" s="69"/>
      <c r="F227" s="68"/>
      <c r="G227" s="68"/>
      <c r="H227" s="68"/>
      <c r="I227" s="68"/>
      <c r="J227" s="68"/>
      <c r="K227" s="68"/>
      <c r="L227" s="68"/>
      <c r="M227" s="68"/>
      <c r="N227" s="68"/>
      <c r="O227" s="68"/>
      <c r="P227" s="68"/>
      <c r="Q227" s="4" t="s">
        <v>1200</v>
      </c>
      <c r="R227" s="4"/>
      <c r="S227" s="4"/>
    </row>
    <row r="228" spans="1:19" x14ac:dyDescent="0.25">
      <c r="A228" s="3"/>
      <c r="B228" s="67"/>
      <c r="C228" s="67" t="s">
        <v>208</v>
      </c>
      <c r="D228" s="3" t="s">
        <v>1026</v>
      </c>
      <c r="E228" s="22" t="str">
        <f>"False"</f>
        <v>False</v>
      </c>
      <c r="F228" s="67"/>
      <c r="G228" s="67"/>
      <c r="H228" s="67"/>
      <c r="I228" s="67"/>
      <c r="J228" s="67"/>
      <c r="K228" s="67"/>
      <c r="L228" s="67"/>
      <c r="M228" s="67"/>
      <c r="N228" s="67"/>
      <c r="O228" s="67"/>
      <c r="P228" s="67"/>
      <c r="Q228" s="3" t="s">
        <v>1027</v>
      </c>
      <c r="R228" s="3"/>
      <c r="S228" s="3"/>
    </row>
    <row r="229" spans="1:19" x14ac:dyDescent="0.25">
      <c r="A229" s="4"/>
      <c r="B229" s="68"/>
      <c r="C229" s="68" t="s">
        <v>208</v>
      </c>
      <c r="D229" s="4" t="s">
        <v>1036</v>
      </c>
      <c r="E229" s="25" t="str">
        <f>"False"</f>
        <v>False</v>
      </c>
      <c r="F229" s="68"/>
      <c r="G229" s="68"/>
      <c r="H229" s="68"/>
      <c r="I229" s="68"/>
      <c r="J229" s="68"/>
      <c r="K229" s="68"/>
      <c r="L229" s="68"/>
      <c r="M229" s="68"/>
      <c r="N229" s="68"/>
      <c r="O229" s="68"/>
      <c r="P229" s="68"/>
      <c r="Q229" s="4" t="s">
        <v>1150</v>
      </c>
      <c r="R229" s="4"/>
      <c r="S229" s="4"/>
    </row>
    <row r="230" spans="1:19" x14ac:dyDescent="0.25">
      <c r="A230" s="3"/>
      <c r="B230" s="67"/>
      <c r="C230" s="67" t="s">
        <v>1217</v>
      </c>
      <c r="D230" s="3" t="s">
        <v>1038</v>
      </c>
      <c r="E230" s="22" t="str">
        <f>"False"</f>
        <v>False</v>
      </c>
      <c r="F230" s="67"/>
      <c r="G230" s="67"/>
      <c r="H230" s="67"/>
      <c r="I230" s="67"/>
      <c r="J230" s="67"/>
      <c r="K230" s="67"/>
      <c r="L230" s="67"/>
      <c r="M230" s="67"/>
      <c r="N230" s="67"/>
      <c r="O230" s="67"/>
      <c r="P230" s="67"/>
      <c r="Q230" s="3" t="s">
        <v>1151</v>
      </c>
      <c r="R230" s="3"/>
      <c r="S230" s="3"/>
    </row>
    <row r="231" spans="1:19" x14ac:dyDescent="0.25">
      <c r="A231" s="4"/>
      <c r="B231" s="68"/>
      <c r="C231" s="68" t="s">
        <v>208</v>
      </c>
      <c r="D231" s="4" t="s">
        <v>1039</v>
      </c>
      <c r="E231" s="25" t="str">
        <f>"False"</f>
        <v>False</v>
      </c>
      <c r="F231" s="68"/>
      <c r="G231" s="68"/>
      <c r="H231" s="68"/>
      <c r="I231" s="68"/>
      <c r="J231" s="68"/>
      <c r="K231" s="68"/>
      <c r="L231" s="68"/>
      <c r="M231" s="68"/>
      <c r="N231" s="68"/>
      <c r="O231" s="68"/>
      <c r="P231" s="68"/>
      <c r="Q231" s="4" t="s">
        <v>1152</v>
      </c>
      <c r="R231" s="4"/>
      <c r="S231" s="4"/>
    </row>
    <row r="232" spans="1:19" x14ac:dyDescent="0.25">
      <c r="A232" s="3"/>
      <c r="B232" s="67" t="s">
        <v>1192</v>
      </c>
      <c r="C232" s="67" t="s">
        <v>1217</v>
      </c>
      <c r="D232" s="3" t="s">
        <v>1040</v>
      </c>
      <c r="E232" s="85" t="s">
        <v>1013</v>
      </c>
      <c r="F232" s="67"/>
      <c r="G232" s="67"/>
      <c r="H232" s="67"/>
      <c r="I232" s="67"/>
      <c r="J232" s="67"/>
      <c r="K232" s="67"/>
      <c r="L232" s="67"/>
      <c r="M232" s="67"/>
      <c r="N232" s="67"/>
      <c r="O232" s="67"/>
      <c r="P232" s="67"/>
      <c r="Q232" s="3" t="s">
        <v>1041</v>
      </c>
      <c r="R232" s="3"/>
      <c r="S232" s="3"/>
    </row>
    <row r="233" spans="1:19" x14ac:dyDescent="0.25">
      <c r="A233" s="4"/>
      <c r="B233" s="68"/>
      <c r="C233" s="68" t="s">
        <v>208</v>
      </c>
      <c r="D233" s="4" t="s">
        <v>1042</v>
      </c>
      <c r="E233" s="25">
        <v>0.04</v>
      </c>
      <c r="F233" s="68"/>
      <c r="G233" s="68"/>
      <c r="H233" s="68"/>
      <c r="I233" s="68"/>
      <c r="J233" s="68"/>
      <c r="K233" s="68"/>
      <c r="L233" s="68"/>
      <c r="M233" s="68"/>
      <c r="N233" s="68"/>
      <c r="O233" s="68"/>
      <c r="P233" s="68"/>
      <c r="Q233" s="4" t="s">
        <v>1043</v>
      </c>
      <c r="R233" s="4"/>
      <c r="S233" s="4"/>
    </row>
    <row r="234" spans="1:19" x14ac:dyDescent="0.25">
      <c r="A234" s="3"/>
      <c r="B234" s="67"/>
      <c r="C234" s="67" t="s">
        <v>208</v>
      </c>
      <c r="D234" s="3" t="s">
        <v>1044</v>
      </c>
      <c r="E234" s="22">
        <v>0.04</v>
      </c>
      <c r="F234" s="67"/>
      <c r="G234" s="67"/>
      <c r="H234" s="67"/>
      <c r="I234" s="67"/>
      <c r="J234" s="67"/>
      <c r="K234" s="67"/>
      <c r="L234" s="67"/>
      <c r="M234" s="67"/>
      <c r="N234" s="67"/>
      <c r="O234" s="67"/>
      <c r="P234" s="67"/>
      <c r="Q234" s="3" t="s">
        <v>1045</v>
      </c>
      <c r="R234" s="3"/>
      <c r="S234" s="3"/>
    </row>
    <row r="235" spans="1:19" x14ac:dyDescent="0.25">
      <c r="A235" s="4"/>
      <c r="B235" s="68" t="s">
        <v>1193</v>
      </c>
      <c r="C235" s="68" t="s">
        <v>1218</v>
      </c>
      <c r="D235" s="4" t="s">
        <v>1030</v>
      </c>
      <c r="E235" s="69" t="str">
        <f>IF(IFERROR(VALUE(GetFilamentSpec($E$2,"#filament_coasting_enable")),0) &gt; 0,"True","False")</f>
        <v>False</v>
      </c>
      <c r="F235" s="68"/>
      <c r="G235" s="68"/>
      <c r="H235" s="68"/>
      <c r="I235" s="68"/>
      <c r="J235" s="68"/>
      <c r="K235" s="68"/>
      <c r="L235" s="68"/>
      <c r="M235" s="68"/>
      <c r="N235" s="68"/>
      <c r="O235" s="68"/>
      <c r="P235" s="68"/>
      <c r="Q235" s="4" t="s">
        <v>1031</v>
      </c>
      <c r="R235" s="4"/>
      <c r="S235" s="4"/>
    </row>
    <row r="236" spans="1:19" x14ac:dyDescent="0.25">
      <c r="A236" s="3"/>
      <c r="B236" s="67"/>
      <c r="C236" s="67" t="s">
        <v>1218</v>
      </c>
      <c r="D236" s="3" t="s">
        <v>1032</v>
      </c>
      <c r="E236" s="22" t="str">
        <f>IF(IFERROR(VALUE(GetFilamentSpec($E$2,"#filament_coasting_distance")),0) &gt; 0, "=line_width * layer_height * " &amp; GetFilamentSpec($E$2,"#filament_coasting_distance"),"")</f>
        <v>=line_width * layer_height * 0.2</v>
      </c>
      <c r="F236" s="67"/>
      <c r="G236" s="67"/>
      <c r="H236" s="67"/>
      <c r="I236" s="67"/>
      <c r="J236" s="67"/>
      <c r="K236" s="67"/>
      <c r="L236" s="67"/>
      <c r="M236" s="67"/>
      <c r="N236" s="67"/>
      <c r="O236" s="67"/>
      <c r="P236" s="67"/>
      <c r="Q236" s="3" t="s">
        <v>1033</v>
      </c>
      <c r="R236" s="3"/>
      <c r="S236" s="3"/>
    </row>
    <row r="237" spans="1:19" x14ac:dyDescent="0.25">
      <c r="A237" s="4"/>
      <c r="B237" s="68"/>
      <c r="C237" s="68" t="s">
        <v>208</v>
      </c>
      <c r="D237" s="4" t="s">
        <v>1034</v>
      </c>
      <c r="E237" s="25" t="str">
        <f>IF(IFERROR(VALUE(GetFilamentSpec($E$2,"#filament_coasting_distance")),0) &gt; 0, "=line_width * layer_height * 5","")</f>
        <v>=line_width * layer_height * 5</v>
      </c>
      <c r="F237" s="68"/>
      <c r="G237" s="68"/>
      <c r="H237" s="68"/>
      <c r="I237" s="68"/>
      <c r="J237" s="68"/>
      <c r="K237" s="68"/>
      <c r="L237" s="68"/>
      <c r="M237" s="68"/>
      <c r="N237" s="68"/>
      <c r="O237" s="68"/>
      <c r="P237" s="68"/>
      <c r="Q237" s="4" t="s">
        <v>1035</v>
      </c>
      <c r="R237" s="4"/>
      <c r="S237" s="4"/>
    </row>
    <row r="238" spans="1:19" x14ac:dyDescent="0.25">
      <c r="A238" s="3"/>
      <c r="B238" s="67"/>
      <c r="C238" s="67" t="s">
        <v>1217</v>
      </c>
      <c r="D238" s="3" t="s">
        <v>1230</v>
      </c>
      <c r="E238" s="85"/>
      <c r="F238" s="67"/>
      <c r="G238" s="67"/>
      <c r="H238" s="67"/>
      <c r="I238" s="67"/>
      <c r="J238" s="67"/>
      <c r="K238" s="67"/>
      <c r="L238" s="67"/>
      <c r="M238" s="67"/>
      <c r="N238" s="67"/>
      <c r="O238" s="67"/>
      <c r="P238" s="67"/>
      <c r="Q238" s="3" t="s">
        <v>1231</v>
      </c>
      <c r="R238" s="3"/>
      <c r="S238" s="3"/>
    </row>
    <row r="239" spans="1:19" x14ac:dyDescent="0.25">
      <c r="A239" s="4"/>
      <c r="B239" s="68" t="s">
        <v>1194</v>
      </c>
      <c r="C239" s="68" t="s">
        <v>1217</v>
      </c>
      <c r="D239" s="4" t="s">
        <v>1050</v>
      </c>
      <c r="E239" s="69" t="str">
        <f>"True"</f>
        <v>True</v>
      </c>
      <c r="F239" s="68"/>
      <c r="G239" s="68"/>
      <c r="H239" s="68"/>
      <c r="I239" s="68"/>
      <c r="J239" s="68"/>
      <c r="K239" s="68"/>
      <c r="L239" s="68"/>
      <c r="M239" s="68"/>
      <c r="N239" s="68"/>
      <c r="O239" s="68"/>
      <c r="P239" s="68"/>
      <c r="Q239" s="4" t="s">
        <v>1051</v>
      </c>
      <c r="R239" s="4"/>
      <c r="S239" s="4"/>
    </row>
    <row r="240" spans="1:19" x14ac:dyDescent="0.25">
      <c r="A240" s="3"/>
      <c r="B240" s="67"/>
      <c r="C240" s="67" t="s">
        <v>208</v>
      </c>
      <c r="D240" s="3" t="s">
        <v>1052</v>
      </c>
      <c r="E240" s="22"/>
      <c r="F240" s="67"/>
      <c r="G240" s="67"/>
      <c r="H240" s="67"/>
      <c r="I240" s="67"/>
      <c r="J240" s="67"/>
      <c r="K240" s="67"/>
      <c r="L240" s="67"/>
      <c r="M240" s="67"/>
      <c r="N240" s="67"/>
      <c r="O240" s="67"/>
      <c r="P240" s="67"/>
      <c r="Q240" s="3" t="s">
        <v>1053</v>
      </c>
      <c r="R240" s="3"/>
      <c r="S240" s="3"/>
    </row>
    <row r="241" spans="1:19" x14ac:dyDescent="0.25">
      <c r="A241" s="4"/>
      <c r="B241" s="68"/>
      <c r="C241" s="68" t="s">
        <v>208</v>
      </c>
      <c r="D241" s="4" t="s">
        <v>1054</v>
      </c>
      <c r="E241" s="25"/>
      <c r="F241" s="68"/>
      <c r="G241" s="68"/>
      <c r="H241" s="68"/>
      <c r="I241" s="68"/>
      <c r="J241" s="68"/>
      <c r="K241" s="68"/>
      <c r="L241" s="68"/>
      <c r="M241" s="68"/>
      <c r="N241" s="68"/>
      <c r="O241" s="68"/>
      <c r="P241" s="68"/>
      <c r="Q241" s="4" t="s">
        <v>1055</v>
      </c>
      <c r="R241" s="4"/>
      <c r="S241" s="4"/>
    </row>
    <row r="242" spans="1:19" x14ac:dyDescent="0.25">
      <c r="A242" s="3"/>
      <c r="B242" s="67"/>
      <c r="C242" s="67" t="s">
        <v>208</v>
      </c>
      <c r="D242" s="3" t="s">
        <v>1056</v>
      </c>
      <c r="E242" s="22"/>
      <c r="F242" s="67"/>
      <c r="G242" s="67"/>
      <c r="H242" s="67"/>
      <c r="I242" s="67"/>
      <c r="J242" s="67"/>
      <c r="K242" s="67"/>
      <c r="L242" s="67"/>
      <c r="M242" s="67"/>
      <c r="N242" s="67"/>
      <c r="O242" s="67"/>
      <c r="P242" s="67"/>
      <c r="Q242" s="3" t="s">
        <v>1057</v>
      </c>
      <c r="R242" s="3"/>
      <c r="S242" s="3"/>
    </row>
    <row r="243" spans="1:19" x14ac:dyDescent="0.25">
      <c r="A243" s="4"/>
      <c r="B243" s="68"/>
      <c r="C243" s="68" t="s">
        <v>208</v>
      </c>
      <c r="D243" s="4" t="s">
        <v>1058</v>
      </c>
      <c r="E243" s="25" t="str">
        <f>GetPrintSpec( $E$2,E$1,"bridge_speed")</f>
        <v>40</v>
      </c>
      <c r="F243" s="68"/>
      <c r="G243" s="68"/>
      <c r="H243" s="68"/>
      <c r="I243" s="68"/>
      <c r="J243" s="68"/>
      <c r="K243" s="68"/>
      <c r="L243" s="68"/>
      <c r="M243" s="68"/>
      <c r="N243" s="68"/>
      <c r="O243" s="68"/>
      <c r="P243" s="68"/>
      <c r="Q243" s="4" t="s">
        <v>1059</v>
      </c>
      <c r="R243" s="4"/>
      <c r="S243" s="4"/>
    </row>
    <row r="244" spans="1:19" x14ac:dyDescent="0.25">
      <c r="A244" s="3"/>
      <c r="B244" s="67"/>
      <c r="C244" s="67" t="s">
        <v>208</v>
      </c>
      <c r="D244" s="3" t="s">
        <v>1060</v>
      </c>
      <c r="E244" s="22">
        <f>GetFilamentSpec($E$2,"#filament_bridge_flow")*100</f>
        <v>80</v>
      </c>
      <c r="F244" s="67"/>
      <c r="G244" s="67"/>
      <c r="H244" s="67"/>
      <c r="I244" s="67"/>
      <c r="J244" s="67"/>
      <c r="K244" s="67"/>
      <c r="L244" s="67"/>
      <c r="M244" s="67"/>
      <c r="N244" s="67"/>
      <c r="O244" s="67"/>
      <c r="P244" s="67"/>
      <c r="Q244" s="3" t="s">
        <v>1061</v>
      </c>
      <c r="R244" s="3"/>
      <c r="S244" s="3"/>
    </row>
    <row r="245" spans="1:19" x14ac:dyDescent="0.25">
      <c r="A245" s="4"/>
      <c r="B245" s="68"/>
      <c r="C245" s="68" t="s">
        <v>208</v>
      </c>
      <c r="D245" s="4" t="s">
        <v>1062</v>
      </c>
      <c r="E245" s="25" t="str">
        <f>GetPrintSpec( $E$2,E$1,"bridge_speed")</f>
        <v>40</v>
      </c>
      <c r="F245" s="68"/>
      <c r="G245" s="68"/>
      <c r="H245" s="68"/>
      <c r="I245" s="68"/>
      <c r="J245" s="68"/>
      <c r="K245" s="68"/>
      <c r="L245" s="68"/>
      <c r="M245" s="68"/>
      <c r="N245" s="68"/>
      <c r="O245" s="68"/>
      <c r="P245" s="68"/>
      <c r="Q245" s="4" t="s">
        <v>1063</v>
      </c>
      <c r="R245" s="4"/>
      <c r="S245" s="4"/>
    </row>
    <row r="246" spans="1:19" x14ac:dyDescent="0.25">
      <c r="A246" s="3"/>
      <c r="B246" s="67"/>
      <c r="C246" s="67" t="s">
        <v>208</v>
      </c>
      <c r="D246" s="3" t="s">
        <v>1064</v>
      </c>
      <c r="E246" s="22">
        <f>GetFilamentSpec($E$2,"#filament_bridge_flow")*100</f>
        <v>80</v>
      </c>
      <c r="F246" s="67"/>
      <c r="G246" s="67"/>
      <c r="H246" s="67"/>
      <c r="I246" s="67"/>
      <c r="J246" s="67"/>
      <c r="K246" s="67"/>
      <c r="L246" s="67"/>
      <c r="M246" s="67"/>
      <c r="N246" s="67"/>
      <c r="O246" s="67"/>
      <c r="P246" s="67"/>
      <c r="Q246" s="3" t="s">
        <v>1065</v>
      </c>
      <c r="R246" s="3"/>
      <c r="S246" s="3"/>
    </row>
    <row r="247" spans="1:19" x14ac:dyDescent="0.25">
      <c r="A247" s="4"/>
      <c r="B247" s="68"/>
      <c r="C247" s="68" t="s">
        <v>208</v>
      </c>
      <c r="D247" s="4" t="s">
        <v>1066</v>
      </c>
      <c r="E247" s="25"/>
      <c r="F247" s="68"/>
      <c r="G247" s="68"/>
      <c r="H247" s="68"/>
      <c r="I247" s="68"/>
      <c r="J247" s="68"/>
      <c r="K247" s="68"/>
      <c r="L247" s="68"/>
      <c r="M247" s="68"/>
      <c r="N247" s="68"/>
      <c r="O247" s="68"/>
      <c r="P247" s="68"/>
      <c r="Q247" s="4" t="s">
        <v>1067</v>
      </c>
      <c r="R247" s="4"/>
      <c r="S247" s="4"/>
    </row>
    <row r="248" spans="1:19" x14ac:dyDescent="0.25">
      <c r="A248" s="3"/>
      <c r="B248" s="67"/>
      <c r="C248" s="67" t="s">
        <v>1218</v>
      </c>
      <c r="D248" s="3" t="s">
        <v>115</v>
      </c>
      <c r="E248" s="22">
        <f>GetFilamentSpec($E$2,"bridge_fan_speed")*100</f>
        <v>30</v>
      </c>
      <c r="F248" s="67"/>
      <c r="G248" s="67"/>
      <c r="H248" s="67"/>
      <c r="I248" s="67"/>
      <c r="J248" s="67"/>
      <c r="K248" s="67"/>
      <c r="L248" s="67"/>
      <c r="M248" s="67"/>
      <c r="N248" s="67"/>
      <c r="O248" s="67"/>
      <c r="P248" s="67"/>
      <c r="Q248" s="3" t="s">
        <v>1068</v>
      </c>
      <c r="R248" s="3"/>
      <c r="S248" s="3"/>
    </row>
    <row r="249" spans="1:19" x14ac:dyDescent="0.25">
      <c r="A249" s="4"/>
      <c r="B249" s="68"/>
      <c r="C249" s="68" t="s">
        <v>208</v>
      </c>
      <c r="D249" s="4" t="s">
        <v>1069</v>
      </c>
      <c r="E249" s="25" t="str">
        <f>"False"</f>
        <v>False</v>
      </c>
      <c r="F249" s="68"/>
      <c r="G249" s="68"/>
      <c r="H249" s="68"/>
      <c r="I249" s="68"/>
      <c r="J249" s="68"/>
      <c r="K249" s="68"/>
      <c r="L249" s="68"/>
      <c r="M249" s="68"/>
      <c r="N249" s="68"/>
      <c r="O249" s="68"/>
      <c r="P249" s="68"/>
      <c r="Q249" s="4" t="s">
        <v>1070</v>
      </c>
      <c r="R249" s="4"/>
      <c r="S249" s="4"/>
    </row>
    <row r="250" spans="1:19" x14ac:dyDescent="0.25">
      <c r="A250" s="3"/>
      <c r="B250" s="67" t="s">
        <v>1195</v>
      </c>
      <c r="C250" s="67" t="s">
        <v>208</v>
      </c>
      <c r="D250" s="3" t="s">
        <v>1153</v>
      </c>
      <c r="E250" s="22" t="str">
        <f>"=linewidth * 4"</f>
        <v>=linewidth * 4</v>
      </c>
      <c r="F250" s="67"/>
      <c r="G250" s="67"/>
      <c r="H250" s="67"/>
      <c r="I250" s="67"/>
      <c r="J250" s="67"/>
      <c r="K250" s="67"/>
      <c r="L250" s="67"/>
      <c r="M250" s="67"/>
      <c r="N250" s="67"/>
      <c r="O250" s="67"/>
      <c r="P250" s="67"/>
      <c r="Q250" s="3" t="s">
        <v>1154</v>
      </c>
      <c r="R250" s="3"/>
      <c r="S250" s="3"/>
    </row>
    <row r="251" spans="1:19" x14ac:dyDescent="0.25">
      <c r="A251" s="4"/>
      <c r="B251" s="68"/>
      <c r="C251" s="68" t="s">
        <v>208</v>
      </c>
      <c r="D251" s="4" t="s">
        <v>1155</v>
      </c>
      <c r="E251" s="25"/>
      <c r="F251" s="68"/>
      <c r="G251" s="68"/>
      <c r="H251" s="68"/>
      <c r="I251" s="68"/>
      <c r="J251" s="68"/>
      <c r="K251" s="68"/>
      <c r="L251" s="68"/>
      <c r="M251" s="68"/>
      <c r="N251" s="68"/>
      <c r="O251" s="68"/>
      <c r="P251" s="68"/>
      <c r="Q251" s="4" t="s">
        <v>1156</v>
      </c>
      <c r="R251" s="4"/>
      <c r="S251" s="4"/>
    </row>
    <row r="252" spans="1:19" x14ac:dyDescent="0.25">
      <c r="A252" s="3"/>
      <c r="B252" s="67"/>
      <c r="C252" s="67" t="s">
        <v>208</v>
      </c>
      <c r="D252" s="3" t="s">
        <v>1158</v>
      </c>
      <c r="E252" s="22"/>
      <c r="F252" s="67"/>
      <c r="G252" s="67"/>
      <c r="H252" s="67"/>
      <c r="I252" s="67"/>
      <c r="J252" s="67"/>
      <c r="K252" s="67"/>
      <c r="L252" s="67"/>
      <c r="M252" s="67"/>
      <c r="N252" s="67"/>
      <c r="O252" s="67"/>
      <c r="P252" s="67"/>
      <c r="Q252" s="3" t="s">
        <v>1157</v>
      </c>
      <c r="R252" s="3"/>
      <c r="S252" s="3"/>
    </row>
    <row r="253" spans="1:19" x14ac:dyDescent="0.25">
      <c r="A253" s="4"/>
      <c r="B253" s="68"/>
      <c r="C253" s="68"/>
      <c r="D253" s="4"/>
      <c r="E253" s="25"/>
      <c r="F253" s="68"/>
      <c r="G253" s="68"/>
      <c r="H253" s="68"/>
      <c r="I253" s="68"/>
      <c r="J253" s="68"/>
      <c r="K253" s="68"/>
      <c r="L253" s="68"/>
      <c r="M253" s="68"/>
      <c r="N253" s="68"/>
      <c r="O253" s="68"/>
      <c r="P253" s="68"/>
      <c r="Q253" s="4"/>
      <c r="R253" s="4"/>
      <c r="S253" s="4"/>
    </row>
    <row r="254" spans="1:19" x14ac:dyDescent="0.25">
      <c r="A254" s="3"/>
      <c r="B254" s="67"/>
      <c r="C254" s="67"/>
      <c r="D254" s="3"/>
      <c r="E254" s="22"/>
      <c r="F254" s="67"/>
      <c r="G254" s="67"/>
      <c r="H254" s="67"/>
      <c r="I254" s="67"/>
      <c r="J254" s="67"/>
      <c r="K254" s="67"/>
      <c r="L254" s="67"/>
      <c r="M254" s="67"/>
      <c r="N254" s="67"/>
      <c r="O254" s="67"/>
      <c r="P254" s="67"/>
      <c r="Q254" s="3"/>
      <c r="R254" s="3"/>
      <c r="S254" s="3"/>
    </row>
    <row r="255" spans="1:19" x14ac:dyDescent="0.25">
      <c r="A255" s="4"/>
      <c r="B255" s="68"/>
      <c r="C255" s="68"/>
      <c r="D255" s="4"/>
      <c r="E255" s="25"/>
      <c r="F255" s="68"/>
      <c r="G255" s="68"/>
      <c r="H255" s="68"/>
      <c r="I255" s="68"/>
      <c r="J255" s="68"/>
      <c r="K255" s="68"/>
      <c r="L255" s="68"/>
      <c r="M255" s="68"/>
      <c r="N255" s="68"/>
      <c r="O255" s="68"/>
      <c r="P255" s="68"/>
      <c r="Q255" s="4"/>
      <c r="R255" s="4"/>
      <c r="S255" s="4"/>
    </row>
    <row r="256" spans="1:19" x14ac:dyDescent="0.25">
      <c r="A256" s="3"/>
      <c r="B256" s="67"/>
      <c r="C256" s="67"/>
      <c r="D256" s="3"/>
      <c r="E256" s="22"/>
      <c r="F256" s="67"/>
      <c r="G256" s="67"/>
      <c r="H256" s="67"/>
      <c r="I256" s="67"/>
      <c r="J256" s="67"/>
      <c r="K256" s="67"/>
      <c r="L256" s="67"/>
      <c r="M256" s="67"/>
      <c r="N256" s="67"/>
      <c r="O256" s="67"/>
      <c r="P256" s="67"/>
      <c r="Q256" s="3"/>
      <c r="R256" s="3"/>
      <c r="S256" s="3"/>
    </row>
    <row r="257" spans="1:19" x14ac:dyDescent="0.25">
      <c r="A257" s="4"/>
      <c r="B257" s="68"/>
      <c r="C257" s="68"/>
      <c r="D257" s="4"/>
      <c r="E257" s="25"/>
      <c r="F257" s="68"/>
      <c r="G257" s="68"/>
      <c r="H257" s="68"/>
      <c r="I257" s="68"/>
      <c r="J257" s="68"/>
      <c r="K257" s="68"/>
      <c r="L257" s="68"/>
      <c r="M257" s="68"/>
      <c r="N257" s="68"/>
      <c r="O257" s="68"/>
      <c r="P257" s="68"/>
      <c r="Q257" s="4"/>
      <c r="R257" s="4"/>
      <c r="S257" s="4"/>
    </row>
    <row r="258" spans="1:19" x14ac:dyDescent="0.25">
      <c r="A258" s="3"/>
      <c r="B258" s="67"/>
      <c r="C258" s="67"/>
      <c r="D258" s="3"/>
      <c r="E258" s="22"/>
      <c r="F258" s="67"/>
      <c r="G258" s="67"/>
      <c r="H258" s="67"/>
      <c r="I258" s="67"/>
      <c r="J258" s="67"/>
      <c r="K258" s="67"/>
      <c r="L258" s="67"/>
      <c r="M258" s="67"/>
      <c r="N258" s="67"/>
      <c r="O258" s="67"/>
      <c r="P258" s="67"/>
      <c r="Q258" s="3"/>
      <c r="R258" s="3"/>
      <c r="S258" s="3"/>
    </row>
    <row r="259" spans="1:19" x14ac:dyDescent="0.25">
      <c r="A259" s="4"/>
      <c r="B259" s="68"/>
      <c r="C259" s="68"/>
      <c r="D259" s="4"/>
      <c r="E259" s="25"/>
      <c r="F259" s="68"/>
      <c r="G259" s="68"/>
      <c r="H259" s="68"/>
      <c r="I259" s="68"/>
      <c r="J259" s="68"/>
      <c r="K259" s="68"/>
      <c r="L259" s="68"/>
      <c r="M259" s="68"/>
      <c r="N259" s="68"/>
      <c r="O259" s="68"/>
      <c r="P259" s="68"/>
      <c r="Q259" s="4"/>
      <c r="R259" s="4"/>
      <c r="S259" s="4"/>
    </row>
    <row r="260" spans="1:19" x14ac:dyDescent="0.25">
      <c r="A260" s="3"/>
      <c r="B260" s="67"/>
      <c r="C260" s="67"/>
      <c r="D260" s="3"/>
      <c r="E260" s="22"/>
      <c r="F260" s="67"/>
      <c r="G260" s="67"/>
      <c r="H260" s="67"/>
      <c r="I260" s="67"/>
      <c r="J260" s="67"/>
      <c r="K260" s="67"/>
      <c r="L260" s="67"/>
      <c r="M260" s="67"/>
      <c r="N260" s="67"/>
      <c r="O260" s="67"/>
      <c r="P260" s="67"/>
      <c r="Q260" s="3"/>
      <c r="R260" s="3"/>
      <c r="S260" s="3"/>
    </row>
    <row r="261" spans="1:19" x14ac:dyDescent="0.25">
      <c r="A261" s="4"/>
      <c r="B261" s="68"/>
      <c r="C261" s="68"/>
      <c r="D261" s="4"/>
      <c r="E261" s="25"/>
      <c r="F261" s="68"/>
      <c r="G261" s="68"/>
      <c r="H261" s="68"/>
      <c r="I261" s="68"/>
      <c r="J261" s="68"/>
      <c r="K261" s="68"/>
      <c r="L261" s="68"/>
      <c r="M261" s="68"/>
      <c r="N261" s="68"/>
      <c r="O261" s="68"/>
      <c r="P261" s="68"/>
      <c r="Q261" s="4"/>
      <c r="R261" s="4"/>
      <c r="S261" s="4"/>
    </row>
    <row r="262" spans="1:19" x14ac:dyDescent="0.25">
      <c r="A262" s="3"/>
      <c r="B262" s="67"/>
      <c r="C262" s="67"/>
      <c r="D262" s="3"/>
      <c r="E262" s="22"/>
      <c r="F262" s="67"/>
      <c r="G262" s="67"/>
      <c r="H262" s="67"/>
      <c r="I262" s="67"/>
      <c r="J262" s="67"/>
      <c r="K262" s="67"/>
      <c r="L262" s="67"/>
      <c r="M262" s="67"/>
      <c r="N262" s="67"/>
      <c r="O262" s="67"/>
      <c r="P262" s="67"/>
      <c r="Q262" s="3"/>
      <c r="R262" s="3"/>
      <c r="S262" s="3"/>
    </row>
    <row r="263" spans="1:19" x14ac:dyDescent="0.25">
      <c r="A263" s="4"/>
      <c r="B263" s="68"/>
      <c r="C263" s="68"/>
      <c r="D263" s="4"/>
      <c r="E263" s="25"/>
      <c r="F263" s="68"/>
      <c r="G263" s="68"/>
      <c r="H263" s="68"/>
      <c r="I263" s="68"/>
      <c r="J263" s="68"/>
      <c r="K263" s="68"/>
      <c r="L263" s="68"/>
      <c r="M263" s="68"/>
      <c r="N263" s="68"/>
      <c r="O263" s="68"/>
      <c r="P263" s="68"/>
      <c r="Q263" s="4"/>
      <c r="R263" s="4"/>
      <c r="S263" s="4"/>
    </row>
    <row r="264" spans="1:19" x14ac:dyDescent="0.25">
      <c r="A264" s="3"/>
      <c r="B264" s="67"/>
      <c r="C264" s="67"/>
      <c r="D264" s="3"/>
      <c r="E264" s="22"/>
      <c r="F264" s="67"/>
      <c r="G264" s="67"/>
      <c r="H264" s="67"/>
      <c r="I264" s="67"/>
      <c r="J264" s="67"/>
      <c r="K264" s="67"/>
      <c r="L264" s="67"/>
      <c r="M264" s="67"/>
      <c r="N264" s="67"/>
      <c r="O264" s="67"/>
      <c r="P264" s="67"/>
      <c r="Q264" s="3"/>
      <c r="R264" s="3"/>
      <c r="S264" s="3"/>
    </row>
    <row r="265" spans="1:19" x14ac:dyDescent="0.25">
      <c r="A265" s="4"/>
      <c r="B265" s="68"/>
      <c r="C265" s="68"/>
      <c r="D265" s="4"/>
      <c r="E265" s="25"/>
      <c r="F265" s="68"/>
      <c r="G265" s="68"/>
      <c r="H265" s="68"/>
      <c r="I265" s="68"/>
      <c r="J265" s="68"/>
      <c r="K265" s="68"/>
      <c r="L265" s="68"/>
      <c r="M265" s="68"/>
      <c r="N265" s="68"/>
      <c r="O265" s="68"/>
      <c r="P265" s="68"/>
      <c r="Q265" s="4"/>
      <c r="R265" s="4"/>
      <c r="S265" s="4"/>
    </row>
    <row r="266" spans="1:19" x14ac:dyDescent="0.25">
      <c r="A266" s="3"/>
      <c r="B266" s="67"/>
      <c r="C266" s="67"/>
      <c r="D266" s="3"/>
      <c r="E266" s="22"/>
      <c r="F266" s="67"/>
      <c r="G266" s="67"/>
      <c r="H266" s="67"/>
      <c r="I266" s="67"/>
      <c r="J266" s="67"/>
      <c r="K266" s="67"/>
      <c r="L266" s="67"/>
      <c r="M266" s="67"/>
      <c r="N266" s="67"/>
      <c r="O266" s="67"/>
      <c r="P266" s="67"/>
      <c r="Q266" s="3"/>
      <c r="R266" s="3"/>
      <c r="S266" s="3"/>
    </row>
    <row r="267" spans="1:19" x14ac:dyDescent="0.25">
      <c r="A267" s="4"/>
      <c r="B267" s="68"/>
      <c r="C267" s="68"/>
      <c r="D267" s="4"/>
      <c r="E267" s="25"/>
      <c r="F267" s="68"/>
      <c r="G267" s="68"/>
      <c r="H267" s="68"/>
      <c r="I267" s="68"/>
      <c r="J267" s="68"/>
      <c r="K267" s="68"/>
      <c r="L267" s="68"/>
      <c r="M267" s="68"/>
      <c r="N267" s="68"/>
      <c r="O267" s="68"/>
      <c r="P267" s="68"/>
      <c r="Q267" s="4"/>
      <c r="R267" s="4"/>
      <c r="S267" s="4"/>
    </row>
    <row r="268" spans="1:19" x14ac:dyDescent="0.25">
      <c r="A268" s="3"/>
      <c r="B268" s="67"/>
      <c r="C268" s="67"/>
      <c r="D268" s="3"/>
      <c r="E268" s="22"/>
      <c r="F268" s="67"/>
      <c r="G268" s="67"/>
      <c r="H268" s="67"/>
      <c r="I268" s="67"/>
      <c r="J268" s="67"/>
      <c r="K268" s="67"/>
      <c r="L268" s="67"/>
      <c r="M268" s="67"/>
      <c r="N268" s="67"/>
      <c r="O268" s="67"/>
      <c r="P268" s="67"/>
      <c r="Q268" s="3"/>
      <c r="R268" s="3"/>
      <c r="S268" s="3"/>
    </row>
    <row r="269" spans="1:19" x14ac:dyDescent="0.25">
      <c r="A269" s="4"/>
      <c r="B269" s="68"/>
      <c r="C269" s="68"/>
      <c r="D269" s="4"/>
      <c r="E269" s="25"/>
      <c r="F269" s="68"/>
      <c r="G269" s="68"/>
      <c r="H269" s="68"/>
      <c r="I269" s="68"/>
      <c r="J269" s="68"/>
      <c r="K269" s="68"/>
      <c r="L269" s="68"/>
      <c r="M269" s="68"/>
      <c r="N269" s="68"/>
      <c r="O269" s="68"/>
      <c r="P269" s="68"/>
      <c r="Q269" s="4"/>
      <c r="R269" s="4"/>
      <c r="S269" s="4"/>
    </row>
    <row r="270" spans="1:19" x14ac:dyDescent="0.25">
      <c r="A270" s="3"/>
      <c r="B270" s="67"/>
      <c r="C270" s="67"/>
      <c r="D270" s="3"/>
      <c r="E270" s="22"/>
      <c r="F270" s="67"/>
      <c r="G270" s="67"/>
      <c r="H270" s="67"/>
      <c r="I270" s="67"/>
      <c r="J270" s="67"/>
      <c r="K270" s="67"/>
      <c r="L270" s="67"/>
      <c r="M270" s="67"/>
      <c r="N270" s="67"/>
      <c r="O270" s="67"/>
      <c r="P270" s="67"/>
      <c r="Q270" s="3"/>
      <c r="R270" s="3"/>
      <c r="S270" s="3"/>
    </row>
    <row r="271" spans="1:19" x14ac:dyDescent="0.25">
      <c r="A271" s="4"/>
      <c r="B271" s="68"/>
      <c r="C271" s="68"/>
      <c r="D271" s="4"/>
      <c r="E271" s="25"/>
      <c r="F271" s="68"/>
      <c r="G271" s="68"/>
      <c r="H271" s="68"/>
      <c r="I271" s="68"/>
      <c r="J271" s="68"/>
      <c r="K271" s="68"/>
      <c r="L271" s="68"/>
      <c r="M271" s="68"/>
      <c r="N271" s="68"/>
      <c r="O271" s="68"/>
      <c r="P271" s="68"/>
      <c r="Q271" s="4"/>
      <c r="R271" s="4"/>
      <c r="S271" s="4"/>
    </row>
    <row r="272" spans="1:19" x14ac:dyDescent="0.25">
      <c r="A272" s="3"/>
      <c r="B272" s="67"/>
      <c r="C272" s="67"/>
      <c r="D272" s="3"/>
      <c r="E272" s="22"/>
      <c r="F272" s="67"/>
      <c r="G272" s="67"/>
      <c r="H272" s="67"/>
      <c r="I272" s="67"/>
      <c r="J272" s="67"/>
      <c r="K272" s="67"/>
      <c r="L272" s="67"/>
      <c r="M272" s="67"/>
      <c r="N272" s="67"/>
      <c r="O272" s="67"/>
      <c r="P272" s="67"/>
      <c r="Q272" s="3"/>
      <c r="R272" s="3"/>
      <c r="S272" s="3"/>
    </row>
    <row r="273" spans="1:19" x14ac:dyDescent="0.25">
      <c r="A273" s="4"/>
      <c r="B273" s="68"/>
      <c r="C273" s="68"/>
      <c r="D273" s="4"/>
      <c r="E273" s="25"/>
      <c r="F273" s="68"/>
      <c r="G273" s="68"/>
      <c r="H273" s="68"/>
      <c r="I273" s="68"/>
      <c r="J273" s="68"/>
      <c r="K273" s="68"/>
      <c r="L273" s="68"/>
      <c r="M273" s="68"/>
      <c r="N273" s="68"/>
      <c r="O273" s="68"/>
      <c r="P273" s="68"/>
      <c r="Q273" s="4"/>
      <c r="R273" s="4"/>
      <c r="S273" s="4"/>
    </row>
    <row r="274" spans="1:19" x14ac:dyDescent="0.25">
      <c r="A274" s="3"/>
      <c r="B274" s="67"/>
      <c r="C274" s="67"/>
      <c r="D274" s="3"/>
      <c r="E274" s="22"/>
      <c r="F274" s="67"/>
      <c r="G274" s="67"/>
      <c r="H274" s="67"/>
      <c r="I274" s="67"/>
      <c r="J274" s="67"/>
      <c r="K274" s="67"/>
      <c r="L274" s="67"/>
      <c r="M274" s="67"/>
      <c r="N274" s="67"/>
      <c r="O274" s="67"/>
      <c r="P274" s="67"/>
      <c r="Q274" s="3"/>
      <c r="R274" s="3"/>
      <c r="S274" s="3"/>
    </row>
    <row r="275" spans="1:19" x14ac:dyDescent="0.25">
      <c r="A275" s="4"/>
      <c r="B275" s="68"/>
      <c r="C275" s="68"/>
      <c r="D275" s="4"/>
      <c r="E275" s="25"/>
      <c r="F275" s="68"/>
      <c r="G275" s="68"/>
      <c r="H275" s="68"/>
      <c r="I275" s="68"/>
      <c r="J275" s="68"/>
      <c r="K275" s="68"/>
      <c r="L275" s="68"/>
      <c r="M275" s="68"/>
      <c r="N275" s="68"/>
      <c r="O275" s="68"/>
      <c r="P275" s="68"/>
      <c r="Q275" s="4"/>
      <c r="R275" s="4"/>
      <c r="S275" s="4"/>
    </row>
    <row r="276" spans="1:19" x14ac:dyDescent="0.25">
      <c r="A276" s="3"/>
      <c r="B276" s="67"/>
      <c r="C276" s="67"/>
      <c r="D276" s="3"/>
      <c r="E276" s="22"/>
      <c r="F276" s="67"/>
      <c r="G276" s="67"/>
      <c r="H276" s="67"/>
      <c r="I276" s="67"/>
      <c r="J276" s="67"/>
      <c r="K276" s="67"/>
      <c r="L276" s="67"/>
      <c r="M276" s="67"/>
      <c r="N276" s="67"/>
      <c r="O276" s="67"/>
      <c r="P276" s="67"/>
      <c r="Q276" s="3"/>
      <c r="R276" s="3"/>
      <c r="S276" s="3"/>
    </row>
    <row r="277" spans="1:19" x14ac:dyDescent="0.25">
      <c r="A277" s="4"/>
      <c r="B277" s="68"/>
      <c r="C277" s="68"/>
      <c r="D277" s="4"/>
      <c r="E277" s="25"/>
      <c r="F277" s="68"/>
      <c r="G277" s="68"/>
      <c r="H277" s="68"/>
      <c r="I277" s="68"/>
      <c r="J277" s="68"/>
      <c r="K277" s="68"/>
      <c r="L277" s="68"/>
      <c r="M277" s="68"/>
      <c r="N277" s="68"/>
      <c r="O277" s="68"/>
      <c r="P277" s="68"/>
      <c r="Q277" s="4"/>
      <c r="R277" s="4"/>
      <c r="S277" s="4"/>
    </row>
    <row r="278" spans="1:19" x14ac:dyDescent="0.25">
      <c r="A278" s="3"/>
      <c r="B278" s="67"/>
      <c r="C278" s="67"/>
      <c r="D278" s="3"/>
      <c r="E278" s="22"/>
      <c r="F278" s="67"/>
      <c r="G278" s="67"/>
      <c r="H278" s="67"/>
      <c r="I278" s="67"/>
      <c r="J278" s="67"/>
      <c r="K278" s="67"/>
      <c r="L278" s="67"/>
      <c r="M278" s="67"/>
      <c r="N278" s="67"/>
      <c r="O278" s="67"/>
      <c r="P278" s="67"/>
      <c r="Q278" s="3"/>
      <c r="R278" s="3"/>
      <c r="S278" s="3"/>
    </row>
    <row r="279" spans="1:19" x14ac:dyDescent="0.25">
      <c r="A279" s="4"/>
      <c r="B279" s="68"/>
      <c r="C279" s="68"/>
      <c r="D279" s="4"/>
      <c r="E279" s="25"/>
      <c r="F279" s="68"/>
      <c r="G279" s="68"/>
      <c r="H279" s="68"/>
      <c r="I279" s="68"/>
      <c r="J279" s="68"/>
      <c r="K279" s="68"/>
      <c r="L279" s="68"/>
      <c r="M279" s="68"/>
      <c r="N279" s="68"/>
      <c r="O279" s="68"/>
      <c r="P279" s="68"/>
      <c r="Q279" s="4"/>
      <c r="R279" s="4"/>
      <c r="S279" s="4"/>
    </row>
    <row r="280" spans="1:19" x14ac:dyDescent="0.25">
      <c r="A280" s="3"/>
      <c r="B280" s="67"/>
      <c r="C280" s="67"/>
      <c r="D280" s="3"/>
      <c r="E280" s="22"/>
      <c r="F280" s="67"/>
      <c r="G280" s="67"/>
      <c r="H280" s="67"/>
      <c r="I280" s="67"/>
      <c r="J280" s="67"/>
      <c r="K280" s="67"/>
      <c r="L280" s="67"/>
      <c r="M280" s="67"/>
      <c r="N280" s="67"/>
      <c r="O280" s="67"/>
      <c r="P280" s="67"/>
      <c r="Q280" s="3"/>
      <c r="R280" s="3"/>
      <c r="S280" s="3"/>
    </row>
    <row r="281" spans="1:19" x14ac:dyDescent="0.25">
      <c r="A281" s="4"/>
      <c r="B281" s="68"/>
      <c r="C281" s="68"/>
      <c r="D281" s="4"/>
      <c r="E281" s="25"/>
      <c r="F281" s="68"/>
      <c r="G281" s="68"/>
      <c r="H281" s="68"/>
      <c r="I281" s="68"/>
      <c r="J281" s="68"/>
      <c r="K281" s="68"/>
      <c r="L281" s="68"/>
      <c r="M281" s="68"/>
      <c r="N281" s="68"/>
      <c r="O281" s="68"/>
      <c r="P281" s="68"/>
      <c r="Q281" s="4"/>
      <c r="R281" s="4"/>
      <c r="S281" s="4"/>
    </row>
    <row r="282" spans="1:19" x14ac:dyDescent="0.25">
      <c r="A282" s="3"/>
      <c r="B282" s="67"/>
      <c r="C282" s="67"/>
      <c r="D282" s="3"/>
      <c r="E282" s="22"/>
      <c r="F282" s="67"/>
      <c r="G282" s="67"/>
      <c r="H282" s="67"/>
      <c r="I282" s="67"/>
      <c r="J282" s="67"/>
      <c r="K282" s="67"/>
      <c r="L282" s="67"/>
      <c r="M282" s="67"/>
      <c r="N282" s="67"/>
      <c r="O282" s="67"/>
      <c r="P282" s="67"/>
      <c r="Q282" s="3"/>
      <c r="R282" s="3"/>
      <c r="S282" s="3"/>
    </row>
    <row r="283" spans="1:19" x14ac:dyDescent="0.25">
      <c r="A283" s="4"/>
      <c r="B283" s="68"/>
      <c r="C283" s="68"/>
      <c r="D283" s="4"/>
      <c r="E283" s="25"/>
      <c r="F283" s="68"/>
      <c r="G283" s="68"/>
      <c r="H283" s="68"/>
      <c r="I283" s="68"/>
      <c r="J283" s="68"/>
      <c r="K283" s="68"/>
      <c r="L283" s="68"/>
      <c r="M283" s="68"/>
      <c r="N283" s="68"/>
      <c r="O283" s="68"/>
      <c r="P283" s="68"/>
      <c r="Q283" s="4"/>
      <c r="R283" s="4"/>
      <c r="S283" s="4"/>
    </row>
    <row r="284" spans="1:19" x14ac:dyDescent="0.25">
      <c r="A284" s="3"/>
      <c r="B284" s="67"/>
      <c r="C284" s="67"/>
      <c r="D284" s="3"/>
      <c r="E284" s="22"/>
      <c r="F284" s="67"/>
      <c r="G284" s="67"/>
      <c r="H284" s="67"/>
      <c r="I284" s="67"/>
      <c r="J284" s="67"/>
      <c r="K284" s="67"/>
      <c r="L284" s="67"/>
      <c r="M284" s="67"/>
      <c r="N284" s="67"/>
      <c r="O284" s="67"/>
      <c r="P284" s="67"/>
      <c r="Q284" s="3"/>
      <c r="R284" s="3"/>
      <c r="S284" s="3"/>
    </row>
    <row r="285" spans="1:19" x14ac:dyDescent="0.25">
      <c r="A285" s="4"/>
      <c r="B285" s="68"/>
      <c r="C285" s="68"/>
      <c r="D285" s="4"/>
      <c r="E285" s="25"/>
      <c r="F285" s="68"/>
      <c r="G285" s="68"/>
      <c r="H285" s="68"/>
      <c r="I285" s="68"/>
      <c r="J285" s="68"/>
      <c r="K285" s="68"/>
      <c r="L285" s="68"/>
      <c r="M285" s="68"/>
      <c r="N285" s="68"/>
      <c r="O285" s="68"/>
      <c r="P285" s="68"/>
      <c r="Q285" s="4"/>
      <c r="R285" s="4"/>
      <c r="S285" s="4"/>
    </row>
    <row r="286" spans="1:19" x14ac:dyDescent="0.25">
      <c r="A286" s="3"/>
      <c r="B286" s="67"/>
      <c r="C286" s="67"/>
      <c r="D286" s="3"/>
      <c r="E286" s="22"/>
      <c r="F286" s="67"/>
      <c r="G286" s="67"/>
      <c r="H286" s="67"/>
      <c r="I286" s="67"/>
      <c r="J286" s="67"/>
      <c r="K286" s="67"/>
      <c r="L286" s="67"/>
      <c r="M286" s="67"/>
      <c r="N286" s="67"/>
      <c r="O286" s="67"/>
      <c r="P286" s="67"/>
      <c r="Q286" s="3"/>
      <c r="R286" s="3"/>
      <c r="S286" s="3"/>
    </row>
    <row r="287" spans="1:19" x14ac:dyDescent="0.25">
      <c r="A287" s="4"/>
      <c r="B287" s="68"/>
      <c r="C287" s="68"/>
      <c r="D287" s="4"/>
      <c r="E287" s="25"/>
      <c r="F287" s="68"/>
      <c r="G287" s="68"/>
      <c r="H287" s="68"/>
      <c r="I287" s="68"/>
      <c r="J287" s="68"/>
      <c r="K287" s="68"/>
      <c r="L287" s="68"/>
      <c r="M287" s="68"/>
      <c r="N287" s="68"/>
      <c r="O287" s="68"/>
      <c r="P287" s="68"/>
      <c r="Q287" s="4"/>
      <c r="R287" s="4"/>
      <c r="S287" s="4"/>
    </row>
    <row r="288" spans="1:19" x14ac:dyDescent="0.25">
      <c r="A288" s="3"/>
      <c r="B288" s="67"/>
      <c r="C288" s="67"/>
      <c r="D288" s="3"/>
      <c r="E288" s="22"/>
      <c r="F288" s="67"/>
      <c r="G288" s="67"/>
      <c r="H288" s="67"/>
      <c r="I288" s="67"/>
      <c r="J288" s="67"/>
      <c r="K288" s="67"/>
      <c r="L288" s="67"/>
      <c r="M288" s="67"/>
      <c r="N288" s="67"/>
      <c r="O288" s="67"/>
      <c r="P288" s="67"/>
      <c r="Q288" s="3"/>
      <c r="R288" s="3"/>
      <c r="S288" s="3"/>
    </row>
    <row r="289" spans="1:19" x14ac:dyDescent="0.25">
      <c r="A289" s="4"/>
      <c r="B289" s="68"/>
      <c r="C289" s="68"/>
      <c r="D289" s="4"/>
      <c r="E289" s="25"/>
      <c r="F289" s="68"/>
      <c r="G289" s="68"/>
      <c r="H289" s="68"/>
      <c r="I289" s="68"/>
      <c r="J289" s="68"/>
      <c r="K289" s="68"/>
      <c r="L289" s="68"/>
      <c r="M289" s="68"/>
      <c r="N289" s="68"/>
      <c r="O289" s="68"/>
      <c r="P289" s="68"/>
      <c r="Q289" s="4"/>
      <c r="R289" s="4"/>
      <c r="S289" s="4"/>
    </row>
    <row r="290" spans="1:19" x14ac:dyDescent="0.25">
      <c r="A290" s="3"/>
      <c r="B290" s="67"/>
      <c r="C290" s="67"/>
      <c r="D290" s="3"/>
      <c r="E290" s="22"/>
      <c r="F290" s="67"/>
      <c r="G290" s="67"/>
      <c r="H290" s="67"/>
      <c r="I290" s="67"/>
      <c r="J290" s="67"/>
      <c r="K290" s="67"/>
      <c r="L290" s="67"/>
      <c r="M290" s="67"/>
      <c r="N290" s="67"/>
      <c r="O290" s="67"/>
      <c r="P290" s="67"/>
      <c r="Q290" s="3"/>
      <c r="R290" s="3"/>
      <c r="S290" s="3"/>
    </row>
    <row r="291" spans="1:19" x14ac:dyDescent="0.25">
      <c r="A291" s="4"/>
      <c r="B291" s="68"/>
      <c r="C291" s="68"/>
      <c r="D291" s="4"/>
      <c r="E291" s="25"/>
      <c r="F291" s="68"/>
      <c r="G291" s="68"/>
      <c r="H291" s="68"/>
      <c r="I291" s="68"/>
      <c r="J291" s="68"/>
      <c r="K291" s="68"/>
      <c r="L291" s="68"/>
      <c r="M291" s="68"/>
      <c r="N291" s="68"/>
      <c r="O291" s="68"/>
      <c r="P291" s="68"/>
      <c r="Q291" s="4"/>
      <c r="R291" s="4"/>
      <c r="S291" s="4"/>
    </row>
    <row r="292" spans="1:19" x14ac:dyDescent="0.25">
      <c r="A292" s="3"/>
      <c r="B292" s="67"/>
      <c r="C292" s="67"/>
      <c r="D292" s="3"/>
      <c r="E292" s="22"/>
      <c r="F292" s="67"/>
      <c r="G292" s="67"/>
      <c r="H292" s="67"/>
      <c r="I292" s="67"/>
      <c r="J292" s="67"/>
      <c r="K292" s="67"/>
      <c r="L292" s="67"/>
      <c r="M292" s="67"/>
      <c r="N292" s="67"/>
      <c r="O292" s="67"/>
      <c r="P292" s="67"/>
      <c r="Q292" s="3"/>
      <c r="R292" s="3"/>
      <c r="S292" s="3"/>
    </row>
    <row r="293" spans="1:19" x14ac:dyDescent="0.25">
      <c r="A293" s="4"/>
      <c r="B293" s="68"/>
      <c r="C293" s="68"/>
      <c r="D293" s="4"/>
      <c r="E293" s="25"/>
      <c r="F293" s="68"/>
      <c r="G293" s="68"/>
      <c r="H293" s="68"/>
      <c r="I293" s="68"/>
      <c r="J293" s="68"/>
      <c r="K293" s="68"/>
      <c r="L293" s="68"/>
      <c r="M293" s="68"/>
      <c r="N293" s="68"/>
      <c r="O293" s="68"/>
      <c r="P293" s="68"/>
      <c r="Q293" s="4"/>
      <c r="R293" s="4"/>
      <c r="S293" s="4"/>
    </row>
    <row r="294" spans="1:19" x14ac:dyDescent="0.25">
      <c r="A294" s="3"/>
      <c r="B294" s="67"/>
      <c r="C294" s="67"/>
      <c r="D294" s="3"/>
      <c r="E294" s="22"/>
      <c r="F294" s="67"/>
      <c r="G294" s="67"/>
      <c r="H294" s="67"/>
      <c r="I294" s="67"/>
      <c r="J294" s="67"/>
      <c r="K294" s="67"/>
      <c r="L294" s="67"/>
      <c r="M294" s="67"/>
      <c r="N294" s="67"/>
      <c r="O294" s="67"/>
      <c r="P294" s="67"/>
      <c r="Q294" s="3"/>
      <c r="R294" s="3"/>
      <c r="S294" s="3"/>
    </row>
    <row r="295" spans="1:19" x14ac:dyDescent="0.25">
      <c r="A295" s="4"/>
      <c r="B295" s="68"/>
      <c r="C295" s="68"/>
      <c r="D295" s="4"/>
      <c r="E295" s="25"/>
      <c r="F295" s="68"/>
      <c r="G295" s="68"/>
      <c r="H295" s="68"/>
      <c r="I295" s="68"/>
      <c r="J295" s="68"/>
      <c r="K295" s="68"/>
      <c r="L295" s="68"/>
      <c r="M295" s="68"/>
      <c r="N295" s="68"/>
      <c r="O295" s="68"/>
      <c r="P295" s="68"/>
      <c r="Q295" s="4"/>
      <c r="R295" s="4"/>
      <c r="S295" s="4"/>
    </row>
    <row r="296" spans="1:19" x14ac:dyDescent="0.25">
      <c r="A296" s="3"/>
      <c r="B296" s="67"/>
      <c r="C296" s="67"/>
      <c r="D296" s="3"/>
      <c r="E296" s="22"/>
      <c r="F296" s="67"/>
      <c r="G296" s="67"/>
      <c r="H296" s="67"/>
      <c r="I296" s="67"/>
      <c r="J296" s="67"/>
      <c r="K296" s="67"/>
      <c r="L296" s="67"/>
      <c r="M296" s="67"/>
      <c r="N296" s="67"/>
      <c r="O296" s="67"/>
      <c r="P296" s="67"/>
      <c r="Q296" s="3"/>
      <c r="R296" s="3"/>
      <c r="S296" s="3"/>
    </row>
    <row r="297" spans="1:19" x14ac:dyDescent="0.25">
      <c r="A297" s="4"/>
      <c r="B297" s="68"/>
      <c r="C297" s="68"/>
      <c r="D297" s="4"/>
      <c r="E297" s="25"/>
      <c r="F297" s="68"/>
      <c r="G297" s="68"/>
      <c r="H297" s="68"/>
      <c r="I297" s="68"/>
      <c r="J297" s="68"/>
      <c r="K297" s="68"/>
      <c r="L297" s="68"/>
      <c r="M297" s="68"/>
      <c r="N297" s="68"/>
      <c r="O297" s="68"/>
      <c r="P297" s="68"/>
      <c r="Q297" s="4"/>
      <c r="R297" s="4"/>
      <c r="S297" s="4"/>
    </row>
    <row r="298" spans="1:19" x14ac:dyDescent="0.25">
      <c r="A298" s="3"/>
      <c r="B298" s="67"/>
      <c r="C298" s="67"/>
      <c r="D298" s="3"/>
      <c r="E298" s="22"/>
      <c r="F298" s="67"/>
      <c r="G298" s="67"/>
      <c r="H298" s="67"/>
      <c r="I298" s="67"/>
      <c r="J298" s="67"/>
      <c r="K298" s="67"/>
      <c r="L298" s="67"/>
      <c r="M298" s="67"/>
      <c r="N298" s="67"/>
      <c r="O298" s="67"/>
      <c r="P298" s="67"/>
      <c r="Q298" s="3"/>
      <c r="R298" s="3"/>
      <c r="S298" s="3"/>
    </row>
    <row r="299" spans="1:19" x14ac:dyDescent="0.25">
      <c r="A299" s="4"/>
      <c r="B299" s="68"/>
      <c r="C299" s="68"/>
      <c r="D299" s="4"/>
      <c r="E299" s="25"/>
      <c r="F299" s="68"/>
      <c r="G299" s="68"/>
      <c r="H299" s="68"/>
      <c r="I299" s="68"/>
      <c r="J299" s="68"/>
      <c r="K299" s="68"/>
      <c r="L299" s="68"/>
      <c r="M299" s="68"/>
      <c r="N299" s="68"/>
      <c r="O299" s="68"/>
      <c r="P299" s="68"/>
      <c r="Q299" s="4"/>
      <c r="R299" s="4"/>
      <c r="S299" s="4"/>
    </row>
    <row r="300" spans="1:19" x14ac:dyDescent="0.25">
      <c r="A300" s="3"/>
      <c r="B300" s="67"/>
      <c r="C300" s="67"/>
      <c r="D300" s="3"/>
      <c r="E300" s="22"/>
      <c r="F300" s="67"/>
      <c r="G300" s="67"/>
      <c r="H300" s="67"/>
      <c r="I300" s="67"/>
      <c r="J300" s="67"/>
      <c r="K300" s="67"/>
      <c r="L300" s="67"/>
      <c r="M300" s="67"/>
      <c r="N300" s="67"/>
      <c r="O300" s="67"/>
      <c r="P300" s="67"/>
      <c r="Q300" s="3"/>
      <c r="R300" s="3"/>
      <c r="S300" s="3"/>
    </row>
    <row r="301" spans="1:19" x14ac:dyDescent="0.25">
      <c r="A301" s="4"/>
      <c r="B301" s="68"/>
      <c r="C301" s="68"/>
      <c r="D301" s="4"/>
      <c r="E301" s="25"/>
      <c r="F301" s="68"/>
      <c r="G301" s="68"/>
      <c r="H301" s="68"/>
      <c r="I301" s="68"/>
      <c r="J301" s="68"/>
      <c r="K301" s="68"/>
      <c r="L301" s="68"/>
      <c r="M301" s="68"/>
      <c r="N301" s="68"/>
      <c r="O301" s="68"/>
      <c r="P301" s="68"/>
      <c r="Q301" s="4"/>
      <c r="R301" s="4"/>
      <c r="S301" s="4"/>
    </row>
    <row r="302" spans="1:19" x14ac:dyDescent="0.25">
      <c r="A302" s="3"/>
      <c r="B302" s="67"/>
      <c r="C302" s="67"/>
      <c r="D302" s="3"/>
      <c r="E302" s="22"/>
      <c r="F302" s="67"/>
      <c r="G302" s="67"/>
      <c r="H302" s="67"/>
      <c r="I302" s="67"/>
      <c r="J302" s="67"/>
      <c r="K302" s="67"/>
      <c r="L302" s="67"/>
      <c r="M302" s="67"/>
      <c r="N302" s="67"/>
      <c r="O302" s="67"/>
      <c r="P302" s="67"/>
      <c r="Q302" s="3"/>
      <c r="R302" s="3"/>
      <c r="S302" s="3"/>
    </row>
    <row r="303" spans="1:19" x14ac:dyDescent="0.25">
      <c r="A303" s="4"/>
      <c r="B303" s="68"/>
      <c r="C303" s="68"/>
      <c r="D303" s="4"/>
      <c r="E303" s="25"/>
      <c r="F303" s="68"/>
      <c r="G303" s="68"/>
      <c r="H303" s="68"/>
      <c r="I303" s="68"/>
      <c r="J303" s="68"/>
      <c r="K303" s="68"/>
      <c r="L303" s="68"/>
      <c r="M303" s="68"/>
      <c r="N303" s="68"/>
      <c r="O303" s="68"/>
      <c r="P303" s="68"/>
      <c r="Q303" s="4"/>
      <c r="R303" s="4"/>
      <c r="S303" s="4"/>
    </row>
    <row r="304" spans="1:19" x14ac:dyDescent="0.25">
      <c r="A304" s="3"/>
      <c r="B304" s="67"/>
      <c r="C304" s="67"/>
      <c r="D304" s="3"/>
      <c r="E304" s="22"/>
      <c r="F304" s="67"/>
      <c r="G304" s="67"/>
      <c r="H304" s="67"/>
      <c r="I304" s="67"/>
      <c r="J304" s="67"/>
      <c r="K304" s="67"/>
      <c r="L304" s="67"/>
      <c r="M304" s="67"/>
      <c r="N304" s="67"/>
      <c r="O304" s="67"/>
      <c r="P304" s="67"/>
      <c r="Q304" s="3"/>
      <c r="R304" s="3"/>
      <c r="S304" s="3"/>
    </row>
    <row r="305" spans="1:19" x14ac:dyDescent="0.25">
      <c r="A305" s="4"/>
      <c r="B305" s="68"/>
      <c r="C305" s="68"/>
      <c r="D305" s="4"/>
      <c r="E305" s="25"/>
      <c r="F305" s="68"/>
      <c r="G305" s="68"/>
      <c r="H305" s="68"/>
      <c r="I305" s="68"/>
      <c r="J305" s="68"/>
      <c r="K305" s="68"/>
      <c r="L305" s="68"/>
      <c r="M305" s="68"/>
      <c r="N305" s="68"/>
      <c r="O305" s="68"/>
      <c r="P305" s="68"/>
      <c r="Q305" s="4"/>
      <c r="R305" s="4"/>
      <c r="S305" s="4"/>
    </row>
    <row r="306" spans="1:19" x14ac:dyDescent="0.25">
      <c r="A306" s="3"/>
      <c r="B306" s="67"/>
      <c r="C306" s="67"/>
      <c r="D306" s="3"/>
      <c r="E306" s="22"/>
      <c r="F306" s="67"/>
      <c r="G306" s="67"/>
      <c r="H306" s="67"/>
      <c r="I306" s="67"/>
      <c r="J306" s="67"/>
      <c r="K306" s="67"/>
      <c r="L306" s="67"/>
      <c r="M306" s="67"/>
      <c r="N306" s="67"/>
      <c r="O306" s="67"/>
      <c r="P306" s="67"/>
      <c r="Q306" s="3"/>
      <c r="R306" s="3"/>
      <c r="S306" s="3"/>
    </row>
    <row r="307" spans="1:19" x14ac:dyDescent="0.25">
      <c r="A307" s="4"/>
      <c r="B307" s="68"/>
      <c r="C307" s="68"/>
      <c r="D307" s="4"/>
      <c r="E307" s="25"/>
      <c r="F307" s="68"/>
      <c r="G307" s="68"/>
      <c r="H307" s="68"/>
      <c r="I307" s="68"/>
      <c r="J307" s="68"/>
      <c r="K307" s="68"/>
      <c r="L307" s="68"/>
      <c r="M307" s="68"/>
      <c r="N307" s="68"/>
      <c r="O307" s="68"/>
      <c r="P307" s="68"/>
      <c r="Q307" s="4"/>
      <c r="R307" s="4"/>
      <c r="S307" s="4"/>
    </row>
    <row r="308" spans="1:19" x14ac:dyDescent="0.25">
      <c r="A308" s="3"/>
      <c r="B308" s="67"/>
      <c r="C308" s="67"/>
      <c r="D308" s="3"/>
      <c r="E308" s="22"/>
      <c r="F308" s="67"/>
      <c r="G308" s="67"/>
      <c r="H308" s="67"/>
      <c r="I308" s="67"/>
      <c r="J308" s="67"/>
      <c r="K308" s="67"/>
      <c r="L308" s="67"/>
      <c r="M308" s="67"/>
      <c r="N308" s="67"/>
      <c r="O308" s="67"/>
      <c r="P308" s="67"/>
      <c r="Q308" s="3"/>
      <c r="R308" s="3"/>
      <c r="S308" s="3"/>
    </row>
    <row r="309" spans="1:19" x14ac:dyDescent="0.25">
      <c r="A309" s="4"/>
      <c r="B309" s="68"/>
      <c r="C309" s="68"/>
      <c r="D309" s="4"/>
      <c r="E309" s="25"/>
      <c r="F309" s="68"/>
      <c r="G309" s="68"/>
      <c r="H309" s="68"/>
      <c r="I309" s="68"/>
      <c r="J309" s="68"/>
      <c r="K309" s="68"/>
      <c r="L309" s="68"/>
      <c r="M309" s="68"/>
      <c r="N309" s="68"/>
      <c r="O309" s="68"/>
      <c r="P309" s="68"/>
      <c r="Q309" s="4"/>
      <c r="R309" s="4"/>
      <c r="S309" s="4"/>
    </row>
    <row r="310" spans="1:19" x14ac:dyDescent="0.25">
      <c r="A310" s="3"/>
      <c r="B310" s="67"/>
      <c r="C310" s="67"/>
      <c r="D310" s="3"/>
      <c r="E310" s="22"/>
      <c r="F310" s="67"/>
      <c r="G310" s="67"/>
      <c r="H310" s="67"/>
      <c r="I310" s="67"/>
      <c r="J310" s="67"/>
      <c r="K310" s="67"/>
      <c r="L310" s="67"/>
      <c r="M310" s="67"/>
      <c r="N310" s="67"/>
      <c r="O310" s="67"/>
      <c r="P310" s="67"/>
      <c r="Q310" s="3"/>
      <c r="R310" s="3"/>
      <c r="S310" s="3"/>
    </row>
    <row r="311" spans="1:19" x14ac:dyDescent="0.25">
      <c r="A311" s="4"/>
      <c r="B311" s="68"/>
      <c r="C311" s="68"/>
      <c r="D311" s="4"/>
      <c r="E311" s="25"/>
      <c r="F311" s="68"/>
      <c r="G311" s="68"/>
      <c r="H311" s="68"/>
      <c r="I311" s="68"/>
      <c r="J311" s="68"/>
      <c r="K311" s="68"/>
      <c r="L311" s="68"/>
      <c r="M311" s="68"/>
      <c r="N311" s="68"/>
      <c r="O311" s="68"/>
      <c r="P311" s="68"/>
      <c r="Q311" s="4"/>
      <c r="R311" s="4"/>
      <c r="S311" s="4"/>
    </row>
    <row r="312" spans="1:19" x14ac:dyDescent="0.25">
      <c r="A312" s="3"/>
      <c r="B312" s="67"/>
      <c r="C312" s="67"/>
      <c r="D312" s="3"/>
      <c r="E312" s="22"/>
      <c r="F312" s="67"/>
      <c r="G312" s="67"/>
      <c r="H312" s="67"/>
      <c r="I312" s="67"/>
      <c r="J312" s="67"/>
      <c r="K312" s="67"/>
      <c r="L312" s="67"/>
      <c r="M312" s="67"/>
      <c r="N312" s="67"/>
      <c r="O312" s="67"/>
      <c r="P312" s="67"/>
      <c r="Q312" s="3"/>
      <c r="R312" s="3"/>
      <c r="S312" s="3"/>
    </row>
    <row r="313" spans="1:19" x14ac:dyDescent="0.25">
      <c r="A313" s="4"/>
      <c r="B313" s="68"/>
      <c r="C313" s="68"/>
      <c r="D313" s="4"/>
      <c r="E313" s="25"/>
      <c r="F313" s="68"/>
      <c r="G313" s="68"/>
      <c r="H313" s="68"/>
      <c r="I313" s="68"/>
      <c r="J313" s="68"/>
      <c r="K313" s="68"/>
      <c r="L313" s="68"/>
      <c r="M313" s="68"/>
      <c r="N313" s="68"/>
      <c r="O313" s="68"/>
      <c r="P313" s="68"/>
      <c r="Q313" s="4"/>
      <c r="R313" s="4"/>
      <c r="S313" s="4"/>
    </row>
    <row r="314" spans="1:19" x14ac:dyDescent="0.25">
      <c r="A314" s="3"/>
      <c r="B314" s="67"/>
      <c r="C314" s="67"/>
      <c r="D314" s="3"/>
      <c r="E314" s="22"/>
      <c r="F314" s="67"/>
      <c r="G314" s="67"/>
      <c r="H314" s="67"/>
      <c r="I314" s="67"/>
      <c r="J314" s="67"/>
      <c r="K314" s="67"/>
      <c r="L314" s="67"/>
      <c r="M314" s="67"/>
      <c r="N314" s="67"/>
      <c r="O314" s="67"/>
      <c r="P314" s="67"/>
      <c r="Q314" s="3"/>
      <c r="R314" s="3"/>
      <c r="S314" s="3"/>
    </row>
    <row r="315" spans="1:19" x14ac:dyDescent="0.25">
      <c r="A315" s="4"/>
      <c r="B315" s="68"/>
      <c r="C315" s="68"/>
      <c r="D315" s="4"/>
      <c r="E315" s="25"/>
      <c r="F315" s="68"/>
      <c r="G315" s="68"/>
      <c r="H315" s="68"/>
      <c r="I315" s="68"/>
      <c r="J315" s="68"/>
      <c r="K315" s="68"/>
      <c r="L315" s="68"/>
      <c r="M315" s="68"/>
      <c r="N315" s="68"/>
      <c r="O315" s="68"/>
      <c r="P315" s="68"/>
      <c r="Q315" s="4"/>
      <c r="R315" s="4"/>
      <c r="S315" s="4"/>
    </row>
    <row r="316" spans="1:19" x14ac:dyDescent="0.25">
      <c r="A316" s="3"/>
      <c r="B316" s="67"/>
      <c r="C316" s="67"/>
      <c r="D316" s="3"/>
      <c r="E316" s="22"/>
      <c r="F316" s="67"/>
      <c r="G316" s="67"/>
      <c r="H316" s="67"/>
      <c r="I316" s="67"/>
      <c r="J316" s="67"/>
      <c r="K316" s="67"/>
      <c r="L316" s="67"/>
      <c r="M316" s="67"/>
      <c r="N316" s="67"/>
      <c r="O316" s="67"/>
      <c r="P316" s="67"/>
      <c r="Q316" s="3"/>
      <c r="R316" s="3"/>
      <c r="S316" s="3"/>
    </row>
    <row r="317" spans="1:19" x14ac:dyDescent="0.25">
      <c r="A317" s="4"/>
      <c r="B317" s="68"/>
      <c r="C317" s="68"/>
      <c r="D317" s="4"/>
      <c r="E317" s="25"/>
      <c r="F317" s="68"/>
      <c r="G317" s="68"/>
      <c r="H317" s="68"/>
      <c r="I317" s="68"/>
      <c r="J317" s="68"/>
      <c r="K317" s="68"/>
      <c r="L317" s="68"/>
      <c r="M317" s="68"/>
      <c r="N317" s="68"/>
      <c r="O317" s="68"/>
      <c r="P317" s="68"/>
      <c r="Q317" s="4"/>
      <c r="R317" s="4"/>
      <c r="S317" s="4"/>
    </row>
    <row r="318" spans="1:19" x14ac:dyDescent="0.25">
      <c r="A318" s="3"/>
      <c r="B318" s="67"/>
      <c r="C318" s="67"/>
      <c r="D318" s="3"/>
      <c r="E318" s="22"/>
      <c r="F318" s="67"/>
      <c r="G318" s="67"/>
      <c r="H318" s="67"/>
      <c r="I318" s="67"/>
      <c r="J318" s="67"/>
      <c r="K318" s="67"/>
      <c r="L318" s="67"/>
      <c r="M318" s="67"/>
      <c r="N318" s="67"/>
      <c r="O318" s="67"/>
      <c r="P318" s="67"/>
      <c r="Q318" s="3"/>
      <c r="R318" s="3"/>
      <c r="S318" s="3"/>
    </row>
    <row r="319" spans="1:19" x14ac:dyDescent="0.25">
      <c r="A319" s="4"/>
      <c r="B319" s="68"/>
      <c r="C319" s="68"/>
      <c r="D319" s="4"/>
      <c r="E319" s="25"/>
      <c r="F319" s="68"/>
      <c r="G319" s="68"/>
      <c r="H319" s="68"/>
      <c r="I319" s="68"/>
      <c r="J319" s="68"/>
      <c r="K319" s="68"/>
      <c r="L319" s="68"/>
      <c r="M319" s="68"/>
      <c r="N319" s="68"/>
      <c r="O319" s="68"/>
      <c r="P319" s="68"/>
      <c r="Q319" s="4"/>
      <c r="R319" s="4"/>
      <c r="S319" s="4"/>
    </row>
    <row r="320" spans="1:19" x14ac:dyDescent="0.25">
      <c r="A320" s="3"/>
      <c r="B320" s="67"/>
      <c r="C320" s="67"/>
      <c r="D320" s="3"/>
      <c r="E320" s="22"/>
      <c r="F320" s="67"/>
      <c r="G320" s="67"/>
      <c r="H320" s="67"/>
      <c r="I320" s="67"/>
      <c r="J320" s="67"/>
      <c r="K320" s="67"/>
      <c r="L320" s="67"/>
      <c r="M320" s="67"/>
      <c r="N320" s="67"/>
      <c r="O320" s="67"/>
      <c r="P320" s="67"/>
      <c r="Q320" s="3"/>
      <c r="R320" s="3"/>
      <c r="S320" s="3"/>
    </row>
    <row r="321" spans="1:19" x14ac:dyDescent="0.25">
      <c r="A321" s="4"/>
      <c r="B321" s="68"/>
      <c r="C321" s="68"/>
      <c r="D321" s="4"/>
      <c r="E321" s="25"/>
      <c r="F321" s="68"/>
      <c r="G321" s="68"/>
      <c r="H321" s="68"/>
      <c r="I321" s="68"/>
      <c r="J321" s="68"/>
      <c r="K321" s="68"/>
      <c r="L321" s="68"/>
      <c r="M321" s="68"/>
      <c r="N321" s="68"/>
      <c r="O321" s="68"/>
      <c r="P321" s="68"/>
      <c r="Q321" s="4"/>
      <c r="R321" s="4"/>
      <c r="S321" s="4"/>
    </row>
    <row r="322" spans="1:19" x14ac:dyDescent="0.25">
      <c r="A322" s="3"/>
      <c r="B322" s="67"/>
      <c r="C322" s="67"/>
      <c r="D322" s="3"/>
      <c r="E322" s="22"/>
      <c r="F322" s="67"/>
      <c r="G322" s="67"/>
      <c r="H322" s="67"/>
      <c r="I322" s="67"/>
      <c r="J322" s="67"/>
      <c r="K322" s="67"/>
      <c r="L322" s="67"/>
      <c r="M322" s="67"/>
      <c r="N322" s="67"/>
      <c r="O322" s="67"/>
      <c r="P322" s="67"/>
      <c r="Q322" s="3"/>
      <c r="R322" s="3"/>
      <c r="S322" s="3"/>
    </row>
    <row r="323" spans="1:19" x14ac:dyDescent="0.25">
      <c r="A323" s="4"/>
      <c r="B323" s="68"/>
      <c r="C323" s="68"/>
      <c r="D323" s="4"/>
      <c r="E323" s="25"/>
      <c r="F323" s="68"/>
      <c r="G323" s="68"/>
      <c r="H323" s="68"/>
      <c r="I323" s="68"/>
      <c r="J323" s="68"/>
      <c r="K323" s="68"/>
      <c r="L323" s="68"/>
      <c r="M323" s="68"/>
      <c r="N323" s="68"/>
      <c r="O323" s="68"/>
      <c r="P323" s="68"/>
      <c r="Q323" s="4"/>
      <c r="R323" s="4"/>
      <c r="S323" s="4"/>
    </row>
    <row r="324" spans="1:19" x14ac:dyDescent="0.25">
      <c r="A324" s="3"/>
      <c r="B324" s="67"/>
      <c r="C324" s="67"/>
      <c r="D324" s="3"/>
      <c r="E324" s="22"/>
      <c r="F324" s="67"/>
      <c r="G324" s="67"/>
      <c r="H324" s="67"/>
      <c r="I324" s="67"/>
      <c r="J324" s="67"/>
      <c r="K324" s="67"/>
      <c r="L324" s="67"/>
      <c r="M324" s="67"/>
      <c r="N324" s="67"/>
      <c r="O324" s="67"/>
      <c r="P324" s="67"/>
      <c r="Q324" s="3"/>
      <c r="R324" s="3"/>
      <c r="S324" s="3"/>
    </row>
    <row r="325" spans="1:19" x14ac:dyDescent="0.25">
      <c r="A325" s="4"/>
      <c r="B325" s="68"/>
      <c r="C325" s="68"/>
      <c r="D325" s="4"/>
      <c r="E325" s="25"/>
      <c r="F325" s="68"/>
      <c r="G325" s="68"/>
      <c r="H325" s="68"/>
      <c r="I325" s="68"/>
      <c r="J325" s="68"/>
      <c r="K325" s="68"/>
      <c r="L325" s="68"/>
      <c r="M325" s="68"/>
      <c r="N325" s="68"/>
      <c r="O325" s="68"/>
      <c r="P325" s="68"/>
      <c r="Q325" s="4"/>
      <c r="R325" s="4"/>
      <c r="S325" s="4"/>
    </row>
    <row r="326" spans="1:19" x14ac:dyDescent="0.25">
      <c r="A326" s="3"/>
      <c r="B326" s="67"/>
      <c r="C326" s="67"/>
      <c r="D326" s="3"/>
      <c r="E326" s="22"/>
      <c r="F326" s="67"/>
      <c r="G326" s="67"/>
      <c r="H326" s="67"/>
      <c r="I326" s="67"/>
      <c r="J326" s="67"/>
      <c r="K326" s="67"/>
      <c r="L326" s="67"/>
      <c r="M326" s="67"/>
      <c r="N326" s="67"/>
      <c r="O326" s="67"/>
      <c r="P326" s="67"/>
      <c r="Q326" s="3"/>
      <c r="R326" s="3"/>
      <c r="S326" s="3"/>
    </row>
    <row r="327" spans="1:19" x14ac:dyDescent="0.25">
      <c r="A327" s="4"/>
      <c r="B327" s="68"/>
      <c r="C327" s="68"/>
      <c r="D327" s="4"/>
      <c r="E327" s="25"/>
      <c r="F327" s="68"/>
      <c r="G327" s="68"/>
      <c r="H327" s="68"/>
      <c r="I327" s="68"/>
      <c r="J327" s="68"/>
      <c r="K327" s="68"/>
      <c r="L327" s="68"/>
      <c r="M327" s="68"/>
      <c r="N327" s="68"/>
      <c r="O327" s="68"/>
      <c r="P327" s="68"/>
      <c r="Q327" s="4"/>
      <c r="R327" s="4"/>
      <c r="S327" s="4"/>
    </row>
    <row r="328" spans="1:19" x14ac:dyDescent="0.25">
      <c r="A328" s="3"/>
      <c r="B328" s="67"/>
      <c r="C328" s="67"/>
      <c r="D328" s="3"/>
      <c r="E328" s="22"/>
      <c r="F328" s="67"/>
      <c r="G328" s="67"/>
      <c r="H328" s="67"/>
      <c r="I328" s="67"/>
      <c r="J328" s="67"/>
      <c r="K328" s="67"/>
      <c r="L328" s="67"/>
      <c r="M328" s="67"/>
      <c r="N328" s="67"/>
      <c r="O328" s="67"/>
      <c r="P328" s="67"/>
      <c r="Q328" s="3"/>
      <c r="R328" s="3"/>
      <c r="S328" s="3"/>
    </row>
    <row r="329" spans="1:19" x14ac:dyDescent="0.25">
      <c r="A329" s="4"/>
      <c r="B329" s="68"/>
      <c r="C329" s="68"/>
      <c r="D329" s="4"/>
      <c r="E329" s="25"/>
      <c r="F329" s="68"/>
      <c r="G329" s="68"/>
      <c r="H329" s="68"/>
      <c r="I329" s="68"/>
      <c r="J329" s="68"/>
      <c r="K329" s="68"/>
      <c r="L329" s="68"/>
      <c r="M329" s="68"/>
      <c r="N329" s="68"/>
      <c r="O329" s="68"/>
      <c r="P329" s="68"/>
      <c r="Q329" s="4"/>
      <c r="R329" s="4"/>
      <c r="S329" s="4"/>
    </row>
    <row r="330" spans="1:19" x14ac:dyDescent="0.25">
      <c r="A330" s="3"/>
      <c r="B330" s="67"/>
      <c r="C330" s="67"/>
      <c r="D330" s="3"/>
      <c r="E330" s="22"/>
      <c r="F330" s="67"/>
      <c r="G330" s="67"/>
      <c r="H330" s="67"/>
      <c r="I330" s="67"/>
      <c r="J330" s="67"/>
      <c r="K330" s="67"/>
      <c r="L330" s="67"/>
      <c r="M330" s="67"/>
      <c r="N330" s="67"/>
      <c r="O330" s="67"/>
      <c r="P330" s="67"/>
      <c r="Q330" s="3"/>
      <c r="R330" s="3"/>
      <c r="S330" s="3"/>
    </row>
    <row r="331" spans="1:19" x14ac:dyDescent="0.25">
      <c r="A331" s="4"/>
      <c r="B331" s="68"/>
      <c r="C331" s="68"/>
      <c r="D331" s="4"/>
      <c r="E331" s="25"/>
      <c r="F331" s="68"/>
      <c r="G331" s="68"/>
      <c r="H331" s="68"/>
      <c r="I331" s="68"/>
      <c r="J331" s="68"/>
      <c r="K331" s="68"/>
      <c r="L331" s="68"/>
      <c r="M331" s="68"/>
      <c r="N331" s="68"/>
      <c r="O331" s="68"/>
      <c r="P331" s="68"/>
      <c r="Q331" s="4"/>
      <c r="R331" s="4"/>
      <c r="S331" s="4"/>
    </row>
    <row r="332" spans="1:19" x14ac:dyDescent="0.25">
      <c r="A332" s="3"/>
      <c r="B332" s="67"/>
      <c r="C332" s="67"/>
      <c r="D332" s="3"/>
      <c r="E332" s="22"/>
      <c r="F332" s="67"/>
      <c r="G332" s="67"/>
      <c r="H332" s="67"/>
      <c r="I332" s="67"/>
      <c r="J332" s="67"/>
      <c r="K332" s="67"/>
      <c r="L332" s="67"/>
      <c r="M332" s="67"/>
      <c r="N332" s="67"/>
      <c r="O332" s="67"/>
      <c r="P332" s="67"/>
      <c r="Q332" s="3"/>
      <c r="R332" s="3"/>
      <c r="S332" s="3"/>
    </row>
    <row r="333" spans="1:19" x14ac:dyDescent="0.25">
      <c r="A333" s="4"/>
      <c r="B333" s="68"/>
      <c r="C333" s="68"/>
      <c r="D333" s="4"/>
      <c r="E333" s="25"/>
      <c r="F333" s="68"/>
      <c r="G333" s="68"/>
      <c r="H333" s="68"/>
      <c r="I333" s="68"/>
      <c r="J333" s="68"/>
      <c r="K333" s="68"/>
      <c r="L333" s="68"/>
      <c r="M333" s="68"/>
      <c r="N333" s="68"/>
      <c r="O333" s="68"/>
      <c r="P333" s="68"/>
      <c r="Q333" s="4"/>
      <c r="R333" s="4"/>
      <c r="S333" s="4"/>
    </row>
    <row r="334" spans="1:19" x14ac:dyDescent="0.25">
      <c r="A334" s="3"/>
      <c r="B334" s="67"/>
      <c r="C334" s="67"/>
      <c r="D334" s="3"/>
      <c r="E334" s="22"/>
      <c r="F334" s="67"/>
      <c r="G334" s="67"/>
      <c r="H334" s="67"/>
      <c r="I334" s="67"/>
      <c r="J334" s="67"/>
      <c r="K334" s="67"/>
      <c r="L334" s="67"/>
      <c r="M334" s="67"/>
      <c r="N334" s="67"/>
      <c r="O334" s="67"/>
      <c r="P334" s="67"/>
      <c r="Q334" s="3"/>
      <c r="R334" s="3"/>
      <c r="S334" s="3"/>
    </row>
    <row r="335" spans="1:19" x14ac:dyDescent="0.25">
      <c r="A335" s="4"/>
      <c r="B335" s="68"/>
      <c r="C335" s="68"/>
      <c r="D335" s="4"/>
      <c r="E335" s="25"/>
      <c r="F335" s="68"/>
      <c r="G335" s="68"/>
      <c r="H335" s="68"/>
      <c r="I335" s="68"/>
      <c r="J335" s="68"/>
      <c r="K335" s="68"/>
      <c r="L335" s="68"/>
      <c r="M335" s="68"/>
      <c r="N335" s="68"/>
      <c r="O335" s="68"/>
      <c r="P335" s="68"/>
      <c r="Q335" s="4"/>
      <c r="R335" s="4"/>
      <c r="S335" s="4"/>
    </row>
    <row r="336" spans="1:19" x14ac:dyDescent="0.25">
      <c r="A336" s="3"/>
      <c r="B336" s="67"/>
      <c r="C336" s="67"/>
      <c r="D336" s="3"/>
      <c r="E336" s="22"/>
      <c r="F336" s="67"/>
      <c r="G336" s="67"/>
      <c r="H336" s="67"/>
      <c r="I336" s="67"/>
      <c r="J336" s="67"/>
      <c r="K336" s="67"/>
      <c r="L336" s="67"/>
      <c r="M336" s="67"/>
      <c r="N336" s="67"/>
      <c r="O336" s="67"/>
      <c r="P336" s="67"/>
      <c r="Q336" s="3"/>
      <c r="R336" s="3"/>
      <c r="S336" s="3"/>
    </row>
    <row r="337" spans="1:19" x14ac:dyDescent="0.25">
      <c r="A337" s="4"/>
      <c r="B337" s="68"/>
      <c r="C337" s="68"/>
      <c r="D337" s="4"/>
      <c r="E337" s="25"/>
      <c r="F337" s="68"/>
      <c r="G337" s="68"/>
      <c r="H337" s="68"/>
      <c r="I337" s="68"/>
      <c r="J337" s="68"/>
      <c r="K337" s="68"/>
      <c r="L337" s="68"/>
      <c r="M337" s="68"/>
      <c r="N337" s="68"/>
      <c r="O337" s="68"/>
      <c r="P337" s="68"/>
      <c r="Q337" s="4"/>
      <c r="R337" s="4"/>
      <c r="S337" s="4"/>
    </row>
    <row r="338" spans="1:19" x14ac:dyDescent="0.25">
      <c r="A338" s="3"/>
      <c r="B338" s="67"/>
      <c r="C338" s="67"/>
      <c r="D338" s="3"/>
      <c r="E338" s="22"/>
      <c r="F338" s="67"/>
      <c r="G338" s="67"/>
      <c r="H338" s="67"/>
      <c r="I338" s="67"/>
      <c r="J338" s="67"/>
      <c r="K338" s="67"/>
      <c r="L338" s="67"/>
      <c r="M338" s="67"/>
      <c r="N338" s="67"/>
      <c r="O338" s="67"/>
      <c r="P338" s="67"/>
      <c r="Q338" s="3"/>
      <c r="R338" s="3"/>
      <c r="S338" s="3"/>
    </row>
    <row r="339" spans="1:19" x14ac:dyDescent="0.25">
      <c r="A339" s="4"/>
      <c r="B339" s="68"/>
      <c r="C339" s="68"/>
      <c r="D339" s="4"/>
      <c r="E339" s="25"/>
      <c r="F339" s="68"/>
      <c r="G339" s="68"/>
      <c r="H339" s="68"/>
      <c r="I339" s="68"/>
      <c r="J339" s="68"/>
      <c r="K339" s="68"/>
      <c r="L339" s="68"/>
      <c r="M339" s="68"/>
      <c r="N339" s="68"/>
      <c r="O339" s="68"/>
      <c r="P339" s="68"/>
      <c r="Q339" s="4"/>
      <c r="R339" s="4"/>
      <c r="S339" s="4"/>
    </row>
    <row r="340" spans="1:19" x14ac:dyDescent="0.25">
      <c r="A340" s="3"/>
      <c r="B340" s="67"/>
      <c r="C340" s="67"/>
      <c r="D340" s="3"/>
      <c r="E340" s="22"/>
      <c r="F340" s="67"/>
      <c r="G340" s="67"/>
      <c r="H340" s="67"/>
      <c r="I340" s="67"/>
      <c r="J340" s="67"/>
      <c r="K340" s="67"/>
      <c r="L340" s="67"/>
      <c r="M340" s="67"/>
      <c r="N340" s="67"/>
      <c r="O340" s="67"/>
      <c r="P340" s="67"/>
      <c r="Q340" s="3"/>
      <c r="R340" s="3"/>
      <c r="S340" s="3"/>
    </row>
    <row r="341" spans="1:19" x14ac:dyDescent="0.25">
      <c r="A341" s="4"/>
      <c r="B341" s="68"/>
      <c r="C341" s="68"/>
      <c r="D341" s="4"/>
      <c r="E341" s="25"/>
      <c r="F341" s="68"/>
      <c r="G341" s="68"/>
      <c r="H341" s="68"/>
      <c r="I341" s="68"/>
      <c r="J341" s="68"/>
      <c r="K341" s="68"/>
      <c r="L341" s="68"/>
      <c r="M341" s="68"/>
      <c r="N341" s="68"/>
      <c r="O341" s="68"/>
      <c r="P341" s="68"/>
      <c r="Q341" s="4"/>
      <c r="R341" s="4"/>
      <c r="S341" s="4"/>
    </row>
    <row r="342" spans="1:19" x14ac:dyDescent="0.25">
      <c r="A342" s="3"/>
      <c r="B342" s="67"/>
      <c r="C342" s="67"/>
      <c r="D342" s="3"/>
      <c r="E342" s="22"/>
      <c r="F342" s="67"/>
      <c r="G342" s="67"/>
      <c r="H342" s="67"/>
      <c r="I342" s="67"/>
      <c r="J342" s="67"/>
      <c r="K342" s="67"/>
      <c r="L342" s="67"/>
      <c r="M342" s="67"/>
      <c r="N342" s="67"/>
      <c r="O342" s="67"/>
      <c r="P342" s="67"/>
      <c r="Q342" s="3"/>
      <c r="R342" s="3"/>
      <c r="S342" s="3"/>
    </row>
    <row r="343" spans="1:19" x14ac:dyDescent="0.25">
      <c r="A343" s="4"/>
      <c r="B343" s="68"/>
      <c r="C343" s="68"/>
      <c r="D343" s="4"/>
      <c r="E343" s="25"/>
      <c r="F343" s="68"/>
      <c r="G343" s="68"/>
      <c r="H343" s="68"/>
      <c r="I343" s="68"/>
      <c r="J343" s="68"/>
      <c r="K343" s="68"/>
      <c r="L343" s="68"/>
      <c r="M343" s="68"/>
      <c r="N343" s="68"/>
      <c r="O343" s="68"/>
      <c r="P343" s="68"/>
      <c r="Q343" s="4"/>
      <c r="R343" s="4"/>
      <c r="S343" s="4"/>
    </row>
    <row r="344" spans="1:19" x14ac:dyDescent="0.25">
      <c r="A344" s="3"/>
      <c r="B344" s="67"/>
      <c r="C344" s="67"/>
      <c r="D344" s="3"/>
      <c r="E344" s="22"/>
      <c r="F344" s="67"/>
      <c r="G344" s="67"/>
      <c r="H344" s="67"/>
      <c r="I344" s="67"/>
      <c r="J344" s="67"/>
      <c r="K344" s="67"/>
      <c r="L344" s="67"/>
      <c r="M344" s="67"/>
      <c r="N344" s="67"/>
      <c r="O344" s="67"/>
      <c r="P344" s="67"/>
      <c r="Q344" s="3"/>
      <c r="R344" s="3"/>
      <c r="S344" s="3"/>
    </row>
    <row r="345" spans="1:19" x14ac:dyDescent="0.25">
      <c r="A345" s="4"/>
      <c r="B345" s="68"/>
      <c r="C345" s="68"/>
      <c r="D345" s="4"/>
      <c r="E345" s="25"/>
      <c r="F345" s="68"/>
      <c r="G345" s="68"/>
      <c r="H345" s="68"/>
      <c r="I345" s="68"/>
      <c r="J345" s="68"/>
      <c r="K345" s="68"/>
      <c r="L345" s="68"/>
      <c r="M345" s="68"/>
      <c r="N345" s="68"/>
      <c r="O345" s="68"/>
      <c r="P345" s="68"/>
      <c r="Q345" s="4"/>
      <c r="R345" s="4"/>
      <c r="S345" s="4"/>
    </row>
    <row r="346" spans="1:19" x14ac:dyDescent="0.25">
      <c r="A346" s="3"/>
      <c r="B346" s="67"/>
      <c r="C346" s="67"/>
      <c r="D346" s="3"/>
      <c r="E346" s="22"/>
      <c r="F346" s="67"/>
      <c r="G346" s="67"/>
      <c r="H346" s="67"/>
      <c r="I346" s="67"/>
      <c r="J346" s="67"/>
      <c r="K346" s="67"/>
      <c r="L346" s="67"/>
      <c r="M346" s="67"/>
      <c r="N346" s="67"/>
      <c r="O346" s="67"/>
      <c r="P346" s="67"/>
      <c r="Q346" s="3"/>
      <c r="R346" s="3"/>
      <c r="S346" s="3"/>
    </row>
    <row r="347" spans="1:19" x14ac:dyDescent="0.25">
      <c r="A347" s="4"/>
      <c r="B347" s="68"/>
      <c r="C347" s="68"/>
      <c r="D347" s="4"/>
      <c r="E347" s="25"/>
      <c r="F347" s="68"/>
      <c r="G347" s="68"/>
      <c r="H347" s="68"/>
      <c r="I347" s="68"/>
      <c r="J347" s="68"/>
      <c r="K347" s="68"/>
      <c r="L347" s="68"/>
      <c r="M347" s="68"/>
      <c r="N347" s="68"/>
      <c r="O347" s="68"/>
      <c r="P347" s="68"/>
      <c r="Q347" s="4"/>
      <c r="R347" s="4"/>
      <c r="S347" s="4"/>
    </row>
    <row r="348" spans="1:19" x14ac:dyDescent="0.25">
      <c r="A348" s="3"/>
      <c r="B348" s="67"/>
      <c r="C348" s="67"/>
      <c r="D348" s="3"/>
      <c r="E348" s="22"/>
      <c r="F348" s="67"/>
      <c r="G348" s="67"/>
      <c r="H348" s="67"/>
      <c r="I348" s="67"/>
      <c r="J348" s="67"/>
      <c r="K348" s="67"/>
      <c r="L348" s="67"/>
      <c r="M348" s="67"/>
      <c r="N348" s="67"/>
      <c r="O348" s="67"/>
      <c r="P348" s="67"/>
      <c r="Q348" s="3"/>
      <c r="R348" s="3"/>
      <c r="S348" s="3"/>
    </row>
    <row r="349" spans="1:19" x14ac:dyDescent="0.25">
      <c r="A349" s="4"/>
      <c r="B349" s="68"/>
      <c r="C349" s="68"/>
      <c r="D349" s="4"/>
      <c r="E349" s="25"/>
      <c r="F349" s="68"/>
      <c r="G349" s="68"/>
      <c r="H349" s="68"/>
      <c r="I349" s="68"/>
      <c r="J349" s="68"/>
      <c r="K349" s="68"/>
      <c r="L349" s="68"/>
      <c r="M349" s="68"/>
      <c r="N349" s="68"/>
      <c r="O349" s="68"/>
      <c r="P349" s="68"/>
      <c r="Q349" s="4"/>
      <c r="R349" s="4"/>
      <c r="S349" s="4"/>
    </row>
    <row r="350" spans="1:19" x14ac:dyDescent="0.25">
      <c r="A350" s="3"/>
      <c r="B350" s="67"/>
      <c r="C350" s="67"/>
      <c r="D350" s="3"/>
      <c r="E350" s="22"/>
      <c r="F350" s="67"/>
      <c r="G350" s="67"/>
      <c r="H350" s="67"/>
      <c r="I350" s="67"/>
      <c r="J350" s="67"/>
      <c r="K350" s="67"/>
      <c r="L350" s="67"/>
      <c r="M350" s="67"/>
      <c r="N350" s="67"/>
      <c r="O350" s="67"/>
      <c r="P350" s="67"/>
      <c r="Q350" s="3"/>
      <c r="R350" s="3"/>
      <c r="S350" s="3"/>
    </row>
    <row r="351" spans="1:19" x14ac:dyDescent="0.25">
      <c r="A351" s="4"/>
      <c r="B351" s="68"/>
      <c r="C351" s="68"/>
      <c r="D351" s="4"/>
      <c r="E351" s="25"/>
      <c r="F351" s="68"/>
      <c r="G351" s="68"/>
      <c r="H351" s="68"/>
      <c r="I351" s="68"/>
      <c r="J351" s="68"/>
      <c r="K351" s="68"/>
      <c r="L351" s="68"/>
      <c r="M351" s="68"/>
      <c r="N351" s="68"/>
      <c r="O351" s="68"/>
      <c r="P351" s="68"/>
      <c r="Q351" s="4"/>
      <c r="R351" s="4"/>
      <c r="S351" s="4"/>
    </row>
    <row r="352" spans="1:19" x14ac:dyDescent="0.25">
      <c r="A352" s="3"/>
      <c r="B352" s="67"/>
      <c r="C352" s="67"/>
      <c r="D352" s="3"/>
      <c r="E352" s="22"/>
      <c r="F352" s="67"/>
      <c r="G352" s="67"/>
      <c r="H352" s="67"/>
      <c r="I352" s="67"/>
      <c r="J352" s="67"/>
      <c r="K352" s="67"/>
      <c r="L352" s="67"/>
      <c r="M352" s="67"/>
      <c r="N352" s="67"/>
      <c r="O352" s="67"/>
      <c r="P352" s="67"/>
      <c r="Q352" s="3"/>
      <c r="R352" s="3"/>
      <c r="S352" s="3"/>
    </row>
    <row r="353" spans="1:19" x14ac:dyDescent="0.25">
      <c r="A353" s="4"/>
      <c r="B353" s="68"/>
      <c r="C353" s="68"/>
      <c r="D353" s="4"/>
      <c r="E353" s="25"/>
      <c r="F353" s="68"/>
      <c r="G353" s="68"/>
      <c r="H353" s="68"/>
      <c r="I353" s="68"/>
      <c r="J353" s="68"/>
      <c r="K353" s="68"/>
      <c r="L353" s="68"/>
      <c r="M353" s="68"/>
      <c r="N353" s="68"/>
      <c r="O353" s="68"/>
      <c r="P353" s="68"/>
      <c r="Q353" s="4"/>
      <c r="R353" s="4"/>
      <c r="S353" s="4"/>
    </row>
    <row r="354" spans="1:19" x14ac:dyDescent="0.25">
      <c r="A354" s="3"/>
      <c r="B354" s="67"/>
      <c r="C354" s="67"/>
      <c r="D354" s="3"/>
      <c r="E354" s="22"/>
      <c r="F354" s="67"/>
      <c r="G354" s="67"/>
      <c r="H354" s="67"/>
      <c r="I354" s="67"/>
      <c r="J354" s="67"/>
      <c r="K354" s="67"/>
      <c r="L354" s="67"/>
      <c r="M354" s="67"/>
      <c r="N354" s="67"/>
      <c r="O354" s="67"/>
      <c r="P354" s="67"/>
      <c r="Q354" s="3"/>
      <c r="R354" s="3"/>
      <c r="S354" s="3"/>
    </row>
    <row r="355" spans="1:19" x14ac:dyDescent="0.25">
      <c r="A355" s="4"/>
      <c r="B355" s="68"/>
      <c r="C355" s="68"/>
      <c r="D355" s="4"/>
      <c r="E355" s="25"/>
      <c r="F355" s="68"/>
      <c r="G355" s="68"/>
      <c r="H355" s="68"/>
      <c r="I355" s="68"/>
      <c r="J355" s="68"/>
      <c r="K355" s="68"/>
      <c r="L355" s="68"/>
      <c r="M355" s="68"/>
      <c r="N355" s="68"/>
      <c r="O355" s="68"/>
      <c r="P355" s="68"/>
      <c r="Q355" s="4"/>
      <c r="R355" s="4"/>
      <c r="S355" s="4"/>
    </row>
    <row r="356" spans="1:19" x14ac:dyDescent="0.25">
      <c r="A356" s="3"/>
      <c r="B356" s="67"/>
      <c r="C356" s="67"/>
      <c r="D356" s="3"/>
      <c r="E356" s="22"/>
      <c r="F356" s="67"/>
      <c r="G356" s="67"/>
      <c r="H356" s="67"/>
      <c r="I356" s="67"/>
      <c r="J356" s="67"/>
      <c r="K356" s="67"/>
      <c r="L356" s="67"/>
      <c r="M356" s="67"/>
      <c r="N356" s="67"/>
      <c r="O356" s="67"/>
      <c r="P356" s="67"/>
      <c r="Q356" s="3"/>
      <c r="R356" s="3"/>
      <c r="S356" s="3"/>
    </row>
    <row r="357" spans="1:19" x14ac:dyDescent="0.25">
      <c r="A357" s="4"/>
      <c r="B357" s="68"/>
      <c r="C357" s="68"/>
      <c r="D357" s="4"/>
      <c r="E357" s="25"/>
      <c r="F357" s="68"/>
      <c r="G357" s="68"/>
      <c r="H357" s="68"/>
      <c r="I357" s="68"/>
      <c r="J357" s="68"/>
      <c r="K357" s="68"/>
      <c r="L357" s="68"/>
      <c r="M357" s="68"/>
      <c r="N357" s="68"/>
      <c r="O357" s="68"/>
      <c r="P357" s="68"/>
      <c r="Q357" s="4"/>
      <c r="R357" s="4"/>
      <c r="S357" s="4"/>
    </row>
    <row r="358" spans="1:19" x14ac:dyDescent="0.25">
      <c r="A358" s="3"/>
      <c r="B358" s="67"/>
      <c r="C358" s="67"/>
      <c r="D358" s="3"/>
      <c r="E358" s="22"/>
      <c r="F358" s="67"/>
      <c r="G358" s="67"/>
      <c r="H358" s="67"/>
      <c r="I358" s="67"/>
      <c r="J358" s="67"/>
      <c r="K358" s="67"/>
      <c r="L358" s="67"/>
      <c r="M358" s="67"/>
      <c r="N358" s="67"/>
      <c r="O358" s="67"/>
      <c r="P358" s="67"/>
      <c r="Q358" s="3"/>
      <c r="R358" s="3"/>
      <c r="S358" s="3"/>
    </row>
    <row r="359" spans="1:19" x14ac:dyDescent="0.25">
      <c r="A359" s="4"/>
      <c r="B359" s="68"/>
      <c r="C359" s="68"/>
      <c r="D359" s="4"/>
      <c r="E359" s="25"/>
      <c r="F359" s="68"/>
      <c r="G359" s="68"/>
      <c r="H359" s="68"/>
      <c r="I359" s="68"/>
      <c r="J359" s="68"/>
      <c r="K359" s="68"/>
      <c r="L359" s="68"/>
      <c r="M359" s="68"/>
      <c r="N359" s="68"/>
      <c r="O359" s="68"/>
      <c r="P359" s="68"/>
      <c r="Q359" s="4"/>
      <c r="R359" s="4"/>
      <c r="S359" s="4"/>
    </row>
    <row r="360" spans="1:19" x14ac:dyDescent="0.25">
      <c r="A360" s="3"/>
      <c r="B360" s="67"/>
      <c r="C360" s="67"/>
      <c r="D360" s="3"/>
      <c r="E360" s="22"/>
      <c r="F360" s="67"/>
      <c r="G360" s="67"/>
      <c r="H360" s="67"/>
      <c r="I360" s="67"/>
      <c r="J360" s="67"/>
      <c r="K360" s="67"/>
      <c r="L360" s="67"/>
      <c r="M360" s="67"/>
      <c r="N360" s="67"/>
      <c r="O360" s="67"/>
      <c r="P360" s="67"/>
      <c r="Q360" s="3"/>
      <c r="R360" s="3"/>
      <c r="S360" s="3"/>
    </row>
    <row r="361" spans="1:19" x14ac:dyDescent="0.25">
      <c r="A361" s="4"/>
      <c r="B361" s="68"/>
      <c r="C361" s="68"/>
      <c r="D361" s="4"/>
      <c r="E361" s="25"/>
      <c r="F361" s="68"/>
      <c r="G361" s="68"/>
      <c r="H361" s="68"/>
      <c r="I361" s="68"/>
      <c r="J361" s="68"/>
      <c r="K361" s="68"/>
      <c r="L361" s="68"/>
      <c r="M361" s="68"/>
      <c r="N361" s="68"/>
      <c r="O361" s="68"/>
      <c r="P361" s="68"/>
      <c r="Q361" s="4"/>
      <c r="R361" s="4"/>
      <c r="S361" s="4"/>
    </row>
    <row r="362" spans="1:19" x14ac:dyDescent="0.25">
      <c r="A362" s="3"/>
      <c r="B362" s="67"/>
      <c r="C362" s="67"/>
      <c r="D362" s="3"/>
      <c r="E362" s="22"/>
      <c r="F362" s="67"/>
      <c r="G362" s="67"/>
      <c r="H362" s="67"/>
      <c r="I362" s="67"/>
      <c r="J362" s="67"/>
      <c r="K362" s="67"/>
      <c r="L362" s="67"/>
      <c r="M362" s="67"/>
      <c r="N362" s="67"/>
      <c r="O362" s="67"/>
      <c r="P362" s="67"/>
      <c r="Q362" s="3"/>
      <c r="R362" s="3"/>
      <c r="S362" s="3"/>
    </row>
    <row r="363" spans="1:19" x14ac:dyDescent="0.25">
      <c r="A363" s="4"/>
      <c r="B363" s="68"/>
      <c r="C363" s="68"/>
      <c r="D363" s="4"/>
      <c r="E363" s="25"/>
      <c r="F363" s="68"/>
      <c r="G363" s="68"/>
      <c r="H363" s="68"/>
      <c r="I363" s="68"/>
      <c r="J363" s="68"/>
      <c r="K363" s="68"/>
      <c r="L363" s="68"/>
      <c r="M363" s="68"/>
      <c r="N363" s="68"/>
      <c r="O363" s="68"/>
      <c r="P363" s="68"/>
      <c r="Q363" s="4"/>
      <c r="R363" s="4"/>
      <c r="S363" s="4"/>
    </row>
    <row r="364" spans="1:19" x14ac:dyDescent="0.25">
      <c r="A364" s="3"/>
      <c r="B364" s="67"/>
      <c r="C364" s="67"/>
      <c r="D364" s="3"/>
      <c r="E364" s="22"/>
      <c r="F364" s="67"/>
      <c r="G364" s="67"/>
      <c r="H364" s="67"/>
      <c r="I364" s="67"/>
      <c r="J364" s="67"/>
      <c r="K364" s="67"/>
      <c r="L364" s="67"/>
      <c r="M364" s="67"/>
      <c r="N364" s="67"/>
      <c r="O364" s="67"/>
      <c r="P364" s="67"/>
      <c r="Q364" s="3"/>
      <c r="R364" s="3"/>
      <c r="S364" s="3"/>
    </row>
    <row r="365" spans="1:19" x14ac:dyDescent="0.25">
      <c r="A365" s="4"/>
      <c r="B365" s="68"/>
      <c r="C365" s="68"/>
      <c r="D365" s="4"/>
      <c r="E365" s="25"/>
      <c r="F365" s="68"/>
      <c r="G365" s="68"/>
      <c r="H365" s="68"/>
      <c r="I365" s="68"/>
      <c r="J365" s="68"/>
      <c r="K365" s="68"/>
      <c r="L365" s="68"/>
      <c r="M365" s="68"/>
      <c r="N365" s="68"/>
      <c r="O365" s="68"/>
      <c r="P365" s="68"/>
      <c r="Q365" s="4"/>
      <c r="R365" s="4"/>
      <c r="S365" s="4"/>
    </row>
  </sheetData>
  <dataValidations count="6">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 type="list" allowBlank="1" showInputMessage="1" showErrorMessage="1" sqref="E51" xr:uid="{02E9AC11-E60D-44DB-9C46-CAFC1587F5A3}">
      <formula1>"back,shortest,random,sharpest_corner"</formula1>
    </dataValidation>
  </dataValidations>
  <pageMargins left="0.7" right="0.7" top="0.75" bottom="0.75" header="0.3" footer="0.3"/>
  <pageSetup orientation="portrait" horizontalDpi="300" verticalDpi="300" r:id="rId1"/>
  <ignoredErrors>
    <ignoredError sqref="E79" formula="1"/>
  </ignoredErrors>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 label="Anycubic 4Max Pro"/>
            <item id="Slicer_MachineSelection_Ender3" label="Ender 3"/>
          </dropDown>
          <dropDown id="Slicer_genSelection" label="Profile Generator" sizeString="XXXXXXXXXXXXXXXX" getSelectedItemID="GetProfileGeneratorSelectedItemID" onAction="ProfileGeneratorSelected_OnAction" screentip="Select Profile Type">
            <item id="Slicer_genSelection_slic3r" label="Slic3r"/>
            <item id="Slicer_genSelection_cura" label="Cura"/>
            <item id="Slicer_genSelection_s3d" label="S3D"/>
            <item id="Slicer_genSelection_prusa" label="Prusa"/>
            <item id="Slicer_genSelection_super" label="Super"/>
          </dropDown>
        </group>
        <group id="slic3r_ImportExportGroup" label="Prusa Update Settings">
          <button id="slic3r_updatePrintSettings" label="Update Print Settings" imageMso="ImportExport" size="normal" onAction="slic3r_UpdatePrintSettings_Click"/>
          <button id="slic3r_updateFilamentSettings" label="Update Filament Settings" imageMso="ImportExport" size="normal" onAction="slic3r_UpdateFilamentSettings_Click"/>
          <button id="slic3r_updatePrinterSettings" label="Update Printer Settings" imageMso="ImportExport" size="normal" onAction="slic3r_UpdatePrinterSettings_Click"/>
          <button id="slic3r_syncPrintSheet" label="Sync Print Sheet" imageMso="SynchronizeData" size="large" onAction="slic3r_SyncPrintSheet_Click"/>
        </group>
        <group id="Slicer_ImportExportGroup" label="Tools">
          <button id="Slicer_calculateNow" label="ReCalculate Now" imageMso="CalculateNow" size="large" onAction="Slicer_RecalculateAll_Click"/>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profile_spec</vt:lpstr>
      <vt:lpstr>spec</vt:lpstr>
      <vt:lpstr>spec_filament</vt:lpstr>
      <vt:lpstr>printer</vt:lpstr>
      <vt:lpstr>filament_ender3</vt:lpstr>
      <vt:lpstr>filament</vt:lpstr>
      <vt:lpstr>print</vt:lpstr>
      <vt:lpstr>print_PETG</vt:lpstr>
      <vt:lpstr>s3d_profile</vt:lpstr>
      <vt:lpstr>cura_quality</vt:lpstr>
      <vt:lpstr>CURA_APPDATA_FOLDER</vt:lpstr>
      <vt:lpstr>FILAMENT_RANGE</vt:lpstr>
      <vt:lpstr>HotendType</vt:lpstr>
      <vt:lpstr>Max_Layer_Height</vt:lpstr>
      <vt:lpstr>Meterial_Thickness</vt:lpstr>
      <vt:lpstr>Min_Layer_Height</vt:lpstr>
      <vt:lpstr>Nozzle_Diameter</vt:lpstr>
      <vt:lpstr>PRINTER_DEF</vt:lpstr>
      <vt:lpstr>PRINTER_ID</vt:lpstr>
      <vt:lpstr>Printer_Name</vt:lpstr>
      <vt:lpstr>PRINTER_NAME_GENERIC</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2021-07-21T21:27:49Z</dcterms:modified>
</cp:coreProperties>
</file>