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GitHub\3DPrint\slicer\Slic3r_Generator\"/>
    </mc:Choice>
  </mc:AlternateContent>
  <xr:revisionPtr revIDLastSave="0" documentId="13_ncr:1_{DB841020-A726-4791-965C-F6E1A4471C90}" xr6:coauthVersionLast="43" xr6:coauthVersionMax="43" xr10:uidLastSave="{00000000-0000-0000-0000-000000000000}"/>
  <bookViews>
    <workbookView xWindow="-108" yWindow="-108" windowWidth="30936" windowHeight="16920"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spec!$B$9</definedName>
    <definedName name="FILAMENT_NAME">spec!$B$7</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9" i="5" l="1"/>
  <c r="C40" i="5"/>
  <c r="C38" i="5"/>
  <c r="C36" i="5"/>
  <c r="C35" i="5"/>
  <c r="C95" i="2"/>
  <c r="C96" i="2"/>
  <c r="C97" i="2"/>
  <c r="C98" i="2"/>
  <c r="C94" i="2"/>
  <c r="C24" i="5"/>
  <c r="C5" i="5"/>
  <c r="C57" i="5"/>
  <c r="C69" i="5"/>
  <c r="C62" i="5"/>
  <c r="C66" i="5"/>
  <c r="C63" i="5"/>
  <c r="C64" i="5"/>
  <c r="C68" i="5"/>
  <c r="C65" i="5"/>
  <c r="C67" i="5"/>
  <c r="C61" i="5"/>
  <c r="C58" i="5"/>
  <c r="C50" i="2" l="1"/>
  <c r="E133" i="2"/>
  <c r="F133" i="2"/>
  <c r="G133" i="2"/>
  <c r="H133" i="2"/>
  <c r="I133" i="2"/>
  <c r="J133" i="2"/>
  <c r="K133" i="2"/>
  <c r="L133" i="2"/>
  <c r="D133" i="2"/>
  <c r="C14" i="5"/>
  <c r="C50" i="5" l="1"/>
  <c r="C40" i="2"/>
  <c r="C80"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4" i="6" l="1"/>
  <c r="C155" i="2" s="1"/>
  <c r="B5" i="6"/>
  <c r="B6" i="6"/>
  <c r="C53" i="5" s="1"/>
  <c r="C6" i="2" l="1"/>
  <c r="C52" i="5"/>
  <c r="C5" i="2"/>
  <c r="C50" i="3"/>
</calcChain>
</file>

<file path=xl/sharedStrings.xml><?xml version="1.0" encoding="utf-8"?>
<sst xmlns="http://schemas.openxmlformats.org/spreadsheetml/2006/main" count="460" uniqueCount="409">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</sst>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59">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3"/>
  <sheetViews>
    <sheetView tabSelected="1" workbookViewId="0">
      <selection activeCell="A28" sqref="A28"/>
    </sheetView>
  </sheetViews>
  <sheetFormatPr defaultRowHeight="14.4" x14ac:dyDescent="0.3"/>
  <cols>
    <col min="1" max="1" width="23" bestFit="1" customWidth="1"/>
    <col min="2" max="2" width="51" bestFit="1" customWidth="1"/>
    <col min="3" max="3" width="9.88671875" customWidth="1"/>
    <col min="8" max="8" width="17.33203125" bestFit="1" customWidth="1"/>
  </cols>
  <sheetData>
    <row r="1" spans="1:3" ht="15" thickBot="1" x14ac:dyDescent="0.35">
      <c r="A1" s="52" t="s">
        <v>223</v>
      </c>
      <c r="B1" s="53" t="s">
        <v>224</v>
      </c>
      <c r="C1" s="53" t="s">
        <v>235</v>
      </c>
    </row>
    <row r="2" spans="1:3" ht="15" thickTop="1" x14ac:dyDescent="0.3">
      <c r="A2" s="54" t="s">
        <v>222</v>
      </c>
      <c r="B2" s="55">
        <v>0.5</v>
      </c>
      <c r="C2" s="9"/>
    </row>
    <row r="3" spans="1:3" x14ac:dyDescent="0.3">
      <c r="A3" s="10" t="s">
        <v>225</v>
      </c>
      <c r="B3" s="11" t="s">
        <v>226</v>
      </c>
      <c r="C3" s="11"/>
    </row>
    <row r="4" spans="1:3" x14ac:dyDescent="0.3">
      <c r="A4" s="13" t="s">
        <v>229</v>
      </c>
      <c r="B4" s="56" t="str">
        <f>B3 &amp; " " &amp; Nozzle_Diameter &amp; " nozzle"</f>
        <v>Ender3 Speed 0.5 nozzle</v>
      </c>
      <c r="C4" s="4"/>
    </row>
    <row r="5" spans="1:3" x14ac:dyDescent="0.3">
      <c r="A5" s="10" t="s">
        <v>227</v>
      </c>
      <c r="B5" s="11">
        <f>Nozzle_Diameter*0.2</f>
        <v>0.1</v>
      </c>
      <c r="C5" s="11"/>
    </row>
    <row r="6" spans="1:3" x14ac:dyDescent="0.3">
      <c r="A6" s="13" t="s">
        <v>228</v>
      </c>
      <c r="B6" s="4">
        <f>Nozzle_Diameter*0.8</f>
        <v>0.4</v>
      </c>
      <c r="C6" s="4"/>
    </row>
    <row r="7" spans="1:3" x14ac:dyDescent="0.3">
      <c r="A7" s="13" t="s">
        <v>317</v>
      </c>
      <c r="B7" s="4" t="s">
        <v>153</v>
      </c>
      <c r="C7" s="4"/>
    </row>
    <row r="8" spans="1:3" x14ac:dyDescent="0.3">
      <c r="A8" s="13" t="s">
        <v>408</v>
      </c>
      <c r="B8" s="4">
        <v>500</v>
      </c>
      <c r="C8" s="4"/>
    </row>
    <row r="9" spans="1:3" x14ac:dyDescent="0.3">
      <c r="A9" s="10" t="s">
        <v>245</v>
      </c>
      <c r="B9" s="11" t="s">
        <v>372</v>
      </c>
      <c r="C9" s="11"/>
    </row>
    <row r="10" spans="1:3" x14ac:dyDescent="0.3">
      <c r="A10" s="13"/>
      <c r="B10" s="4" t="s">
        <v>404</v>
      </c>
      <c r="C10" s="4"/>
    </row>
    <row r="11" spans="1:3" x14ac:dyDescent="0.3">
      <c r="A11" s="10"/>
      <c r="B11" s="11" t="s">
        <v>405</v>
      </c>
      <c r="C11" s="11"/>
    </row>
    <row r="12" spans="1:3" x14ac:dyDescent="0.3">
      <c r="A12" s="13"/>
      <c r="B12" s="4"/>
      <c r="C12" s="4"/>
    </row>
    <row r="13" spans="1:3" x14ac:dyDescent="0.3">
      <c r="A13" s="10"/>
      <c r="B13" s="11" t="s">
        <v>371</v>
      </c>
      <c r="C13" s="11"/>
    </row>
    <row r="14" spans="1:3" x14ac:dyDescent="0.3">
      <c r="A14" s="13"/>
      <c r="B14" s="4" t="s">
        <v>369</v>
      </c>
      <c r="C14" s="4"/>
    </row>
    <row r="15" spans="1:3" x14ac:dyDescent="0.3">
      <c r="A15" s="10"/>
      <c r="B15" s="11" t="s">
        <v>370</v>
      </c>
      <c r="C15" s="11"/>
    </row>
    <row r="16" spans="1:3" x14ac:dyDescent="0.3">
      <c r="A16" s="13"/>
      <c r="B16" s="4"/>
      <c r="C16" s="4"/>
    </row>
    <row r="17" spans="1:3" x14ac:dyDescent="0.3">
      <c r="A17" s="10"/>
      <c r="B17" s="11"/>
      <c r="C17" s="11"/>
    </row>
    <row r="21" spans="1:3" x14ac:dyDescent="0.3">
      <c r="B21" s="3" t="s">
        <v>372</v>
      </c>
    </row>
    <row r="22" spans="1:3" x14ac:dyDescent="0.3">
      <c r="B22" s="2" t="s">
        <v>404</v>
      </c>
    </row>
    <row r="23" spans="1:3" x14ac:dyDescent="0.3">
      <c r="B23" s="3" t="s">
        <v>405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14" activePane="bottomLeft" state="frozen"/>
      <selection pane="bottomLeft" activeCell="C86" sqref="C86"/>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251</v>
      </c>
      <c r="B1" s="30" t="s">
        <v>220</v>
      </c>
      <c r="C1" s="31" t="s">
        <v>109</v>
      </c>
      <c r="D1" s="30" t="s">
        <v>292</v>
      </c>
      <c r="E1" s="30" t="s">
        <v>293</v>
      </c>
      <c r="F1" s="30" t="s">
        <v>294</v>
      </c>
      <c r="G1" s="30" t="s">
        <v>295</v>
      </c>
      <c r="H1" s="30" t="s">
        <v>296</v>
      </c>
      <c r="I1" s="30" t="s">
        <v>297</v>
      </c>
      <c r="J1" s="30" t="s">
        <v>298</v>
      </c>
      <c r="K1" s="30" t="s">
        <v>299</v>
      </c>
      <c r="L1" s="30" t="s">
        <v>300</v>
      </c>
      <c r="M1" s="32" t="s">
        <v>235</v>
      </c>
    </row>
    <row r="2" spans="1:13" x14ac:dyDescent="0.3">
      <c r="A2" s="33"/>
      <c r="B2" s="33"/>
      <c r="C2" s="34"/>
      <c r="D2" s="33" t="s">
        <v>236</v>
      </c>
      <c r="E2" s="33" t="s">
        <v>237</v>
      </c>
      <c r="F2" s="33" t="s">
        <v>238</v>
      </c>
      <c r="G2" s="33" t="s">
        <v>239</v>
      </c>
      <c r="H2" s="33" t="s">
        <v>240</v>
      </c>
      <c r="I2" s="33" t="s">
        <v>241</v>
      </c>
      <c r="J2" s="33" t="s">
        <v>242</v>
      </c>
      <c r="K2" s="33" t="s">
        <v>243</v>
      </c>
      <c r="L2" s="33" t="s">
        <v>244</v>
      </c>
      <c r="M2" s="35"/>
    </row>
    <row r="3" spans="1:13" x14ac:dyDescent="0.3">
      <c r="A3" s="36"/>
      <c r="B3" s="36" t="s">
        <v>0</v>
      </c>
      <c r="C3" s="37">
        <v>4</v>
      </c>
      <c r="D3" s="36"/>
      <c r="E3" s="36"/>
      <c r="F3" s="36"/>
      <c r="G3" s="36"/>
      <c r="H3" s="36"/>
      <c r="I3" s="36"/>
      <c r="J3" s="36"/>
      <c r="K3" s="36"/>
      <c r="L3" s="36"/>
      <c r="M3" s="38"/>
    </row>
    <row r="4" spans="1:13" x14ac:dyDescent="0.3">
      <c r="A4" s="39" t="s">
        <v>252</v>
      </c>
      <c r="B4" s="40" t="s">
        <v>246</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383</v>
      </c>
      <c r="C7" s="37">
        <v>0</v>
      </c>
      <c r="D7" s="36"/>
      <c r="E7" s="36"/>
      <c r="F7" s="36"/>
      <c r="G7" s="36"/>
      <c r="H7" s="36"/>
      <c r="I7" s="36"/>
      <c r="J7" s="36"/>
      <c r="K7" s="36"/>
      <c r="L7" s="36"/>
      <c r="M7" s="38"/>
    </row>
    <row r="8" spans="1:13" x14ac:dyDescent="0.3">
      <c r="A8" s="33"/>
      <c r="B8" s="33" t="s">
        <v>384</v>
      </c>
      <c r="C8" s="34">
        <v>75</v>
      </c>
      <c r="D8" s="33"/>
      <c r="E8" s="33"/>
      <c r="F8" s="33"/>
      <c r="G8" s="33"/>
      <c r="H8" s="33"/>
      <c r="I8" s="33"/>
      <c r="J8" s="33"/>
      <c r="K8" s="33"/>
      <c r="L8" s="33"/>
      <c r="M8" s="35"/>
    </row>
    <row r="9" spans="1:13" x14ac:dyDescent="0.3">
      <c r="A9" s="36"/>
      <c r="B9" s="36" t="s">
        <v>385</v>
      </c>
      <c r="C9" s="37">
        <v>0</v>
      </c>
      <c r="D9" s="36"/>
      <c r="E9" s="36"/>
      <c r="F9" s="36"/>
      <c r="G9" s="36"/>
      <c r="H9" s="36"/>
      <c r="I9" s="36"/>
      <c r="J9" s="36"/>
      <c r="K9" s="36"/>
      <c r="L9" s="36"/>
      <c r="M9" s="38"/>
    </row>
    <row r="10" spans="1:13" x14ac:dyDescent="0.3">
      <c r="A10" s="33"/>
      <c r="B10" s="40" t="s">
        <v>247</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386</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248</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387</v>
      </c>
      <c r="C17" s="37">
        <v>0</v>
      </c>
      <c r="D17" s="36"/>
      <c r="E17" s="36"/>
      <c r="F17" s="36"/>
      <c r="G17" s="36"/>
      <c r="H17" s="36"/>
      <c r="I17" s="36"/>
      <c r="J17" s="36"/>
      <c r="K17" s="36"/>
      <c r="L17" s="36"/>
      <c r="M17" s="38"/>
    </row>
    <row r="18" spans="1:13" x14ac:dyDescent="0.3">
      <c r="A18" s="33"/>
      <c r="B18" s="40" t="s">
        <v>249</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284</v>
      </c>
    </row>
    <row r="20" spans="1:13" x14ac:dyDescent="0.3">
      <c r="A20" s="33"/>
      <c r="B20" s="33" t="s">
        <v>8</v>
      </c>
      <c r="C20" s="34">
        <v>1</v>
      </c>
      <c r="D20" s="33"/>
      <c r="E20" s="33"/>
      <c r="F20" s="33"/>
      <c r="G20" s="33"/>
      <c r="H20" s="33"/>
      <c r="I20" s="33"/>
      <c r="J20" s="33"/>
      <c r="K20" s="33"/>
      <c r="L20" s="33"/>
      <c r="M20" s="35" t="s">
        <v>285</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286</v>
      </c>
    </row>
    <row r="23" spans="1:13" x14ac:dyDescent="0.3">
      <c r="A23" s="36"/>
      <c r="B23" s="36" t="s">
        <v>313</v>
      </c>
      <c r="C23" s="37">
        <v>1</v>
      </c>
      <c r="D23" s="36"/>
      <c r="E23" s="36"/>
      <c r="F23" s="36"/>
      <c r="G23" s="36"/>
      <c r="H23" s="36"/>
      <c r="I23" s="36"/>
      <c r="J23" s="36"/>
      <c r="K23" s="36"/>
      <c r="L23" s="36"/>
      <c r="M23" s="38" t="s">
        <v>314</v>
      </c>
    </row>
    <row r="24" spans="1:13" x14ac:dyDescent="0.3">
      <c r="A24" s="33"/>
      <c r="B24" s="40" t="s">
        <v>250</v>
      </c>
      <c r="C24" s="34"/>
      <c r="D24" s="33"/>
      <c r="E24" s="33"/>
      <c r="F24" s="33"/>
      <c r="G24" s="33"/>
      <c r="H24" s="33"/>
      <c r="I24" s="33"/>
      <c r="J24" s="33"/>
      <c r="K24" s="33"/>
      <c r="L24" s="33"/>
      <c r="M24" s="35" t="s">
        <v>287</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253</v>
      </c>
      <c r="B27" s="40" t="s">
        <v>254</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288</v>
      </c>
    </row>
    <row r="30" spans="1:13" x14ac:dyDescent="0.3">
      <c r="A30" s="33"/>
      <c r="B30" s="33" t="s">
        <v>18</v>
      </c>
      <c r="C30" s="34" t="s">
        <v>17</v>
      </c>
      <c r="D30" s="33"/>
      <c r="E30" s="33"/>
      <c r="F30" s="33"/>
      <c r="G30" s="33"/>
      <c r="H30" s="33"/>
      <c r="I30" s="33"/>
      <c r="J30" s="33"/>
      <c r="K30" s="33"/>
      <c r="L30" s="33"/>
      <c r="M30" s="35"/>
    </row>
    <row r="31" spans="1:13" x14ac:dyDescent="0.3">
      <c r="A31" s="36"/>
      <c r="B31" s="36" t="s">
        <v>388</v>
      </c>
      <c r="C31" s="37" t="s">
        <v>17</v>
      </c>
      <c r="D31" s="36"/>
      <c r="E31" s="36"/>
      <c r="F31" s="36"/>
      <c r="G31" s="36"/>
      <c r="H31" s="36"/>
      <c r="I31" s="36"/>
      <c r="J31" s="36"/>
      <c r="K31" s="36"/>
      <c r="L31" s="36"/>
      <c r="M31" s="38"/>
    </row>
    <row r="32" spans="1:13" x14ac:dyDescent="0.3">
      <c r="A32" s="33"/>
      <c r="B32" s="33" t="s">
        <v>394</v>
      </c>
      <c r="C32" s="34" t="s">
        <v>17</v>
      </c>
      <c r="D32" s="33"/>
      <c r="E32" s="33"/>
      <c r="F32" s="33"/>
      <c r="G32" s="33"/>
      <c r="H32" s="33"/>
      <c r="I32" s="33"/>
      <c r="J32" s="33"/>
      <c r="K32" s="33"/>
      <c r="L32" s="33"/>
      <c r="M32" s="35"/>
    </row>
    <row r="33" spans="1:13" x14ac:dyDescent="0.3">
      <c r="A33" s="36"/>
      <c r="B33" s="40" t="s">
        <v>255</v>
      </c>
      <c r="C33" s="37"/>
      <c r="D33" s="36"/>
      <c r="E33" s="36"/>
      <c r="F33" s="36"/>
      <c r="G33" s="36"/>
      <c r="H33" s="36"/>
      <c r="I33" s="36"/>
      <c r="J33" s="36"/>
      <c r="K33" s="36"/>
      <c r="L33" s="36"/>
      <c r="M33" s="38" t="s">
        <v>289</v>
      </c>
    </row>
    <row r="34" spans="1:13" x14ac:dyDescent="0.3">
      <c r="A34" s="33"/>
      <c r="B34" s="33" t="s">
        <v>19</v>
      </c>
      <c r="C34" s="34">
        <v>1</v>
      </c>
      <c r="D34" s="33"/>
      <c r="E34" s="33"/>
      <c r="F34" s="33"/>
      <c r="G34" s="33"/>
      <c r="H34" s="33"/>
      <c r="I34" s="33"/>
      <c r="J34" s="33"/>
      <c r="K34" s="33"/>
      <c r="L34" s="33"/>
      <c r="M34" s="35" t="s">
        <v>290</v>
      </c>
    </row>
    <row r="35" spans="1:13" x14ac:dyDescent="0.3">
      <c r="A35" s="36"/>
      <c r="B35" s="36" t="s">
        <v>20</v>
      </c>
      <c r="C35" s="37">
        <v>0</v>
      </c>
      <c r="D35" s="36"/>
      <c r="E35" s="36"/>
      <c r="F35" s="36"/>
      <c r="G35" s="36"/>
      <c r="H35" s="36"/>
      <c r="I35" s="36"/>
      <c r="J35" s="36"/>
      <c r="K35" s="36"/>
      <c r="L35" s="36"/>
      <c r="M35" s="38"/>
    </row>
    <row r="36" spans="1:13" x14ac:dyDescent="0.3">
      <c r="A36" s="33"/>
      <c r="B36" s="40" t="s">
        <v>250</v>
      </c>
      <c r="C36" s="34"/>
      <c r="D36" s="33"/>
      <c r="E36" s="33"/>
      <c r="F36" s="33"/>
      <c r="G36" s="33"/>
      <c r="H36" s="33"/>
      <c r="I36" s="33"/>
      <c r="J36" s="33"/>
      <c r="K36" s="33"/>
      <c r="L36" s="33"/>
      <c r="M36" s="35"/>
    </row>
    <row r="37" spans="1:13" x14ac:dyDescent="0.3">
      <c r="A37" s="36"/>
      <c r="B37" s="36" t="s">
        <v>389</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25</v>
      </c>
      <c r="D40" s="33"/>
      <c r="E40" s="33"/>
      <c r="F40" s="33"/>
      <c r="G40" s="33"/>
      <c r="H40" s="33"/>
      <c r="I40" s="33"/>
      <c r="J40" s="33"/>
      <c r="K40" s="33"/>
      <c r="L40" s="33"/>
      <c r="M40" s="35" t="s">
        <v>291</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256</v>
      </c>
      <c r="B44" s="40" t="s">
        <v>257</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301</v>
      </c>
    </row>
    <row r="46" spans="1:13" x14ac:dyDescent="0.3">
      <c r="A46" s="33"/>
      <c r="B46" s="33" t="s">
        <v>28</v>
      </c>
      <c r="C46" s="34">
        <v>2</v>
      </c>
      <c r="D46" s="33"/>
      <c r="E46" s="33"/>
      <c r="F46" s="33"/>
      <c r="G46" s="33"/>
      <c r="H46" s="33"/>
      <c r="I46" s="33"/>
      <c r="J46" s="33"/>
      <c r="K46" s="33"/>
      <c r="L46" s="33"/>
      <c r="M46" s="35" t="s">
        <v>304</v>
      </c>
    </row>
    <row r="47" spans="1:13" x14ac:dyDescent="0.3">
      <c r="A47" s="36"/>
      <c r="B47" s="36" t="s">
        <v>29</v>
      </c>
      <c r="C47" s="37">
        <v>1</v>
      </c>
      <c r="D47" s="36"/>
      <c r="E47" s="36"/>
      <c r="F47" s="36"/>
      <c r="G47" s="36"/>
      <c r="H47" s="36"/>
      <c r="I47" s="36"/>
      <c r="J47" s="36"/>
      <c r="K47" s="36"/>
      <c r="L47" s="36"/>
      <c r="M47" s="38" t="s">
        <v>302</v>
      </c>
    </row>
    <row r="48" spans="1:13" x14ac:dyDescent="0.3">
      <c r="A48" s="33"/>
      <c r="B48" s="33" t="s">
        <v>30</v>
      </c>
      <c r="C48" s="34">
        <v>4</v>
      </c>
      <c r="D48" s="33"/>
      <c r="E48" s="33"/>
      <c r="F48" s="33"/>
      <c r="G48" s="33"/>
      <c r="H48" s="33"/>
      <c r="I48" s="33"/>
      <c r="J48" s="33"/>
      <c r="K48" s="33"/>
      <c r="L48" s="33"/>
      <c r="M48" s="35" t="s">
        <v>305</v>
      </c>
    </row>
    <row r="49" spans="1:13" x14ac:dyDescent="0.3">
      <c r="A49" s="36"/>
      <c r="B49" s="40" t="s">
        <v>258</v>
      </c>
      <c r="C49" s="37"/>
      <c r="D49" s="36"/>
      <c r="E49" s="36"/>
      <c r="F49" s="36"/>
      <c r="G49" s="36"/>
      <c r="H49" s="36"/>
      <c r="I49" s="36"/>
      <c r="J49" s="36"/>
      <c r="K49" s="36"/>
      <c r="L49" s="36"/>
      <c r="M49" s="38" t="s">
        <v>303</v>
      </c>
    </row>
    <row r="50" spans="1:13" x14ac:dyDescent="0.3">
      <c r="A50" s="33"/>
      <c r="B50" s="33" t="s">
        <v>31</v>
      </c>
      <c r="C50" s="34">
        <f>Nozzle_Diameter*4</f>
        <v>2</v>
      </c>
      <c r="D50" s="33"/>
      <c r="E50" s="33"/>
      <c r="F50" s="33"/>
      <c r="G50" s="33"/>
      <c r="H50" s="33"/>
      <c r="I50" s="33"/>
      <c r="J50" s="33"/>
      <c r="K50" s="33"/>
      <c r="L50" s="33"/>
      <c r="M50" s="35"/>
    </row>
    <row r="51" spans="1:13" x14ac:dyDescent="0.3">
      <c r="A51" s="36"/>
      <c r="B51" s="36" t="s">
        <v>390</v>
      </c>
      <c r="C51" s="37">
        <v>0</v>
      </c>
      <c r="D51" s="36"/>
      <c r="E51" s="36"/>
      <c r="F51" s="36"/>
      <c r="G51" s="36"/>
      <c r="H51" s="36"/>
      <c r="I51" s="36"/>
      <c r="J51" s="36"/>
      <c r="K51" s="36"/>
      <c r="L51" s="36"/>
      <c r="M51" s="38"/>
    </row>
    <row r="52" spans="1:13" x14ac:dyDescent="0.3">
      <c r="A52" s="33"/>
      <c r="B52" s="33" t="s">
        <v>391</v>
      </c>
      <c r="C52" s="34">
        <v>125</v>
      </c>
      <c r="D52" s="33"/>
      <c r="E52" s="33"/>
      <c r="F52" s="33"/>
      <c r="G52" s="33"/>
      <c r="H52" s="33"/>
      <c r="I52" s="33"/>
      <c r="J52" s="33"/>
      <c r="K52" s="33"/>
      <c r="L52" s="33"/>
      <c r="M52" s="35"/>
    </row>
    <row r="53" spans="1:13" x14ac:dyDescent="0.3">
      <c r="A53" s="36"/>
      <c r="B53" s="36" t="s">
        <v>392</v>
      </c>
      <c r="C53" s="37">
        <v>0</v>
      </c>
      <c r="D53" s="36"/>
      <c r="E53" s="36"/>
      <c r="F53" s="36"/>
      <c r="G53" s="36"/>
      <c r="H53" s="36"/>
      <c r="I53" s="36"/>
      <c r="J53" s="36"/>
      <c r="K53" s="36"/>
      <c r="L53" s="36"/>
      <c r="M53" s="38"/>
    </row>
    <row r="54" spans="1:13" x14ac:dyDescent="0.3">
      <c r="A54" s="33"/>
      <c r="B54" s="33" t="s">
        <v>393</v>
      </c>
      <c r="C54" s="34">
        <v>0</v>
      </c>
      <c r="D54" s="33"/>
      <c r="E54" s="33"/>
      <c r="F54" s="33"/>
      <c r="G54" s="33"/>
      <c r="H54" s="33"/>
      <c r="I54" s="33"/>
      <c r="J54" s="33"/>
      <c r="K54" s="33"/>
      <c r="L54" s="33"/>
      <c r="M54" s="35"/>
    </row>
    <row r="55" spans="1:13" x14ac:dyDescent="0.3">
      <c r="A55" s="40" t="s">
        <v>259</v>
      </c>
      <c r="B55" s="40" t="s">
        <v>260</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306</v>
      </c>
    </row>
    <row r="58" spans="1:13" x14ac:dyDescent="0.3">
      <c r="A58" s="33"/>
      <c r="B58" s="33" t="s">
        <v>34</v>
      </c>
      <c r="C58" s="34">
        <v>0</v>
      </c>
      <c r="D58" s="33"/>
      <c r="E58" s="33"/>
      <c r="F58" s="33"/>
      <c r="G58" s="33"/>
      <c r="H58" s="33"/>
      <c r="I58" s="33"/>
      <c r="J58" s="33"/>
      <c r="K58" s="33"/>
      <c r="L58" s="33"/>
      <c r="M58" s="35" t="s">
        <v>307</v>
      </c>
    </row>
    <row r="59" spans="1:13" x14ac:dyDescent="0.3">
      <c r="A59" s="36"/>
      <c r="B59" s="36" t="s">
        <v>399</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261</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262</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309</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308</v>
      </c>
    </row>
    <row r="68" spans="1:13" x14ac:dyDescent="0.3">
      <c r="A68" s="33"/>
      <c r="B68" s="33" t="s">
        <v>41</v>
      </c>
      <c r="C68" s="34">
        <v>0</v>
      </c>
      <c r="D68" s="33"/>
      <c r="E68" s="33"/>
      <c r="F68" s="33"/>
      <c r="G68" s="33"/>
      <c r="H68" s="33"/>
      <c r="I68" s="33"/>
      <c r="J68" s="33"/>
      <c r="K68" s="33"/>
      <c r="L68" s="33"/>
      <c r="M68" s="35"/>
    </row>
    <row r="69" spans="1:13" x14ac:dyDescent="0.3">
      <c r="A69" s="36"/>
      <c r="B69" s="36" t="s">
        <v>400</v>
      </c>
      <c r="C69" s="37">
        <v>2.5</v>
      </c>
      <c r="D69" s="36"/>
      <c r="E69" s="36"/>
      <c r="F69" s="36"/>
      <c r="G69" s="36"/>
      <c r="H69" s="36"/>
      <c r="I69" s="36"/>
      <c r="J69" s="36"/>
      <c r="K69" s="36"/>
      <c r="L69" s="36"/>
      <c r="M69" s="38"/>
    </row>
    <row r="70" spans="1:13" x14ac:dyDescent="0.3">
      <c r="A70" s="33"/>
      <c r="B70" s="33" t="s">
        <v>401</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310</v>
      </c>
    </row>
    <row r="72" spans="1:13" x14ac:dyDescent="0.3">
      <c r="A72" s="33"/>
      <c r="B72" s="33" t="s">
        <v>43</v>
      </c>
      <c r="C72" s="34">
        <v>0.2</v>
      </c>
      <c r="D72" s="33"/>
      <c r="E72" s="33"/>
      <c r="F72" s="33"/>
      <c r="G72" s="33"/>
      <c r="H72" s="33"/>
      <c r="I72" s="33"/>
      <c r="J72" s="33"/>
      <c r="K72" s="33"/>
      <c r="L72" s="33"/>
      <c r="M72" s="35" t="s">
        <v>311</v>
      </c>
    </row>
    <row r="73" spans="1:13" x14ac:dyDescent="0.3">
      <c r="A73" s="36"/>
      <c r="B73" s="36" t="s">
        <v>44</v>
      </c>
      <c r="C73" s="37">
        <v>0</v>
      </c>
      <c r="D73" s="36"/>
      <c r="E73" s="36"/>
      <c r="F73" s="36"/>
      <c r="G73" s="36"/>
      <c r="H73" s="36"/>
      <c r="I73" s="36"/>
      <c r="J73" s="36"/>
      <c r="K73" s="36"/>
      <c r="L73" s="36"/>
      <c r="M73" s="38" t="s">
        <v>312</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315</v>
      </c>
    </row>
    <row r="77" spans="1:13" x14ac:dyDescent="0.3">
      <c r="A77" s="36"/>
      <c r="B77" s="36" t="s">
        <v>47</v>
      </c>
      <c r="C77" s="37">
        <v>0</v>
      </c>
      <c r="D77" s="36"/>
      <c r="E77" s="36"/>
      <c r="F77" s="36"/>
      <c r="G77" s="36"/>
      <c r="H77" s="36"/>
      <c r="I77" s="36"/>
      <c r="J77" s="36"/>
      <c r="K77" s="36"/>
      <c r="L77" s="36"/>
      <c r="M77" s="38"/>
    </row>
    <row r="78" spans="1:13" x14ac:dyDescent="0.3">
      <c r="A78" s="40" t="s">
        <v>263</v>
      </c>
      <c r="B78" s="40" t="s">
        <v>264</v>
      </c>
      <c r="C78" s="34"/>
      <c r="D78" s="33"/>
      <c r="E78" s="33"/>
      <c r="F78" s="33"/>
      <c r="G78" s="33"/>
      <c r="H78" s="33"/>
      <c r="I78" s="33"/>
      <c r="J78" s="33"/>
      <c r="K78" s="33"/>
      <c r="L78" s="33"/>
      <c r="M78" s="35"/>
    </row>
    <row r="79" spans="1:13" x14ac:dyDescent="0.3">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3">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3">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3">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3">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3">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265</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266</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267</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268</v>
      </c>
      <c r="C99" s="37"/>
      <c r="D99" s="36"/>
      <c r="E99" s="36"/>
      <c r="F99" s="36"/>
      <c r="G99" s="36"/>
      <c r="H99" s="36"/>
      <c r="I99" s="36"/>
      <c r="J99" s="36"/>
      <c r="K99" s="36"/>
      <c r="L99" s="36"/>
      <c r="M99" s="38"/>
    </row>
    <row r="100" spans="1:13" x14ac:dyDescent="0.3">
      <c r="A100" s="33"/>
      <c r="B100" s="33" t="s">
        <v>65</v>
      </c>
      <c r="C100" s="34">
        <v>60</v>
      </c>
      <c r="D100" s="33">
        <v>60</v>
      </c>
      <c r="E100" s="33">
        <v>55</v>
      </c>
      <c r="F100" s="33">
        <v>50</v>
      </c>
      <c r="G100" s="33">
        <v>45</v>
      </c>
      <c r="H100" s="33">
        <v>40</v>
      </c>
      <c r="I100" s="33">
        <v>35</v>
      </c>
      <c r="J100" s="33">
        <v>30</v>
      </c>
      <c r="K100" s="33">
        <v>30</v>
      </c>
      <c r="L100" s="33">
        <v>25</v>
      </c>
      <c r="M100" s="35"/>
    </row>
    <row r="101" spans="1:13" x14ac:dyDescent="0.3">
      <c r="A101" s="36"/>
      <c r="B101" s="36" t="s">
        <v>66</v>
      </c>
      <c r="C101" s="37">
        <v>0</v>
      </c>
      <c r="D101" s="36"/>
      <c r="E101" s="36"/>
      <c r="F101" s="36"/>
      <c r="G101" s="36"/>
      <c r="H101" s="36"/>
      <c r="I101" s="36"/>
      <c r="J101" s="36"/>
      <c r="K101" s="36"/>
      <c r="L101" s="36"/>
      <c r="M101" s="38"/>
    </row>
    <row r="102" spans="1:13" x14ac:dyDescent="0.3">
      <c r="A102" s="33"/>
      <c r="B102" s="33" t="s">
        <v>67</v>
      </c>
      <c r="C102" s="34">
        <v>0</v>
      </c>
      <c r="D102" s="33"/>
      <c r="E102" s="33"/>
      <c r="F102" s="33"/>
      <c r="G102" s="33"/>
      <c r="H102" s="33"/>
      <c r="I102" s="33"/>
      <c r="J102" s="33"/>
      <c r="K102" s="33"/>
      <c r="L102" s="33"/>
      <c r="M102" s="35"/>
    </row>
    <row r="103" spans="1:13" x14ac:dyDescent="0.3">
      <c r="A103" s="36"/>
      <c r="B103" s="36" t="s">
        <v>68</v>
      </c>
      <c r="C103" s="37">
        <v>0</v>
      </c>
      <c r="D103" s="36"/>
      <c r="E103" s="36"/>
      <c r="F103" s="36"/>
      <c r="G103" s="36"/>
      <c r="H103" s="36"/>
      <c r="I103" s="36"/>
      <c r="J103" s="36"/>
      <c r="K103" s="36"/>
      <c r="L103" s="36"/>
      <c r="M103" s="38"/>
    </row>
    <row r="104" spans="1:13" x14ac:dyDescent="0.3">
      <c r="A104" s="40" t="s">
        <v>269</v>
      </c>
      <c r="B104" s="40" t="s">
        <v>270</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271</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272</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250</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398</v>
      </c>
      <c r="C123" s="37">
        <v>0</v>
      </c>
      <c r="D123" s="36"/>
      <c r="E123" s="36"/>
      <c r="F123" s="36"/>
      <c r="G123" s="36"/>
      <c r="H123" s="36"/>
      <c r="I123" s="36"/>
      <c r="J123" s="36"/>
      <c r="K123" s="36"/>
      <c r="L123" s="36"/>
      <c r="M123" s="38"/>
    </row>
    <row r="124" spans="1:13" x14ac:dyDescent="0.3">
      <c r="A124" s="40" t="s">
        <v>273</v>
      </c>
      <c r="B124" s="40" t="s">
        <v>274</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0.49</v>
      </c>
      <c r="E125" s="44">
        <f t="shared" si="9"/>
        <v>0.49</v>
      </c>
      <c r="F125" s="44">
        <f t="shared" si="9"/>
        <v>0.49</v>
      </c>
      <c r="G125" s="44">
        <f t="shared" si="9"/>
        <v>0.49</v>
      </c>
      <c r="H125" s="44">
        <f t="shared" si="9"/>
        <v>0.49</v>
      </c>
      <c r="I125" s="44">
        <f t="shared" si="9"/>
        <v>0.49</v>
      </c>
      <c r="J125" s="44">
        <f t="shared" si="9"/>
        <v>0.49</v>
      </c>
      <c r="K125" s="44">
        <f t="shared" si="9"/>
        <v>0.49</v>
      </c>
      <c r="L125" s="44">
        <f t="shared" si="9"/>
        <v>0.49</v>
      </c>
      <c r="M125" s="38"/>
    </row>
    <row r="126" spans="1:13" x14ac:dyDescent="0.3">
      <c r="A126" s="33"/>
      <c r="B126" s="33" t="s">
        <v>85</v>
      </c>
      <c r="C126" s="45">
        <v>0</v>
      </c>
      <c r="D126" s="46">
        <f t="shared" ref="D126:L126" si="10">Nozzle_Diameter</f>
        <v>0.5</v>
      </c>
      <c r="E126" s="46">
        <f t="shared" si="10"/>
        <v>0.5</v>
      </c>
      <c r="F126" s="46">
        <f t="shared" si="10"/>
        <v>0.5</v>
      </c>
      <c r="G126" s="46">
        <f t="shared" si="10"/>
        <v>0.5</v>
      </c>
      <c r="H126" s="46">
        <f t="shared" si="10"/>
        <v>0.5</v>
      </c>
      <c r="I126" s="46">
        <f t="shared" si="10"/>
        <v>0.5</v>
      </c>
      <c r="J126" s="46">
        <f t="shared" si="10"/>
        <v>0.5</v>
      </c>
      <c r="K126" s="46">
        <f t="shared" si="10"/>
        <v>0.5</v>
      </c>
      <c r="L126" s="46">
        <f t="shared" si="10"/>
        <v>0.5</v>
      </c>
      <c r="M126" s="35"/>
    </row>
    <row r="127" spans="1:13" x14ac:dyDescent="0.3">
      <c r="A127" s="36"/>
      <c r="B127" s="36" t="s">
        <v>86</v>
      </c>
      <c r="C127" s="43">
        <v>0</v>
      </c>
      <c r="D127" s="44">
        <f t="shared" ref="D127:L128" si="11">Nozzle_Diameter*0.98</f>
        <v>0.49</v>
      </c>
      <c r="E127" s="44">
        <f t="shared" si="11"/>
        <v>0.49</v>
      </c>
      <c r="F127" s="44">
        <f t="shared" si="11"/>
        <v>0.49</v>
      </c>
      <c r="G127" s="44">
        <f t="shared" si="11"/>
        <v>0.49</v>
      </c>
      <c r="H127" s="44">
        <f t="shared" si="11"/>
        <v>0.49</v>
      </c>
      <c r="I127" s="44">
        <f t="shared" si="11"/>
        <v>0.49</v>
      </c>
      <c r="J127" s="44">
        <f t="shared" si="11"/>
        <v>0.49</v>
      </c>
      <c r="K127" s="44">
        <f t="shared" si="11"/>
        <v>0.49</v>
      </c>
      <c r="L127" s="44">
        <f t="shared" si="11"/>
        <v>0.49</v>
      </c>
      <c r="M127" s="38"/>
    </row>
    <row r="128" spans="1:13" x14ac:dyDescent="0.3">
      <c r="A128" s="33"/>
      <c r="B128" s="33" t="s">
        <v>87</v>
      </c>
      <c r="C128" s="45">
        <v>0</v>
      </c>
      <c r="D128" s="46">
        <f t="shared" si="11"/>
        <v>0.49</v>
      </c>
      <c r="E128" s="46">
        <f t="shared" si="11"/>
        <v>0.49</v>
      </c>
      <c r="F128" s="46">
        <f t="shared" si="11"/>
        <v>0.49</v>
      </c>
      <c r="G128" s="46">
        <f t="shared" si="11"/>
        <v>0.49</v>
      </c>
      <c r="H128" s="46">
        <f t="shared" si="11"/>
        <v>0.49</v>
      </c>
      <c r="I128" s="46">
        <f t="shared" si="11"/>
        <v>0.49</v>
      </c>
      <c r="J128" s="46">
        <f t="shared" si="11"/>
        <v>0.49</v>
      </c>
      <c r="K128" s="46">
        <f t="shared" si="11"/>
        <v>0.49</v>
      </c>
      <c r="L128" s="46">
        <f t="shared" si="11"/>
        <v>0.49</v>
      </c>
      <c r="M128" s="35"/>
    </row>
    <row r="129" spans="1:13" x14ac:dyDescent="0.3">
      <c r="A129" s="36"/>
      <c r="B129" s="36" t="s">
        <v>88</v>
      </c>
      <c r="C129" s="43">
        <v>0</v>
      </c>
      <c r="D129" s="44">
        <f t="shared" ref="D129:L129" si="12">Nozzle_Diameter*1.125</f>
        <v>0.5625</v>
      </c>
      <c r="E129" s="44">
        <f t="shared" si="12"/>
        <v>0.5625</v>
      </c>
      <c r="F129" s="44">
        <f t="shared" si="12"/>
        <v>0.5625</v>
      </c>
      <c r="G129" s="44">
        <f t="shared" si="12"/>
        <v>0.5625</v>
      </c>
      <c r="H129" s="44">
        <f t="shared" si="12"/>
        <v>0.5625</v>
      </c>
      <c r="I129" s="44">
        <f t="shared" si="12"/>
        <v>0.5625</v>
      </c>
      <c r="J129" s="44">
        <f t="shared" si="12"/>
        <v>0.5625</v>
      </c>
      <c r="K129" s="44">
        <f t="shared" si="12"/>
        <v>0.5625</v>
      </c>
      <c r="L129" s="44">
        <f t="shared" si="12"/>
        <v>0.5625</v>
      </c>
      <c r="M129" s="38"/>
    </row>
    <row r="130" spans="1:13" x14ac:dyDescent="0.3">
      <c r="A130" s="33"/>
      <c r="B130" s="33" t="s">
        <v>89</v>
      </c>
      <c r="C130" s="45">
        <v>0</v>
      </c>
      <c r="D130" s="46">
        <f t="shared" ref="D130:L131" si="13">Nozzle_Diameter*0.98</f>
        <v>0.49</v>
      </c>
      <c r="E130" s="46">
        <f t="shared" si="13"/>
        <v>0.49</v>
      </c>
      <c r="F130" s="46">
        <f t="shared" si="13"/>
        <v>0.49</v>
      </c>
      <c r="G130" s="46">
        <f t="shared" si="13"/>
        <v>0.49</v>
      </c>
      <c r="H130" s="46">
        <f t="shared" si="13"/>
        <v>0.49</v>
      </c>
      <c r="I130" s="46">
        <f t="shared" si="13"/>
        <v>0.49</v>
      </c>
      <c r="J130" s="46">
        <f t="shared" si="13"/>
        <v>0.49</v>
      </c>
      <c r="K130" s="46">
        <f t="shared" si="13"/>
        <v>0.49</v>
      </c>
      <c r="L130" s="46">
        <f t="shared" si="13"/>
        <v>0.49</v>
      </c>
      <c r="M130" s="35"/>
    </row>
    <row r="131" spans="1:13" x14ac:dyDescent="0.3">
      <c r="A131" s="36"/>
      <c r="B131" s="36" t="s">
        <v>90</v>
      </c>
      <c r="C131" s="43">
        <v>0</v>
      </c>
      <c r="D131" s="44">
        <f t="shared" si="13"/>
        <v>0.49</v>
      </c>
      <c r="E131" s="44">
        <f t="shared" si="13"/>
        <v>0.49</v>
      </c>
      <c r="F131" s="44">
        <f t="shared" si="13"/>
        <v>0.49</v>
      </c>
      <c r="G131" s="44">
        <f t="shared" si="13"/>
        <v>0.49</v>
      </c>
      <c r="H131" s="44">
        <f t="shared" si="13"/>
        <v>0.49</v>
      </c>
      <c r="I131" s="44">
        <f t="shared" si="13"/>
        <v>0.49</v>
      </c>
      <c r="J131" s="44">
        <f t="shared" si="13"/>
        <v>0.49</v>
      </c>
      <c r="K131" s="44">
        <f t="shared" si="13"/>
        <v>0.49</v>
      </c>
      <c r="L131" s="44">
        <f t="shared" si="13"/>
        <v>0.49</v>
      </c>
      <c r="M131" s="38"/>
    </row>
    <row r="132" spans="1:13" x14ac:dyDescent="0.3">
      <c r="A132" s="33"/>
      <c r="B132" s="33" t="s">
        <v>91</v>
      </c>
      <c r="C132" s="45">
        <v>0</v>
      </c>
      <c r="D132" s="46">
        <f t="shared" ref="D132:L132" si="14">Nozzle_Diameter*1.125</f>
        <v>0.5625</v>
      </c>
      <c r="E132" s="46">
        <f t="shared" si="14"/>
        <v>0.5625</v>
      </c>
      <c r="F132" s="46">
        <f t="shared" si="14"/>
        <v>0.5625</v>
      </c>
      <c r="G132" s="46">
        <f t="shared" si="14"/>
        <v>0.5625</v>
      </c>
      <c r="H132" s="46">
        <f t="shared" si="14"/>
        <v>0.5625</v>
      </c>
      <c r="I132" s="46">
        <f t="shared" si="14"/>
        <v>0.5625</v>
      </c>
      <c r="J132" s="46">
        <f t="shared" si="14"/>
        <v>0.5625</v>
      </c>
      <c r="K132" s="46">
        <f t="shared" si="14"/>
        <v>0.5625</v>
      </c>
      <c r="L132" s="46">
        <f t="shared" si="14"/>
        <v>0.5625</v>
      </c>
      <c r="M132" s="35"/>
    </row>
    <row r="133" spans="1:13" x14ac:dyDescent="0.3">
      <c r="A133" s="36"/>
      <c r="B133" s="36" t="s">
        <v>402</v>
      </c>
      <c r="C133" s="43">
        <v>0</v>
      </c>
      <c r="D133" s="44">
        <f t="shared" ref="D133:L133" si="15">Nozzle_Diameter*0.7</f>
        <v>0.35</v>
      </c>
      <c r="E133" s="44">
        <f t="shared" si="15"/>
        <v>0.35</v>
      </c>
      <c r="F133" s="44">
        <f t="shared" si="15"/>
        <v>0.35</v>
      </c>
      <c r="G133" s="44">
        <f t="shared" si="15"/>
        <v>0.35</v>
      </c>
      <c r="H133" s="44">
        <f t="shared" si="15"/>
        <v>0.35</v>
      </c>
      <c r="I133" s="44">
        <f t="shared" si="15"/>
        <v>0.35</v>
      </c>
      <c r="J133" s="44">
        <f t="shared" si="15"/>
        <v>0.35</v>
      </c>
      <c r="K133" s="44">
        <f t="shared" si="15"/>
        <v>0.35</v>
      </c>
      <c r="L133" s="44">
        <f t="shared" si="15"/>
        <v>0.35</v>
      </c>
      <c r="M133" s="38"/>
    </row>
    <row r="134" spans="1:13" x14ac:dyDescent="0.3">
      <c r="A134" s="33"/>
      <c r="B134" s="40" t="s">
        <v>275</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276</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277</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3"/>
      <c r="B142" s="33" t="s">
        <v>97</v>
      </c>
      <c r="C142" s="34">
        <v>0</v>
      </c>
      <c r="D142" s="33"/>
      <c r="E142" s="33"/>
      <c r="F142" s="33"/>
      <c r="G142" s="33"/>
      <c r="H142" s="33"/>
      <c r="I142" s="33"/>
      <c r="J142" s="33"/>
      <c r="K142" s="33"/>
      <c r="L142" s="33"/>
      <c r="M142" s="35"/>
    </row>
    <row r="143" spans="1:13" x14ac:dyDescent="0.3">
      <c r="A143" s="40" t="s">
        <v>278</v>
      </c>
      <c r="B143" s="40" t="s">
        <v>281</v>
      </c>
      <c r="C143" s="37"/>
      <c r="D143" s="36"/>
      <c r="E143" s="36"/>
      <c r="F143" s="36"/>
      <c r="G143" s="36"/>
      <c r="H143" s="36"/>
      <c r="I143" s="36"/>
      <c r="J143" s="36"/>
      <c r="K143" s="36"/>
      <c r="L143" s="36"/>
      <c r="M143" s="38"/>
    </row>
    <row r="144" spans="1:13" x14ac:dyDescent="0.3">
      <c r="A144" s="33"/>
      <c r="B144" s="33" t="s">
        <v>98</v>
      </c>
      <c r="C144" s="34">
        <v>0</v>
      </c>
      <c r="D144" s="33"/>
      <c r="E144" s="33"/>
      <c r="F144" s="33"/>
      <c r="G144" s="33"/>
      <c r="H144" s="33"/>
      <c r="I144" s="33"/>
      <c r="J144" s="33"/>
      <c r="K144" s="33"/>
      <c r="L144" s="33"/>
      <c r="M144" s="35"/>
    </row>
    <row r="145" spans="1:13" x14ac:dyDescent="0.3">
      <c r="A145" s="36"/>
      <c r="B145" s="36" t="s">
        <v>99</v>
      </c>
      <c r="C145" s="37">
        <v>20</v>
      </c>
      <c r="D145" s="36"/>
      <c r="E145" s="36"/>
      <c r="F145" s="36"/>
      <c r="G145" s="36"/>
      <c r="H145" s="36"/>
      <c r="I145" s="36"/>
      <c r="J145" s="36"/>
      <c r="K145" s="36"/>
      <c r="L145" s="36"/>
      <c r="M145" s="38"/>
    </row>
    <row r="146" spans="1:13" x14ac:dyDescent="0.3">
      <c r="A146" s="33"/>
      <c r="B146" s="33" t="s">
        <v>100</v>
      </c>
      <c r="C146" s="34">
        <v>20</v>
      </c>
      <c r="D146" s="33"/>
      <c r="E146" s="33"/>
      <c r="F146" s="33"/>
      <c r="G146" s="33"/>
      <c r="H146" s="33"/>
      <c r="I146" s="33"/>
      <c r="J146" s="33"/>
      <c r="K146" s="33"/>
      <c r="L146" s="33"/>
      <c r="M146" s="35"/>
    </row>
    <row r="147" spans="1:13" x14ac:dyDescent="0.3">
      <c r="A147" s="36"/>
      <c r="B147" s="40" t="s">
        <v>282</v>
      </c>
      <c r="C147" s="37"/>
      <c r="D147" s="36"/>
      <c r="E147" s="36"/>
      <c r="F147" s="36"/>
      <c r="G147" s="36"/>
      <c r="H147" s="36"/>
      <c r="I147" s="36"/>
      <c r="J147" s="36"/>
      <c r="K147" s="36"/>
      <c r="L147" s="36"/>
      <c r="M147" s="38"/>
    </row>
    <row r="148" spans="1:13" x14ac:dyDescent="0.3">
      <c r="A148" s="33"/>
      <c r="B148" s="33" t="s">
        <v>101</v>
      </c>
      <c r="C148" s="34">
        <v>1</v>
      </c>
      <c r="D148" s="33"/>
      <c r="E148" s="33"/>
      <c r="F148" s="33"/>
      <c r="G148" s="33"/>
      <c r="H148" s="33"/>
      <c r="I148" s="33"/>
      <c r="J148" s="33"/>
      <c r="K148" s="33"/>
      <c r="L148" s="33"/>
      <c r="M148" s="35"/>
    </row>
    <row r="149" spans="1:13" ht="28.8" x14ac:dyDescent="0.3">
      <c r="A149" s="36"/>
      <c r="B149" s="36" t="s">
        <v>102</v>
      </c>
      <c r="C149" s="48" t="s">
        <v>103</v>
      </c>
      <c r="D149" s="36"/>
      <c r="E149" s="36"/>
      <c r="F149" s="36"/>
      <c r="G149" s="36"/>
      <c r="H149" s="36"/>
      <c r="I149" s="36"/>
      <c r="J149" s="36"/>
      <c r="K149" s="36"/>
      <c r="L149" s="36"/>
      <c r="M149" s="38"/>
    </row>
    <row r="150" spans="1:13" x14ac:dyDescent="0.3">
      <c r="A150" s="33"/>
      <c r="B150" s="40" t="s">
        <v>104</v>
      </c>
      <c r="C150" s="34"/>
      <c r="D150" s="33"/>
      <c r="E150" s="33"/>
      <c r="F150" s="33"/>
      <c r="G150" s="33"/>
      <c r="H150" s="33"/>
      <c r="I150" s="33"/>
      <c r="J150" s="33"/>
      <c r="K150" s="33"/>
      <c r="L150" s="33"/>
      <c r="M150" s="35"/>
    </row>
    <row r="151" spans="1:13" x14ac:dyDescent="0.3">
      <c r="A151" s="36"/>
      <c r="B151" s="36" t="s">
        <v>105</v>
      </c>
      <c r="C151" s="37"/>
      <c r="D151" s="36"/>
      <c r="E151" s="36"/>
      <c r="F151" s="36"/>
      <c r="G151" s="36"/>
      <c r="H151" s="36"/>
      <c r="I151" s="36"/>
      <c r="J151" s="36"/>
      <c r="K151" s="36"/>
      <c r="L151" s="36"/>
      <c r="M151" s="38"/>
    </row>
    <row r="152" spans="1:13" x14ac:dyDescent="0.3">
      <c r="A152" s="40" t="s">
        <v>279</v>
      </c>
      <c r="B152" s="40" t="s">
        <v>106</v>
      </c>
      <c r="C152" s="34"/>
      <c r="D152" s="33"/>
      <c r="E152" s="33"/>
      <c r="F152" s="33"/>
      <c r="G152" s="33"/>
      <c r="H152" s="33"/>
      <c r="I152" s="33"/>
      <c r="J152" s="33"/>
      <c r="K152" s="33"/>
      <c r="L152" s="33"/>
      <c r="M152" s="35"/>
    </row>
    <row r="153" spans="1:13" x14ac:dyDescent="0.3">
      <c r="A153" s="36"/>
      <c r="B153" s="36" t="s">
        <v>107</v>
      </c>
      <c r="C153" s="37"/>
      <c r="D153" s="36"/>
      <c r="E153" s="36"/>
      <c r="F153" s="36"/>
      <c r="G153" s="36"/>
      <c r="H153" s="36"/>
      <c r="I153" s="36"/>
      <c r="J153" s="36"/>
      <c r="K153" s="36"/>
      <c r="L153" s="36"/>
      <c r="M153" s="38"/>
    </row>
    <row r="154" spans="1:13" x14ac:dyDescent="0.3">
      <c r="A154" s="40" t="s">
        <v>280</v>
      </c>
      <c r="B154" s="40" t="s">
        <v>283</v>
      </c>
      <c r="C154" s="34"/>
      <c r="D154" s="33"/>
      <c r="E154" s="33"/>
      <c r="F154" s="33"/>
      <c r="G154" s="33"/>
      <c r="H154" s="33"/>
      <c r="I154" s="33"/>
      <c r="J154" s="33"/>
      <c r="K154" s="33"/>
      <c r="L154" s="33"/>
      <c r="M154" s="35"/>
    </row>
    <row r="155" spans="1:13" x14ac:dyDescent="0.3">
      <c r="A155" s="36"/>
      <c r="B155" s="36" t="s">
        <v>151</v>
      </c>
      <c r="C155" s="37" t="str">
        <f>Printer_Name</f>
        <v>Ender3 Speed 0.5 nozzle</v>
      </c>
      <c r="D155" s="36"/>
      <c r="E155" s="36"/>
      <c r="F155" s="36"/>
      <c r="G155" s="36"/>
      <c r="H155" s="36"/>
      <c r="I155" s="36"/>
      <c r="J155" s="36"/>
      <c r="K155" s="36"/>
      <c r="L155" s="36"/>
      <c r="M155" s="38"/>
    </row>
    <row r="156" spans="1:13" x14ac:dyDescent="0.3">
      <c r="A156" s="33"/>
      <c r="B156" s="33" t="s">
        <v>152</v>
      </c>
      <c r="C156" s="34"/>
      <c r="D156" s="33"/>
      <c r="E156" s="33"/>
      <c r="F156" s="33"/>
      <c r="G156" s="33"/>
      <c r="H156" s="33"/>
      <c r="I156" s="33"/>
      <c r="J156" s="33"/>
      <c r="K156" s="33"/>
      <c r="L156" s="33"/>
      <c r="M156" s="35"/>
    </row>
    <row r="157" spans="1:13" x14ac:dyDescent="0.3">
      <c r="A157" s="36"/>
      <c r="B157" s="36" t="s">
        <v>395</v>
      </c>
      <c r="C157" s="37">
        <v>0</v>
      </c>
      <c r="D157" s="36"/>
      <c r="E157" s="36"/>
      <c r="F157" s="36"/>
      <c r="G157" s="36"/>
      <c r="H157" s="36"/>
      <c r="I157" s="36"/>
      <c r="J157" s="36"/>
      <c r="K157" s="36"/>
      <c r="L157" s="36"/>
      <c r="M157" s="38"/>
    </row>
    <row r="158" spans="1:13" ht="28.8" x14ac:dyDescent="0.3">
      <c r="A158" s="33"/>
      <c r="B158" s="33" t="s">
        <v>397</v>
      </c>
      <c r="C158" s="49" t="s">
        <v>403</v>
      </c>
      <c r="D158" s="33"/>
      <c r="E158" s="33"/>
      <c r="F158" s="33"/>
      <c r="G158" s="33"/>
      <c r="H158" s="33"/>
      <c r="I158" s="33"/>
      <c r="J158" s="33"/>
      <c r="K158" s="33"/>
      <c r="L158" s="33"/>
      <c r="M158" s="35"/>
    </row>
    <row r="159" spans="1:13" x14ac:dyDescent="0.3">
      <c r="A159" s="50"/>
      <c r="B159" s="50" t="s">
        <v>396</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workbookViewId="0">
      <pane ySplit="1" topLeftCell="A2" activePane="bottomLeft" state="frozen"/>
      <selection pane="bottomLeft" activeCell="O12" sqref="O12"/>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ht="15" thickBot="1" x14ac:dyDescent="0.35">
      <c r="A1" s="5" t="s">
        <v>251</v>
      </c>
      <c r="B1" s="6" t="s">
        <v>220</v>
      </c>
      <c r="C1" s="6" t="s">
        <v>109</v>
      </c>
      <c r="D1" s="6" t="s">
        <v>154</v>
      </c>
      <c r="E1" s="6" t="s">
        <v>153</v>
      </c>
      <c r="F1" s="6" t="s">
        <v>155</v>
      </c>
      <c r="G1" s="6" t="s">
        <v>359</v>
      </c>
      <c r="H1" s="6" t="s">
        <v>361</v>
      </c>
      <c r="I1" s="6" t="s">
        <v>156</v>
      </c>
      <c r="J1" s="6" t="s">
        <v>235</v>
      </c>
    </row>
    <row r="2" spans="1:10" ht="15" thickTop="1" x14ac:dyDescent="0.3">
      <c r="A2" s="7" t="s">
        <v>317</v>
      </c>
      <c r="B2" s="8" t="s">
        <v>316</v>
      </c>
      <c r="C2" s="9"/>
      <c r="D2" s="9"/>
      <c r="E2" s="9"/>
      <c r="F2" s="9"/>
      <c r="G2" s="9"/>
      <c r="H2" s="9"/>
      <c r="I2" s="9"/>
      <c r="J2" s="9"/>
    </row>
    <row r="3" spans="1:10" x14ac:dyDescent="0.3">
      <c r="A3" s="10"/>
      <c r="B3" s="11" t="s">
        <v>110</v>
      </c>
      <c r="C3" s="12" t="s">
        <v>111</v>
      </c>
      <c r="D3" s="11" t="s">
        <v>362</v>
      </c>
      <c r="E3" s="11" t="s">
        <v>363</v>
      </c>
      <c r="F3" s="11" t="s">
        <v>364</v>
      </c>
      <c r="G3" s="11" t="s">
        <v>360</v>
      </c>
      <c r="H3" s="11" t="s">
        <v>365</v>
      </c>
      <c r="I3" s="11" t="s">
        <v>366</v>
      </c>
      <c r="J3" s="11"/>
    </row>
    <row r="4" spans="1:10" x14ac:dyDescent="0.3">
      <c r="A4" s="13"/>
      <c r="B4" s="4" t="s">
        <v>112</v>
      </c>
      <c r="C4" s="4">
        <v>1.75</v>
      </c>
      <c r="D4" s="4"/>
      <c r="E4" s="4"/>
      <c r="F4" s="4"/>
      <c r="G4" s="4"/>
      <c r="H4" s="4"/>
      <c r="I4" s="4"/>
      <c r="J4" s="4"/>
    </row>
    <row r="5" spans="1:10" x14ac:dyDescent="0.3">
      <c r="A5" s="10"/>
      <c r="B5" s="11" t="s">
        <v>113</v>
      </c>
      <c r="C5" s="11">
        <v>1</v>
      </c>
      <c r="D5" s="11">
        <v>0.93</v>
      </c>
      <c r="E5" s="11">
        <v>0.9</v>
      </c>
      <c r="F5" s="11"/>
      <c r="G5" s="11"/>
      <c r="H5" s="11"/>
      <c r="I5" s="11"/>
      <c r="J5" s="11"/>
    </row>
    <row r="6" spans="1:10" x14ac:dyDescent="0.3">
      <c r="A6" s="13"/>
      <c r="B6" s="4" t="s">
        <v>114</v>
      </c>
      <c r="C6" s="4">
        <v>0</v>
      </c>
      <c r="D6" s="4">
        <v>1.24</v>
      </c>
      <c r="E6" s="4">
        <v>1.38</v>
      </c>
      <c r="F6" s="4">
        <v>1.1000000000000001</v>
      </c>
      <c r="G6" s="4">
        <v>1.1399999999999999</v>
      </c>
      <c r="H6" s="4">
        <v>0.89</v>
      </c>
      <c r="I6" s="4">
        <v>1.22</v>
      </c>
      <c r="J6" s="4"/>
    </row>
    <row r="7" spans="1:10" x14ac:dyDescent="0.3">
      <c r="A7" s="10"/>
      <c r="B7" s="11" t="s">
        <v>115</v>
      </c>
      <c r="C7" s="11">
        <v>0</v>
      </c>
      <c r="D7" s="11">
        <v>17</v>
      </c>
      <c r="E7" s="11">
        <v>18</v>
      </c>
      <c r="F7" s="11">
        <v>15</v>
      </c>
      <c r="G7" s="11">
        <v>25</v>
      </c>
      <c r="H7" s="11">
        <v>25</v>
      </c>
      <c r="I7" s="11">
        <v>25</v>
      </c>
      <c r="J7" s="11" t="s">
        <v>368</v>
      </c>
    </row>
    <row r="8" spans="1:10" x14ac:dyDescent="0.3">
      <c r="A8" s="13"/>
      <c r="B8" s="14" t="s">
        <v>320</v>
      </c>
      <c r="C8" s="4"/>
      <c r="D8" s="4"/>
      <c r="E8" s="4"/>
      <c r="F8" s="4"/>
      <c r="G8" s="4"/>
      <c r="H8" s="4"/>
      <c r="I8" s="4"/>
      <c r="J8" s="4"/>
    </row>
    <row r="9" spans="1:10" x14ac:dyDescent="0.3">
      <c r="A9" s="10"/>
      <c r="B9" s="11" t="s">
        <v>116</v>
      </c>
      <c r="C9" s="11">
        <v>215</v>
      </c>
      <c r="D9" s="11"/>
      <c r="E9" s="11">
        <v>235</v>
      </c>
      <c r="F9" s="11">
        <v>230</v>
      </c>
      <c r="G9" s="11">
        <v>245</v>
      </c>
      <c r="H9" s="11">
        <v>220</v>
      </c>
      <c r="I9" s="11">
        <v>230</v>
      </c>
      <c r="J9" s="11"/>
    </row>
    <row r="10" spans="1:10" x14ac:dyDescent="0.3">
      <c r="A10" s="13"/>
      <c r="B10" s="4" t="s">
        <v>117</v>
      </c>
      <c r="C10" s="4">
        <v>210</v>
      </c>
      <c r="D10" s="4"/>
      <c r="E10" s="4">
        <v>235</v>
      </c>
      <c r="F10" s="4">
        <v>230</v>
      </c>
      <c r="G10" s="4">
        <v>245</v>
      </c>
      <c r="H10" s="4">
        <v>220</v>
      </c>
      <c r="I10" s="4">
        <v>230</v>
      </c>
      <c r="J10" s="4"/>
    </row>
    <row r="11" spans="1:10" x14ac:dyDescent="0.3">
      <c r="A11" s="10"/>
      <c r="B11" s="11" t="s">
        <v>118</v>
      </c>
      <c r="C11" s="11">
        <v>60</v>
      </c>
      <c r="D11" s="11"/>
      <c r="E11" s="11">
        <v>70</v>
      </c>
      <c r="F11" s="11">
        <v>80</v>
      </c>
      <c r="G11" s="11">
        <v>60</v>
      </c>
      <c r="H11" s="11">
        <v>100</v>
      </c>
      <c r="I11" s="11">
        <v>0</v>
      </c>
      <c r="J11" s="11"/>
    </row>
    <row r="12" spans="1:10" x14ac:dyDescent="0.3">
      <c r="A12" s="13"/>
      <c r="B12" s="4" t="s">
        <v>119</v>
      </c>
      <c r="C12" s="4">
        <v>60</v>
      </c>
      <c r="D12" s="4"/>
      <c r="E12" s="4">
        <v>70</v>
      </c>
      <c r="F12" s="4">
        <v>80</v>
      </c>
      <c r="G12" s="4">
        <v>60</v>
      </c>
      <c r="H12" s="4">
        <v>100</v>
      </c>
      <c r="I12" s="4">
        <v>0</v>
      </c>
      <c r="J12" s="4"/>
    </row>
    <row r="13" spans="1:10" x14ac:dyDescent="0.3">
      <c r="A13" s="15" t="s">
        <v>321</v>
      </c>
      <c r="B13" s="14" t="s">
        <v>322</v>
      </c>
      <c r="C13" s="11"/>
      <c r="D13" s="11"/>
      <c r="E13" s="11"/>
      <c r="F13" s="11"/>
      <c r="G13" s="11"/>
      <c r="H13" s="11"/>
      <c r="I13" s="11"/>
      <c r="J13" s="11"/>
    </row>
    <row r="14" spans="1:10" x14ac:dyDescent="0.3">
      <c r="A14" s="13"/>
      <c r="B14" s="4" t="s">
        <v>120</v>
      </c>
      <c r="C14" s="4">
        <v>0</v>
      </c>
      <c r="D14" s="4"/>
      <c r="E14" s="4"/>
      <c r="F14" s="4"/>
      <c r="G14" s="4"/>
      <c r="H14" s="4"/>
      <c r="I14" s="4"/>
      <c r="J14" s="4"/>
    </row>
    <row r="15" spans="1:10" x14ac:dyDescent="0.3">
      <c r="A15" s="10"/>
      <c r="B15" s="11" t="s">
        <v>121</v>
      </c>
      <c r="C15" s="11">
        <v>1</v>
      </c>
      <c r="D15" s="11"/>
      <c r="E15" s="11"/>
      <c r="F15" s="11">
        <v>0</v>
      </c>
      <c r="G15" s="11">
        <v>0</v>
      </c>
      <c r="H15" s="11"/>
      <c r="I15" s="11"/>
      <c r="J15" s="11"/>
    </row>
    <row r="16" spans="1:10" x14ac:dyDescent="0.3">
      <c r="A16" s="13"/>
      <c r="B16" s="14" t="s">
        <v>122</v>
      </c>
      <c r="C16" s="4"/>
      <c r="D16" s="4"/>
      <c r="E16" s="4"/>
      <c r="F16" s="4"/>
      <c r="G16" s="4"/>
      <c r="H16" s="4"/>
      <c r="I16" s="4"/>
      <c r="J16" s="4"/>
    </row>
    <row r="17" spans="1:10" x14ac:dyDescent="0.3">
      <c r="A17" s="10"/>
      <c r="B17" s="11" t="s">
        <v>123</v>
      </c>
      <c r="C17" s="11">
        <v>0</v>
      </c>
      <c r="D17" s="11"/>
      <c r="E17" s="11">
        <v>30</v>
      </c>
      <c r="F17" s="11"/>
      <c r="G17" s="11"/>
      <c r="H17" s="11"/>
      <c r="I17" s="11"/>
      <c r="J17" s="11"/>
    </row>
    <row r="18" spans="1:10" x14ac:dyDescent="0.3">
      <c r="A18" s="13"/>
      <c r="B18" s="4" t="s">
        <v>124</v>
      </c>
      <c r="C18" s="4">
        <v>100</v>
      </c>
      <c r="D18" s="4"/>
      <c r="E18" s="4">
        <v>50</v>
      </c>
      <c r="F18" s="4"/>
      <c r="G18" s="4"/>
      <c r="H18" s="4"/>
      <c r="I18" s="4"/>
      <c r="J18" s="4"/>
    </row>
    <row r="19" spans="1:10" x14ac:dyDescent="0.3">
      <c r="A19" s="10"/>
      <c r="B19" s="11" t="s">
        <v>125</v>
      </c>
      <c r="C19" s="16">
        <v>1</v>
      </c>
      <c r="D19" s="16"/>
      <c r="E19" s="11"/>
      <c r="F19" s="11"/>
      <c r="G19" s="11"/>
      <c r="H19" s="11"/>
      <c r="I19" s="11"/>
      <c r="J19" s="11"/>
    </row>
    <row r="20" spans="1:10" x14ac:dyDescent="0.3">
      <c r="A20" s="13"/>
      <c r="B20" s="4" t="s">
        <v>126</v>
      </c>
      <c r="C20" s="4">
        <v>1</v>
      </c>
      <c r="D20" s="4"/>
      <c r="E20" s="4">
        <v>2</v>
      </c>
      <c r="F20" s="4"/>
      <c r="G20" s="4"/>
      <c r="H20" s="4"/>
      <c r="I20" s="4"/>
      <c r="J20" s="4"/>
    </row>
    <row r="21" spans="1:10" x14ac:dyDescent="0.3">
      <c r="A21" s="10"/>
      <c r="B21" s="14" t="s">
        <v>127</v>
      </c>
      <c r="C21" s="11"/>
      <c r="D21" s="11"/>
      <c r="E21" s="11"/>
      <c r="F21" s="11"/>
      <c r="G21" s="11"/>
      <c r="H21" s="11"/>
      <c r="I21" s="11"/>
      <c r="J21" s="11"/>
    </row>
    <row r="22" spans="1:10" x14ac:dyDescent="0.3">
      <c r="A22" s="13"/>
      <c r="B22" s="4" t="s">
        <v>128</v>
      </c>
      <c r="C22" s="4">
        <v>20</v>
      </c>
      <c r="D22" s="4"/>
      <c r="E22" s="4"/>
      <c r="F22" s="4"/>
      <c r="G22" s="4"/>
      <c r="H22" s="4"/>
      <c r="I22" s="4"/>
      <c r="J22" s="4" t="s">
        <v>318</v>
      </c>
    </row>
    <row r="23" spans="1:10" ht="28.8" x14ac:dyDescent="0.3">
      <c r="A23" s="10"/>
      <c r="B23" s="11" t="s">
        <v>129</v>
      </c>
      <c r="C23" s="11">
        <v>5</v>
      </c>
      <c r="D23" s="11"/>
      <c r="E23" s="11"/>
      <c r="F23" s="11"/>
      <c r="G23" s="11"/>
      <c r="H23" s="11"/>
      <c r="I23" s="11"/>
      <c r="J23" s="17" t="s">
        <v>323</v>
      </c>
    </row>
    <row r="24" spans="1:10" x14ac:dyDescent="0.3">
      <c r="A24" s="13"/>
      <c r="B24" s="4" t="s">
        <v>130</v>
      </c>
      <c r="C24" s="4">
        <v>10</v>
      </c>
      <c r="D24" s="4"/>
      <c r="E24" s="4"/>
      <c r="F24" s="4"/>
      <c r="G24" s="4"/>
      <c r="H24" s="4"/>
      <c r="I24" s="4"/>
      <c r="J24" s="4"/>
    </row>
    <row r="25" spans="1:10" x14ac:dyDescent="0.3">
      <c r="A25" s="15" t="s">
        <v>273</v>
      </c>
      <c r="B25" s="14" t="s">
        <v>324</v>
      </c>
      <c r="C25" s="11"/>
      <c r="D25" s="11"/>
      <c r="E25" s="11"/>
      <c r="F25" s="11"/>
      <c r="G25" s="11"/>
      <c r="H25" s="11"/>
      <c r="I25" s="11"/>
      <c r="J25" s="11"/>
    </row>
    <row r="26" spans="1:10" x14ac:dyDescent="0.3">
      <c r="A26" s="13"/>
      <c r="B26" s="4" t="s">
        <v>131</v>
      </c>
      <c r="C26" s="18" t="s">
        <v>154</v>
      </c>
      <c r="D26" s="4" t="s">
        <v>154</v>
      </c>
      <c r="E26" s="4" t="s">
        <v>153</v>
      </c>
      <c r="F26" s="4" t="s">
        <v>155</v>
      </c>
      <c r="G26" s="4" t="s">
        <v>230</v>
      </c>
      <c r="H26" s="4" t="s">
        <v>230</v>
      </c>
      <c r="I26" s="4" t="s">
        <v>230</v>
      </c>
      <c r="J26" s="4"/>
    </row>
    <row r="27" spans="1:10" x14ac:dyDescent="0.3">
      <c r="A27" s="10"/>
      <c r="B27" s="11" t="s">
        <v>132</v>
      </c>
      <c r="C27" s="12">
        <v>0</v>
      </c>
      <c r="D27" s="11"/>
      <c r="E27" s="11"/>
      <c r="F27" s="11"/>
      <c r="G27" s="11"/>
      <c r="H27" s="11"/>
      <c r="I27" s="11"/>
      <c r="J27" s="11"/>
    </row>
    <row r="28" spans="1:10" x14ac:dyDescent="0.3">
      <c r="A28" s="13"/>
      <c r="B28" s="14" t="s">
        <v>325</v>
      </c>
      <c r="C28" s="18"/>
      <c r="D28" s="4"/>
      <c r="E28" s="4"/>
      <c r="F28" s="4"/>
      <c r="G28" s="4"/>
      <c r="H28" s="4"/>
      <c r="I28" s="4"/>
      <c r="J28" s="4"/>
    </row>
    <row r="29" spans="1:10" x14ac:dyDescent="0.3">
      <c r="A29" s="10"/>
      <c r="B29" s="11" t="s">
        <v>133</v>
      </c>
      <c r="C29" s="11">
        <v>15</v>
      </c>
      <c r="D29" s="11">
        <v>11.5</v>
      </c>
      <c r="E29" s="11">
        <v>8</v>
      </c>
      <c r="F29" s="11">
        <v>10</v>
      </c>
      <c r="G29" s="11">
        <v>1.5</v>
      </c>
      <c r="H29" s="11">
        <v>1.5</v>
      </c>
      <c r="I29" s="11">
        <v>1.5</v>
      </c>
      <c r="J29" s="11" t="s">
        <v>326</v>
      </c>
    </row>
    <row r="30" spans="1:10" x14ac:dyDescent="0.3">
      <c r="A30" s="13"/>
      <c r="B30" s="14" t="s">
        <v>327</v>
      </c>
      <c r="C30" s="4"/>
      <c r="D30" s="4"/>
      <c r="E30" s="4"/>
      <c r="F30" s="4"/>
      <c r="G30" s="4"/>
      <c r="H30" s="4"/>
      <c r="I30" s="4"/>
      <c r="J30" s="4"/>
    </row>
    <row r="31" spans="1:10" x14ac:dyDescent="0.3">
      <c r="A31" s="10"/>
      <c r="B31" s="11" t="s">
        <v>134</v>
      </c>
      <c r="C31" s="11">
        <v>3</v>
      </c>
      <c r="D31" s="11"/>
      <c r="E31" s="11"/>
      <c r="F31" s="11"/>
      <c r="G31" s="11"/>
      <c r="H31" s="11"/>
      <c r="I31" s="11"/>
      <c r="J31" s="11"/>
    </row>
    <row r="32" spans="1:10" x14ac:dyDescent="0.3">
      <c r="A32" s="13"/>
      <c r="B32" s="4" t="s">
        <v>135</v>
      </c>
      <c r="C32" s="4">
        <v>28</v>
      </c>
      <c r="D32" s="4"/>
      <c r="E32" s="4"/>
      <c r="F32" s="4"/>
      <c r="G32" s="4"/>
      <c r="H32" s="4"/>
      <c r="I32" s="4"/>
      <c r="J32" s="4"/>
    </row>
    <row r="33" spans="1:10" x14ac:dyDescent="0.3">
      <c r="A33" s="10"/>
      <c r="B33" s="11" t="s">
        <v>136</v>
      </c>
      <c r="C33" s="11">
        <v>100</v>
      </c>
      <c r="D33" s="11"/>
      <c r="E33" s="11"/>
      <c r="F33" s="11"/>
      <c r="G33" s="11"/>
      <c r="H33" s="11"/>
      <c r="I33" s="11"/>
      <c r="J33" s="11"/>
    </row>
    <row r="34" spans="1:10" x14ac:dyDescent="0.3">
      <c r="A34" s="13"/>
      <c r="B34" s="4" t="s">
        <v>137</v>
      </c>
      <c r="C34" s="4">
        <v>90</v>
      </c>
      <c r="D34" s="4"/>
      <c r="E34" s="4"/>
      <c r="F34" s="4"/>
      <c r="G34" s="4"/>
      <c r="H34" s="4"/>
      <c r="I34" s="4"/>
      <c r="J34" s="4"/>
    </row>
    <row r="35" spans="1:10" x14ac:dyDescent="0.3">
      <c r="A35" s="10"/>
      <c r="B35" s="11" t="s">
        <v>138</v>
      </c>
      <c r="C35" s="11">
        <v>0</v>
      </c>
      <c r="D35" s="11"/>
      <c r="E35" s="11"/>
      <c r="F35" s="11"/>
      <c r="G35" s="11"/>
      <c r="H35" s="11"/>
      <c r="I35" s="11"/>
      <c r="J35" s="11"/>
    </row>
    <row r="36" spans="1:10" x14ac:dyDescent="0.3">
      <c r="A36" s="13"/>
      <c r="B36" s="4" t="s">
        <v>139</v>
      </c>
      <c r="C36" s="4">
        <v>0</v>
      </c>
      <c r="D36" s="4"/>
      <c r="E36" s="4"/>
      <c r="F36" s="4"/>
      <c r="G36" s="4"/>
      <c r="H36" s="4"/>
      <c r="I36" s="4"/>
      <c r="J36" s="4"/>
    </row>
    <row r="37" spans="1:10" x14ac:dyDescent="0.3">
      <c r="A37" s="10"/>
      <c r="B37" s="11" t="s">
        <v>140</v>
      </c>
      <c r="C37" s="11">
        <v>0</v>
      </c>
      <c r="D37" s="11"/>
      <c r="E37" s="11"/>
      <c r="F37" s="11"/>
      <c r="G37" s="11"/>
      <c r="H37" s="11"/>
      <c r="I37" s="11"/>
      <c r="J37" s="11" t="s">
        <v>319</v>
      </c>
    </row>
    <row r="38" spans="1:10" x14ac:dyDescent="0.3">
      <c r="A38" s="13"/>
      <c r="B38" s="4" t="s">
        <v>141</v>
      </c>
      <c r="C38" s="4">
        <v>4</v>
      </c>
      <c r="D38" s="4"/>
      <c r="E38" s="4"/>
      <c r="F38" s="4"/>
      <c r="G38" s="4"/>
      <c r="H38" s="4"/>
      <c r="I38" s="4"/>
      <c r="J38" s="4" t="s">
        <v>328</v>
      </c>
    </row>
    <row r="39" spans="1:10" x14ac:dyDescent="0.3">
      <c r="A39" s="10"/>
      <c r="B39" s="11" t="s">
        <v>142</v>
      </c>
      <c r="C39" s="11">
        <v>2.2000000000000002</v>
      </c>
      <c r="D39" s="11"/>
      <c r="E39" s="11"/>
      <c r="F39" s="11"/>
      <c r="G39" s="11"/>
      <c r="H39" s="11"/>
      <c r="I39" s="11"/>
      <c r="J39" s="11" t="s">
        <v>329</v>
      </c>
    </row>
    <row r="40" spans="1:10" x14ac:dyDescent="0.3">
      <c r="A40" s="13"/>
      <c r="B40" s="4" t="s">
        <v>143</v>
      </c>
      <c r="C40" s="4">
        <v>3.4</v>
      </c>
      <c r="D40" s="4"/>
      <c r="E40" s="4"/>
      <c r="F40" s="4"/>
      <c r="G40" s="4"/>
      <c r="H40" s="4"/>
      <c r="I40" s="4"/>
      <c r="J40" s="4" t="s">
        <v>330</v>
      </c>
    </row>
    <row r="41" spans="1:10" x14ac:dyDescent="0.3">
      <c r="A41" s="10"/>
      <c r="B41" s="11" t="s">
        <v>144</v>
      </c>
      <c r="C41" s="11">
        <v>15</v>
      </c>
      <c r="D41" s="11"/>
      <c r="E41" s="11"/>
      <c r="F41" s="11"/>
      <c r="G41" s="11"/>
      <c r="H41" s="11"/>
      <c r="I41" s="11"/>
      <c r="J41" s="11" t="s">
        <v>331</v>
      </c>
    </row>
    <row r="42" spans="1:10" x14ac:dyDescent="0.3">
      <c r="A42" s="13"/>
      <c r="B42" s="4" t="s">
        <v>145</v>
      </c>
      <c r="C42" s="19"/>
      <c r="D42" s="4"/>
      <c r="E42" s="4"/>
      <c r="F42" s="4"/>
      <c r="G42" s="4"/>
      <c r="H42" s="4"/>
      <c r="I42" s="4"/>
      <c r="J42" s="4" t="s">
        <v>332</v>
      </c>
    </row>
    <row r="43" spans="1:10" x14ac:dyDescent="0.3">
      <c r="A43" s="15" t="s">
        <v>333</v>
      </c>
      <c r="B43" s="14" t="s">
        <v>334</v>
      </c>
      <c r="C43" s="11"/>
      <c r="D43" s="11"/>
      <c r="E43" s="11"/>
      <c r="F43" s="11"/>
      <c r="G43" s="11"/>
      <c r="H43" s="11"/>
      <c r="I43" s="11"/>
      <c r="J43" s="11"/>
    </row>
    <row r="44" spans="1:10" x14ac:dyDescent="0.3">
      <c r="A44" s="13"/>
      <c r="B44" s="4" t="s">
        <v>146</v>
      </c>
      <c r="C44" s="4" t="s">
        <v>147</v>
      </c>
      <c r="D44" s="4"/>
      <c r="E44" s="4"/>
      <c r="F44" s="4"/>
      <c r="G44" s="4"/>
      <c r="H44" s="4"/>
      <c r="I44" s="4"/>
      <c r="J44" s="4"/>
    </row>
    <row r="45" spans="1:10" x14ac:dyDescent="0.3">
      <c r="A45" s="10"/>
      <c r="B45" s="11" t="s">
        <v>148</v>
      </c>
      <c r="C45" s="11" t="s">
        <v>149</v>
      </c>
      <c r="D45" s="11"/>
      <c r="E45" s="11"/>
      <c r="F45" s="11"/>
      <c r="G45" s="11"/>
      <c r="H45" s="11"/>
      <c r="I45" s="11"/>
      <c r="J45" s="11"/>
    </row>
    <row r="46" spans="1:10" x14ac:dyDescent="0.3">
      <c r="A46" s="15" t="s">
        <v>279</v>
      </c>
      <c r="B46" s="14" t="s">
        <v>106</v>
      </c>
      <c r="C46" s="4"/>
      <c r="D46" s="4"/>
      <c r="E46" s="4"/>
      <c r="F46" s="4"/>
      <c r="G46" s="4"/>
      <c r="H46" s="4"/>
      <c r="I46" s="4"/>
      <c r="J46" s="4"/>
    </row>
    <row r="47" spans="1:10" x14ac:dyDescent="0.3">
      <c r="A47" s="10"/>
      <c r="B47" s="11" t="s">
        <v>150</v>
      </c>
      <c r="C47" s="11"/>
      <c r="D47" s="11"/>
      <c r="E47" s="11"/>
      <c r="F47" s="11"/>
      <c r="G47" s="11"/>
      <c r="H47" s="11"/>
      <c r="I47" s="11"/>
      <c r="J47" s="11"/>
    </row>
    <row r="48" spans="1:10" x14ac:dyDescent="0.3">
      <c r="A48" s="15" t="s">
        <v>280</v>
      </c>
      <c r="B48" s="14" t="s">
        <v>108</v>
      </c>
      <c r="C48" s="4"/>
      <c r="D48" s="4"/>
      <c r="E48" s="4"/>
      <c r="F48" s="4"/>
      <c r="G48" s="4"/>
      <c r="H48" s="4"/>
      <c r="I48" s="4"/>
      <c r="J48" s="4"/>
    </row>
    <row r="49" spans="1:10" x14ac:dyDescent="0.3">
      <c r="A49" s="10"/>
      <c r="B49" s="11" t="s">
        <v>380</v>
      </c>
      <c r="C49" s="11"/>
      <c r="D49" s="11"/>
      <c r="E49" s="11"/>
      <c r="F49" s="11"/>
      <c r="G49" s="11"/>
      <c r="H49" s="11"/>
      <c r="I49" s="11"/>
      <c r="J49" s="11"/>
    </row>
    <row r="50" spans="1:10" x14ac:dyDescent="0.3">
      <c r="A50" s="13"/>
      <c r="B50" s="4" t="s">
        <v>151</v>
      </c>
      <c r="C50" s="4" t="str">
        <f>Printer_Name</f>
        <v>Ender3 Speed 0.5 nozzle</v>
      </c>
      <c r="D50" s="4"/>
      <c r="E50" s="4"/>
      <c r="F50" s="4"/>
      <c r="G50" s="4"/>
      <c r="H50" s="4"/>
      <c r="I50" s="4"/>
      <c r="J50" s="4"/>
    </row>
    <row r="51" spans="1:10" x14ac:dyDescent="0.3">
      <c r="A51" s="15" t="s">
        <v>381</v>
      </c>
      <c r="B51" s="14" t="s">
        <v>382</v>
      </c>
      <c r="C51" s="11"/>
      <c r="D51" s="11"/>
      <c r="E51" s="11"/>
      <c r="F51" s="11"/>
      <c r="G51" s="11"/>
      <c r="H51" s="11"/>
      <c r="I51" s="11"/>
      <c r="J51" s="11"/>
    </row>
    <row r="52" spans="1:10" x14ac:dyDescent="0.3">
      <c r="A52" s="13"/>
      <c r="B52" s="4" t="s">
        <v>375</v>
      </c>
      <c r="C52" s="4">
        <v>0</v>
      </c>
      <c r="D52" s="4"/>
      <c r="E52" s="4">
        <v>0.9</v>
      </c>
      <c r="F52" s="4"/>
      <c r="G52" s="4"/>
      <c r="H52" s="4"/>
      <c r="I52" s="4"/>
      <c r="J52" s="4"/>
    </row>
    <row r="53" spans="1:10" x14ac:dyDescent="0.3">
      <c r="A53" s="10"/>
      <c r="B53" s="11" t="s">
        <v>160</v>
      </c>
      <c r="C53" s="11">
        <v>0</v>
      </c>
      <c r="D53" s="11"/>
      <c r="E53" s="11">
        <v>0.8</v>
      </c>
      <c r="F53" s="11"/>
      <c r="G53" s="11"/>
      <c r="H53" s="11"/>
      <c r="I53" s="11"/>
      <c r="J53" s="11"/>
    </row>
    <row r="54" spans="1:10" x14ac:dyDescent="0.3">
      <c r="A54" s="13"/>
      <c r="B54" s="4" t="s">
        <v>200</v>
      </c>
      <c r="C54" s="4">
        <v>4</v>
      </c>
      <c r="D54" s="4"/>
      <c r="E54" s="4"/>
      <c r="F54" s="4"/>
      <c r="G54" s="4"/>
      <c r="H54" s="4"/>
      <c r="I54" s="4"/>
      <c r="J54" s="4"/>
    </row>
    <row r="55" spans="1:10" x14ac:dyDescent="0.3">
      <c r="A55" s="10"/>
      <c r="B55" s="11" t="s">
        <v>201</v>
      </c>
      <c r="C55" s="11">
        <v>0.2</v>
      </c>
      <c r="D55" s="11"/>
      <c r="E55" s="11"/>
      <c r="F55" s="11"/>
      <c r="G55" s="11"/>
      <c r="H55" s="11"/>
      <c r="I55" s="11"/>
      <c r="J55" s="11"/>
    </row>
    <row r="56" spans="1:10" x14ac:dyDescent="0.3">
      <c r="A56" s="13"/>
      <c r="B56" s="4" t="s">
        <v>204</v>
      </c>
      <c r="C56" s="4">
        <v>25</v>
      </c>
      <c r="D56" s="4"/>
      <c r="E56" s="4"/>
      <c r="F56" s="4"/>
      <c r="G56" s="4"/>
      <c r="H56" s="4"/>
      <c r="I56" s="4"/>
      <c r="J56" s="4"/>
    </row>
    <row r="57" spans="1:10" x14ac:dyDescent="0.3">
      <c r="A57" s="10"/>
      <c r="B57" s="11" t="s">
        <v>205</v>
      </c>
      <c r="C57" s="11">
        <v>25</v>
      </c>
      <c r="D57" s="11"/>
      <c r="E57" s="11">
        <v>20</v>
      </c>
      <c r="F57" s="11"/>
      <c r="G57" s="11"/>
      <c r="H57" s="11"/>
      <c r="I57" s="11"/>
      <c r="J57" s="11"/>
    </row>
    <row r="58" spans="1:10" x14ac:dyDescent="0.3">
      <c r="A58" s="13"/>
      <c r="B58" s="4" t="s">
        <v>206</v>
      </c>
      <c r="C58" s="4">
        <v>0</v>
      </c>
      <c r="D58" s="4"/>
      <c r="E58" s="4"/>
      <c r="F58" s="4"/>
      <c r="G58" s="4"/>
      <c r="H58" s="4"/>
      <c r="I58" s="4"/>
      <c r="J58" s="4"/>
    </row>
    <row r="59" spans="1:10" x14ac:dyDescent="0.3">
      <c r="A59" s="10"/>
      <c r="B59" s="11" t="s">
        <v>207</v>
      </c>
      <c r="C59" s="11">
        <v>1</v>
      </c>
      <c r="D59" s="11"/>
      <c r="E59" s="11"/>
      <c r="F59" s="11"/>
      <c r="G59" s="11"/>
      <c r="H59" s="11"/>
      <c r="I59" s="11"/>
      <c r="J59" s="11"/>
    </row>
    <row r="60" spans="1:10" x14ac:dyDescent="0.3">
      <c r="A60" s="13"/>
      <c r="B60" s="4" t="s">
        <v>208</v>
      </c>
      <c r="C60" s="4">
        <v>1</v>
      </c>
      <c r="D60" s="4"/>
      <c r="E60" s="4"/>
      <c r="F60" s="4"/>
      <c r="G60" s="4"/>
      <c r="H60" s="4"/>
      <c r="I60" s="4"/>
      <c r="J60" s="4"/>
    </row>
    <row r="61" spans="1:10" x14ac:dyDescent="0.3">
      <c r="A61" s="10"/>
      <c r="B61" s="11" t="s">
        <v>209</v>
      </c>
      <c r="C61" s="11">
        <v>1</v>
      </c>
      <c r="D61" s="11"/>
      <c r="E61" s="11"/>
      <c r="F61" s="11"/>
      <c r="G61" s="11"/>
      <c r="H61" s="11"/>
      <c r="I61" s="11"/>
      <c r="J61" s="11"/>
    </row>
    <row r="62" spans="1:10" x14ac:dyDescent="0.3">
      <c r="A62" s="13"/>
      <c r="B62" s="4" t="s">
        <v>406</v>
      </c>
      <c r="C62" s="4">
        <v>0</v>
      </c>
      <c r="D62" s="4"/>
      <c r="E62" s="4"/>
      <c r="F62" s="4"/>
      <c r="G62" s="4"/>
      <c r="H62" s="4"/>
      <c r="I62" s="4"/>
      <c r="J62" s="4"/>
    </row>
    <row r="63" spans="1:10" x14ac:dyDescent="0.3">
      <c r="A63" s="10"/>
      <c r="B63" s="11" t="s">
        <v>407</v>
      </c>
      <c r="C63" s="11">
        <v>0</v>
      </c>
      <c r="D63" s="11"/>
      <c r="E63" s="11"/>
      <c r="F63" s="11"/>
      <c r="G63" s="11"/>
      <c r="H63" s="11"/>
      <c r="I63" s="11"/>
      <c r="J63" s="11"/>
    </row>
    <row r="64" spans="1:10" x14ac:dyDescent="0.3">
      <c r="A64" s="13"/>
      <c r="B64" s="4" t="s">
        <v>210</v>
      </c>
      <c r="C64" s="57">
        <v>80</v>
      </c>
      <c r="D64" s="4"/>
      <c r="E64" s="4"/>
      <c r="F64" s="4"/>
      <c r="G64" s="4"/>
      <c r="H64" s="4"/>
      <c r="I64" s="4"/>
      <c r="J64" s="4"/>
    </row>
    <row r="65" spans="1:10" x14ac:dyDescent="0.3">
      <c r="A65" s="10"/>
      <c r="B65" s="11"/>
      <c r="C65" s="11"/>
      <c r="D65" s="11"/>
      <c r="E65" s="11"/>
      <c r="F65" s="11"/>
      <c r="G65" s="11"/>
      <c r="H65" s="11"/>
      <c r="I65" s="11"/>
      <c r="J65" s="11"/>
    </row>
    <row r="66" spans="1:10" x14ac:dyDescent="0.3">
      <c r="A66" s="13"/>
      <c r="B66" s="4"/>
      <c r="C66" s="4"/>
      <c r="D66" s="4"/>
      <c r="E66" s="4"/>
      <c r="F66" s="4"/>
      <c r="G66" s="4"/>
      <c r="H66" s="4"/>
      <c r="I66" s="4"/>
      <c r="J66" s="4"/>
    </row>
    <row r="67" spans="1:10" x14ac:dyDescent="0.3">
      <c r="A67" s="10"/>
      <c r="B67" s="11"/>
      <c r="C67" s="11"/>
      <c r="D67" s="11"/>
      <c r="E67" s="11"/>
      <c r="F67" s="11"/>
      <c r="G67" s="11"/>
      <c r="H67" s="11"/>
      <c r="I67" s="11"/>
      <c r="J67" s="11"/>
    </row>
    <row r="68" spans="1:10" x14ac:dyDescent="0.3">
      <c r="A68" s="13"/>
      <c r="B68" s="4"/>
      <c r="C68" s="4"/>
      <c r="D68" s="4"/>
      <c r="E68" s="4"/>
      <c r="F68" s="4"/>
      <c r="G68" s="4"/>
      <c r="H68" s="4"/>
      <c r="I68" s="4"/>
      <c r="J68" s="4"/>
    </row>
    <row r="69" spans="1:10" x14ac:dyDescent="0.3">
      <c r="A69" s="10"/>
      <c r="B69" s="11"/>
      <c r="C69" s="11"/>
      <c r="D69" s="11"/>
      <c r="E69" s="11"/>
      <c r="F69" s="11"/>
      <c r="G69" s="11"/>
      <c r="H69" s="11"/>
      <c r="I69" s="11"/>
      <c r="J69" s="11"/>
    </row>
    <row r="70" spans="1:10" x14ac:dyDescent="0.3">
      <c r="A70" s="13"/>
      <c r="B70" s="4"/>
      <c r="C70" s="4"/>
      <c r="D70" s="4"/>
      <c r="E70" s="4"/>
      <c r="F70" s="4"/>
      <c r="G70" s="4"/>
      <c r="H70" s="4"/>
      <c r="I70" s="4"/>
      <c r="J70" s="4"/>
    </row>
    <row r="71" spans="1:10" x14ac:dyDescent="0.3">
      <c r="A71" s="10"/>
      <c r="B71" s="11"/>
      <c r="C71" s="11"/>
      <c r="D71" s="11"/>
      <c r="E71" s="11"/>
      <c r="F71" s="11"/>
      <c r="G71" s="11"/>
      <c r="H71" s="11"/>
      <c r="I71" s="11"/>
      <c r="J71" s="11"/>
    </row>
    <row r="72" spans="1:10" x14ac:dyDescent="0.3">
      <c r="A72" s="13"/>
      <c r="B72" s="4"/>
      <c r="C72" s="4"/>
      <c r="D72" s="4"/>
      <c r="E72" s="4"/>
      <c r="F72" s="4"/>
      <c r="G72" s="4"/>
      <c r="H72" s="4"/>
      <c r="I72" s="4"/>
      <c r="J72" s="4"/>
    </row>
    <row r="73" spans="1:10" x14ac:dyDescent="0.3">
      <c r="A73" s="10"/>
      <c r="B73" s="11"/>
      <c r="C73" s="11"/>
      <c r="D73" s="11"/>
      <c r="E73" s="11"/>
      <c r="F73" s="11"/>
      <c r="G73" s="11"/>
      <c r="H73" s="11"/>
      <c r="I73" s="11"/>
      <c r="J73" s="11"/>
    </row>
    <row r="74" spans="1:10" x14ac:dyDescent="0.3">
      <c r="A74" s="13"/>
      <c r="B74" s="4"/>
      <c r="C74" s="4"/>
      <c r="D74" s="4"/>
      <c r="E74" s="4"/>
      <c r="F74" s="4"/>
      <c r="G74" s="4"/>
      <c r="H74" s="4"/>
      <c r="I74" s="4"/>
      <c r="J74" s="4"/>
    </row>
    <row r="75" spans="1:10" x14ac:dyDescent="0.3">
      <c r="A75" s="10"/>
      <c r="B75" s="11"/>
      <c r="C75" s="11"/>
      <c r="D75" s="11"/>
      <c r="E75" s="11"/>
      <c r="F75" s="11"/>
      <c r="G75" s="11"/>
      <c r="H75" s="11"/>
      <c r="I75" s="11"/>
      <c r="J75" s="11"/>
    </row>
    <row r="76" spans="1:10" x14ac:dyDescent="0.3">
      <c r="A76" s="13"/>
      <c r="B76" s="4"/>
      <c r="C76" s="4"/>
      <c r="D76" s="4"/>
      <c r="E76" s="4"/>
      <c r="F76" s="4"/>
      <c r="G76" s="4"/>
      <c r="H76" s="4"/>
      <c r="I76" s="4"/>
      <c r="J76" s="4"/>
    </row>
    <row r="77" spans="1:10" x14ac:dyDescent="0.3">
      <c r="A77" s="10"/>
      <c r="B77" s="11"/>
      <c r="C77" s="11"/>
      <c r="D77" s="11"/>
      <c r="E77" s="11"/>
      <c r="F77" s="11"/>
      <c r="G77" s="11"/>
      <c r="H77" s="11"/>
      <c r="I77" s="11"/>
      <c r="J77" s="11"/>
    </row>
    <row r="78" spans="1:10" x14ac:dyDescent="0.3">
      <c r="A78" s="13"/>
      <c r="B78" s="4"/>
      <c r="C78" s="4"/>
      <c r="D78" s="4"/>
      <c r="E78" s="4"/>
      <c r="F78" s="4"/>
      <c r="G78" s="4"/>
      <c r="H78" s="4"/>
      <c r="I78" s="4"/>
      <c r="J78"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2"/>
  <sheetViews>
    <sheetView workbookViewId="0">
      <pane ySplit="1" topLeftCell="A2" activePane="bottomLeft" state="frozen"/>
      <selection pane="bottomLeft" activeCell="G54" sqref="G54"/>
    </sheetView>
  </sheetViews>
  <sheetFormatPr defaultRowHeight="14.4" x14ac:dyDescent="0.3"/>
  <cols>
    <col min="1" max="1" width="13.6640625" bestFit="1" customWidth="1"/>
    <col min="2" max="2" width="32.88671875" bestFit="1" customWidth="1"/>
    <col min="3" max="3" width="61.33203125" style="1" customWidth="1"/>
    <col min="4" max="4" width="82.33203125" customWidth="1"/>
  </cols>
  <sheetData>
    <row r="1" spans="1:4" ht="15" thickBot="1" x14ac:dyDescent="0.35">
      <c r="A1" s="5" t="s">
        <v>251</v>
      </c>
      <c r="B1" s="6" t="s">
        <v>220</v>
      </c>
      <c r="C1" s="20" t="s">
        <v>358</v>
      </c>
      <c r="D1" s="20" t="s">
        <v>235</v>
      </c>
    </row>
    <row r="2" spans="1:4" ht="15" thickTop="1" x14ac:dyDescent="0.3">
      <c r="A2" s="7" t="s">
        <v>335</v>
      </c>
      <c r="B2" s="8" t="s">
        <v>336</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Matchfill(INDEX(filament!$A$1:$J$96,MATCH(B5,filament!$B$1:$B$96,0),MATCH(FILAMENT_NAME,filament!$A$1:$J$1,0)),filament!$C$1)</f>
        <v>0.8</v>
      </c>
      <c r="D5" s="11"/>
    </row>
    <row r="6" spans="1:4" x14ac:dyDescent="0.3">
      <c r="A6" s="13"/>
      <c r="B6" s="14" t="s">
        <v>337</v>
      </c>
      <c r="C6" s="18"/>
      <c r="D6" s="4"/>
    </row>
    <row r="7" spans="1:4" x14ac:dyDescent="0.3">
      <c r="A7" s="10"/>
      <c r="B7" s="11" t="s">
        <v>270</v>
      </c>
      <c r="C7" s="12">
        <v>1</v>
      </c>
      <c r="D7" s="11"/>
    </row>
    <row r="8" spans="1:4" x14ac:dyDescent="0.3">
      <c r="A8" s="13"/>
      <c r="B8" s="4" t="s">
        <v>373</v>
      </c>
      <c r="C8" s="18">
        <v>1</v>
      </c>
      <c r="D8" s="4"/>
    </row>
    <row r="9" spans="1:4" x14ac:dyDescent="0.3">
      <c r="A9" s="10"/>
      <c r="B9" s="11" t="s">
        <v>162</v>
      </c>
      <c r="C9" s="12">
        <v>0</v>
      </c>
      <c r="D9" s="11"/>
    </row>
    <row r="10" spans="1:4" x14ac:dyDescent="0.3">
      <c r="A10" s="13"/>
      <c r="B10" s="14" t="s">
        <v>338</v>
      </c>
      <c r="C10" s="18"/>
      <c r="D10" s="4"/>
    </row>
    <row r="11" spans="1:4" x14ac:dyDescent="0.3">
      <c r="A11" s="10"/>
      <c r="B11" s="11" t="s">
        <v>163</v>
      </c>
      <c r="C11" s="12" t="s">
        <v>164</v>
      </c>
      <c r="D11" s="11"/>
    </row>
    <row r="12" spans="1:4" x14ac:dyDescent="0.3">
      <c r="A12" s="13"/>
      <c r="B12" s="4" t="s">
        <v>353</v>
      </c>
      <c r="C12" s="18" t="s">
        <v>165</v>
      </c>
      <c r="D12" s="4"/>
    </row>
    <row r="13" spans="1:4" x14ac:dyDescent="0.3">
      <c r="A13" s="10"/>
      <c r="B13" s="11" t="s">
        <v>352</v>
      </c>
      <c r="C13" s="22" t="s">
        <v>166</v>
      </c>
      <c r="D13" s="11"/>
    </row>
    <row r="14" spans="1:4" x14ac:dyDescent="0.3">
      <c r="A14" s="13"/>
      <c r="B14" s="4" t="s">
        <v>374</v>
      </c>
      <c r="C14" s="23" t="str">
        <f>C13</f>
        <v>9E097510A4414A4EA0C8B10F8B4824A8</v>
      </c>
      <c r="D14" s="4"/>
    </row>
    <row r="15" spans="1:4" x14ac:dyDescent="0.3">
      <c r="A15" s="10"/>
      <c r="B15" s="14" t="s">
        <v>339</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250</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3"/>
      <c r="B24" s="4" t="s">
        <v>375</v>
      </c>
      <c r="C24" s="18" t="str">
        <f>Matchfill(INDEX(filament!$A$1:$J$96,MATCH(B24,filament!$B$1:$B$96,0),MATCH(FILAMENT_NAME,filament!$A$1:$J$1,0)),filament!$C$1)</f>
        <v>0.9</v>
      </c>
      <c r="D24" s="4"/>
    </row>
    <row r="25" spans="1:4" x14ac:dyDescent="0.3">
      <c r="A25" s="10"/>
      <c r="B25" s="11" t="s">
        <v>376</v>
      </c>
      <c r="C25" s="12">
        <v>0</v>
      </c>
      <c r="D25" s="11"/>
    </row>
    <row r="26" spans="1:4" x14ac:dyDescent="0.3">
      <c r="A26" s="13"/>
      <c r="B26" s="4" t="s">
        <v>377</v>
      </c>
      <c r="C26" s="18">
        <v>0</v>
      </c>
      <c r="D26" s="4"/>
    </row>
    <row r="27" spans="1:4" x14ac:dyDescent="0.3">
      <c r="A27" s="10"/>
      <c r="B27" s="11" t="s">
        <v>379</v>
      </c>
      <c r="C27" s="12">
        <v>0</v>
      </c>
      <c r="D27" s="11"/>
    </row>
    <row r="28" spans="1:4" x14ac:dyDescent="0.3">
      <c r="A28" s="13"/>
      <c r="B28" s="4" t="s">
        <v>378</v>
      </c>
      <c r="C28" s="18">
        <v>0</v>
      </c>
      <c r="D28" s="4"/>
    </row>
    <row r="29" spans="1:4" x14ac:dyDescent="0.3">
      <c r="A29" s="15" t="s">
        <v>340</v>
      </c>
      <c r="B29" s="14" t="s">
        <v>342</v>
      </c>
      <c r="C29" s="12"/>
      <c r="D29" s="11"/>
    </row>
    <row r="30" spans="1:4" x14ac:dyDescent="0.3">
      <c r="A30" s="13"/>
      <c r="B30" s="4" t="s">
        <v>180</v>
      </c>
      <c r="C30" s="18">
        <v>150</v>
      </c>
      <c r="D30" s="4"/>
    </row>
    <row r="31" spans="1:4" x14ac:dyDescent="0.3">
      <c r="A31" s="10"/>
      <c r="B31" s="11" t="s">
        <v>181</v>
      </c>
      <c r="C31" s="12">
        <v>150</v>
      </c>
      <c r="D31" s="11"/>
    </row>
    <row r="32" spans="1:4" x14ac:dyDescent="0.3">
      <c r="A32" s="13"/>
      <c r="B32" s="4" t="s">
        <v>182</v>
      </c>
      <c r="C32" s="18">
        <v>5</v>
      </c>
      <c r="D32" s="4"/>
    </row>
    <row r="33" spans="1:4" x14ac:dyDescent="0.3">
      <c r="A33" s="10"/>
      <c r="B33" s="11" t="s">
        <v>183</v>
      </c>
      <c r="C33" s="12">
        <v>100</v>
      </c>
      <c r="D33" s="11"/>
    </row>
    <row r="34" spans="1:4" x14ac:dyDescent="0.3">
      <c r="A34" s="13"/>
      <c r="B34" s="14" t="s">
        <v>343</v>
      </c>
      <c r="C34" s="18"/>
      <c r="D34" s="4"/>
    </row>
    <row r="35" spans="1:4" x14ac:dyDescent="0.3">
      <c r="A35" s="10"/>
      <c r="B35" s="11" t="s">
        <v>184</v>
      </c>
      <c r="C35" s="12">
        <f>MAX_ACCELERATION</f>
        <v>500</v>
      </c>
      <c r="D35" s="11"/>
    </row>
    <row r="36" spans="1:4" x14ac:dyDescent="0.3">
      <c r="A36" s="13"/>
      <c r="B36" s="4" t="s">
        <v>185</v>
      </c>
      <c r="C36" s="12">
        <f>MAX_ACCELERATION</f>
        <v>500</v>
      </c>
      <c r="D36" s="4"/>
    </row>
    <row r="37" spans="1:4" x14ac:dyDescent="0.3">
      <c r="A37" s="10"/>
      <c r="B37" s="11" t="s">
        <v>186</v>
      </c>
      <c r="C37" s="12">
        <v>100</v>
      </c>
      <c r="D37" s="11"/>
    </row>
    <row r="38" spans="1:4" x14ac:dyDescent="0.3">
      <c r="A38" s="13"/>
      <c r="B38" s="4" t="s">
        <v>187</v>
      </c>
      <c r="C38" s="18">
        <f>MAX_ACCELERATION</f>
        <v>500</v>
      </c>
      <c r="D38" s="4"/>
    </row>
    <row r="39" spans="1:4" x14ac:dyDescent="0.3">
      <c r="A39" s="10"/>
      <c r="B39" s="11" t="s">
        <v>188</v>
      </c>
      <c r="C39" s="18">
        <f>MAX_ACCELERATION</f>
        <v>500</v>
      </c>
      <c r="D39" s="11"/>
    </row>
    <row r="40" spans="1:4" x14ac:dyDescent="0.3">
      <c r="A40" s="13"/>
      <c r="B40" s="4" t="s">
        <v>189</v>
      </c>
      <c r="C40" s="18">
        <f>MAX_ACCELERATION</f>
        <v>500</v>
      </c>
      <c r="D40" s="4"/>
    </row>
    <row r="41" spans="1:4" x14ac:dyDescent="0.3">
      <c r="A41" s="10"/>
      <c r="B41" s="14" t="s">
        <v>344</v>
      </c>
      <c r="C41" s="12"/>
      <c r="D41" s="11"/>
    </row>
    <row r="42" spans="1:4" x14ac:dyDescent="0.3">
      <c r="A42" s="13"/>
      <c r="B42" s="4" t="s">
        <v>190</v>
      </c>
      <c r="C42" s="18">
        <v>10</v>
      </c>
      <c r="D42" s="4"/>
    </row>
    <row r="43" spans="1:4" x14ac:dyDescent="0.3">
      <c r="A43" s="10"/>
      <c r="B43" s="11" t="s">
        <v>191</v>
      </c>
      <c r="C43" s="12">
        <v>10</v>
      </c>
      <c r="D43" s="11"/>
    </row>
    <row r="44" spans="1:4" x14ac:dyDescent="0.3">
      <c r="A44" s="13"/>
      <c r="B44" s="4" t="s">
        <v>192</v>
      </c>
      <c r="C44" s="18">
        <v>0.2</v>
      </c>
      <c r="D44" s="4"/>
    </row>
    <row r="45" spans="1:4" x14ac:dyDescent="0.3">
      <c r="A45" s="10"/>
      <c r="B45" s="11" t="s">
        <v>193</v>
      </c>
      <c r="C45" s="12">
        <v>2.5</v>
      </c>
      <c r="D45" s="11"/>
    </row>
    <row r="46" spans="1:4" x14ac:dyDescent="0.3">
      <c r="A46" s="13"/>
      <c r="B46" s="14" t="s">
        <v>345</v>
      </c>
      <c r="C46" s="18"/>
      <c r="D46" s="4"/>
    </row>
    <row r="47" spans="1:4" x14ac:dyDescent="0.3">
      <c r="A47" s="10"/>
      <c r="B47" s="11" t="s">
        <v>194</v>
      </c>
      <c r="C47" s="12">
        <v>0</v>
      </c>
      <c r="D47" s="11"/>
    </row>
    <row r="48" spans="1:4" x14ac:dyDescent="0.3">
      <c r="A48" s="13"/>
      <c r="B48" s="4" t="s">
        <v>195</v>
      </c>
      <c r="C48" s="18">
        <v>0</v>
      </c>
      <c r="D48" s="4"/>
    </row>
    <row r="49" spans="1:4" x14ac:dyDescent="0.3">
      <c r="A49" s="15" t="s">
        <v>341</v>
      </c>
      <c r="B49" s="14" t="s">
        <v>346</v>
      </c>
      <c r="C49" s="12"/>
      <c r="D49" s="11"/>
    </row>
    <row r="50" spans="1:4" x14ac:dyDescent="0.3">
      <c r="A50" s="13"/>
      <c r="B50" s="4" t="s">
        <v>161</v>
      </c>
      <c r="C50" s="18">
        <f>Nozzle_Diameter</f>
        <v>0.5</v>
      </c>
      <c r="D50" s="4"/>
    </row>
    <row r="51" spans="1:4" x14ac:dyDescent="0.3">
      <c r="A51" s="10"/>
      <c r="B51" s="14" t="s">
        <v>347</v>
      </c>
      <c r="C51" s="12"/>
      <c r="D51" s="11"/>
    </row>
    <row r="52" spans="1:4" x14ac:dyDescent="0.3">
      <c r="A52" s="13"/>
      <c r="B52" s="4" t="s">
        <v>196</v>
      </c>
      <c r="C52" s="18">
        <f>Min_Layer_Height</f>
        <v>0.1</v>
      </c>
      <c r="D52" s="4"/>
    </row>
    <row r="53" spans="1:4" x14ac:dyDescent="0.3">
      <c r="A53" s="10"/>
      <c r="B53" s="11" t="s">
        <v>197</v>
      </c>
      <c r="C53" s="12">
        <f>Max_Layer_Height</f>
        <v>0.4</v>
      </c>
      <c r="D53" s="11"/>
    </row>
    <row r="54" spans="1:4" x14ac:dyDescent="0.3">
      <c r="A54" s="13"/>
      <c r="B54" s="14" t="s">
        <v>348</v>
      </c>
      <c r="C54" s="18"/>
      <c r="D54" s="4"/>
    </row>
    <row r="55" spans="1:4" x14ac:dyDescent="0.3">
      <c r="A55" s="10"/>
      <c r="B55" s="11" t="s">
        <v>198</v>
      </c>
      <c r="C55" s="12" t="s">
        <v>199</v>
      </c>
      <c r="D55" s="11"/>
    </row>
    <row r="56" spans="1:4" x14ac:dyDescent="0.3">
      <c r="A56" s="13"/>
      <c r="B56" s="14" t="s">
        <v>349</v>
      </c>
      <c r="C56" s="18"/>
      <c r="D56" s="4"/>
    </row>
    <row r="57" spans="1:4" x14ac:dyDescent="0.3">
      <c r="A57" s="10"/>
      <c r="B57" s="11" t="s">
        <v>200</v>
      </c>
      <c r="C57" s="12" t="str">
        <f>Matchfill(INDEX(filament!$A$1:$J$96,MATCH(B57,filament!$B$1:$B$96,0),MATCH(FILAMENT_NAME,filament!$A$1:$J$1,0)),filament!$C$1)</f>
        <v>4</v>
      </c>
      <c r="D57" s="11"/>
    </row>
    <row r="58" spans="1:4" x14ac:dyDescent="0.3">
      <c r="A58" s="13"/>
      <c r="B58" s="4" t="s">
        <v>201</v>
      </c>
      <c r="C58" s="12" t="str">
        <f>Matchfill(INDEX(filament!$A$1:$J$96,MATCH(B58,filament!$B$1:$B$96,0),MATCH(FILAMENT_NAME,filament!$A$1:$J$1,0)),filament!$C$1)</f>
        <v>0.2</v>
      </c>
      <c r="D58" s="4"/>
    </row>
    <row r="59" spans="1:4" x14ac:dyDescent="0.3">
      <c r="A59" s="10"/>
      <c r="B59" s="11" t="s">
        <v>202</v>
      </c>
      <c r="C59" s="12">
        <v>0</v>
      </c>
      <c r="D59" s="11"/>
    </row>
    <row r="60" spans="1:4" x14ac:dyDescent="0.3">
      <c r="A60" s="13"/>
      <c r="B60" s="4" t="s">
        <v>203</v>
      </c>
      <c r="C60" s="12">
        <v>250</v>
      </c>
      <c r="D60" s="4"/>
    </row>
    <row r="61" spans="1:4" x14ac:dyDescent="0.3">
      <c r="A61" s="10"/>
      <c r="B61" s="11" t="s">
        <v>204</v>
      </c>
      <c r="C61" s="12" t="str">
        <f>Matchfill(INDEX(filament!$A$1:$J$96,MATCH(B61,filament!$B$1:$B$96,0),MATCH(FILAMENT_NAME,filament!$A$1:$J$1,0)),filament!$C$1)</f>
        <v>25</v>
      </c>
      <c r="D61" s="11"/>
    </row>
    <row r="62" spans="1:4" x14ac:dyDescent="0.3">
      <c r="A62" s="13"/>
      <c r="B62" s="4" t="s">
        <v>205</v>
      </c>
      <c r="C62" s="12" t="str">
        <f>Matchfill(INDEX(filament!$A$1:$J$96,MATCH(B62,filament!$B$1:$B$96,0),MATCH(FILAMENT_NAME,filament!$A$1:$J$1,0)),filament!$C$1)</f>
        <v>20</v>
      </c>
      <c r="D62" s="4"/>
    </row>
    <row r="63" spans="1:4" x14ac:dyDescent="0.3">
      <c r="A63" s="10"/>
      <c r="B63" s="11" t="s">
        <v>206</v>
      </c>
      <c r="C63" s="12" t="str">
        <f>Matchfill(INDEX(filament!$A$1:$J$96,MATCH(B63,filament!$B$1:$B$96,0),MATCH(FILAMENT_NAME,filament!$A$1:$J$1,0)),filament!$C$1)</f>
        <v>0</v>
      </c>
      <c r="D63" s="11"/>
    </row>
    <row r="64" spans="1:4" x14ac:dyDescent="0.3">
      <c r="A64" s="13"/>
      <c r="B64" s="4" t="s">
        <v>207</v>
      </c>
      <c r="C64" s="12" t="str">
        <f>Matchfill(INDEX(filament!$A$1:$J$96,MATCH(B64,filament!$B$1:$B$96,0),MATCH(FILAMENT_NAME,filament!$A$1:$J$1,0)),filament!$C$1)</f>
        <v>1</v>
      </c>
      <c r="D64" s="4"/>
    </row>
    <row r="65" spans="1:4" x14ac:dyDescent="0.3">
      <c r="A65" s="10"/>
      <c r="B65" s="11" t="s">
        <v>208</v>
      </c>
      <c r="C65" s="12" t="str">
        <f>Matchfill(INDEX(filament!$A$1:$J$96,MATCH(B65,filament!$B$1:$B$96,0),MATCH(FILAMENT_NAME,filament!$A$1:$J$1,0)),filament!$C$1)</f>
        <v>1</v>
      </c>
      <c r="D65" s="11"/>
    </row>
    <row r="66" spans="1:4" x14ac:dyDescent="0.3">
      <c r="A66" s="13"/>
      <c r="B66" s="4" t="s">
        <v>209</v>
      </c>
      <c r="C66" s="12" t="str">
        <f>Matchfill(INDEX(filament!$A$1:$J$96,MATCH(B66,filament!$B$1:$B$96,0),MATCH(FILAMENT_NAME,filament!$A$1:$J$1,0)),filament!$C$1)</f>
        <v>1</v>
      </c>
      <c r="D66" s="4"/>
    </row>
    <row r="67" spans="1:4" x14ac:dyDescent="0.3">
      <c r="A67" s="10"/>
      <c r="B67" s="11" t="s">
        <v>406</v>
      </c>
      <c r="C67" s="12" t="str">
        <f>Matchfill(INDEX(filament!$A$1:$J$96,MATCH(B67,filament!$B$1:$B$96,0),MATCH(FILAMENT_NAME,filament!$A$1:$J$1,0)),filament!$C$1)</f>
        <v>0</v>
      </c>
      <c r="D67" s="11"/>
    </row>
    <row r="68" spans="1:4" x14ac:dyDescent="0.3">
      <c r="A68" s="13"/>
      <c r="B68" s="4" t="s">
        <v>407</v>
      </c>
      <c r="C68" s="12" t="str">
        <f>Matchfill(INDEX(filament!$A$1:$J$96,MATCH(B68,filament!$B$1:$B$96,0),MATCH(FILAMENT_NAME,filament!$A$1:$J$1,0)),filament!$C$1)</f>
        <v>0</v>
      </c>
      <c r="D68" s="4"/>
    </row>
    <row r="69" spans="1:4" x14ac:dyDescent="0.3">
      <c r="A69" s="10"/>
      <c r="B69" s="11" t="s">
        <v>210</v>
      </c>
      <c r="C69" s="58" t="str">
        <f>Matchfill(INDEX(filament!$A$1:$J$96,MATCH(B69,filament!$B$1:$B$96,0),MATCH(FILAMENT_NAME,filament!$A$1:$J$1,0)),filament!$C$1) &amp; "%"</f>
        <v>80%</v>
      </c>
      <c r="D69" s="11"/>
    </row>
    <row r="70" spans="1:4" x14ac:dyDescent="0.3">
      <c r="A70" s="13"/>
      <c r="B70" s="14" t="s">
        <v>350</v>
      </c>
      <c r="C70" s="24"/>
      <c r="D70" s="4"/>
    </row>
    <row r="71" spans="1:4" x14ac:dyDescent="0.3">
      <c r="A71" s="10"/>
      <c r="B71" s="11" t="s">
        <v>211</v>
      </c>
      <c r="C71" s="12">
        <v>0</v>
      </c>
      <c r="D71" s="11"/>
    </row>
    <row r="72" spans="1:4" x14ac:dyDescent="0.3">
      <c r="A72" s="13"/>
      <c r="B72" s="4" t="s">
        <v>212</v>
      </c>
      <c r="C72" s="18">
        <v>0</v>
      </c>
      <c r="D72" s="4"/>
    </row>
    <row r="73" spans="1:4" x14ac:dyDescent="0.3">
      <c r="A73" s="10"/>
      <c r="B73" s="14" t="s">
        <v>351</v>
      </c>
      <c r="C73" s="12"/>
      <c r="D73" s="11"/>
    </row>
    <row r="74" spans="1:4" x14ac:dyDescent="0.3">
      <c r="A74" s="13"/>
      <c r="B74" s="4" t="s">
        <v>213</v>
      </c>
      <c r="C74" s="18" t="s">
        <v>214</v>
      </c>
      <c r="D74" s="4"/>
    </row>
    <row r="75" spans="1:4" x14ac:dyDescent="0.3">
      <c r="A75" s="15" t="s">
        <v>279</v>
      </c>
      <c r="B75" s="14" t="s">
        <v>106</v>
      </c>
      <c r="C75" s="12"/>
      <c r="D75" s="11"/>
    </row>
    <row r="76" spans="1:4" ht="57.6" x14ac:dyDescent="0.3">
      <c r="A76" s="13"/>
      <c r="B76" s="4" t="s">
        <v>231</v>
      </c>
      <c r="C76" s="25"/>
      <c r="D76" s="19" t="s">
        <v>215</v>
      </c>
    </row>
    <row r="77" spans="1:4" x14ac:dyDescent="0.3">
      <c r="A77" s="15" t="s">
        <v>280</v>
      </c>
      <c r="B77" s="11"/>
      <c r="C77" s="12"/>
      <c r="D77" s="11"/>
    </row>
    <row r="78" spans="1:4" x14ac:dyDescent="0.3">
      <c r="A78" s="13"/>
      <c r="B78" s="4" t="s">
        <v>219</v>
      </c>
      <c r="C78" s="18"/>
      <c r="D78" s="4"/>
    </row>
    <row r="79" spans="1:4" x14ac:dyDescent="0.3">
      <c r="A79" s="10"/>
      <c r="B79" s="11" t="s">
        <v>218</v>
      </c>
      <c r="C79" s="12"/>
      <c r="D79" s="11"/>
    </row>
    <row r="80" spans="1:4" x14ac:dyDescent="0.3">
      <c r="A80" s="13"/>
      <c r="B80" s="4" t="s">
        <v>217</v>
      </c>
      <c r="C80" s="18">
        <f>C50</f>
        <v>0.5</v>
      </c>
      <c r="D80" s="4"/>
    </row>
    <row r="81" spans="1:4" x14ac:dyDescent="0.3">
      <c r="A81" s="10"/>
      <c r="B81" s="11" t="s">
        <v>354</v>
      </c>
      <c r="C81" s="12" t="s">
        <v>358</v>
      </c>
      <c r="D81" s="11"/>
    </row>
    <row r="82" spans="1:4" x14ac:dyDescent="0.3">
      <c r="A82" s="13"/>
      <c r="B82" s="4" t="s">
        <v>216</v>
      </c>
      <c r="C82" s="18"/>
      <c r="D82" s="4"/>
    </row>
    <row r="83" spans="1:4" x14ac:dyDescent="0.3">
      <c r="A83" s="10"/>
      <c r="B83" s="11" t="s">
        <v>355</v>
      </c>
      <c r="C83" s="12"/>
      <c r="D83" s="11"/>
    </row>
    <row r="84" spans="1:4" x14ac:dyDescent="0.3">
      <c r="A84" s="13"/>
      <c r="B84" s="4" t="s">
        <v>356</v>
      </c>
      <c r="C84" s="18"/>
      <c r="D84" s="4"/>
    </row>
    <row r="85" spans="1:4" x14ac:dyDescent="0.3">
      <c r="A85" s="10"/>
      <c r="B85" s="11" t="s">
        <v>357</v>
      </c>
      <c r="C85" s="12">
        <v>250000</v>
      </c>
      <c r="D85" s="11"/>
    </row>
    <row r="86" spans="1:4" x14ac:dyDescent="0.3">
      <c r="A86" s="13" t="s">
        <v>333</v>
      </c>
      <c r="B86" s="4" t="s">
        <v>334</v>
      </c>
      <c r="C86" s="18"/>
      <c r="D86" s="4"/>
    </row>
    <row r="87" spans="1:4" ht="331.2" x14ac:dyDescent="0.3">
      <c r="A87" s="10"/>
      <c r="B87" s="11" t="s">
        <v>175</v>
      </c>
      <c r="C87" s="26" t="s">
        <v>367</v>
      </c>
      <c r="D87" s="11"/>
    </row>
    <row r="88" spans="1:4" ht="158.4" x14ac:dyDescent="0.3">
      <c r="A88" s="13"/>
      <c r="B88" s="4" t="s">
        <v>176</v>
      </c>
      <c r="C88" s="27" t="s">
        <v>232</v>
      </c>
      <c r="D88" s="4"/>
    </row>
    <row r="89" spans="1:4" ht="57.6" x14ac:dyDescent="0.3">
      <c r="A89" s="10"/>
      <c r="B89" s="11" t="s">
        <v>177</v>
      </c>
      <c r="C89" s="28" t="s">
        <v>233</v>
      </c>
      <c r="D89" s="11"/>
    </row>
    <row r="90" spans="1:4" ht="57.6" x14ac:dyDescent="0.3">
      <c r="A90" s="13"/>
      <c r="B90" s="4" t="s">
        <v>178</v>
      </c>
      <c r="C90" s="27" t="s">
        <v>234</v>
      </c>
      <c r="D90" s="4"/>
    </row>
    <row r="91" spans="1:4" x14ac:dyDescent="0.3">
      <c r="A91" s="10"/>
      <c r="B91" s="11" t="s">
        <v>179</v>
      </c>
      <c r="C91" s="12"/>
      <c r="D91" s="11"/>
    </row>
    <row r="92" spans="1:4" x14ac:dyDescent="0.3">
      <c r="A92" s="13"/>
      <c r="B92" s="4" t="s">
        <v>221</v>
      </c>
      <c r="C92" s="18"/>
      <c r="D92"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spec</vt:lpstr>
      <vt:lpstr>print</vt:lpstr>
      <vt:lpstr>filament</vt:lpstr>
      <vt:lpstr>printer</vt:lpstr>
      <vt:lpstr>APPDATA_FOLDER</vt:lpstr>
      <vt:lpstr>FILAMENT_NAME</vt:lpstr>
      <vt:lpstr>MAX_ACCELERATION</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2019-04-15T18:12:54Z</dcterms:modified>
</cp:coreProperties>
</file>