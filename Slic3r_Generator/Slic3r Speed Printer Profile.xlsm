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GitHub\3DPrint\Slic3r_Generator\"/>
    </mc:Choice>
  </mc:AlternateContent>
  <xr:revisionPtr revIDLastSave="0" documentId="13_ncr:1_{82F7D16F-1A1D-4CA0-8D28-36C0AF501F91}" xr6:coauthVersionLast="41" xr6:coauthVersionMax="41" xr10:uidLastSave="{00000000-0000-0000-0000-000000000000}"/>
  <bookViews>
    <workbookView xWindow="-108" yWindow="-108" windowWidth="30936" windowHeight="16920" xr2:uid="{E8DF9499-C68D-4AF3-B2AA-BB8266EB0F5B}"/>
  </bookViews>
  <sheets>
    <sheet name="spec" sheetId="6" r:id="rId1"/>
    <sheet name="print" sheetId="2" r:id="rId2"/>
    <sheet name="filament" sheetId="3" r:id="rId3"/>
    <sheet name="printer" sheetId="5" r:id="rId4"/>
  </sheets>
  <functionGroups builtInGroupCount="19"/>
  <definedNames>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48" i="2" l="1"/>
  <c r="D124" i="2"/>
  <c r="E124" i="2"/>
  <c r="F124" i="2"/>
  <c r="G124" i="2"/>
  <c r="H124" i="2"/>
  <c r="I124" i="2"/>
  <c r="J124" i="2"/>
  <c r="K124" i="2"/>
  <c r="D123" i="2"/>
  <c r="E123" i="2"/>
  <c r="F123" i="2"/>
  <c r="G123" i="2"/>
  <c r="H123" i="2"/>
  <c r="I123" i="2"/>
  <c r="J123" i="2"/>
  <c r="K123" i="2"/>
  <c r="D122" i="2"/>
  <c r="E122" i="2"/>
  <c r="F122" i="2"/>
  <c r="G122" i="2"/>
  <c r="H122" i="2"/>
  <c r="I122" i="2"/>
  <c r="J122" i="2"/>
  <c r="K122" i="2"/>
  <c r="D121" i="2"/>
  <c r="E121" i="2"/>
  <c r="F121" i="2"/>
  <c r="G121" i="2"/>
  <c r="H121" i="2"/>
  <c r="I121" i="2"/>
  <c r="J121" i="2"/>
  <c r="K121" i="2"/>
  <c r="D120" i="2"/>
  <c r="E120" i="2"/>
  <c r="F120" i="2"/>
  <c r="G120" i="2"/>
  <c r="H120" i="2"/>
  <c r="I120" i="2"/>
  <c r="J120" i="2"/>
  <c r="K120" i="2"/>
  <c r="D119" i="2"/>
  <c r="E119" i="2"/>
  <c r="F119" i="2"/>
  <c r="G119" i="2"/>
  <c r="H119" i="2"/>
  <c r="I119" i="2"/>
  <c r="J119" i="2"/>
  <c r="K119" i="2"/>
  <c r="D118" i="2"/>
  <c r="E118" i="2"/>
  <c r="F118" i="2"/>
  <c r="G118" i="2"/>
  <c r="H118" i="2"/>
  <c r="I118" i="2"/>
  <c r="J118" i="2"/>
  <c r="K118" i="2"/>
  <c r="D117" i="2"/>
  <c r="E117" i="2"/>
  <c r="F117" i="2"/>
  <c r="G117" i="2"/>
  <c r="H117" i="2"/>
  <c r="I117" i="2"/>
  <c r="J117" i="2"/>
  <c r="K117" i="2"/>
  <c r="C124" i="2"/>
  <c r="C123" i="2"/>
  <c r="C122" i="2"/>
  <c r="C121" i="2"/>
  <c r="C120" i="2"/>
  <c r="C119" i="2"/>
  <c r="C118" i="2"/>
  <c r="C117" i="2"/>
  <c r="D81" i="2"/>
  <c r="E81" i="2"/>
  <c r="F81" i="2"/>
  <c r="G81" i="2"/>
  <c r="H81" i="2" s="1"/>
  <c r="I81" i="2" s="1"/>
  <c r="J81" i="2" s="1"/>
  <c r="K81" i="2" s="1"/>
  <c r="C81" i="2"/>
  <c r="D80" i="2"/>
  <c r="E80" i="2"/>
  <c r="F80" i="2" s="1"/>
  <c r="G80" i="2" s="1"/>
  <c r="H80" i="2" s="1"/>
  <c r="I80" i="2" s="1"/>
  <c r="J80" i="2" s="1"/>
  <c r="K80" i="2" s="1"/>
  <c r="C80" i="2"/>
  <c r="D78" i="2"/>
  <c r="E78" i="2" s="1"/>
  <c r="F78" i="2" s="1"/>
  <c r="G78" i="2" s="1"/>
  <c r="H78" i="2" s="1"/>
  <c r="I78" i="2" s="1"/>
  <c r="J78" i="2" s="1"/>
  <c r="K78" i="2" s="1"/>
  <c r="C78" i="2"/>
  <c r="D77" i="2"/>
  <c r="E77" i="2"/>
  <c r="F77" i="2"/>
  <c r="G77" i="2"/>
  <c r="H77" i="2" s="1"/>
  <c r="I77" i="2" s="1"/>
  <c r="J77" i="2" s="1"/>
  <c r="K77" i="2" s="1"/>
  <c r="C77" i="2"/>
  <c r="D76" i="2"/>
  <c r="E76" i="2"/>
  <c r="F76" i="2"/>
  <c r="G76" i="2" s="1"/>
  <c r="H76" i="2" s="1"/>
  <c r="I76" i="2" s="1"/>
  <c r="J76" i="2" s="1"/>
  <c r="K76" i="2" s="1"/>
  <c r="C76" i="2"/>
  <c r="D74" i="2"/>
  <c r="E74" i="2"/>
  <c r="F74" i="2"/>
  <c r="G74" i="2"/>
  <c r="H74" i="2" s="1"/>
  <c r="I74" i="2" s="1"/>
  <c r="J74" i="2" s="1"/>
  <c r="K74" i="2" s="1"/>
  <c r="C74" i="2"/>
  <c r="D73" i="2"/>
  <c r="E73" i="2"/>
  <c r="F73" i="2" s="1"/>
  <c r="G73" i="2" s="1"/>
  <c r="H73" i="2" s="1"/>
  <c r="I73" i="2" s="1"/>
  <c r="J73" i="2" s="1"/>
  <c r="K73" i="2" s="1"/>
  <c r="C73" i="2"/>
  <c r="D72" i="2"/>
  <c r="E72" i="2" s="1"/>
  <c r="F72" i="2" s="1"/>
  <c r="G72" i="2" s="1"/>
  <c r="H72" i="2" s="1"/>
  <c r="I72" i="2" s="1"/>
  <c r="J72" i="2" s="1"/>
  <c r="K72" i="2" s="1"/>
  <c r="C72" i="2"/>
  <c r="C75" i="2"/>
  <c r="D75" i="2"/>
  <c r="E75" i="2"/>
  <c r="F75" i="2"/>
  <c r="G75" i="2"/>
  <c r="H75" i="2"/>
  <c r="I75" i="2"/>
  <c r="J75" i="2"/>
  <c r="K75" i="2"/>
  <c r="B75" i="2"/>
  <c r="B5" i="2" l="1"/>
  <c r="B4" i="2"/>
  <c r="B56" i="5"/>
  <c r="B8" i="5"/>
  <c r="B4" i="6"/>
  <c r="B5" i="6"/>
  <c r="B6" i="6"/>
  <c r="B60" i="3" l="1"/>
</calcChain>
</file>

<file path=xl/sharedStrings.xml><?xml version="1.0" encoding="utf-8"?>
<sst xmlns="http://schemas.openxmlformats.org/spreadsheetml/2006/main" count="342" uniqueCount="326">
  <si>
    <t>threads</t>
  </si>
  <si>
    <t>#Layers and perimeters</t>
  </si>
  <si>
    <t>layer_height</t>
  </si>
  <si>
    <t>first_layer_height</t>
  </si>
  <si>
    <t>perimeters</t>
  </si>
  <si>
    <t>spiral_vase</t>
  </si>
  <si>
    <t>top_solid_layers</t>
  </si>
  <si>
    <t>bottom_solid_layers</t>
  </si>
  <si>
    <t>extra_perimeters</t>
  </si>
  <si>
    <t>ensure_vertical_shell_thickness</t>
  </si>
  <si>
    <t>avoid_crossing_perimeters</t>
  </si>
  <si>
    <t>#detect thin_walls</t>
  </si>
  <si>
    <t>thin_walls</t>
  </si>
  <si>
    <t>#detect Bridging perimeters</t>
  </si>
  <si>
    <t>dont_support_bridges</t>
  </si>
  <si>
    <t>seam_position</t>
  </si>
  <si>
    <t>nearest</t>
  </si>
  <si>
    <t>external_perimeters_first</t>
  </si>
  <si>
    <t>#infill</t>
  </si>
  <si>
    <t>fill_density</t>
  </si>
  <si>
    <t>fill_pattern</t>
  </si>
  <si>
    <t>rectilinear</t>
  </si>
  <si>
    <t>#Top/bottom fill pattern</t>
  </si>
  <si>
    <t>external_fill_pattern</t>
  </si>
  <si>
    <t>#combine infill every</t>
  </si>
  <si>
    <t>infill_every_layers</t>
  </si>
  <si>
    <t>infill_only_where_needed</t>
  </si>
  <si>
    <t>solid_infill_every_layers</t>
  </si>
  <si>
    <t>fill_angle</t>
  </si>
  <si>
    <t>#Solid infill threshold area</t>
  </si>
  <si>
    <t>solid_infill_below_area</t>
  </si>
  <si>
    <t>bridge_angle</t>
  </si>
  <si>
    <t>only_retract_when_crossing_perimeters</t>
  </si>
  <si>
    <t>#infill before perimeters</t>
  </si>
  <si>
    <t>infill_first</t>
  </si>
  <si>
    <t>#skirt and brim</t>
  </si>
  <si>
    <t>#Loops (minimum)</t>
  </si>
  <si>
    <t>skirts</t>
  </si>
  <si>
    <t>#Distance from object</t>
  </si>
  <si>
    <t>skirt_distance</t>
  </si>
  <si>
    <t>skirt_height</t>
  </si>
  <si>
    <t>#Minimal filament extrusion length</t>
  </si>
  <si>
    <t>min_skirt_length</t>
  </si>
  <si>
    <t>brim_width</t>
  </si>
  <si>
    <t>#support material</t>
  </si>
  <si>
    <t>#Generate support material</t>
  </si>
  <si>
    <t>support_material</t>
  </si>
  <si>
    <t>#Auto generate supports</t>
  </si>
  <si>
    <t>support_material_auto</t>
  </si>
  <si>
    <t>#Overhang Threshold</t>
  </si>
  <si>
    <t>support_material_threshold</t>
  </si>
  <si>
    <t>#Enforce support for the first</t>
  </si>
  <si>
    <t>support_material_enforce_layers</t>
  </si>
  <si>
    <t>raft_layers</t>
  </si>
  <si>
    <t>#Contact Z distance</t>
  </si>
  <si>
    <t>support_material_contact_distance</t>
  </si>
  <si>
    <t>support_material_pattern</t>
  </si>
  <si>
    <t>#With sheath around the support</t>
  </si>
  <si>
    <t>support_material_with_sheath</t>
  </si>
  <si>
    <t>#Pattern Spacing</t>
  </si>
  <si>
    <t>support_material_spacing</t>
  </si>
  <si>
    <t>#Pattern Angle</t>
  </si>
  <si>
    <t>support_material_angle</t>
  </si>
  <si>
    <t>support_material_interface_layers</t>
  </si>
  <si>
    <t>support_material_interface_spacing</t>
  </si>
  <si>
    <t>support_material_interface_contact_loops</t>
  </si>
  <si>
    <t>support_material_buildplate_only</t>
  </si>
  <si>
    <t>#XY Seperation between an object and its support</t>
  </si>
  <si>
    <t>support_material_xy_spacing</t>
  </si>
  <si>
    <t>#synchronize with object layers</t>
  </si>
  <si>
    <t>support_material_synchronize_layers</t>
  </si>
  <si>
    <t>#speed for print moves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</si>
  <si>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</si>
  <si>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</si>
  <si>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</si>
  <si>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</si>
  <si>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</si>
  <si>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</si>
  <si>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</si>
  <si>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</si>
  <si>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</si>
  <si>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</si>
  <si>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#speed for non print moves</t>
  </si>
  <si>
    <t>travel_speed</t>
  </si>
  <si>
    <t>#speed Modifiers</t>
  </si>
  <si>
    <t>first_layer_speed</t>
  </si>
  <si>
    <t>#speed Acceleration control (advanced)</t>
  </si>
  <si>
    <t>perimeter_acceleration</t>
  </si>
  <si>
    <t>infill_acceleration</t>
  </si>
  <si>
    <t>bridge_acceleration</t>
  </si>
  <si>
    <t>first_layer_acceleration</t>
  </si>
  <si>
    <t>default_acceleration</t>
  </si>
  <si>
    <t>#speed Autospeed (advanced)</t>
  </si>
  <si>
    <t>max_print_speed</t>
  </si>
  <si>
    <t>max_volumetric_speed</t>
  </si>
  <si>
    <t>max_volumetric_extrusion_rate_slope_negative</t>
  </si>
  <si>
    <t>max_volumetric_extrusion_rate_slope_positive</t>
  </si>
  <si>
    <t>#multiple extruders</t>
  </si>
  <si>
    <t>perimeter_extruder</t>
  </si>
  <si>
    <t>infill_extruder</t>
  </si>
  <si>
    <t>solid_infill_extruder</t>
  </si>
  <si>
    <t>support_material_extruder</t>
  </si>
  <si>
    <t>support_material_interface_extruder</t>
  </si>
  <si>
    <t>#Ooze prevention enable</t>
  </si>
  <si>
    <t>ooze_prevention</t>
  </si>
  <si>
    <t>standby_temperature_delta</t>
  </si>
  <si>
    <t>#Wiper tower enable</t>
  </si>
  <si>
    <t>wipe_tower</t>
  </si>
  <si>
    <t>wipe_tower_x</t>
  </si>
  <si>
    <t>wipe_tower_y</t>
  </si>
  <si>
    <t>wipe_tower_width</t>
  </si>
  <si>
    <t>wipe_tower_rotation_angle</t>
  </si>
  <si>
    <t>wipe_tower_bridging</t>
  </si>
  <si>
    <t>#Prime all printing extruders</t>
  </si>
  <si>
    <t>single_extruder_multi_material_priming</t>
  </si>
  <si>
    <t>interface_shells</t>
  </si>
  <si>
    <t>#advanced extrusion width</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</si>
  <si>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</si>
  <si>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</si>
  <si>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</si>
  <si>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</si>
  <si>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</si>
  <si>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</si>
  <si>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</si>
  <si>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</si>
  <si>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#advanced overlap</t>
  </si>
  <si>
    <t>infill_overlap</t>
  </si>
  <si>
    <t>#advanced flow</t>
  </si>
  <si>
    <t>bridge_flow_ratio</t>
  </si>
  <si>
    <t>#advanced other</t>
  </si>
  <si>
    <t>clip_multipart_objects</t>
  </si>
  <si>
    <t>elefant_foot_compensation</t>
  </si>
  <si>
    <t>xy_size_compensation</t>
  </si>
  <si>
    <t>resolution</t>
  </si>
  <si>
    <t>#output options</t>
  </si>
  <si>
    <t>#complete indivitual objects</t>
  </si>
  <si>
    <t>complete_objects</t>
  </si>
  <si>
    <t>#Extruder clearance</t>
  </si>
  <si>
    <t>extruder_clearance_height</t>
  </si>
  <si>
    <t>extruder_clearance_radius</t>
  </si>
  <si>
    <t>#Verbose G-Code</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</si>
  <si>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</si>
  <si>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</si>
  <si>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</si>
  <si>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</si>
  <si>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</si>
  <si>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</si>
  <si>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</si>
  <si>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</si>
  <si>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</si>
  <si>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</si>
  <si>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</si>
  <si>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</si>
  <si>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</si>
  <si>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</si>
  <si>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</si>
  <si>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#extruder first layer</t>
  </si>
  <si>
    <t>first_layer_temperature</t>
  </si>
  <si>
    <t>#extruder other layers</t>
  </si>
  <si>
    <t>temperature</t>
  </si>
  <si>
    <t>#bed first layer</t>
  </si>
  <si>
    <t>first_layer_bed_temperature</t>
  </si>
  <si>
    <t>#bed other layers</t>
  </si>
  <si>
    <t>bed_temperature</t>
  </si>
  <si>
    <t>#cooling</t>
  </si>
  <si>
    <t>#Keep fan always on</t>
  </si>
  <si>
    <t>fan_always_on</t>
  </si>
  <si>
    <t>#Enable auto cooling</t>
  </si>
  <si>
    <t>cooling</t>
  </si>
  <si>
    <t>#Fan Settings</t>
  </si>
  <si>
    <t>min_fan_speed</t>
  </si>
  <si>
    <t>max_fan_speed</t>
  </si>
  <si>
    <t>bridge_fan_speed</t>
  </si>
  <si>
    <t>disable_fan_first_layers</t>
  </si>
  <si>
    <t>#Cooling thresholds</t>
  </si>
  <si>
    <t>#Enable fan if layer print time is below</t>
  </si>
  <si>
    <t>fan_below_layer_time</t>
  </si>
  <si>
    <t>#slowdown if layer print time is below</t>
  </si>
  <si>
    <t>slowdown_below_layer_time</t>
  </si>
  <si>
    <t>min_print_speed</t>
  </si>
  <si>
    <t>#advanced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</si>
  <si>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</si>
  <si>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</si>
  <si>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</si>
  <si>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</si>
  <si>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</si>
  <si>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</si>
  <si>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</si>
  <si>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</si>
  <si>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</si>
  <si>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#Delay after unloading</t>
  </si>
  <si>
    <t>filament_toolchange_delay</t>
  </si>
  <si>
    <t>#number of cooling moves</t>
  </si>
  <si>
    <t>filament_cooling_moves</t>
  </si>
  <si>
    <t>#speed of the first cooling move</t>
  </si>
  <si>
    <t>filament_cooling_initial_speed</t>
  </si>
  <si>
    <t>#speed of the last cooling move</t>
  </si>
  <si>
    <t>filament_cooling_final_speed</t>
  </si>
  <si>
    <t>#minimal purge on wipe tower</t>
  </si>
  <si>
    <t>filament_minimal_purge_on_wipe_tower</t>
  </si>
  <si>
    <t>#ramming</t>
  </si>
  <si>
    <t>filament_ramming_parameters</t>
  </si>
  <si>
    <t>#custom g-code</t>
  </si>
  <si>
    <t>start_filament_gcode</t>
  </si>
  <si>
    <t>; Filament-specific start gcode</t>
  </si>
  <si>
    <t>end_filament_gcode</t>
  </si>
  <si>
    <t>; Filament-specific end gcode</t>
  </si>
  <si>
    <t>filament_notes</t>
  </si>
  <si>
    <t>filament_settings_id</t>
  </si>
  <si>
    <t>compatible_printers</t>
  </si>
  <si>
    <t>compatible_printers_condition</t>
  </si>
  <si>
    <t>printer_notes=~/.*PRINTER_VENDOR_CREALITY.*/ and printer_notes=~/.*PRINTER_MODEL_ENDER3.*/</t>
  </si>
  <si>
    <t>PET</t>
  </si>
  <si>
    <t>PLA</t>
  </si>
  <si>
    <t>ABS</t>
  </si>
  <si>
    <t>TPU</t>
  </si>
  <si>
    <t>printer_technology</t>
  </si>
  <si>
    <t>FFF</t>
  </si>
  <si>
    <t>#general</t>
  </si>
  <si>
    <t>bed_shape</t>
  </si>
  <si>
    <t>0x0,235x0,235x235,0x235</t>
  </si>
  <si>
    <t>max_print_height</t>
  </si>
  <si>
    <t>z_offset</t>
  </si>
  <si>
    <t>#capabilities</t>
  </si>
  <si>
    <t>nozzle_diameter</t>
  </si>
  <si>
    <t>single_extruder_multi_material</t>
  </si>
  <si>
    <t>host_type</t>
  </si>
  <si>
    <t>octoprint</t>
  </si>
  <si>
    <t>octoprint_host</t>
  </si>
  <si>
    <t>192.168.0.100</t>
  </si>
  <si>
    <t>octoprint_apikey</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</si>
  <si>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</si>
  <si>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</si>
  <si>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</si>
  <si>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</si>
  <si>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</si>
  <si>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</si>
  <si>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</si>
  <si>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</si>
  <si>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</si>
  <si>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</si>
  <si>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</si>
  <si>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</si>
  <si>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</si>
  <si>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</si>
  <si>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 limits</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</si>
  <si>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</si>
  <si>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</si>
  <si>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</si>
  <si>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</si>
  <si>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</si>
  <si>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</si>
  <si>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</si>
  <si>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</si>
  <si>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</si>
  <si>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</si>
  <si>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</si>
  <si>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</si>
  <si>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</si>
  <si>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</si>
  <si>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</si>
  <si>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</si>
  <si>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#extruder1</t>
  </si>
  <si>
    <t>min_layer_height</t>
  </si>
  <si>
    <t>max_layer_height</t>
  </si>
  <si>
    <t>extruder_offset</t>
  </si>
  <si>
    <t>0x0</t>
  </si>
  <si>
    <t>#extruder1 retracttion</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</si>
  <si>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</si>
  <si>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</si>
  <si>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</si>
  <si>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</si>
  <si>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</si>
  <si>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</si>
  <si>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</si>
  <si>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</si>
  <si>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</si>
  <si>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</si>
  <si>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</si>
  <si>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</si>
  <si>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</si>
  <si>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</si>
  <si>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</si>
  <si>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</si>
  <si>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#other unknown / no GUI</t>
  </si>
  <si>
    <t>cooling_tube_length</t>
  </si>
  <si>
    <t>cooling_tube_retraction</t>
  </si>
  <si>
    <t>parking_pos_retraction</t>
  </si>
  <si>
    <t>printer_settings_id</t>
  </si>
  <si>
    <t>extra_loading_move</t>
  </si>
  <si>
    <t>printer_model</t>
  </si>
  <si>
    <t>Ender3</t>
  </si>
  <si>
    <t>printer_variant</t>
  </si>
  <si>
    <t>default_print_profile</t>
  </si>
  <si>
    <t>default_filament_profile</t>
  </si>
  <si>
    <t>Parameters</t>
  </si>
  <si>
    <t>All</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</si>
  <si>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</si>
  <si>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</si>
  <si>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</si>
  <si>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</si>
  <si>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</si>
  <si>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</si>
  <si>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</si>
  <si>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</si>
  <si>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</si>
  <si>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</si>
  <si>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</si>
  <si>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</si>
  <si>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</si>
  <si>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</si>
  <si>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</si>
  <si>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</si>
  <si>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</si>
  <si>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#3A80CA</t>
  </si>
  <si>
    <t>#FF8000</t>
  </si>
  <si>
    <t>Print Quality Names</t>
  </si>
  <si>
    <t>fine</t>
  </si>
  <si>
    <t>quality</t>
  </si>
  <si>
    <t>draft</t>
  </si>
  <si>
    <t>fast</t>
  </si>
  <si>
    <t>medium</t>
  </si>
  <si>
    <t>rough</t>
  </si>
  <si>
    <t>big</t>
  </si>
  <si>
    <t>large</t>
  </si>
  <si>
    <t>giant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</si>
</sst>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15">
    <xf numFmtId="0" fontId="0" fillId="0" borderId="0" xfId="0"/>
    <xf numFmtId="9" fontId="0" fillId="0" borderId="0" xfId="0" applyNumberFormat="1"/>
    <xf numFmtId="0" fontId="0" fillId="2" borderId="0" xfId="0" applyFill="1"/>
    <xf numFmtId="0" fontId="0" fillId="3" borderId="0" xfId="0" applyFill="1"/>
    <xf numFmtId="0" fontId="0" fillId="0" borderId="0" xfId="0" applyAlignment="1">
      <alignment wrapText="1"/>
    </xf>
    <xf numFmtId="0" fontId="0" fillId="4" borderId="0" xfId="0" applyFill="1"/>
    <xf numFmtId="0" fontId="0" fillId="2" borderId="0" xfId="0" applyFill="1" applyAlignment="1">
      <alignment horizontal="right"/>
    </xf>
    <xf numFmtId="0" fontId="0" fillId="0" borderId="0" xfId="0" applyAlignment="1">
      <alignment horizontal="right"/>
    </xf>
    <xf numFmtId="0" fontId="0" fillId="3" borderId="0" xfId="0" applyFill="1" applyAlignment="1">
      <alignment horizontal="right"/>
    </xf>
    <xf numFmtId="11" fontId="0" fillId="0" borderId="0" xfId="0" applyNumberFormat="1" applyAlignment="1">
      <alignment horizontal="right"/>
    </xf>
    <xf numFmtId="0" fontId="0" fillId="0" borderId="0" xfId="0" applyAlignment="1">
      <alignment horizontal="right" wrapText="1"/>
    </xf>
    <xf numFmtId="9" fontId="0" fillId="0" borderId="0" xfId="0" applyNumberFormat="1" applyAlignment="1">
      <alignment horizontal="right"/>
    </xf>
    <xf numFmtId="0" fontId="0" fillId="0" borderId="0" xfId="0" applyAlignment="1">
      <alignment horizontal="left" wrapText="1"/>
    </xf>
    <xf numFmtId="2" fontId="0" fillId="0" borderId="0" xfId="0" applyNumberFormat="1" applyAlignment="1">
      <alignment horizontal="right"/>
    </xf>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I10"/>
  <sheetViews>
    <sheetView tabSelected="1" workbookViewId="0">
      <selection activeCell="G7" sqref="G7"/>
    </sheetView>
  </sheetViews>
  <sheetFormatPr defaultRowHeight="14.4" x14ac:dyDescent="0.3"/>
  <cols>
    <col min="1" max="1" width="23" bestFit="1" customWidth="1"/>
    <col min="2" max="2" width="20.33203125" bestFit="1" customWidth="1"/>
    <col min="8" max="8" width="17.33203125" bestFit="1" customWidth="1"/>
  </cols>
  <sheetData>
    <row r="1" spans="1:9" x14ac:dyDescent="0.3">
      <c r="A1" s="2" t="s">
        <v>299</v>
      </c>
      <c r="B1" s="2" t="s">
        <v>300</v>
      </c>
      <c r="H1" t="s">
        <v>316</v>
      </c>
    </row>
    <row r="2" spans="1:9" x14ac:dyDescent="0.3">
      <c r="A2" t="s">
        <v>298</v>
      </c>
      <c r="B2">
        <v>0.5</v>
      </c>
      <c r="H2">
        <v>0.12</v>
      </c>
      <c r="I2" t="s">
        <v>317</v>
      </c>
    </row>
    <row r="3" spans="1:9" x14ac:dyDescent="0.3">
      <c r="A3" t="s">
        <v>301</v>
      </c>
      <c r="B3" t="s">
        <v>302</v>
      </c>
      <c r="H3">
        <v>0.2</v>
      </c>
      <c r="I3" t="s">
        <v>318</v>
      </c>
    </row>
    <row r="4" spans="1:9" x14ac:dyDescent="0.3">
      <c r="A4" t="s">
        <v>306</v>
      </c>
      <c r="B4" s="5" t="str">
        <f>B3 &amp; " " &amp; Nozzle_Diameter &amp; " nozzle"</f>
        <v>Ender3 Speed 0.5 nozzle</v>
      </c>
      <c r="H4">
        <v>0.32</v>
      </c>
      <c r="I4" t="s">
        <v>319</v>
      </c>
    </row>
    <row r="5" spans="1:9" x14ac:dyDescent="0.3">
      <c r="A5" t="s">
        <v>303</v>
      </c>
      <c r="B5">
        <f>Nozzle_Diameter*0.2</f>
        <v>0.1</v>
      </c>
      <c r="H5">
        <v>0.4</v>
      </c>
      <c r="I5" t="s">
        <v>320</v>
      </c>
    </row>
    <row r="6" spans="1:9" x14ac:dyDescent="0.3">
      <c r="A6" t="s">
        <v>304</v>
      </c>
      <c r="B6">
        <f>Nozzle_Diameter*0.8</f>
        <v>0.4</v>
      </c>
      <c r="H6">
        <v>0.48</v>
      </c>
      <c r="I6" t="s">
        <v>321</v>
      </c>
    </row>
    <row r="7" spans="1:9" x14ac:dyDescent="0.3">
      <c r="A7" t="s">
        <v>305</v>
      </c>
      <c r="B7">
        <v>0</v>
      </c>
      <c r="H7">
        <v>0.56000000000000005</v>
      </c>
      <c r="I7" t="s">
        <v>322</v>
      </c>
    </row>
    <row r="8" spans="1:9" x14ac:dyDescent="0.3">
      <c r="H8">
        <v>0.64</v>
      </c>
      <c r="I8" t="s">
        <v>323</v>
      </c>
    </row>
    <row r="9" spans="1:9" x14ac:dyDescent="0.3">
      <c r="H9">
        <v>0.72</v>
      </c>
      <c r="I9" t="s">
        <v>324</v>
      </c>
    </row>
    <row r="10" spans="1:9" x14ac:dyDescent="0.3">
      <c r="H10">
        <v>0.8</v>
      </c>
      <c r="I10" t="s">
        <v>325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L149"/>
  <sheetViews>
    <sheetView workbookViewId="0">
      <pane ySplit="1" topLeftCell="A2" activePane="bottomLeft" state="frozen"/>
      <selection pane="bottomLeft" activeCell="A159" sqref="A159"/>
    </sheetView>
  </sheetViews>
  <sheetFormatPr defaultRowHeight="14.4" x14ac:dyDescent="0.3"/>
  <cols>
    <col min="1" max="1" width="39.6640625" customWidth="1"/>
    <col min="2" max="2" width="38.44140625" style="7" bestFit="1" customWidth="1"/>
    <col min="3" max="3" width="11.6640625" bestFit="1" customWidth="1"/>
    <col min="4" max="4" width="13.44140625" bestFit="1" customWidth="1"/>
    <col min="5" max="5" width="12.77734375" bestFit="1" customWidth="1"/>
    <col min="6" max="6" width="10.44140625" bestFit="1" customWidth="1"/>
    <col min="7" max="7" width="14.77734375" bestFit="1" customWidth="1"/>
    <col min="8" max="8" width="12.77734375" bestFit="1" customWidth="1"/>
    <col min="9" max="9" width="10.44140625" bestFit="1" customWidth="1"/>
    <col min="10" max="10" width="12.109375" bestFit="1" customWidth="1"/>
    <col min="11" max="11" width="11.109375" bestFit="1" customWidth="1"/>
  </cols>
  <sheetData>
    <row r="1" spans="1:12" x14ac:dyDescent="0.3">
      <c r="A1" s="2" t="s">
        <v>295</v>
      </c>
      <c r="B1" s="6" t="s">
        <v>149</v>
      </c>
      <c r="C1" s="2">
        <v>0.12</v>
      </c>
      <c r="D1" s="2">
        <v>0.2</v>
      </c>
      <c r="E1" s="2">
        <v>0.32</v>
      </c>
      <c r="F1" s="2">
        <v>0.4</v>
      </c>
      <c r="G1" s="2">
        <v>0.48</v>
      </c>
      <c r="H1" s="2">
        <v>0.56000000000000005</v>
      </c>
      <c r="I1" s="2">
        <v>0.64</v>
      </c>
      <c r="J1" s="2">
        <v>0.72</v>
      </c>
      <c r="K1" s="2">
        <v>0.8</v>
      </c>
      <c r="L1" s="2" t="s">
        <v>313</v>
      </c>
    </row>
    <row r="2" spans="1:12" x14ac:dyDescent="0.3">
      <c r="A2" t="s">
        <v>0</v>
      </c>
      <c r="B2" s="7">
        <v>4</v>
      </c>
    </row>
    <row r="3" spans="1:12" x14ac:dyDescent="0.3">
      <c r="A3" s="3" t="s">
        <v>1</v>
      </c>
      <c r="B3" s="8"/>
      <c r="C3" s="3"/>
      <c r="D3" s="3"/>
      <c r="E3" s="3"/>
      <c r="F3" s="3"/>
      <c r="G3" s="3"/>
      <c r="H3" s="3"/>
      <c r="I3" s="3"/>
      <c r="J3" s="3"/>
      <c r="K3" s="3"/>
    </row>
    <row r="4" spans="1:12" x14ac:dyDescent="0.3">
      <c r="A4" t="s">
        <v>2</v>
      </c>
      <c r="B4" s="7">
        <f>MAX(0.2,Min_Layer_Height)</f>
        <v>0.2</v>
      </c>
      <c r="C4">
        <v>0.12</v>
      </c>
      <c r="D4">
        <v>0.2</v>
      </c>
      <c r="E4">
        <v>0.32</v>
      </c>
      <c r="F4">
        <v>0.4</v>
      </c>
      <c r="G4">
        <v>0.48</v>
      </c>
      <c r="H4">
        <v>0.56000000000000005</v>
      </c>
      <c r="I4">
        <v>0.64</v>
      </c>
      <c r="J4">
        <v>0.72</v>
      </c>
      <c r="K4">
        <v>0.8</v>
      </c>
    </row>
    <row r="5" spans="1:12" x14ac:dyDescent="0.3">
      <c r="A5" t="s">
        <v>3</v>
      </c>
      <c r="B5" s="7">
        <f>MAX(0.2,Min_Layer_Height)</f>
        <v>0.2</v>
      </c>
    </row>
    <row r="6" spans="1:12" x14ac:dyDescent="0.3">
      <c r="A6" t="s">
        <v>4</v>
      </c>
      <c r="B6" s="7">
        <v>3</v>
      </c>
      <c r="C6">
        <v>4</v>
      </c>
    </row>
    <row r="7" spans="1:12" x14ac:dyDescent="0.3">
      <c r="A7" t="s">
        <v>5</v>
      </c>
      <c r="B7" s="7">
        <v>0</v>
      </c>
    </row>
    <row r="8" spans="1:12" x14ac:dyDescent="0.3">
      <c r="A8" t="s">
        <v>6</v>
      </c>
      <c r="B8" s="7">
        <v>4</v>
      </c>
      <c r="C8">
        <v>6</v>
      </c>
    </row>
    <row r="9" spans="1:12" x14ac:dyDescent="0.3">
      <c r="A9" t="s">
        <v>7</v>
      </c>
      <c r="B9" s="7">
        <v>4</v>
      </c>
      <c r="C9">
        <v>5</v>
      </c>
    </row>
    <row r="10" spans="1:12" x14ac:dyDescent="0.3">
      <c r="A10" t="s">
        <v>8</v>
      </c>
      <c r="B10" s="7">
        <v>1</v>
      </c>
    </row>
    <row r="11" spans="1:12" x14ac:dyDescent="0.3">
      <c r="A11" t="s">
        <v>9</v>
      </c>
      <c r="B11" s="7">
        <v>1</v>
      </c>
    </row>
    <row r="12" spans="1:12" x14ac:dyDescent="0.3">
      <c r="A12" t="s">
        <v>10</v>
      </c>
      <c r="B12" s="7">
        <v>1</v>
      </c>
    </row>
    <row r="13" spans="1:12" x14ac:dyDescent="0.3">
      <c r="A13" s="3" t="s">
        <v>11</v>
      </c>
      <c r="B13" s="8"/>
      <c r="C13" s="3"/>
      <c r="D13" s="3"/>
      <c r="E13" s="3"/>
      <c r="F13" s="3"/>
      <c r="G13" s="3"/>
      <c r="H13" s="3"/>
      <c r="I13" s="3"/>
      <c r="J13" s="3"/>
      <c r="K13" s="3"/>
    </row>
    <row r="14" spans="1:12" x14ac:dyDescent="0.3">
      <c r="A14" t="s">
        <v>12</v>
      </c>
      <c r="B14" s="7">
        <v>1</v>
      </c>
    </row>
    <row r="15" spans="1:12" x14ac:dyDescent="0.3">
      <c r="A15" s="3" t="s">
        <v>13</v>
      </c>
      <c r="B15" s="8"/>
      <c r="C15" s="3"/>
      <c r="D15" s="3"/>
      <c r="E15" s="3"/>
      <c r="F15" s="3"/>
      <c r="G15" s="3"/>
      <c r="H15" s="3"/>
      <c r="I15" s="3"/>
      <c r="J15" s="3"/>
      <c r="K15" s="3"/>
    </row>
    <row r="16" spans="1:12" x14ac:dyDescent="0.3">
      <c r="A16" t="s">
        <v>14</v>
      </c>
      <c r="B16" s="7">
        <v>0</v>
      </c>
    </row>
    <row r="17" spans="1:11" x14ac:dyDescent="0.3">
      <c r="A17" t="s">
        <v>15</v>
      </c>
      <c r="B17" s="7" t="s">
        <v>16</v>
      </c>
    </row>
    <row r="18" spans="1:11" x14ac:dyDescent="0.3">
      <c r="A18" t="s">
        <v>17</v>
      </c>
      <c r="B18" s="7">
        <v>0</v>
      </c>
    </row>
    <row r="19" spans="1:11" x14ac:dyDescent="0.3">
      <c r="A19" s="3" t="s">
        <v>18</v>
      </c>
      <c r="B19" s="8"/>
      <c r="C19" s="3"/>
      <c r="D19" s="3"/>
      <c r="E19" s="3"/>
      <c r="F19" s="3"/>
      <c r="G19" s="3"/>
      <c r="H19" s="3"/>
      <c r="I19" s="3"/>
      <c r="J19" s="3"/>
      <c r="K19" s="3"/>
    </row>
    <row r="20" spans="1:11" x14ac:dyDescent="0.3">
      <c r="A20" t="s">
        <v>19</v>
      </c>
      <c r="B20" s="11">
        <v>0.2</v>
      </c>
    </row>
    <row r="21" spans="1:11" x14ac:dyDescent="0.3">
      <c r="A21" t="s">
        <v>20</v>
      </c>
      <c r="B21" s="7" t="s">
        <v>21</v>
      </c>
    </row>
    <row r="22" spans="1:11" x14ac:dyDescent="0.3">
      <c r="A22" s="3" t="s">
        <v>22</v>
      </c>
      <c r="B22" s="8"/>
      <c r="C22" s="3"/>
      <c r="D22" s="3"/>
      <c r="E22" s="3"/>
      <c r="F22" s="3"/>
      <c r="G22" s="3"/>
      <c r="H22" s="3"/>
      <c r="I22" s="3"/>
      <c r="J22" s="3"/>
      <c r="K22" s="3"/>
    </row>
    <row r="23" spans="1:11" x14ac:dyDescent="0.3">
      <c r="A23" t="s">
        <v>23</v>
      </c>
      <c r="B23" s="7" t="s">
        <v>21</v>
      </c>
    </row>
    <row r="24" spans="1:11" x14ac:dyDescent="0.3">
      <c r="A24" s="3" t="s">
        <v>24</v>
      </c>
      <c r="B24" s="8"/>
      <c r="C24" s="3"/>
      <c r="D24" s="3"/>
      <c r="E24" s="3"/>
      <c r="F24" s="3"/>
      <c r="G24" s="3"/>
      <c r="H24" s="3"/>
      <c r="I24" s="3"/>
      <c r="J24" s="3"/>
      <c r="K24" s="3"/>
    </row>
    <row r="25" spans="1:11" x14ac:dyDescent="0.3">
      <c r="A25" t="s">
        <v>25</v>
      </c>
      <c r="B25" s="7">
        <v>1</v>
      </c>
    </row>
    <row r="26" spans="1:11" x14ac:dyDescent="0.3">
      <c r="A26" t="s">
        <v>26</v>
      </c>
      <c r="B26" s="7">
        <v>0</v>
      </c>
    </row>
    <row r="27" spans="1:11" x14ac:dyDescent="0.3">
      <c r="A27" t="s">
        <v>27</v>
      </c>
      <c r="B27" s="7">
        <v>0</v>
      </c>
    </row>
    <row r="28" spans="1:11" x14ac:dyDescent="0.3">
      <c r="A28" t="s">
        <v>28</v>
      </c>
      <c r="B28" s="7">
        <v>45</v>
      </c>
    </row>
    <row r="29" spans="1:11" x14ac:dyDescent="0.3">
      <c r="A29" s="3" t="s">
        <v>29</v>
      </c>
      <c r="B29" s="8"/>
      <c r="C29" s="3"/>
      <c r="D29" s="3"/>
      <c r="E29" s="3"/>
      <c r="F29" s="3"/>
      <c r="G29" s="3"/>
      <c r="H29" s="3"/>
      <c r="I29" s="3"/>
      <c r="J29" s="3"/>
      <c r="K29" s="3"/>
    </row>
    <row r="30" spans="1:11" x14ac:dyDescent="0.3">
      <c r="A30" t="s">
        <v>30</v>
      </c>
      <c r="B30" s="7">
        <v>0</v>
      </c>
    </row>
    <row r="31" spans="1:11" x14ac:dyDescent="0.3">
      <c r="A31" t="s">
        <v>31</v>
      </c>
      <c r="B31" s="7">
        <v>0</v>
      </c>
    </row>
    <row r="32" spans="1:11" x14ac:dyDescent="0.3">
      <c r="A32" t="s">
        <v>32</v>
      </c>
      <c r="B32" s="7">
        <v>1</v>
      </c>
    </row>
    <row r="33" spans="1:11" x14ac:dyDescent="0.3">
      <c r="A33" s="3" t="s">
        <v>33</v>
      </c>
      <c r="B33" s="8"/>
      <c r="C33" s="3"/>
      <c r="D33" s="3"/>
      <c r="E33" s="3"/>
      <c r="F33" s="3"/>
      <c r="G33" s="3"/>
      <c r="H33" s="3"/>
      <c r="I33" s="3"/>
      <c r="J33" s="3"/>
      <c r="K33" s="3"/>
    </row>
    <row r="34" spans="1:11" x14ac:dyDescent="0.3">
      <c r="A34" t="s">
        <v>34</v>
      </c>
      <c r="B34" s="7">
        <v>0</v>
      </c>
    </row>
    <row r="35" spans="1:11" x14ac:dyDescent="0.3">
      <c r="A35" s="3" t="s">
        <v>35</v>
      </c>
      <c r="B35" s="8"/>
      <c r="C35" s="3"/>
      <c r="D35" s="3"/>
      <c r="E35" s="3"/>
      <c r="F35" s="3"/>
      <c r="G35" s="3"/>
      <c r="H35" s="3"/>
      <c r="I35" s="3"/>
      <c r="J35" s="3"/>
      <c r="K35" s="3"/>
    </row>
    <row r="36" spans="1:11" x14ac:dyDescent="0.3">
      <c r="A36" s="3" t="s">
        <v>36</v>
      </c>
      <c r="B36" s="8"/>
      <c r="C36" s="3"/>
      <c r="D36" s="3"/>
      <c r="E36" s="3"/>
      <c r="F36" s="3"/>
      <c r="G36" s="3"/>
      <c r="H36" s="3"/>
      <c r="I36" s="3"/>
      <c r="J36" s="3"/>
      <c r="K36" s="3"/>
    </row>
    <row r="37" spans="1:11" x14ac:dyDescent="0.3">
      <c r="A37" t="s">
        <v>37</v>
      </c>
      <c r="B37" s="7">
        <v>3</v>
      </c>
    </row>
    <row r="38" spans="1:11" x14ac:dyDescent="0.3">
      <c r="A38" s="3" t="s">
        <v>38</v>
      </c>
      <c r="B38" s="8"/>
      <c r="C38" s="3"/>
      <c r="D38" s="3"/>
      <c r="E38" s="3"/>
      <c r="F38" s="3"/>
      <c r="G38" s="3"/>
      <c r="H38" s="3"/>
      <c r="I38" s="3"/>
      <c r="J38" s="3"/>
      <c r="K38" s="3"/>
    </row>
    <row r="39" spans="1:11" x14ac:dyDescent="0.3">
      <c r="A39" t="s">
        <v>39</v>
      </c>
      <c r="B39" s="7">
        <v>2</v>
      </c>
    </row>
    <row r="40" spans="1:11" x14ac:dyDescent="0.3">
      <c r="A40" t="s">
        <v>40</v>
      </c>
      <c r="B40" s="7">
        <v>1</v>
      </c>
    </row>
    <row r="41" spans="1:11" x14ac:dyDescent="0.3">
      <c r="A41" s="3" t="s">
        <v>41</v>
      </c>
      <c r="B41" s="8"/>
      <c r="C41" s="3"/>
      <c r="D41" s="3"/>
      <c r="E41" s="3"/>
      <c r="F41" s="3"/>
      <c r="G41" s="3"/>
      <c r="H41" s="3"/>
      <c r="I41" s="3"/>
      <c r="J41" s="3"/>
      <c r="K41" s="3"/>
    </row>
    <row r="42" spans="1:11" x14ac:dyDescent="0.3">
      <c r="A42" t="s">
        <v>42</v>
      </c>
      <c r="B42" s="7">
        <v>4</v>
      </c>
    </row>
    <row r="43" spans="1:11" x14ac:dyDescent="0.3">
      <c r="A43" t="s">
        <v>43</v>
      </c>
      <c r="B43" s="7">
        <v>3</v>
      </c>
    </row>
    <row r="44" spans="1:11" x14ac:dyDescent="0.3">
      <c r="A44" s="3" t="s">
        <v>44</v>
      </c>
      <c r="B44" s="8"/>
      <c r="C44" s="3"/>
      <c r="D44" s="3"/>
      <c r="E44" s="3"/>
      <c r="F44" s="3"/>
      <c r="G44" s="3"/>
      <c r="H44" s="3"/>
      <c r="I44" s="3"/>
      <c r="J44" s="3"/>
      <c r="K44" s="3"/>
    </row>
    <row r="45" spans="1:11" x14ac:dyDescent="0.3">
      <c r="A45" s="3" t="s">
        <v>45</v>
      </c>
      <c r="B45" s="8"/>
      <c r="C45" s="3"/>
      <c r="D45" s="3"/>
      <c r="E45" s="3"/>
      <c r="F45" s="3"/>
      <c r="G45" s="3"/>
      <c r="H45" s="3"/>
      <c r="I45" s="3"/>
      <c r="J45" s="3"/>
      <c r="K45" s="3"/>
    </row>
    <row r="46" spans="1:11" x14ac:dyDescent="0.3">
      <c r="A46" t="s">
        <v>46</v>
      </c>
      <c r="B46" s="7">
        <v>0</v>
      </c>
    </row>
    <row r="47" spans="1:11" x14ac:dyDescent="0.3">
      <c r="A47" s="3" t="s">
        <v>47</v>
      </c>
      <c r="B47" s="8"/>
      <c r="C47" s="3"/>
      <c r="D47" s="3"/>
      <c r="E47" s="3"/>
      <c r="F47" s="3"/>
      <c r="G47" s="3"/>
      <c r="H47" s="3"/>
      <c r="I47" s="3"/>
      <c r="J47" s="3"/>
      <c r="K47" s="3"/>
    </row>
    <row r="48" spans="1:11" x14ac:dyDescent="0.3">
      <c r="A48" t="s">
        <v>48</v>
      </c>
      <c r="B48" s="7">
        <v>1</v>
      </c>
    </row>
    <row r="49" spans="1:11" x14ac:dyDescent="0.3">
      <c r="A49" s="3" t="s">
        <v>49</v>
      </c>
      <c r="B49" s="8"/>
      <c r="C49" s="3"/>
      <c r="D49" s="3"/>
      <c r="E49" s="3"/>
      <c r="F49" s="3"/>
      <c r="G49" s="3"/>
      <c r="H49" s="3"/>
      <c r="I49" s="3"/>
      <c r="J49" s="3"/>
      <c r="K49" s="3"/>
    </row>
    <row r="50" spans="1:11" x14ac:dyDescent="0.3">
      <c r="A50" t="s">
        <v>50</v>
      </c>
      <c r="B50" s="7">
        <v>45</v>
      </c>
    </row>
    <row r="51" spans="1:11" x14ac:dyDescent="0.3">
      <c r="A51" s="3" t="s">
        <v>51</v>
      </c>
      <c r="B51" s="8"/>
      <c r="C51" s="3"/>
      <c r="D51" s="3"/>
      <c r="E51" s="3"/>
      <c r="F51" s="3"/>
      <c r="G51" s="3"/>
      <c r="H51" s="3"/>
      <c r="I51" s="3"/>
      <c r="J51" s="3"/>
      <c r="K51" s="3"/>
    </row>
    <row r="52" spans="1:11" x14ac:dyDescent="0.3">
      <c r="A52" t="s">
        <v>52</v>
      </c>
      <c r="B52" s="7">
        <v>0</v>
      </c>
    </row>
    <row r="53" spans="1:11" x14ac:dyDescent="0.3">
      <c r="A53" t="s">
        <v>53</v>
      </c>
      <c r="B53" s="7">
        <v>0</v>
      </c>
    </row>
    <row r="54" spans="1:11" x14ac:dyDescent="0.3">
      <c r="A54" s="3" t="s">
        <v>54</v>
      </c>
      <c r="B54" s="8"/>
      <c r="C54" s="3"/>
      <c r="D54" s="3"/>
      <c r="E54" s="3"/>
      <c r="F54" s="3"/>
      <c r="G54" s="3"/>
      <c r="H54" s="3"/>
      <c r="I54" s="3"/>
      <c r="J54" s="3"/>
      <c r="K54" s="3"/>
    </row>
    <row r="55" spans="1:11" x14ac:dyDescent="0.3">
      <c r="A55" t="s">
        <v>55</v>
      </c>
      <c r="B55" s="7">
        <v>0.2</v>
      </c>
    </row>
    <row r="56" spans="1:11" x14ac:dyDescent="0.3">
      <c r="A56" t="s">
        <v>56</v>
      </c>
      <c r="B56" s="7" t="s">
        <v>21</v>
      </c>
    </row>
    <row r="57" spans="1:11" x14ac:dyDescent="0.3">
      <c r="A57" s="3" t="s">
        <v>57</v>
      </c>
      <c r="B57" s="8"/>
      <c r="C57" s="3"/>
      <c r="D57" s="3"/>
      <c r="E57" s="3"/>
      <c r="F57" s="3"/>
      <c r="G57" s="3"/>
      <c r="H57" s="3"/>
      <c r="I57" s="3"/>
      <c r="J57" s="3"/>
      <c r="K57" s="3"/>
    </row>
    <row r="58" spans="1:11" x14ac:dyDescent="0.3">
      <c r="A58" t="s">
        <v>58</v>
      </c>
      <c r="B58" s="7">
        <v>0</v>
      </c>
    </row>
    <row r="59" spans="1:11" x14ac:dyDescent="0.3">
      <c r="A59" s="3" t="s">
        <v>59</v>
      </c>
      <c r="B59" s="8"/>
      <c r="C59" s="3"/>
      <c r="D59" s="3"/>
      <c r="E59" s="3"/>
      <c r="F59" s="3"/>
      <c r="G59" s="3"/>
      <c r="H59" s="3"/>
      <c r="I59" s="3"/>
      <c r="J59" s="3"/>
      <c r="K59" s="3"/>
    </row>
    <row r="60" spans="1:11" x14ac:dyDescent="0.3">
      <c r="A60" t="s">
        <v>60</v>
      </c>
      <c r="B60" s="7">
        <v>2</v>
      </c>
    </row>
    <row r="61" spans="1:11" x14ac:dyDescent="0.3">
      <c r="A61" s="3" t="s">
        <v>61</v>
      </c>
      <c r="B61" s="8"/>
      <c r="C61" s="3"/>
      <c r="D61" s="3"/>
      <c r="E61" s="3"/>
      <c r="F61" s="3"/>
      <c r="G61" s="3"/>
      <c r="H61" s="3"/>
      <c r="I61" s="3"/>
      <c r="J61" s="3"/>
      <c r="K61" s="3"/>
    </row>
    <row r="62" spans="1:11" x14ac:dyDescent="0.3">
      <c r="A62" t="s">
        <v>62</v>
      </c>
      <c r="B62" s="7">
        <v>0</v>
      </c>
    </row>
    <row r="63" spans="1:11" x14ac:dyDescent="0.3">
      <c r="A63" t="s">
        <v>63</v>
      </c>
      <c r="B63" s="7">
        <v>2</v>
      </c>
    </row>
    <row r="64" spans="1:11" x14ac:dyDescent="0.3">
      <c r="A64" t="s">
        <v>64</v>
      </c>
      <c r="B64" s="7">
        <v>0.2</v>
      </c>
    </row>
    <row r="65" spans="1:11" x14ac:dyDescent="0.3">
      <c r="A65" t="s">
        <v>65</v>
      </c>
      <c r="B65" s="7">
        <v>0</v>
      </c>
    </row>
    <row r="66" spans="1:11" x14ac:dyDescent="0.3">
      <c r="A66" t="s">
        <v>66</v>
      </c>
      <c r="B66" s="7">
        <v>1</v>
      </c>
    </row>
    <row r="67" spans="1:11" x14ac:dyDescent="0.3">
      <c r="A67" s="3" t="s">
        <v>67</v>
      </c>
      <c r="B67" s="8"/>
      <c r="C67" s="3"/>
      <c r="D67" s="3"/>
      <c r="E67" s="3"/>
      <c r="F67" s="3"/>
      <c r="G67" s="3"/>
      <c r="H67" s="3"/>
      <c r="I67" s="3"/>
      <c r="J67" s="3"/>
      <c r="K67" s="3"/>
    </row>
    <row r="68" spans="1:11" x14ac:dyDescent="0.3">
      <c r="A68" t="s">
        <v>68</v>
      </c>
      <c r="B68" s="11">
        <v>0.6</v>
      </c>
    </row>
    <row r="69" spans="1:11" x14ac:dyDescent="0.3">
      <c r="A69" s="3" t="s">
        <v>69</v>
      </c>
      <c r="B69" s="8"/>
      <c r="C69" s="3"/>
      <c r="D69" s="3"/>
      <c r="E69" s="3"/>
      <c r="F69" s="3"/>
      <c r="G69" s="3"/>
      <c r="H69" s="3"/>
      <c r="I69" s="3"/>
      <c r="J69" s="3"/>
      <c r="K69" s="3"/>
    </row>
    <row r="70" spans="1:11" x14ac:dyDescent="0.3">
      <c r="A70" t="s">
        <v>70</v>
      </c>
      <c r="B70" s="7">
        <v>0</v>
      </c>
    </row>
    <row r="71" spans="1:11" x14ac:dyDescent="0.3">
      <c r="A71" s="3" t="s">
        <v>71</v>
      </c>
      <c r="B71" s="8"/>
      <c r="C71" s="3"/>
      <c r="D71" s="3"/>
      <c r="E71" s="3"/>
      <c r="F71" s="3"/>
      <c r="G71" s="3"/>
      <c r="H71" s="3"/>
      <c r="I71" s="3"/>
      <c r="J71" s="3"/>
      <c r="K71" s="3"/>
    </row>
    <row r="72" spans="1:11" x14ac:dyDescent="0.3">
      <c r="A72" t="s">
        <v>72</v>
      </c>
      <c r="B72" s="7">
        <v>45</v>
      </c>
      <c r="C72">
        <f>MIN(C93,B72)</f>
        <v>45</v>
      </c>
      <c r="D72">
        <f t="shared" ref="D72:K72" si="0">MIN(D93,C72)</f>
        <v>45</v>
      </c>
      <c r="E72">
        <f t="shared" si="0"/>
        <v>45</v>
      </c>
      <c r="F72">
        <f t="shared" si="0"/>
        <v>45</v>
      </c>
      <c r="G72">
        <f t="shared" si="0"/>
        <v>40</v>
      </c>
      <c r="H72">
        <f t="shared" si="0"/>
        <v>35</v>
      </c>
      <c r="I72">
        <f t="shared" si="0"/>
        <v>30</v>
      </c>
      <c r="J72">
        <f t="shared" si="0"/>
        <v>30</v>
      </c>
      <c r="K72">
        <f t="shared" si="0"/>
        <v>25</v>
      </c>
    </row>
    <row r="73" spans="1:11" x14ac:dyDescent="0.3">
      <c r="A73" t="s">
        <v>73</v>
      </c>
      <c r="B73" s="7">
        <v>25</v>
      </c>
      <c r="C73">
        <f>MIN(B73,C93)</f>
        <v>25</v>
      </c>
      <c r="D73">
        <f t="shared" ref="D73:K73" si="1">MIN(C73,D93)</f>
        <v>25</v>
      </c>
      <c r="E73">
        <f t="shared" si="1"/>
        <v>25</v>
      </c>
      <c r="F73">
        <f t="shared" si="1"/>
        <v>25</v>
      </c>
      <c r="G73">
        <f t="shared" si="1"/>
        <v>25</v>
      </c>
      <c r="H73">
        <f t="shared" si="1"/>
        <v>25</v>
      </c>
      <c r="I73">
        <f t="shared" si="1"/>
        <v>25</v>
      </c>
      <c r="J73">
        <f t="shared" si="1"/>
        <v>25</v>
      </c>
      <c r="K73">
        <f t="shared" si="1"/>
        <v>25</v>
      </c>
    </row>
    <row r="74" spans="1:11" x14ac:dyDescent="0.3">
      <c r="A74" t="s">
        <v>74</v>
      </c>
      <c r="B74" s="7">
        <v>35</v>
      </c>
      <c r="C74">
        <f>MIN(B74,C93)</f>
        <v>35</v>
      </c>
      <c r="D74">
        <f t="shared" ref="D74:K74" si="2">MIN(C74,D93)</f>
        <v>35</v>
      </c>
      <c r="E74">
        <f t="shared" si="2"/>
        <v>35</v>
      </c>
      <c r="F74">
        <f t="shared" si="2"/>
        <v>35</v>
      </c>
      <c r="G74">
        <f t="shared" si="2"/>
        <v>35</v>
      </c>
      <c r="H74">
        <f t="shared" si="2"/>
        <v>35</v>
      </c>
      <c r="I74">
        <f t="shared" si="2"/>
        <v>30</v>
      </c>
      <c r="J74">
        <f t="shared" si="2"/>
        <v>30</v>
      </c>
      <c r="K74">
        <f t="shared" si="2"/>
        <v>25</v>
      </c>
    </row>
    <row r="75" spans="1:11" x14ac:dyDescent="0.3">
      <c r="A75" t="s">
        <v>75</v>
      </c>
      <c r="B75" s="7">
        <f>B93</f>
        <v>60</v>
      </c>
      <c r="C75" s="7">
        <f t="shared" ref="C75:K75" si="3">C93</f>
        <v>60</v>
      </c>
      <c r="D75" s="7">
        <f t="shared" si="3"/>
        <v>55</v>
      </c>
      <c r="E75" s="7">
        <f t="shared" si="3"/>
        <v>50</v>
      </c>
      <c r="F75" s="7">
        <f t="shared" si="3"/>
        <v>45</v>
      </c>
      <c r="G75" s="7">
        <f t="shared" si="3"/>
        <v>40</v>
      </c>
      <c r="H75" s="7">
        <f t="shared" si="3"/>
        <v>35</v>
      </c>
      <c r="I75" s="7">
        <f t="shared" si="3"/>
        <v>30</v>
      </c>
      <c r="J75" s="7">
        <f t="shared" si="3"/>
        <v>30</v>
      </c>
      <c r="K75" s="7">
        <f t="shared" si="3"/>
        <v>25</v>
      </c>
    </row>
    <row r="76" spans="1:11" x14ac:dyDescent="0.3">
      <c r="A76" t="s">
        <v>76</v>
      </c>
      <c r="B76" s="7">
        <v>45</v>
      </c>
      <c r="C76">
        <f>MIN(B76,C93)</f>
        <v>45</v>
      </c>
      <c r="D76">
        <f t="shared" ref="D76:K76" si="4">MIN(C76,D93)</f>
        <v>45</v>
      </c>
      <c r="E76">
        <f t="shared" si="4"/>
        <v>45</v>
      </c>
      <c r="F76">
        <f t="shared" si="4"/>
        <v>45</v>
      </c>
      <c r="G76">
        <f t="shared" si="4"/>
        <v>40</v>
      </c>
      <c r="H76">
        <f t="shared" si="4"/>
        <v>35</v>
      </c>
      <c r="I76">
        <f t="shared" si="4"/>
        <v>30</v>
      </c>
      <c r="J76">
        <f t="shared" si="4"/>
        <v>30</v>
      </c>
      <c r="K76">
        <f t="shared" si="4"/>
        <v>25</v>
      </c>
    </row>
    <row r="77" spans="1:11" x14ac:dyDescent="0.3">
      <c r="A77" t="s">
        <v>77</v>
      </c>
      <c r="B77" s="7">
        <v>35</v>
      </c>
      <c r="C77">
        <f>MIN(B77,C93)</f>
        <v>35</v>
      </c>
      <c r="D77">
        <f t="shared" ref="D77:K77" si="5">MIN(C77,D93)</f>
        <v>35</v>
      </c>
      <c r="E77">
        <f t="shared" si="5"/>
        <v>35</v>
      </c>
      <c r="F77">
        <f t="shared" si="5"/>
        <v>35</v>
      </c>
      <c r="G77">
        <f t="shared" si="5"/>
        <v>35</v>
      </c>
      <c r="H77">
        <f t="shared" si="5"/>
        <v>35</v>
      </c>
      <c r="I77">
        <f t="shared" si="5"/>
        <v>30</v>
      </c>
      <c r="J77">
        <f t="shared" si="5"/>
        <v>30</v>
      </c>
      <c r="K77">
        <f t="shared" si="5"/>
        <v>25</v>
      </c>
    </row>
    <row r="78" spans="1:11" x14ac:dyDescent="0.3">
      <c r="A78" t="s">
        <v>78</v>
      </c>
      <c r="B78" s="7">
        <v>45</v>
      </c>
      <c r="C78">
        <f>MIN(B78,C93)</f>
        <v>45</v>
      </c>
      <c r="D78">
        <f t="shared" ref="D78:K78" si="6">MIN(C78,D93)</f>
        <v>45</v>
      </c>
      <c r="E78">
        <f t="shared" si="6"/>
        <v>45</v>
      </c>
      <c r="F78">
        <f t="shared" si="6"/>
        <v>45</v>
      </c>
      <c r="G78">
        <f t="shared" si="6"/>
        <v>40</v>
      </c>
      <c r="H78">
        <f t="shared" si="6"/>
        <v>35</v>
      </c>
      <c r="I78">
        <f t="shared" si="6"/>
        <v>30</v>
      </c>
      <c r="J78">
        <f t="shared" si="6"/>
        <v>30</v>
      </c>
      <c r="K78">
        <f t="shared" si="6"/>
        <v>25</v>
      </c>
    </row>
    <row r="79" spans="1:11" x14ac:dyDescent="0.3">
      <c r="A79" t="s">
        <v>79</v>
      </c>
      <c r="B79" s="11">
        <v>1</v>
      </c>
    </row>
    <row r="80" spans="1:11" x14ac:dyDescent="0.3">
      <c r="A80" t="s">
        <v>80</v>
      </c>
      <c r="B80" s="7">
        <v>30</v>
      </c>
      <c r="C80">
        <f>MIN(B80,C93)</f>
        <v>30</v>
      </c>
      <c r="D80">
        <f t="shared" ref="D80:K80" si="7">MIN(C80,D93)</f>
        <v>30</v>
      </c>
      <c r="E80">
        <f t="shared" si="7"/>
        <v>30</v>
      </c>
      <c r="F80">
        <f t="shared" si="7"/>
        <v>30</v>
      </c>
      <c r="G80">
        <f t="shared" si="7"/>
        <v>30</v>
      </c>
      <c r="H80">
        <f t="shared" si="7"/>
        <v>30</v>
      </c>
      <c r="I80">
        <f t="shared" si="7"/>
        <v>30</v>
      </c>
      <c r="J80">
        <f t="shared" si="7"/>
        <v>30</v>
      </c>
      <c r="K80">
        <f t="shared" si="7"/>
        <v>25</v>
      </c>
    </row>
    <row r="81" spans="1:11" x14ac:dyDescent="0.3">
      <c r="A81" t="s">
        <v>81</v>
      </c>
      <c r="B81" s="7">
        <v>20</v>
      </c>
      <c r="C81">
        <f>MIN(B81,C93)</f>
        <v>20</v>
      </c>
      <c r="D81">
        <f t="shared" ref="D81:L81" si="8">MIN(C81,D93)</f>
        <v>20</v>
      </c>
      <c r="E81">
        <f t="shared" si="8"/>
        <v>20</v>
      </c>
      <c r="F81">
        <f t="shared" si="8"/>
        <v>20</v>
      </c>
      <c r="G81">
        <f t="shared" si="8"/>
        <v>20</v>
      </c>
      <c r="H81">
        <f t="shared" si="8"/>
        <v>20</v>
      </c>
      <c r="I81">
        <f t="shared" si="8"/>
        <v>20</v>
      </c>
      <c r="J81">
        <f t="shared" si="8"/>
        <v>20</v>
      </c>
      <c r="K81">
        <f t="shared" si="8"/>
        <v>20</v>
      </c>
    </row>
    <row r="82" spans="1:11" x14ac:dyDescent="0.3">
      <c r="A82" s="3" t="s">
        <v>82</v>
      </c>
      <c r="B82" s="8"/>
      <c r="C82" s="3"/>
      <c r="D82" s="3"/>
      <c r="E82" s="3"/>
      <c r="F82" s="3"/>
      <c r="G82" s="3"/>
      <c r="H82" s="3"/>
      <c r="I82" s="3"/>
      <c r="J82" s="3"/>
      <c r="K82" s="3"/>
    </row>
    <row r="83" spans="1:11" x14ac:dyDescent="0.3">
      <c r="A83" t="s">
        <v>83</v>
      </c>
      <c r="B83" s="7">
        <v>120</v>
      </c>
    </row>
    <row r="84" spans="1:11" x14ac:dyDescent="0.3">
      <c r="A84" s="3" t="s">
        <v>84</v>
      </c>
      <c r="B84" s="8"/>
      <c r="C84" s="3"/>
      <c r="D84" s="3"/>
      <c r="E84" s="3"/>
      <c r="F84" s="3"/>
      <c r="G84" s="3"/>
      <c r="H84" s="3"/>
      <c r="I84" s="3"/>
      <c r="J84" s="3"/>
      <c r="K84" s="3"/>
    </row>
    <row r="85" spans="1:11" x14ac:dyDescent="0.3">
      <c r="A85" t="s">
        <v>85</v>
      </c>
      <c r="B85" s="7">
        <v>30</v>
      </c>
    </row>
    <row r="86" spans="1:11" x14ac:dyDescent="0.3">
      <c r="A86" s="3" t="s">
        <v>86</v>
      </c>
      <c r="B86" s="8"/>
      <c r="C86" s="3"/>
      <c r="D86" s="3"/>
      <c r="E86" s="3"/>
      <c r="F86" s="3"/>
      <c r="G86" s="3"/>
      <c r="H86" s="3"/>
      <c r="I86" s="3"/>
      <c r="J86" s="3"/>
      <c r="K86" s="3"/>
    </row>
    <row r="87" spans="1:11" x14ac:dyDescent="0.3">
      <c r="A87" t="s">
        <v>87</v>
      </c>
      <c r="B87" s="7">
        <v>500</v>
      </c>
    </row>
    <row r="88" spans="1:11" x14ac:dyDescent="0.3">
      <c r="A88" t="s">
        <v>88</v>
      </c>
      <c r="B88" s="7">
        <v>500</v>
      </c>
    </row>
    <row r="89" spans="1:11" x14ac:dyDescent="0.3">
      <c r="A89" t="s">
        <v>89</v>
      </c>
      <c r="B89" s="7">
        <v>500</v>
      </c>
    </row>
    <row r="90" spans="1:11" x14ac:dyDescent="0.3">
      <c r="A90" t="s">
        <v>90</v>
      </c>
      <c r="B90" s="7">
        <v>500</v>
      </c>
    </row>
    <row r="91" spans="1:11" x14ac:dyDescent="0.3">
      <c r="A91" t="s">
        <v>91</v>
      </c>
      <c r="B91" s="7">
        <v>500</v>
      </c>
    </row>
    <row r="92" spans="1:11" x14ac:dyDescent="0.3">
      <c r="A92" s="3" t="s">
        <v>92</v>
      </c>
      <c r="B92" s="8"/>
      <c r="C92" s="3"/>
      <c r="D92" s="3"/>
      <c r="E92" s="3"/>
      <c r="F92" s="3"/>
      <c r="G92" s="3"/>
      <c r="H92" s="3"/>
      <c r="I92" s="3"/>
      <c r="J92" s="3"/>
      <c r="K92" s="3"/>
    </row>
    <row r="93" spans="1:11" x14ac:dyDescent="0.3">
      <c r="A93" t="s">
        <v>93</v>
      </c>
      <c r="B93" s="7">
        <v>60</v>
      </c>
      <c r="C93">
        <v>60</v>
      </c>
      <c r="D93">
        <v>55</v>
      </c>
      <c r="E93">
        <v>50</v>
      </c>
      <c r="F93">
        <v>45</v>
      </c>
      <c r="G93">
        <v>40</v>
      </c>
      <c r="H93">
        <v>35</v>
      </c>
      <c r="I93">
        <v>30</v>
      </c>
      <c r="J93">
        <v>30</v>
      </c>
      <c r="K93">
        <v>25</v>
      </c>
    </row>
    <row r="94" spans="1:11" x14ac:dyDescent="0.3">
      <c r="A94" t="s">
        <v>94</v>
      </c>
      <c r="B94" s="7">
        <v>0</v>
      </c>
    </row>
    <row r="95" spans="1:11" x14ac:dyDescent="0.3">
      <c r="A95" t="s">
        <v>95</v>
      </c>
      <c r="B95" s="7">
        <v>0</v>
      </c>
    </row>
    <row r="96" spans="1:11" x14ac:dyDescent="0.3">
      <c r="A96" t="s">
        <v>96</v>
      </c>
      <c r="B96" s="7">
        <v>0</v>
      </c>
    </row>
    <row r="97" spans="1:11" x14ac:dyDescent="0.3">
      <c r="A97" s="3" t="s">
        <v>97</v>
      </c>
      <c r="B97" s="8"/>
      <c r="C97" s="3"/>
      <c r="D97" s="3"/>
      <c r="E97" s="3"/>
      <c r="F97" s="3"/>
      <c r="G97" s="3"/>
      <c r="H97" s="3"/>
      <c r="I97" s="3"/>
      <c r="J97" s="3"/>
      <c r="K97" s="3"/>
    </row>
    <row r="98" spans="1:11" x14ac:dyDescent="0.3">
      <c r="A98" t="s">
        <v>98</v>
      </c>
      <c r="B98" s="7">
        <v>1</v>
      </c>
    </row>
    <row r="99" spans="1:11" x14ac:dyDescent="0.3">
      <c r="A99" t="s">
        <v>99</v>
      </c>
      <c r="B99" s="7">
        <v>1</v>
      </c>
    </row>
    <row r="100" spans="1:11" x14ac:dyDescent="0.3">
      <c r="A100" t="s">
        <v>100</v>
      </c>
      <c r="B100" s="7">
        <v>1</v>
      </c>
    </row>
    <row r="101" spans="1:11" x14ac:dyDescent="0.3">
      <c r="A101" t="s">
        <v>101</v>
      </c>
      <c r="B101" s="7">
        <v>1</v>
      </c>
    </row>
    <row r="102" spans="1:11" x14ac:dyDescent="0.3">
      <c r="A102" t="s">
        <v>102</v>
      </c>
      <c r="B102" s="7">
        <v>1</v>
      </c>
    </row>
    <row r="103" spans="1:11" x14ac:dyDescent="0.3">
      <c r="A103" s="3" t="s">
        <v>103</v>
      </c>
      <c r="B103" s="8"/>
      <c r="C103" s="3"/>
      <c r="D103" s="3"/>
      <c r="E103" s="3"/>
      <c r="F103" s="3"/>
      <c r="G103" s="3"/>
      <c r="H103" s="3"/>
      <c r="I103" s="3"/>
      <c r="J103" s="3"/>
      <c r="K103" s="3"/>
    </row>
    <row r="104" spans="1:11" x14ac:dyDescent="0.3">
      <c r="A104" t="s">
        <v>104</v>
      </c>
      <c r="B104" s="7">
        <v>0</v>
      </c>
    </row>
    <row r="105" spans="1:11" x14ac:dyDescent="0.3">
      <c r="A105" t="s">
        <v>105</v>
      </c>
      <c r="B105" s="7">
        <v>-5</v>
      </c>
    </row>
    <row r="106" spans="1:11" x14ac:dyDescent="0.3">
      <c r="A106" s="3" t="s">
        <v>106</v>
      </c>
      <c r="B106" s="8"/>
      <c r="C106" s="3"/>
      <c r="D106" s="3"/>
      <c r="E106" s="3"/>
      <c r="F106" s="3"/>
      <c r="G106" s="3"/>
      <c r="H106" s="3"/>
      <c r="I106" s="3"/>
      <c r="J106" s="3"/>
      <c r="K106" s="3"/>
    </row>
    <row r="107" spans="1:11" x14ac:dyDescent="0.3">
      <c r="A107" t="s">
        <v>107</v>
      </c>
      <c r="B107" s="7">
        <v>0</v>
      </c>
    </row>
    <row r="108" spans="1:11" x14ac:dyDescent="0.3">
      <c r="A108" t="s">
        <v>108</v>
      </c>
      <c r="B108" s="7">
        <v>180</v>
      </c>
    </row>
    <row r="109" spans="1:11" x14ac:dyDescent="0.3">
      <c r="A109" t="s">
        <v>109</v>
      </c>
      <c r="B109" s="7">
        <v>140</v>
      </c>
    </row>
    <row r="110" spans="1:11" x14ac:dyDescent="0.3">
      <c r="A110" t="s">
        <v>110</v>
      </c>
      <c r="B110" s="7">
        <v>60</v>
      </c>
    </row>
    <row r="111" spans="1:11" x14ac:dyDescent="0.3">
      <c r="A111" t="s">
        <v>111</v>
      </c>
      <c r="B111" s="7">
        <v>0</v>
      </c>
    </row>
    <row r="112" spans="1:11" x14ac:dyDescent="0.3">
      <c r="A112" t="s">
        <v>112</v>
      </c>
      <c r="B112" s="7">
        <v>10</v>
      </c>
    </row>
    <row r="113" spans="1:11" x14ac:dyDescent="0.3">
      <c r="A113" s="3" t="s">
        <v>113</v>
      </c>
      <c r="B113" s="8"/>
      <c r="C113" s="3"/>
      <c r="D113" s="3"/>
      <c r="E113" s="3"/>
      <c r="F113" s="3"/>
      <c r="G113" s="3"/>
      <c r="H113" s="3"/>
      <c r="I113" s="3"/>
      <c r="J113" s="3"/>
      <c r="K113" s="3"/>
    </row>
    <row r="114" spans="1:11" x14ac:dyDescent="0.3">
      <c r="A114" t="s">
        <v>114</v>
      </c>
      <c r="B114" s="7">
        <v>0</v>
      </c>
    </row>
    <row r="115" spans="1:11" x14ac:dyDescent="0.3">
      <c r="A115" t="s">
        <v>115</v>
      </c>
      <c r="B115" s="7">
        <v>0</v>
      </c>
    </row>
    <row r="116" spans="1:11" x14ac:dyDescent="0.3">
      <c r="A116" s="3" t="s">
        <v>116</v>
      </c>
      <c r="B116" s="8"/>
      <c r="C116" s="3"/>
      <c r="D116" s="3"/>
      <c r="E116" s="3"/>
      <c r="F116" s="3"/>
      <c r="G116" s="3"/>
      <c r="H116" s="3"/>
      <c r="I116" s="3"/>
      <c r="J116" s="3"/>
      <c r="K116" s="3"/>
    </row>
    <row r="117" spans="1:11" x14ac:dyDescent="0.3">
      <c r="A117" t="s">
        <v>117</v>
      </c>
      <c r="B117" s="13">
        <v>0</v>
      </c>
      <c r="C117" s="14">
        <f>Nozzle_Diameter*0.98</f>
        <v>0.49</v>
      </c>
      <c r="D117" s="14">
        <f>Nozzle_Diameter*0.98</f>
        <v>0.49</v>
      </c>
      <c r="E117" s="14">
        <f>Nozzle_Diameter*0.98</f>
        <v>0.49</v>
      </c>
      <c r="F117" s="14">
        <f>Nozzle_Diameter*0.98</f>
        <v>0.49</v>
      </c>
      <c r="G117" s="14">
        <f>Nozzle_Diameter*0.98</f>
        <v>0.49</v>
      </c>
      <c r="H117" s="14">
        <f>Nozzle_Diameter*0.98</f>
        <v>0.49</v>
      </c>
      <c r="I117" s="14">
        <f>Nozzle_Diameter*0.98</f>
        <v>0.49</v>
      </c>
      <c r="J117" s="14">
        <f>Nozzle_Diameter*0.98</f>
        <v>0.49</v>
      </c>
      <c r="K117" s="14">
        <f>Nozzle_Diameter*0.98</f>
        <v>0.49</v>
      </c>
    </row>
    <row r="118" spans="1:11" x14ac:dyDescent="0.3">
      <c r="A118" t="s">
        <v>118</v>
      </c>
      <c r="B118" s="13">
        <v>0</v>
      </c>
      <c r="C118" s="14">
        <f>Nozzle_Diameter</f>
        <v>0.5</v>
      </c>
      <c r="D118" s="14">
        <f>Nozzle_Diameter</f>
        <v>0.5</v>
      </c>
      <c r="E118" s="14">
        <f>Nozzle_Diameter</f>
        <v>0.5</v>
      </c>
      <c r="F118" s="14">
        <f>Nozzle_Diameter</f>
        <v>0.5</v>
      </c>
      <c r="G118" s="14">
        <f>Nozzle_Diameter</f>
        <v>0.5</v>
      </c>
      <c r="H118" s="14">
        <f>Nozzle_Diameter</f>
        <v>0.5</v>
      </c>
      <c r="I118" s="14">
        <f>Nozzle_Diameter</f>
        <v>0.5</v>
      </c>
      <c r="J118" s="14">
        <f>Nozzle_Diameter</f>
        <v>0.5</v>
      </c>
      <c r="K118" s="14">
        <f>Nozzle_Diameter</f>
        <v>0.5</v>
      </c>
    </row>
    <row r="119" spans="1:11" x14ac:dyDescent="0.3">
      <c r="A119" t="s">
        <v>119</v>
      </c>
      <c r="B119" s="13">
        <v>0</v>
      </c>
      <c r="C119" s="14">
        <f>Nozzle_Diameter*0.98</f>
        <v>0.49</v>
      </c>
      <c r="D119" s="14">
        <f>Nozzle_Diameter*0.98</f>
        <v>0.49</v>
      </c>
      <c r="E119" s="14">
        <f>Nozzle_Diameter*0.98</f>
        <v>0.49</v>
      </c>
      <c r="F119" s="14">
        <f>Nozzle_Diameter*0.98</f>
        <v>0.49</v>
      </c>
      <c r="G119" s="14">
        <f>Nozzle_Diameter*0.98</f>
        <v>0.49</v>
      </c>
      <c r="H119" s="14">
        <f>Nozzle_Diameter*0.98</f>
        <v>0.49</v>
      </c>
      <c r="I119" s="14">
        <f>Nozzle_Diameter*0.98</f>
        <v>0.49</v>
      </c>
      <c r="J119" s="14">
        <f>Nozzle_Diameter*0.98</f>
        <v>0.49</v>
      </c>
      <c r="K119" s="14">
        <f>Nozzle_Diameter*0.98</f>
        <v>0.49</v>
      </c>
    </row>
    <row r="120" spans="1:11" x14ac:dyDescent="0.3">
      <c r="A120" t="s">
        <v>120</v>
      </c>
      <c r="B120" s="13">
        <v>0</v>
      </c>
      <c r="C120" s="14">
        <f>Nozzle_Diameter*0.98</f>
        <v>0.49</v>
      </c>
      <c r="D120" s="14">
        <f>Nozzle_Diameter*0.98</f>
        <v>0.49</v>
      </c>
      <c r="E120" s="14">
        <f>Nozzle_Diameter*0.98</f>
        <v>0.49</v>
      </c>
      <c r="F120" s="14">
        <f>Nozzle_Diameter*0.98</f>
        <v>0.49</v>
      </c>
      <c r="G120" s="14">
        <f>Nozzle_Diameter*0.98</f>
        <v>0.49</v>
      </c>
      <c r="H120" s="14">
        <f>Nozzle_Diameter*0.98</f>
        <v>0.49</v>
      </c>
      <c r="I120" s="14">
        <f>Nozzle_Diameter*0.98</f>
        <v>0.49</v>
      </c>
      <c r="J120" s="14">
        <f>Nozzle_Diameter*0.98</f>
        <v>0.49</v>
      </c>
      <c r="K120" s="14">
        <f>Nozzle_Diameter*0.98</f>
        <v>0.49</v>
      </c>
    </row>
    <row r="121" spans="1:11" x14ac:dyDescent="0.3">
      <c r="A121" t="s">
        <v>121</v>
      </c>
      <c r="B121" s="13">
        <v>0</v>
      </c>
      <c r="C121" s="14">
        <f>Nozzle_Diameter*1.125</f>
        <v>0.5625</v>
      </c>
      <c r="D121" s="14">
        <f>Nozzle_Diameter*1.125</f>
        <v>0.5625</v>
      </c>
      <c r="E121" s="14">
        <f>Nozzle_Diameter*1.125</f>
        <v>0.5625</v>
      </c>
      <c r="F121" s="14">
        <f>Nozzle_Diameter*1.125</f>
        <v>0.5625</v>
      </c>
      <c r="G121" s="14">
        <f>Nozzle_Diameter*1.125</f>
        <v>0.5625</v>
      </c>
      <c r="H121" s="14">
        <f>Nozzle_Diameter*1.125</f>
        <v>0.5625</v>
      </c>
      <c r="I121" s="14">
        <f>Nozzle_Diameter*1.125</f>
        <v>0.5625</v>
      </c>
      <c r="J121" s="14">
        <f>Nozzle_Diameter*1.125</f>
        <v>0.5625</v>
      </c>
      <c r="K121" s="14">
        <f>Nozzle_Diameter*1.125</f>
        <v>0.5625</v>
      </c>
    </row>
    <row r="122" spans="1:11" x14ac:dyDescent="0.3">
      <c r="A122" t="s">
        <v>122</v>
      </c>
      <c r="B122" s="13">
        <v>0</v>
      </c>
      <c r="C122" s="14">
        <f>Nozzle_Diameter*0.98</f>
        <v>0.49</v>
      </c>
      <c r="D122" s="14">
        <f>Nozzle_Diameter*0.98</f>
        <v>0.49</v>
      </c>
      <c r="E122" s="14">
        <f>Nozzle_Diameter*0.98</f>
        <v>0.49</v>
      </c>
      <c r="F122" s="14">
        <f>Nozzle_Diameter*0.98</f>
        <v>0.49</v>
      </c>
      <c r="G122" s="14">
        <f>Nozzle_Diameter*0.98</f>
        <v>0.49</v>
      </c>
      <c r="H122" s="14">
        <f>Nozzle_Diameter*0.98</f>
        <v>0.49</v>
      </c>
      <c r="I122" s="14">
        <f>Nozzle_Diameter*0.98</f>
        <v>0.49</v>
      </c>
      <c r="J122" s="14">
        <f>Nozzle_Diameter*0.98</f>
        <v>0.49</v>
      </c>
      <c r="K122" s="14">
        <f>Nozzle_Diameter*0.98</f>
        <v>0.49</v>
      </c>
    </row>
    <row r="123" spans="1:11" x14ac:dyDescent="0.3">
      <c r="A123" t="s">
        <v>123</v>
      </c>
      <c r="B123" s="13">
        <v>0</v>
      </c>
      <c r="C123" s="14">
        <f>Nozzle_Diameter*0.98</f>
        <v>0.49</v>
      </c>
      <c r="D123" s="14">
        <f>Nozzle_Diameter*0.98</f>
        <v>0.49</v>
      </c>
      <c r="E123" s="14">
        <f>Nozzle_Diameter*0.98</f>
        <v>0.49</v>
      </c>
      <c r="F123" s="14">
        <f>Nozzle_Diameter*0.98</f>
        <v>0.49</v>
      </c>
      <c r="G123" s="14">
        <f>Nozzle_Diameter*0.98</f>
        <v>0.49</v>
      </c>
      <c r="H123" s="14">
        <f>Nozzle_Diameter*0.98</f>
        <v>0.49</v>
      </c>
      <c r="I123" s="14">
        <f>Nozzle_Diameter*0.98</f>
        <v>0.49</v>
      </c>
      <c r="J123" s="14">
        <f>Nozzle_Diameter*0.98</f>
        <v>0.49</v>
      </c>
      <c r="K123" s="14">
        <f>Nozzle_Diameter*0.98</f>
        <v>0.49</v>
      </c>
    </row>
    <row r="124" spans="1:11" x14ac:dyDescent="0.3">
      <c r="A124" t="s">
        <v>124</v>
      </c>
      <c r="B124" s="13">
        <v>0</v>
      </c>
      <c r="C124" s="14">
        <f>Nozzle_Diameter*1.125</f>
        <v>0.5625</v>
      </c>
      <c r="D124" s="14">
        <f>Nozzle_Diameter*1.125</f>
        <v>0.5625</v>
      </c>
      <c r="E124" s="14">
        <f>Nozzle_Diameter*1.125</f>
        <v>0.5625</v>
      </c>
      <c r="F124" s="14">
        <f>Nozzle_Diameter*1.125</f>
        <v>0.5625</v>
      </c>
      <c r="G124" s="14">
        <f>Nozzle_Diameter*1.125</f>
        <v>0.5625</v>
      </c>
      <c r="H124" s="14">
        <f>Nozzle_Diameter*1.125</f>
        <v>0.5625</v>
      </c>
      <c r="I124" s="14">
        <f>Nozzle_Diameter*1.125</f>
        <v>0.5625</v>
      </c>
      <c r="J124" s="14">
        <f>Nozzle_Diameter*1.125</f>
        <v>0.5625</v>
      </c>
      <c r="K124" s="14">
        <f>Nozzle_Diameter*1.125</f>
        <v>0.5625</v>
      </c>
    </row>
    <row r="125" spans="1:11" x14ac:dyDescent="0.3">
      <c r="A125" s="3" t="s">
        <v>125</v>
      </c>
      <c r="B125" s="8"/>
      <c r="C125" s="3"/>
      <c r="D125" s="3"/>
      <c r="E125" s="3"/>
      <c r="F125" s="3"/>
      <c r="G125" s="3"/>
      <c r="H125" s="3"/>
      <c r="I125" s="3"/>
      <c r="J125" s="3"/>
      <c r="K125" s="3"/>
    </row>
    <row r="126" spans="1:11" x14ac:dyDescent="0.3">
      <c r="A126" t="s">
        <v>126</v>
      </c>
      <c r="B126" s="11">
        <v>0.1</v>
      </c>
    </row>
    <row r="127" spans="1:11" x14ac:dyDescent="0.3">
      <c r="A127" s="3" t="s">
        <v>127</v>
      </c>
      <c r="B127" s="8"/>
      <c r="C127" s="3"/>
      <c r="D127" s="3"/>
      <c r="E127" s="3"/>
      <c r="F127" s="3"/>
      <c r="G127" s="3"/>
      <c r="H127" s="3"/>
      <c r="I127" s="3"/>
      <c r="J127" s="3"/>
      <c r="K127" s="3"/>
    </row>
    <row r="128" spans="1:11" x14ac:dyDescent="0.3">
      <c r="A128" t="s">
        <v>128</v>
      </c>
      <c r="B128" s="7">
        <v>0.8</v>
      </c>
    </row>
    <row r="129" spans="1:11" x14ac:dyDescent="0.3">
      <c r="A129" s="3" t="s">
        <v>129</v>
      </c>
      <c r="B129" s="8"/>
      <c r="C129" s="3"/>
      <c r="D129" s="3"/>
      <c r="E129" s="3"/>
      <c r="F129" s="3"/>
      <c r="G129" s="3"/>
      <c r="H129" s="3"/>
      <c r="I129" s="3"/>
      <c r="J129" s="3"/>
      <c r="K129" s="3"/>
    </row>
    <row r="130" spans="1:11" x14ac:dyDescent="0.3">
      <c r="A130" t="s">
        <v>130</v>
      </c>
      <c r="B130" s="7">
        <v>1</v>
      </c>
    </row>
    <row r="131" spans="1:11" x14ac:dyDescent="0.3">
      <c r="A131" t="s">
        <v>131</v>
      </c>
      <c r="B131" s="7">
        <v>0</v>
      </c>
    </row>
    <row r="132" spans="1:11" x14ac:dyDescent="0.3">
      <c r="A132" t="s">
        <v>132</v>
      </c>
      <c r="B132" s="7">
        <v>0</v>
      </c>
    </row>
    <row r="133" spans="1:11" x14ac:dyDescent="0.3">
      <c r="A133" t="s">
        <v>133</v>
      </c>
      <c r="B133" s="7">
        <v>0</v>
      </c>
    </row>
    <row r="134" spans="1:11" x14ac:dyDescent="0.3">
      <c r="A134" s="3" t="s">
        <v>134</v>
      </c>
      <c r="B134" s="8"/>
      <c r="C134" s="3"/>
      <c r="D134" s="3"/>
      <c r="E134" s="3"/>
      <c r="F134" s="3"/>
      <c r="G134" s="3"/>
      <c r="H134" s="3"/>
      <c r="I134" s="3"/>
      <c r="J134" s="3"/>
      <c r="K134" s="3"/>
    </row>
    <row r="135" spans="1:11" x14ac:dyDescent="0.3">
      <c r="A135" s="3" t="s">
        <v>135</v>
      </c>
      <c r="B135" s="8"/>
      <c r="C135" s="3"/>
      <c r="D135" s="3"/>
      <c r="E135" s="3"/>
      <c r="F135" s="3"/>
      <c r="G135" s="3"/>
      <c r="H135" s="3"/>
      <c r="I135" s="3"/>
      <c r="J135" s="3"/>
      <c r="K135" s="3"/>
    </row>
    <row r="136" spans="1:11" x14ac:dyDescent="0.3">
      <c r="A136" t="s">
        <v>136</v>
      </c>
      <c r="B136" s="7">
        <v>0</v>
      </c>
    </row>
    <row r="137" spans="1:11" x14ac:dyDescent="0.3">
      <c r="A137" s="3" t="s">
        <v>137</v>
      </c>
      <c r="B137" s="8"/>
      <c r="C137" s="3"/>
      <c r="D137" s="3"/>
      <c r="E137" s="3"/>
      <c r="F137" s="3"/>
      <c r="G137" s="3"/>
      <c r="H137" s="3"/>
      <c r="I137" s="3"/>
      <c r="J137" s="3"/>
      <c r="K137" s="3"/>
    </row>
    <row r="138" spans="1:11" x14ac:dyDescent="0.3">
      <c r="A138" t="s">
        <v>138</v>
      </c>
      <c r="B138" s="7">
        <v>20</v>
      </c>
    </row>
    <row r="139" spans="1:11" x14ac:dyDescent="0.3">
      <c r="A139" t="s">
        <v>139</v>
      </c>
      <c r="B139" s="7">
        <v>20</v>
      </c>
    </row>
    <row r="140" spans="1:11" x14ac:dyDescent="0.3">
      <c r="A140" s="3" t="s">
        <v>140</v>
      </c>
      <c r="B140" s="8"/>
      <c r="C140" s="3"/>
      <c r="D140" s="3"/>
      <c r="E140" s="3"/>
      <c r="F140" s="3"/>
      <c r="G140" s="3"/>
      <c r="H140" s="3"/>
      <c r="I140" s="3"/>
      <c r="J140" s="3"/>
      <c r="K140" s="3"/>
    </row>
    <row r="141" spans="1:11" x14ac:dyDescent="0.3">
      <c r="A141" t="s">
        <v>141</v>
      </c>
      <c r="B141" s="7">
        <v>1</v>
      </c>
    </row>
    <row r="142" spans="1:11" ht="28.8" x14ac:dyDescent="0.3">
      <c r="A142" t="s">
        <v>142</v>
      </c>
      <c r="B142" s="10" t="s">
        <v>143</v>
      </c>
    </row>
    <row r="143" spans="1:11" x14ac:dyDescent="0.3">
      <c r="A143" s="3" t="s">
        <v>144</v>
      </c>
      <c r="B143" s="8"/>
      <c r="C143" s="3"/>
      <c r="D143" s="3"/>
      <c r="E143" s="3"/>
      <c r="F143" s="3"/>
      <c r="G143" s="3"/>
      <c r="H143" s="3"/>
      <c r="I143" s="3"/>
      <c r="J143" s="3"/>
      <c r="K143" s="3"/>
    </row>
    <row r="144" spans="1:11" x14ac:dyDescent="0.3">
      <c r="A144" t="s">
        <v>145</v>
      </c>
    </row>
    <row r="145" spans="1:11" x14ac:dyDescent="0.3">
      <c r="A145" s="3" t="s">
        <v>146</v>
      </c>
      <c r="B145" s="8"/>
      <c r="C145" s="3"/>
      <c r="D145" s="3"/>
      <c r="E145" s="3"/>
      <c r="F145" s="3"/>
      <c r="G145" s="3"/>
      <c r="H145" s="3"/>
      <c r="I145" s="3"/>
      <c r="J145" s="3"/>
      <c r="K145" s="3"/>
    </row>
    <row r="146" spans="1:11" x14ac:dyDescent="0.3">
      <c r="A146" t="s">
        <v>147</v>
      </c>
    </row>
    <row r="147" spans="1:11" x14ac:dyDescent="0.3">
      <c r="A147" s="3" t="s">
        <v>148</v>
      </c>
      <c r="B147" s="8"/>
      <c r="C147" s="3"/>
      <c r="D147" s="3"/>
      <c r="E147" s="3"/>
      <c r="F147" s="3"/>
      <c r="G147" s="3"/>
      <c r="H147" s="3"/>
      <c r="I147" s="3"/>
      <c r="J147" s="3"/>
      <c r="K147" s="3"/>
    </row>
    <row r="148" spans="1:11" x14ac:dyDescent="0.3">
      <c r="A148" t="s">
        <v>209</v>
      </c>
      <c r="B148" s="7" t="str">
        <f>Printer_Name</f>
        <v>Ender3 Speed 0.5 nozzle</v>
      </c>
    </row>
    <row r="149" spans="1:11" x14ac:dyDescent="0.3">
      <c r="A149" t="s">
        <v>210</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G61"/>
  <sheetViews>
    <sheetView workbookViewId="0">
      <pane ySplit="1" topLeftCell="A2" activePane="bottomLeft" state="frozen"/>
      <selection pane="bottomLeft" activeCell="C67" sqref="C67"/>
    </sheetView>
  </sheetViews>
  <sheetFormatPr defaultRowHeight="14.4" x14ac:dyDescent="0.3"/>
  <cols>
    <col min="1" max="1" width="35.33203125" bestFit="1" customWidth="1"/>
    <col min="2" max="2" width="25.6640625" customWidth="1"/>
    <col min="3" max="3" width="13.21875" customWidth="1"/>
  </cols>
  <sheetData>
    <row r="1" spans="1:7" x14ac:dyDescent="0.3">
      <c r="A1" s="2" t="s">
        <v>295</v>
      </c>
      <c r="B1" s="2" t="s">
        <v>149</v>
      </c>
      <c r="C1" s="2" t="s">
        <v>213</v>
      </c>
      <c r="D1" s="2" t="s">
        <v>212</v>
      </c>
      <c r="E1" s="2" t="s">
        <v>214</v>
      </c>
      <c r="F1" s="2" t="s">
        <v>215</v>
      </c>
      <c r="G1" s="2" t="s">
        <v>313</v>
      </c>
    </row>
    <row r="2" spans="1:7" x14ac:dyDescent="0.3">
      <c r="A2" t="s">
        <v>150</v>
      </c>
      <c r="B2" s="7" t="s">
        <v>151</v>
      </c>
      <c r="D2" t="s">
        <v>315</v>
      </c>
      <c r="E2" t="s">
        <v>314</v>
      </c>
    </row>
    <row r="3" spans="1:7" x14ac:dyDescent="0.3">
      <c r="A3" t="s">
        <v>152</v>
      </c>
      <c r="B3">
        <v>1.75</v>
      </c>
    </row>
    <row r="4" spans="1:7" x14ac:dyDescent="0.3">
      <c r="A4" t="s">
        <v>153</v>
      </c>
      <c r="B4">
        <v>1</v>
      </c>
      <c r="C4">
        <v>0.93</v>
      </c>
      <c r="D4">
        <v>0.9</v>
      </c>
    </row>
    <row r="5" spans="1:7" x14ac:dyDescent="0.3">
      <c r="A5" t="s">
        <v>154</v>
      </c>
      <c r="B5">
        <v>0</v>
      </c>
    </row>
    <row r="6" spans="1:7" x14ac:dyDescent="0.3">
      <c r="A6" t="s">
        <v>155</v>
      </c>
      <c r="B6">
        <v>0</v>
      </c>
    </row>
    <row r="7" spans="1:7" x14ac:dyDescent="0.3">
      <c r="A7" s="5" t="s">
        <v>156</v>
      </c>
      <c r="B7" s="5"/>
      <c r="C7" s="5"/>
      <c r="D7" s="5"/>
      <c r="E7" s="5"/>
      <c r="F7" s="5"/>
    </row>
    <row r="8" spans="1:7" x14ac:dyDescent="0.3">
      <c r="A8" t="s">
        <v>157</v>
      </c>
      <c r="B8">
        <v>215</v>
      </c>
      <c r="D8">
        <v>235</v>
      </c>
      <c r="E8">
        <v>240</v>
      </c>
    </row>
    <row r="9" spans="1:7" x14ac:dyDescent="0.3">
      <c r="A9" s="5" t="s">
        <v>158</v>
      </c>
      <c r="B9" s="5"/>
      <c r="C9" s="5"/>
      <c r="D9" s="5"/>
      <c r="E9" s="5"/>
      <c r="F9" s="5"/>
    </row>
    <row r="10" spans="1:7" x14ac:dyDescent="0.3">
      <c r="A10" t="s">
        <v>159</v>
      </c>
      <c r="B10">
        <v>210</v>
      </c>
      <c r="D10">
        <v>235</v>
      </c>
      <c r="E10">
        <v>240</v>
      </c>
    </row>
    <row r="11" spans="1:7" x14ac:dyDescent="0.3">
      <c r="A11" s="5" t="s">
        <v>160</v>
      </c>
      <c r="B11" s="5"/>
      <c r="C11" s="5"/>
      <c r="D11" s="5"/>
      <c r="E11" s="5"/>
      <c r="F11" s="5"/>
    </row>
    <row r="12" spans="1:7" x14ac:dyDescent="0.3">
      <c r="A12" t="s">
        <v>161</v>
      </c>
      <c r="B12">
        <v>60</v>
      </c>
      <c r="D12">
        <v>70</v>
      </c>
      <c r="E12">
        <v>90</v>
      </c>
    </row>
    <row r="13" spans="1:7" x14ac:dyDescent="0.3">
      <c r="A13" s="5" t="s">
        <v>162</v>
      </c>
      <c r="B13" s="5"/>
      <c r="C13" s="5"/>
      <c r="D13" s="5"/>
      <c r="E13" s="5"/>
      <c r="F13" s="5"/>
    </row>
    <row r="14" spans="1:7" x14ac:dyDescent="0.3">
      <c r="A14" t="s">
        <v>163</v>
      </c>
      <c r="B14">
        <v>60</v>
      </c>
      <c r="D14">
        <v>70</v>
      </c>
      <c r="E14">
        <v>90</v>
      </c>
    </row>
    <row r="15" spans="1:7" x14ac:dyDescent="0.3">
      <c r="A15" s="5" t="s">
        <v>164</v>
      </c>
      <c r="B15" s="5"/>
      <c r="C15" s="5"/>
      <c r="D15" s="5"/>
      <c r="E15" s="5"/>
      <c r="F15" s="5"/>
    </row>
    <row r="16" spans="1:7" x14ac:dyDescent="0.3">
      <c r="A16" s="5" t="s">
        <v>165</v>
      </c>
      <c r="B16" s="5"/>
      <c r="C16" s="5"/>
      <c r="D16" s="5"/>
      <c r="E16" s="5"/>
      <c r="F16" s="5"/>
    </row>
    <row r="17" spans="1:6" x14ac:dyDescent="0.3">
      <c r="A17" t="s">
        <v>166</v>
      </c>
      <c r="B17">
        <v>0</v>
      </c>
    </row>
    <row r="18" spans="1:6" x14ac:dyDescent="0.3">
      <c r="A18" s="5" t="s">
        <v>167</v>
      </c>
      <c r="B18" s="5"/>
      <c r="C18" s="5"/>
      <c r="D18" s="5"/>
      <c r="E18" s="5"/>
      <c r="F18" s="5"/>
    </row>
    <row r="19" spans="1:6" x14ac:dyDescent="0.3">
      <c r="A19" t="s">
        <v>168</v>
      </c>
      <c r="B19">
        <v>1</v>
      </c>
      <c r="E19">
        <v>0</v>
      </c>
    </row>
    <row r="20" spans="1:6" x14ac:dyDescent="0.3">
      <c r="A20" s="5" t="s">
        <v>169</v>
      </c>
      <c r="B20" s="5"/>
      <c r="C20" s="5"/>
      <c r="D20" s="5"/>
      <c r="E20" s="5"/>
      <c r="F20" s="5"/>
    </row>
    <row r="21" spans="1:6" x14ac:dyDescent="0.3">
      <c r="A21" t="s">
        <v>170</v>
      </c>
      <c r="B21">
        <v>0</v>
      </c>
      <c r="D21">
        <v>30</v>
      </c>
    </row>
    <row r="22" spans="1:6" x14ac:dyDescent="0.3">
      <c r="A22" t="s">
        <v>171</v>
      </c>
      <c r="B22">
        <v>100</v>
      </c>
      <c r="D22">
        <v>50</v>
      </c>
    </row>
    <row r="23" spans="1:6" x14ac:dyDescent="0.3">
      <c r="A23" t="s">
        <v>172</v>
      </c>
      <c r="B23" s="1">
        <v>1</v>
      </c>
      <c r="C23" s="1"/>
    </row>
    <row r="24" spans="1:6" x14ac:dyDescent="0.3">
      <c r="A24" t="s">
        <v>173</v>
      </c>
      <c r="B24">
        <v>1</v>
      </c>
      <c r="D24">
        <v>2</v>
      </c>
    </row>
    <row r="25" spans="1:6" x14ac:dyDescent="0.3">
      <c r="A25" s="5" t="s">
        <v>174</v>
      </c>
      <c r="B25" s="5"/>
      <c r="C25" s="5"/>
      <c r="D25" s="5"/>
      <c r="E25" s="5"/>
      <c r="F25" s="5"/>
    </row>
    <row r="26" spans="1:6" x14ac:dyDescent="0.3">
      <c r="A26" s="5" t="s">
        <v>175</v>
      </c>
      <c r="B26" s="5"/>
      <c r="C26" s="5"/>
      <c r="D26" s="5"/>
      <c r="E26" s="5"/>
      <c r="F26" s="5"/>
    </row>
    <row r="27" spans="1:6" x14ac:dyDescent="0.3">
      <c r="A27" t="s">
        <v>176</v>
      </c>
      <c r="B27">
        <v>20</v>
      </c>
    </row>
    <row r="28" spans="1:6" x14ac:dyDescent="0.3">
      <c r="A28" s="5" t="s">
        <v>177</v>
      </c>
      <c r="B28" s="5"/>
      <c r="C28" s="5"/>
      <c r="D28" s="5"/>
      <c r="E28" s="5"/>
      <c r="F28" s="5"/>
    </row>
    <row r="29" spans="1:6" x14ac:dyDescent="0.3">
      <c r="A29" t="s">
        <v>178</v>
      </c>
      <c r="B29">
        <v>5</v>
      </c>
    </row>
    <row r="30" spans="1:6" x14ac:dyDescent="0.3">
      <c r="A30" t="s">
        <v>179</v>
      </c>
      <c r="B30">
        <v>10</v>
      </c>
    </row>
    <row r="31" spans="1:6" x14ac:dyDescent="0.3">
      <c r="A31" s="5" t="s">
        <v>180</v>
      </c>
      <c r="B31" s="5"/>
      <c r="C31" s="5"/>
      <c r="D31" s="5"/>
      <c r="E31" s="5"/>
      <c r="F31" s="5"/>
    </row>
    <row r="32" spans="1:6" x14ac:dyDescent="0.3">
      <c r="A32" t="s">
        <v>181</v>
      </c>
      <c r="B32" s="7" t="s">
        <v>213</v>
      </c>
      <c r="C32" t="s">
        <v>213</v>
      </c>
      <c r="D32" t="s">
        <v>212</v>
      </c>
      <c r="E32" t="s">
        <v>214</v>
      </c>
      <c r="F32" t="s">
        <v>307</v>
      </c>
    </row>
    <row r="33" spans="1:6" x14ac:dyDescent="0.3">
      <c r="A33" t="s">
        <v>182</v>
      </c>
      <c r="B33" s="7">
        <v>0</v>
      </c>
    </row>
    <row r="34" spans="1:6" x14ac:dyDescent="0.3">
      <c r="A34" t="s">
        <v>183</v>
      </c>
      <c r="B34">
        <v>15</v>
      </c>
      <c r="C34">
        <v>11.5</v>
      </c>
      <c r="D34">
        <v>8</v>
      </c>
      <c r="E34">
        <v>10</v>
      </c>
      <c r="F34">
        <v>1.5</v>
      </c>
    </row>
    <row r="35" spans="1:6" x14ac:dyDescent="0.3">
      <c r="A35" t="s">
        <v>184</v>
      </c>
      <c r="B35">
        <v>3</v>
      </c>
    </row>
    <row r="36" spans="1:6" x14ac:dyDescent="0.3">
      <c r="A36" t="s">
        <v>185</v>
      </c>
      <c r="B36">
        <v>28</v>
      </c>
    </row>
    <row r="37" spans="1:6" x14ac:dyDescent="0.3">
      <c r="A37" t="s">
        <v>186</v>
      </c>
      <c r="B37">
        <v>100</v>
      </c>
    </row>
    <row r="38" spans="1:6" x14ac:dyDescent="0.3">
      <c r="A38" t="s">
        <v>187</v>
      </c>
      <c r="B38">
        <v>90</v>
      </c>
    </row>
    <row r="39" spans="1:6" x14ac:dyDescent="0.3">
      <c r="A39" t="s">
        <v>188</v>
      </c>
      <c r="B39">
        <v>0</v>
      </c>
    </row>
    <row r="40" spans="1:6" x14ac:dyDescent="0.3">
      <c r="A40" t="s">
        <v>189</v>
      </c>
      <c r="B40">
        <v>0</v>
      </c>
    </row>
    <row r="41" spans="1:6" x14ac:dyDescent="0.3">
      <c r="A41" s="5" t="s">
        <v>190</v>
      </c>
      <c r="B41" s="5"/>
      <c r="C41" s="5"/>
      <c r="D41" s="5"/>
      <c r="E41" s="5"/>
      <c r="F41" s="5"/>
    </row>
    <row r="42" spans="1:6" x14ac:dyDescent="0.3">
      <c r="A42" t="s">
        <v>191</v>
      </c>
      <c r="B42">
        <v>0</v>
      </c>
    </row>
    <row r="43" spans="1:6" x14ac:dyDescent="0.3">
      <c r="A43" s="5" t="s">
        <v>192</v>
      </c>
      <c r="B43" s="5"/>
      <c r="C43" s="5"/>
      <c r="D43" s="5"/>
      <c r="E43" s="5"/>
      <c r="F43" s="5"/>
    </row>
    <row r="44" spans="1:6" x14ac:dyDescent="0.3">
      <c r="A44" t="s">
        <v>193</v>
      </c>
      <c r="B44">
        <v>4</v>
      </c>
    </row>
    <row r="45" spans="1:6" x14ac:dyDescent="0.3">
      <c r="A45" s="5" t="s">
        <v>194</v>
      </c>
      <c r="B45" s="5"/>
      <c r="C45" s="5"/>
      <c r="D45" s="5"/>
      <c r="E45" s="5"/>
      <c r="F45" s="5"/>
    </row>
    <row r="46" spans="1:6" x14ac:dyDescent="0.3">
      <c r="A46" t="s">
        <v>195</v>
      </c>
      <c r="B46">
        <v>2.2000000000000002</v>
      </c>
    </row>
    <row r="47" spans="1:6" x14ac:dyDescent="0.3">
      <c r="A47" s="5" t="s">
        <v>196</v>
      </c>
      <c r="B47" s="5"/>
      <c r="C47" s="5"/>
      <c r="D47" s="5"/>
      <c r="E47" s="5"/>
      <c r="F47" s="5"/>
    </row>
    <row r="48" spans="1:6" x14ac:dyDescent="0.3">
      <c r="A48" t="s">
        <v>197</v>
      </c>
      <c r="B48">
        <v>3.4</v>
      </c>
    </row>
    <row r="49" spans="1:6" x14ac:dyDescent="0.3">
      <c r="A49" s="5" t="s">
        <v>198</v>
      </c>
      <c r="B49" s="5"/>
      <c r="C49" s="5"/>
      <c r="D49" s="5"/>
      <c r="E49" s="5"/>
      <c r="F49" s="5"/>
    </row>
    <row r="50" spans="1:6" x14ac:dyDescent="0.3">
      <c r="A50" t="s">
        <v>199</v>
      </c>
      <c r="B50">
        <v>15</v>
      </c>
    </row>
    <row r="51" spans="1:6" x14ac:dyDescent="0.3">
      <c r="A51" s="5" t="s">
        <v>200</v>
      </c>
      <c r="B51" s="5"/>
      <c r="C51" s="5"/>
      <c r="D51" s="5"/>
      <c r="E51" s="5"/>
      <c r="F51" s="5"/>
    </row>
    <row r="52" spans="1:6" x14ac:dyDescent="0.3">
      <c r="A52" t="s">
        <v>201</v>
      </c>
      <c r="B52" s="4"/>
    </row>
    <row r="53" spans="1:6" x14ac:dyDescent="0.3">
      <c r="A53" s="5" t="s">
        <v>202</v>
      </c>
      <c r="B53" s="5"/>
      <c r="C53" s="5"/>
      <c r="D53" s="5"/>
      <c r="E53" s="5"/>
      <c r="F53" s="5"/>
    </row>
    <row r="54" spans="1:6" x14ac:dyDescent="0.3">
      <c r="A54" t="s">
        <v>203</v>
      </c>
      <c r="B54" t="s">
        <v>204</v>
      </c>
    </row>
    <row r="55" spans="1:6" x14ac:dyDescent="0.3">
      <c r="A55" t="s">
        <v>205</v>
      </c>
      <c r="B55" t="s">
        <v>206</v>
      </c>
    </row>
    <row r="56" spans="1:6" x14ac:dyDescent="0.3">
      <c r="A56" s="5" t="s">
        <v>146</v>
      </c>
      <c r="B56" s="5"/>
      <c r="C56" s="5"/>
      <c r="D56" s="5"/>
      <c r="E56" s="5"/>
      <c r="F56" s="5"/>
    </row>
    <row r="57" spans="1:6" x14ac:dyDescent="0.3">
      <c r="A57" t="s">
        <v>207</v>
      </c>
    </row>
    <row r="58" spans="1:6" x14ac:dyDescent="0.3">
      <c r="A58" t="s">
        <v>208</v>
      </c>
    </row>
    <row r="59" spans="1:6" x14ac:dyDescent="0.3">
      <c r="A59" s="5" t="s">
        <v>148</v>
      </c>
      <c r="B59" s="5"/>
      <c r="C59" s="5"/>
      <c r="D59" s="5"/>
      <c r="E59" s="5"/>
      <c r="F59" s="5"/>
    </row>
    <row r="60" spans="1:6" x14ac:dyDescent="0.3">
      <c r="A60" t="s">
        <v>209</v>
      </c>
      <c r="B60" t="str">
        <f>Printer_Name</f>
        <v>Ender3 Speed 0.5 nozzle</v>
      </c>
    </row>
    <row r="61" spans="1:6" ht="57.6" x14ac:dyDescent="0.3">
      <c r="A61" t="s">
        <v>210</v>
      </c>
      <c r="B61" s="4" t="s">
        <v>211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B74"/>
  <sheetViews>
    <sheetView workbookViewId="0">
      <pane ySplit="1" topLeftCell="A2" activePane="bottomLeft" state="frozen"/>
      <selection pane="bottomLeft" activeCell="G21" sqref="G21"/>
    </sheetView>
  </sheetViews>
  <sheetFormatPr defaultRowHeight="14.4" x14ac:dyDescent="0.3"/>
  <cols>
    <col min="1" max="1" width="32.88671875" bestFit="1" customWidth="1"/>
    <col min="2" max="2" width="62.109375" style="7" customWidth="1"/>
  </cols>
  <sheetData>
    <row r="1" spans="1:2" x14ac:dyDescent="0.3">
      <c r="A1" s="2" t="s">
        <v>295</v>
      </c>
      <c r="B1" s="6" t="s">
        <v>296</v>
      </c>
    </row>
    <row r="2" spans="1:2" x14ac:dyDescent="0.3">
      <c r="A2" t="s">
        <v>216</v>
      </c>
      <c r="B2" s="7" t="s">
        <v>217</v>
      </c>
    </row>
    <row r="3" spans="1:2" x14ac:dyDescent="0.3">
      <c r="A3" s="3" t="s">
        <v>218</v>
      </c>
      <c r="B3" s="8"/>
    </row>
    <row r="4" spans="1:2" x14ac:dyDescent="0.3">
      <c r="A4" t="s">
        <v>219</v>
      </c>
      <c r="B4" s="7" t="s">
        <v>220</v>
      </c>
    </row>
    <row r="5" spans="1:2" x14ac:dyDescent="0.3">
      <c r="A5" t="s">
        <v>221</v>
      </c>
      <c r="B5" s="7">
        <v>250</v>
      </c>
    </row>
    <row r="6" spans="1:2" x14ac:dyDescent="0.3">
      <c r="A6" t="s">
        <v>222</v>
      </c>
      <c r="B6" s="7">
        <v>0</v>
      </c>
    </row>
    <row r="7" spans="1:2" x14ac:dyDescent="0.3">
      <c r="A7" s="3" t="s">
        <v>223</v>
      </c>
      <c r="B7" s="8"/>
    </row>
    <row r="8" spans="1:2" x14ac:dyDescent="0.3">
      <c r="A8" t="s">
        <v>224</v>
      </c>
      <c r="B8" s="7">
        <f>Nozzle_Diameter</f>
        <v>0.5</v>
      </c>
    </row>
    <row r="9" spans="1:2" x14ac:dyDescent="0.3">
      <c r="A9" t="s">
        <v>225</v>
      </c>
      <c r="B9" s="7">
        <v>0</v>
      </c>
    </row>
    <row r="10" spans="1:2" x14ac:dyDescent="0.3">
      <c r="A10" t="s">
        <v>226</v>
      </c>
      <c r="B10" s="7" t="s">
        <v>227</v>
      </c>
    </row>
    <row r="11" spans="1:2" x14ac:dyDescent="0.3">
      <c r="A11" t="s">
        <v>228</v>
      </c>
      <c r="B11" s="7" t="s">
        <v>229</v>
      </c>
    </row>
    <row r="12" spans="1:2" x14ac:dyDescent="0.3">
      <c r="A12" t="s">
        <v>230</v>
      </c>
      <c r="B12" s="9" t="s">
        <v>231</v>
      </c>
    </row>
    <row r="13" spans="1:2" x14ac:dyDescent="0.3">
      <c r="A13" t="s">
        <v>232</v>
      </c>
      <c r="B13" s="7" t="s">
        <v>233</v>
      </c>
    </row>
    <row r="14" spans="1:2" x14ac:dyDescent="0.3">
      <c r="A14" t="s">
        <v>234</v>
      </c>
      <c r="B14" s="7">
        <v>0</v>
      </c>
    </row>
    <row r="15" spans="1:2" x14ac:dyDescent="0.3">
      <c r="A15" t="s">
        <v>235</v>
      </c>
      <c r="B15" s="7">
        <v>0</v>
      </c>
    </row>
    <row r="16" spans="1:2" x14ac:dyDescent="0.3">
      <c r="A16" t="s">
        <v>236</v>
      </c>
      <c r="B16" s="7">
        <v>1</v>
      </c>
    </row>
    <row r="17" spans="1:2" x14ac:dyDescent="0.3">
      <c r="A17" t="s">
        <v>237</v>
      </c>
      <c r="B17" s="7">
        <v>0</v>
      </c>
    </row>
    <row r="18" spans="1:2" x14ac:dyDescent="0.3">
      <c r="A18" t="s">
        <v>238</v>
      </c>
      <c r="B18" s="7">
        <v>0</v>
      </c>
    </row>
    <row r="19" spans="1:2" x14ac:dyDescent="0.3">
      <c r="A19" t="s">
        <v>239</v>
      </c>
      <c r="B19" s="7">
        <v>1</v>
      </c>
    </row>
    <row r="20" spans="1:2" x14ac:dyDescent="0.3">
      <c r="A20" s="3" t="s">
        <v>202</v>
      </c>
      <c r="B20" s="8"/>
    </row>
    <row r="21" spans="1:2" ht="331.2" x14ac:dyDescent="0.3">
      <c r="A21" t="s">
        <v>240</v>
      </c>
      <c r="B21" s="12" t="s">
        <v>309</v>
      </c>
    </row>
    <row r="22" spans="1:2" ht="158.4" x14ac:dyDescent="0.3">
      <c r="A22" t="s">
        <v>241</v>
      </c>
      <c r="B22" s="12" t="s">
        <v>310</v>
      </c>
    </row>
    <row r="23" spans="1:2" ht="57.6" x14ac:dyDescent="0.3">
      <c r="A23" t="s">
        <v>242</v>
      </c>
      <c r="B23" s="12" t="s">
        <v>311</v>
      </c>
    </row>
    <row r="24" spans="1:2" ht="57.6" x14ac:dyDescent="0.3">
      <c r="A24" t="s">
        <v>243</v>
      </c>
      <c r="B24" s="12" t="s">
        <v>312</v>
      </c>
    </row>
    <row r="25" spans="1:2" x14ac:dyDescent="0.3">
      <c r="A25" t="s">
        <v>244</v>
      </c>
    </row>
    <row r="26" spans="1:2" x14ac:dyDescent="0.3">
      <c r="A26" t="s">
        <v>297</v>
      </c>
    </row>
    <row r="27" spans="1:2" x14ac:dyDescent="0.3">
      <c r="A27" s="3" t="s">
        <v>245</v>
      </c>
      <c r="B27" s="8"/>
    </row>
    <row r="28" spans="1:2" x14ac:dyDescent="0.3">
      <c r="A28" t="s">
        <v>246</v>
      </c>
      <c r="B28" s="7">
        <v>150</v>
      </c>
    </row>
    <row r="29" spans="1:2" x14ac:dyDescent="0.3">
      <c r="A29" t="s">
        <v>247</v>
      </c>
      <c r="B29" s="7">
        <v>150</v>
      </c>
    </row>
    <row r="30" spans="1:2" x14ac:dyDescent="0.3">
      <c r="A30" t="s">
        <v>248</v>
      </c>
      <c r="B30" s="7">
        <v>5</v>
      </c>
    </row>
    <row r="31" spans="1:2" x14ac:dyDescent="0.3">
      <c r="A31" t="s">
        <v>249</v>
      </c>
      <c r="B31" s="7">
        <v>100</v>
      </c>
    </row>
    <row r="32" spans="1:2" x14ac:dyDescent="0.3">
      <c r="A32" t="s">
        <v>250</v>
      </c>
      <c r="B32" s="7">
        <v>500</v>
      </c>
    </row>
    <row r="33" spans="1:2" x14ac:dyDescent="0.3">
      <c r="A33" t="s">
        <v>251</v>
      </c>
      <c r="B33" s="7">
        <v>500</v>
      </c>
    </row>
    <row r="34" spans="1:2" x14ac:dyDescent="0.3">
      <c r="A34" t="s">
        <v>252</v>
      </c>
      <c r="B34" s="7">
        <v>100</v>
      </c>
    </row>
    <row r="35" spans="1:2" x14ac:dyDescent="0.3">
      <c r="A35" t="s">
        <v>253</v>
      </c>
      <c r="B35" s="7">
        <v>500</v>
      </c>
    </row>
    <row r="36" spans="1:2" x14ac:dyDescent="0.3">
      <c r="A36" t="s">
        <v>254</v>
      </c>
      <c r="B36" s="7">
        <v>500</v>
      </c>
    </row>
    <row r="37" spans="1:2" x14ac:dyDescent="0.3">
      <c r="A37" t="s">
        <v>255</v>
      </c>
      <c r="B37" s="7">
        <v>500</v>
      </c>
    </row>
    <row r="38" spans="1:2" x14ac:dyDescent="0.3">
      <c r="A38" t="s">
        <v>256</v>
      </c>
      <c r="B38" s="7">
        <v>20</v>
      </c>
    </row>
    <row r="39" spans="1:2" x14ac:dyDescent="0.3">
      <c r="A39" t="s">
        <v>257</v>
      </c>
      <c r="B39" s="7">
        <v>20</v>
      </c>
    </row>
    <row r="40" spans="1:2" x14ac:dyDescent="0.3">
      <c r="A40" t="s">
        <v>258</v>
      </c>
      <c r="B40" s="7">
        <v>0.4</v>
      </c>
    </row>
    <row r="41" spans="1:2" x14ac:dyDescent="0.3">
      <c r="A41" t="s">
        <v>259</v>
      </c>
      <c r="B41" s="7">
        <v>2.5</v>
      </c>
    </row>
    <row r="42" spans="1:2" x14ac:dyDescent="0.3">
      <c r="A42" t="s">
        <v>260</v>
      </c>
      <c r="B42" s="7">
        <v>0</v>
      </c>
    </row>
    <row r="43" spans="1:2" x14ac:dyDescent="0.3">
      <c r="A43" t="s">
        <v>261</v>
      </c>
      <c r="B43" s="7">
        <v>0</v>
      </c>
    </row>
    <row r="44" spans="1:2" x14ac:dyDescent="0.3">
      <c r="A44" s="3" t="s">
        <v>262</v>
      </c>
      <c r="B44" s="8"/>
    </row>
    <row r="45" spans="1:2" x14ac:dyDescent="0.3">
      <c r="A45" t="s">
        <v>263</v>
      </c>
      <c r="B45" s="7">
        <v>0.12</v>
      </c>
    </row>
    <row r="46" spans="1:2" x14ac:dyDescent="0.3">
      <c r="A46" t="s">
        <v>264</v>
      </c>
      <c r="B46" s="7">
        <v>0.32</v>
      </c>
    </row>
    <row r="47" spans="1:2" x14ac:dyDescent="0.3">
      <c r="A47" t="s">
        <v>265</v>
      </c>
      <c r="B47" s="7" t="s">
        <v>266</v>
      </c>
    </row>
    <row r="48" spans="1:2" x14ac:dyDescent="0.3">
      <c r="A48" s="3" t="s">
        <v>267</v>
      </c>
      <c r="B48" s="8"/>
    </row>
    <row r="49" spans="1:2" x14ac:dyDescent="0.3">
      <c r="A49" t="s">
        <v>268</v>
      </c>
      <c r="B49" s="7">
        <v>6</v>
      </c>
    </row>
    <row r="50" spans="1:2" x14ac:dyDescent="0.3">
      <c r="A50" t="s">
        <v>269</v>
      </c>
      <c r="B50" s="7">
        <v>0</v>
      </c>
    </row>
    <row r="51" spans="1:2" x14ac:dyDescent="0.3">
      <c r="A51" t="s">
        <v>270</v>
      </c>
      <c r="B51" s="7">
        <v>0</v>
      </c>
    </row>
    <row r="52" spans="1:2" x14ac:dyDescent="0.3">
      <c r="A52" t="s">
        <v>271</v>
      </c>
      <c r="B52" s="7">
        <v>239</v>
      </c>
    </row>
    <row r="53" spans="1:2" x14ac:dyDescent="0.3">
      <c r="A53" t="s">
        <v>272</v>
      </c>
      <c r="B53" s="7">
        <v>25</v>
      </c>
    </row>
    <row r="54" spans="1:2" x14ac:dyDescent="0.3">
      <c r="A54" t="s">
        <v>273</v>
      </c>
      <c r="B54" s="7">
        <v>0</v>
      </c>
    </row>
    <row r="55" spans="1:2" x14ac:dyDescent="0.3">
      <c r="A55" t="s">
        <v>274</v>
      </c>
      <c r="B55" s="7">
        <v>0</v>
      </c>
    </row>
    <row r="56" spans="1:2" x14ac:dyDescent="0.3">
      <c r="A56" t="s">
        <v>275</v>
      </c>
      <c r="B56" s="7">
        <f>B8*2</f>
        <v>1</v>
      </c>
    </row>
    <row r="57" spans="1:2" x14ac:dyDescent="0.3">
      <c r="A57" t="s">
        <v>276</v>
      </c>
      <c r="B57" s="7">
        <v>1</v>
      </c>
    </row>
    <row r="58" spans="1:2" x14ac:dyDescent="0.3">
      <c r="A58" t="s">
        <v>277</v>
      </c>
      <c r="B58" s="7">
        <v>1</v>
      </c>
    </row>
    <row r="59" spans="1:2" x14ac:dyDescent="0.3">
      <c r="A59" t="s">
        <v>278</v>
      </c>
      <c r="B59" s="11">
        <v>0.8</v>
      </c>
    </row>
    <row r="60" spans="1:2" x14ac:dyDescent="0.3">
      <c r="A60" t="s">
        <v>279</v>
      </c>
      <c r="B60" s="7">
        <v>0</v>
      </c>
    </row>
    <row r="61" spans="1:2" x14ac:dyDescent="0.3">
      <c r="A61" t="s">
        <v>280</v>
      </c>
      <c r="B61" s="7">
        <v>0</v>
      </c>
    </row>
    <row r="62" spans="1:2" x14ac:dyDescent="0.3">
      <c r="A62" t="s">
        <v>281</v>
      </c>
      <c r="B62" s="7" t="s">
        <v>282</v>
      </c>
    </row>
    <row r="63" spans="1:2" x14ac:dyDescent="0.3">
      <c r="A63" s="3" t="s">
        <v>146</v>
      </c>
      <c r="B63" s="8"/>
    </row>
    <row r="64" spans="1:2" ht="72" x14ac:dyDescent="0.3">
      <c r="A64" t="s">
        <v>308</v>
      </c>
      <c r="B64" s="10" t="s">
        <v>283</v>
      </c>
    </row>
    <row r="65" spans="1:2" x14ac:dyDescent="0.3">
      <c r="A65" s="3" t="s">
        <v>284</v>
      </c>
      <c r="B65" s="8"/>
    </row>
    <row r="66" spans="1:2" x14ac:dyDescent="0.3">
      <c r="A66" t="s">
        <v>285</v>
      </c>
      <c r="B66" s="7">
        <v>5</v>
      </c>
    </row>
    <row r="67" spans="1:2" x14ac:dyDescent="0.3">
      <c r="A67" t="s">
        <v>286</v>
      </c>
      <c r="B67" s="7">
        <v>91.5</v>
      </c>
    </row>
    <row r="68" spans="1:2" x14ac:dyDescent="0.3">
      <c r="A68" t="s">
        <v>287</v>
      </c>
      <c r="B68" s="7">
        <v>92</v>
      </c>
    </row>
    <row r="69" spans="1:2" x14ac:dyDescent="0.3">
      <c r="A69" t="s">
        <v>288</v>
      </c>
    </row>
    <row r="70" spans="1:2" x14ac:dyDescent="0.3">
      <c r="A70" t="s">
        <v>289</v>
      </c>
      <c r="B70" s="7">
        <v>-2</v>
      </c>
    </row>
    <row r="71" spans="1:2" x14ac:dyDescent="0.3">
      <c r="A71" t="s">
        <v>290</v>
      </c>
      <c r="B71" s="7" t="s">
        <v>291</v>
      </c>
    </row>
    <row r="72" spans="1:2" x14ac:dyDescent="0.3">
      <c r="A72" t="s">
        <v>292</v>
      </c>
      <c r="B72" s="7">
        <v>0.4</v>
      </c>
    </row>
    <row r="73" spans="1:2" x14ac:dyDescent="0.3">
      <c r="A73" t="s">
        <v>293</v>
      </c>
    </row>
    <row r="74" spans="1:2" x14ac:dyDescent="0.3">
      <c r="A74" t="s">
        <v>294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spec</vt:lpstr>
      <vt:lpstr>print</vt:lpstr>
      <vt:lpstr>filament</vt:lpstr>
      <vt:lpstr>printer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2019-04-03T20:40:57Z</dcterms:modified>
</cp:coreProperties>
</file>