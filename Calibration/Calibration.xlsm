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codeName="ThisWorkbook" defaultThemeVersion="166925"/>
  <mc:AlternateContent xmlns:mc="http://schemas.openxmlformats.org/markup-compatibility/2006">
    <mc:Choice Requires="x15">
      <x15ac:absPath xmlns:x15ac="http://schemas.microsoft.com/office/spreadsheetml/2010/11/ac" url="G:\github\3DPrint\Calibration\"/>
    </mc:Choice>
  </mc:AlternateContent>
  <xr:revisionPtr revIDLastSave="0" documentId="13_ncr:1_{EC04ED4E-33FE-42D4-A8EF-48045F0925D3}" xr6:coauthVersionLast="47" xr6:coauthVersionMax="47" xr10:uidLastSave="{00000000-0000-0000-0000-000000000000}"/>
  <bookViews>
    <workbookView xWindow="-120" yWindow="-120" windowWidth="29040" windowHeight="15840" activeTab="1" xr2:uid="{00000000-000D-0000-FFFF-FFFF00000000}"/>
  </bookViews>
  <sheets>
    <sheet name="Calibration Steps" sheetId="7" r:id="rId1"/>
    <sheet name="E-Steps Calibration" sheetId="2" r:id="rId2"/>
    <sheet name="FlowRate Calibration" sheetId="6" r:id="rId3"/>
    <sheet name="4Max Pro Spec" sheetId="8" r:id="rId4"/>
    <sheet name="Ender Spec" sheetId="3" r:id="rId5"/>
  </sheets>
  <calcPr calcId="191029"/>
</workbook>
</file>

<file path=xl/calcChain.xml><?xml version="1.0" encoding="utf-8"?>
<calcChain xmlns="http://schemas.openxmlformats.org/spreadsheetml/2006/main">
  <c r="G23" i="2" l="1"/>
  <c r="H11" i="2"/>
  <c r="G11" i="2"/>
  <c r="D11" i="2"/>
  <c r="H19" i="2"/>
  <c r="D10" i="2"/>
  <c r="G9" i="2"/>
  <c r="H9" i="2"/>
  <c r="D9" i="2"/>
  <c r="B31" i="8"/>
  <c r="F30" i="8"/>
  <c r="B30" i="8" s="1"/>
  <c r="F29" i="8"/>
  <c r="B29" i="8" s="1"/>
  <c r="F28" i="8"/>
  <c r="B28" i="8" s="1"/>
  <c r="F26" i="8"/>
  <c r="F25" i="8"/>
  <c r="F24" i="8"/>
  <c r="F22" i="8"/>
  <c r="F21" i="8"/>
  <c r="F20" i="8"/>
  <c r="F18" i="8"/>
  <c r="F17" i="8"/>
  <c r="F16" i="8"/>
  <c r="F15" i="8"/>
  <c r="F14" i="8"/>
  <c r="F12" i="8"/>
  <c r="F11" i="8"/>
  <c r="F10" i="8"/>
  <c r="F9" i="8"/>
  <c r="H7" i="8"/>
  <c r="F7" i="8"/>
  <c r="H6" i="8"/>
  <c r="F6" i="8"/>
  <c r="H5" i="8"/>
  <c r="F5" i="8"/>
  <c r="H4" i="8"/>
  <c r="F4" i="8"/>
  <c r="H3" i="8"/>
  <c r="F3" i="8"/>
  <c r="H7" i="3"/>
  <c r="H8" i="3"/>
  <c r="H9" i="3"/>
  <c r="H6" i="3"/>
  <c r="H4" i="3"/>
  <c r="H5" i="3"/>
  <c r="H3" i="3"/>
  <c r="F9" i="3"/>
  <c r="G3" i="2" l="1"/>
  <c r="C9" i="6" l="1"/>
  <c r="C11" i="6" s="1"/>
  <c r="C12" i="6" s="1"/>
  <c r="C11" i="2" l="1"/>
  <c r="F28" i="3"/>
  <c r="F29" i="3"/>
  <c r="F30" i="3"/>
  <c r="F31" i="3"/>
  <c r="F32" i="3"/>
  <c r="F26" i="3"/>
  <c r="F14" i="3"/>
  <c r="F12" i="3"/>
  <c r="F24" i="3"/>
  <c r="F21" i="3"/>
  <c r="F19" i="3"/>
  <c r="F8" i="3"/>
  <c r="F7" i="3"/>
  <c r="F4" i="3"/>
  <c r="F5" i="3"/>
  <c r="F6" i="3"/>
  <c r="F3" i="3"/>
  <c r="F18" i="3"/>
  <c r="F20" i="3"/>
  <c r="F22" i="3"/>
  <c r="F23" i="3"/>
  <c r="F25" i="3"/>
  <c r="F34" i="3"/>
  <c r="F35" i="3"/>
  <c r="F36" i="3"/>
  <c r="F13" i="3"/>
  <c r="F15" i="3"/>
  <c r="F16" i="3"/>
  <c r="F11" i="3"/>
  <c r="B41" i="3"/>
  <c r="F40" i="3"/>
  <c r="B40" i="3" s="1"/>
  <c r="F39" i="3"/>
  <c r="B39" i="3" s="1"/>
  <c r="F38" i="3"/>
  <c r="B38" i="3" s="1"/>
</calcChain>
</file>

<file path=xl/sharedStrings.xml><?xml version="1.0" encoding="utf-8"?>
<sst xmlns="http://schemas.openxmlformats.org/spreadsheetml/2006/main" count="296" uniqueCount="116">
  <si>
    <t>G1 E100 F100</t>
  </si>
  <si>
    <t>Just print up to the point we can measure</t>
  </si>
  <si>
    <t>Measure the wall thickness using digital caliper</t>
  </si>
  <si>
    <t>Flow Rate Calibration</t>
  </si>
  <si>
    <t>mm</t>
  </si>
  <si>
    <t>Measured Wall Thickness</t>
  </si>
  <si>
    <t>Existing Extrusion Multiplier</t>
  </si>
  <si>
    <t>New Extrusion Multiplier for PLA</t>
  </si>
  <si>
    <t>New Extrusion Multiplier for PETG</t>
  </si>
  <si>
    <t>XY Jerk</t>
  </si>
  <si>
    <t>Z Jerk</t>
  </si>
  <si>
    <t>E Jerk</t>
  </si>
  <si>
    <t>X Home Feedrate</t>
  </si>
  <si>
    <t>Z Home Feedrate</t>
  </si>
  <si>
    <t>E Home Feedrate</t>
  </si>
  <si>
    <t>Y Home Feedrate</t>
  </si>
  <si>
    <t>(mm/sec)</t>
  </si>
  <si>
    <t>(mm/min)</t>
  </si>
  <si>
    <t>steps/mm</t>
  </si>
  <si>
    <t>X Axis steps per unit</t>
  </si>
  <si>
    <t>Y Axis steps per unit</t>
  </si>
  <si>
    <t>Z Axis steps per unit</t>
  </si>
  <si>
    <t>X Axis Max Feedrate</t>
  </si>
  <si>
    <t xml:space="preserve">Y Axis Max Feedrate </t>
  </si>
  <si>
    <t>Z Axis Max Feedrate</t>
  </si>
  <si>
    <t>E Axis Max Feedrate</t>
  </si>
  <si>
    <t>X Axis Max Acceleration</t>
  </si>
  <si>
    <t>Y Axis Max Acceleration</t>
  </si>
  <si>
    <t>Z Axis Max Acceleration</t>
  </si>
  <si>
    <t>E Axis Max Acceleration</t>
  </si>
  <si>
    <t>Retract Acceleration</t>
  </si>
  <si>
    <t>mm/step</t>
  </si>
  <si>
    <t>Ender Movement Spec</t>
  </si>
  <si>
    <t>E Axis steps per unit (Teaching Tech)</t>
  </si>
  <si>
    <t>E Axis steps per unit (Stock Firmware)</t>
  </si>
  <si>
    <t>E Axis steps per unit (Klipper)</t>
  </si>
  <si>
    <t>X Axis Max Acceleration Tiny Machine</t>
  </si>
  <si>
    <t>Y Axis Max Acceleration Tiny Machine</t>
  </si>
  <si>
    <t>E Axis Max Acceleration Tiny Machine</t>
  </si>
  <si>
    <t>X Axis Max Feedrate Tiny Machine</t>
  </si>
  <si>
    <t>Y Axis Max Feedrate Tiny Machine</t>
  </si>
  <si>
    <t>Retract Acceleration Tiny Machine</t>
  </si>
  <si>
    <t>X Axis Default Acceleration</t>
  </si>
  <si>
    <t>X Axis Default Acceleration Tiny Machine</t>
  </si>
  <si>
    <t>Y Axis Default Acceleration</t>
  </si>
  <si>
    <t>Y Axis Default Acceleration Tiny Machine</t>
  </si>
  <si>
    <t>Z Axis Default Acceleration</t>
  </si>
  <si>
    <t>Klipper Value</t>
  </si>
  <si>
    <t>Step</t>
  </si>
  <si>
    <t>Action</t>
  </si>
  <si>
    <t>Command</t>
  </si>
  <si>
    <t>Input</t>
  </si>
  <si>
    <t>Unit</t>
  </si>
  <si>
    <t>M503</t>
  </si>
  <si>
    <t>mm/s</t>
  </si>
  <si>
    <t>Marlin Input</t>
  </si>
  <si>
    <t>Measure 120mm of filament back from the extruder and mark the 120mm location.</t>
  </si>
  <si>
    <t>Set your nozzle temp to your preferred extrusion temperature and wait for it to reach temp.</t>
  </si>
  <si>
    <t>Command the printer to extrude 100mm of filament using the command to the right.</t>
  </si>
  <si>
    <t>G1 E50 F900</t>
  </si>
  <si>
    <t>Prime the nozzle by extruding 50mm filament at 15mm/s</t>
  </si>
  <si>
    <t>Input the command to the right, replacing the "###.#" part with the number in the green cell.</t>
  </si>
  <si>
    <t>Input the command to the right to save the setting.</t>
  </si>
  <si>
    <t>Rebooting the system is not supposed to be necessary, but some suggest that it be done.</t>
  </si>
  <si>
    <t>E- Steps Calibration</t>
  </si>
  <si>
    <t>M500</t>
  </si>
  <si>
    <t>Use calibration cube and print 1 wall, 1 bottom, 0 infill, 0 top</t>
  </si>
  <si>
    <t>Nozzle Size / Existing Wall Extrusion Width</t>
  </si>
  <si>
    <t>New Extrusion Multiplier</t>
  </si>
  <si>
    <t>Perform Bed Leveling</t>
  </si>
  <si>
    <t>Cause</t>
  </si>
  <si>
    <t>Perform E-Steps Calibration</t>
  </si>
  <si>
    <t>Over / Under extrusion in all layers</t>
  </si>
  <si>
    <t>Perform FlowRate Calibration</t>
  </si>
  <si>
    <t>Wall Thickness issue</t>
  </si>
  <si>
    <t>Pressure Advance Calibration</t>
  </si>
  <si>
    <t>Over / Under extrusion at the top / bottom infill edge , Square Edge bulge</t>
  </si>
  <si>
    <t>Check slicer Start_Gcode</t>
  </si>
  <si>
    <t>First Layer donot stick to bed</t>
  </si>
  <si>
    <t>First Layer donot stick to bed / no filament comes out of nozzle for sometime</t>
  </si>
  <si>
    <t>Z-Offset Calibration</t>
  </si>
  <si>
    <t>Blobs and ball meterial found in part surface / scar on surfaces</t>
  </si>
  <si>
    <t>rotation_distance = &lt;full_steps_per_rotation&gt; * &lt;microsteps&gt; / &lt;steps_per_mm&gt;</t>
  </si>
  <si>
    <t>Full Steps per rotation (1.8 =&gt; 200, 0.9 =&gt; 400)</t>
  </si>
  <si>
    <t>Microsteps</t>
  </si>
  <si>
    <t>Step Distance</t>
  </si>
  <si>
    <t>Steps Per mm</t>
  </si>
  <si>
    <t>Rotation Distance</t>
  </si>
  <si>
    <t>Full Steps Per Rotation</t>
  </si>
  <si>
    <t>Remarks</t>
  </si>
  <si>
    <t>&lt;initial_mark_distance&gt;</t>
  </si>
  <si>
    <t>&lt;requested_extrude_distance&gt;</t>
  </si>
  <si>
    <t>&lt;subsequent_mark_distance&gt;</t>
  </si>
  <si>
    <t>actual_extrude_distance = &lt;initial_mark_distance&gt; - &lt;subsequent_mark_distance&gt;</t>
  </si>
  <si>
    <t>rotation_distance = &lt;previous_rotation_distance&gt; * &lt;actual_extrude_distance&gt; / &lt;requested_extrude_distance&gt;</t>
  </si>
  <si>
    <t>How to Retrive E-Steps using G-Code</t>
  </si>
  <si>
    <t xml:space="preserve">Measure to the 120mm mark you initally made. Input that number to the right. Ideally it will be around 20mm. Use the digital calipers to measure the new distance between the extruder body and the mark on the filament. </t>
  </si>
  <si>
    <t xml:space="preserve">actual_extrude_distance </t>
  </si>
  <si>
    <t>Retreive the current "E" setting from octoprint by using the command to the right. Then input that number in the yellow cell to the right. (see image below) on klipper case note the value from config file</t>
  </si>
  <si>
    <t>Klipper Rotation Distance [extruder]</t>
  </si>
  <si>
    <t>&lt;previous_rotation_distance&gt;</t>
  </si>
  <si>
    <t>Unit2</t>
  </si>
  <si>
    <t>steps</t>
  </si>
  <si>
    <t>Steps per mm To Rotation Distance Calculator</t>
  </si>
  <si>
    <t>Steps per mm</t>
  </si>
  <si>
    <t>actual_extrude_distance in steps</t>
  </si>
  <si>
    <t>Remarks2</t>
  </si>
  <si>
    <t>&lt;previous_steps_per_mm&gt;</t>
  </si>
  <si>
    <t>&lt;accurate_steps_per_mm&gt; = &lt;steps_taken&gt; / &lt;actual_extrude_distance&gt;</t>
  </si>
  <si>
    <t>&lt;steps_taken&gt; = &lt;previous_steps_per_mm&gt; x &lt;requested_extrude_distance&gt;</t>
  </si>
  <si>
    <t xml:space="preserve">rotation_distance </t>
  </si>
  <si>
    <t>from motor spec</t>
  </si>
  <si>
    <t>from stepper driver config / spec</t>
  </si>
  <si>
    <t>Steps per mm To Old Klipper mm per Step</t>
  </si>
  <si>
    <t>marlin steps per mm</t>
  </si>
  <si>
    <t>mm per 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</si>
</sst>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00000"/>
  </numFmts>
  <fonts count="10" x14ac:knownFonts="1">
    <font>
      <sz val="10"/>
      <color rgb="FF000000"/>
      <name val="Arial"/>
    </font>
    <font>
      <sz val="11"/>
      <color rgb="FF000000"/>
      <name val="Arial"/>
    </font>
    <font>
      <sz val="10"/>
      <name val="Arial"/>
    </font>
    <font>
      <sz val="10"/>
      <name val="Arial"/>
      <family val="2"/>
    </font>
    <font>
      <sz val="10"/>
      <color rgb="FF000000"/>
      <name val="Arial"/>
      <family val="2"/>
    </font>
    <font>
      <b/>
      <sz val="18"/>
      <color rgb="FF000000"/>
      <name val="Arial"/>
      <family val="2"/>
    </font>
    <font>
      <b/>
      <sz val="16"/>
      <color rgb="FF000000"/>
      <name val="Arial"/>
      <family val="2"/>
    </font>
    <font>
      <b/>
      <sz val="12"/>
      <color rgb="FF000000"/>
      <name val="Arial"/>
      <family val="2"/>
    </font>
    <font>
      <sz val="11"/>
      <color rgb="FF000000"/>
      <name val="Arial"/>
      <family val="2"/>
    </font>
    <font>
      <b/>
      <sz val="14"/>
      <color rgb="FF000000"/>
      <name val="Arial"/>
      <family val="2"/>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1" fillId="0" borderId="0" xfId="0" applyFont="1"/>
    <xf numFmtId="0" fontId="2" fillId="0" borderId="0" xfId="0" applyFont="1"/>
    <xf numFmtId="0" fontId="0" fillId="0" borderId="1" xfId="0" applyBorder="1"/>
    <xf numFmtId="2" fontId="0" fillId="0" borderId="0" xfId="0" applyNumberFormat="1"/>
    <xf numFmtId="0" fontId="3" fillId="0" borderId="0" xfId="0" applyFont="1"/>
    <xf numFmtId="0" fontId="0" fillId="6" borderId="0" xfId="0" applyFill="1"/>
    <xf numFmtId="0" fontId="1" fillId="0" borderId="0" xfId="0" applyFont="1" applyAlignment="1">
      <alignment wrapText="1"/>
    </xf>
    <xf numFmtId="0" fontId="0" fillId="4" borderId="0" xfId="0" applyFill="1"/>
    <xf numFmtId="0" fontId="4" fillId="0" borderId="0" xfId="0" applyFont="1"/>
    <xf numFmtId="0" fontId="0" fillId="0" borderId="0" xfId="0" applyFill="1"/>
    <xf numFmtId="0" fontId="2" fillId="0" borderId="0" xfId="0" applyFont="1" applyFill="1"/>
    <xf numFmtId="0" fontId="0" fillId="2" borderId="0" xfId="0" applyFill="1"/>
    <xf numFmtId="2" fontId="1" fillId="0" borderId="0" xfId="0" applyNumberFormat="1" applyFont="1"/>
    <xf numFmtId="0" fontId="2" fillId="6" borderId="0" xfId="0" applyFont="1" applyFill="1"/>
    <xf numFmtId="0" fontId="4" fillId="2" borderId="0" xfId="0" applyFont="1" applyFill="1"/>
    <xf numFmtId="0" fontId="0" fillId="5" borderId="1" xfId="0" applyFill="1" applyBorder="1" applyAlignment="1">
      <alignment horizontal="left"/>
    </xf>
    <xf numFmtId="0" fontId="4" fillId="0" borderId="1" xfId="0" applyFont="1" applyBorder="1"/>
    <xf numFmtId="0" fontId="6" fillId="7" borderId="0" xfId="0" applyFont="1" applyFill="1" applyAlignment="1">
      <alignment horizontal="left"/>
    </xf>
    <xf numFmtId="0" fontId="0" fillId="5" borderId="1" xfId="0" applyFill="1" applyBorder="1" applyAlignment="1">
      <alignment horizontal="left"/>
    </xf>
    <xf numFmtId="0" fontId="0" fillId="0" borderId="1" xfId="0" applyBorder="1" applyAlignment="1"/>
    <xf numFmtId="0" fontId="4" fillId="5" borderId="1" xfId="0" applyFont="1" applyFill="1" applyBorder="1" applyAlignment="1">
      <alignment horizontal="left"/>
    </xf>
    <xf numFmtId="0" fontId="0" fillId="0" borderId="1" xfId="0" applyBorder="1" applyAlignment="1">
      <alignment horizontal="left"/>
    </xf>
    <xf numFmtId="0" fontId="0" fillId="2" borderId="0" xfId="0" applyFill="1" applyAlignment="1">
      <alignment wrapText="1"/>
    </xf>
    <xf numFmtId="0" fontId="5" fillId="5" borderId="0" xfId="0" applyFont="1" applyFill="1" applyAlignment="1"/>
    <xf numFmtId="0" fontId="5" fillId="5" borderId="0" xfId="0" applyFont="1" applyFill="1" applyAlignment="1">
      <alignment horizontal="center"/>
    </xf>
    <xf numFmtId="0" fontId="0" fillId="0" borderId="0" xfId="0" applyAlignment="1">
      <alignment wrapText="1"/>
    </xf>
    <xf numFmtId="0" fontId="7" fillId="0" borderId="0" xfId="0" applyFont="1"/>
    <xf numFmtId="0" fontId="8" fillId="0" borderId="0" xfId="0" applyFont="1" applyAlignment="1">
      <alignment wrapText="1"/>
    </xf>
    <xf numFmtId="0" fontId="4" fillId="2" borderId="0" xfId="0" applyFont="1" applyFill="1" applyAlignment="1">
      <alignment wrapText="1"/>
    </xf>
    <xf numFmtId="165" fontId="0" fillId="3" borderId="0" xfId="0" applyNumberFormat="1" applyFill="1"/>
    <xf numFmtId="165" fontId="0" fillId="6" borderId="0" xfId="0" applyNumberFormat="1" applyFill="1"/>
    <xf numFmtId="0" fontId="4" fillId="4" borderId="0" xfId="0" applyFont="1" applyFill="1"/>
    <xf numFmtId="0" fontId="4" fillId="0" borderId="0" xfId="0" applyFont="1" applyFill="1"/>
    <xf numFmtId="0" fontId="0" fillId="3" borderId="0" xfId="0" applyFill="1"/>
    <xf numFmtId="0" fontId="9" fillId="0" borderId="0" xfId="0" applyFont="1" applyFill="1" applyAlignment="1">
      <alignment wrapText="1"/>
    </xf>
    <xf numFmtId="0" fontId="3" fillId="0" borderId="0" xfId="0" applyFont="1" applyFill="1" applyAlignment="1">
      <alignment wrapText="1"/>
    </xf>
    <xf numFmtId="0" fontId="2" fillId="0" borderId="0" xfId="0" applyFont="1" applyFill="1" applyAlignment="1">
      <alignment wrapText="1"/>
    </xf>
    <xf numFmtId="0" fontId="0" fillId="0" borderId="0" xfId="0" applyFill="1" applyAlignment="1">
      <alignment wrapText="1"/>
    </xf>
    <xf numFmtId="0" fontId="4" fillId="0" borderId="0" xfId="0" applyFont="1" applyAlignment="1">
      <alignment wrapText="1"/>
    </xf>
    <xf numFmtId="0" fontId="8" fillId="0" borderId="0" xfId="0" applyFont="1" applyFill="1" applyAlignment="1">
      <alignment wrapText="1"/>
    </xf>
    <xf numFmtId="0" fontId="4" fillId="0" borderId="0" xfId="0" applyFont="1" applyFill="1" applyAlignment="1">
      <alignment wrapText="1"/>
    </xf>
    <xf numFmtId="1" fontId="0" fillId="3" borderId="0" xfId="0" applyNumberFormat="1" applyFill="1"/>
  </cellXfs>
  <cellStyles count="1">
    <cellStyle name="Normal" xfId="0" builtinId="0"/>
  </cellStyles>
  <dxfs count="6">
    <dxf>
      <alignment horizontal="general" vertical="bottom" textRotation="0" wrapText="1" indent="0" justifyLastLine="0" shrinkToFit="0" readingOrder="0"/>
    </dxf>
    <dxf>
      <font>
        <strike val="0"/>
        <outline val="0"/>
        <shadow val="0"/>
        <u val="none"/>
        <vertAlign val="baseline"/>
        <sz val="10"/>
        <color rgb="FF000000"/>
        <name val="Arial"/>
        <scheme val="none"/>
      </font>
      <alignment horizontal="general" vertical="bottom" textRotation="0" wrapText="1" indent="0" justifyLastLine="0" shrinkToFit="0" readingOrder="0"/>
    </dxf>
    <dxf>
      <font>
        <strike val="0"/>
        <outline val="0"/>
        <shadow val="0"/>
        <u val="none"/>
        <vertAlign val="baseline"/>
        <sz val="10"/>
        <color rgb="FF000000"/>
        <name val="Arial"/>
        <scheme val="none"/>
      </font>
    </dxf>
    <dxf>
      <alignment horizontal="general" vertical="bottom" textRotation="0" wrapText="1" indent="0" justifyLastLine="0" shrinkToFit="0" readingOrder="0"/>
    </dxf>
    <dxf>
      <fill>
        <patternFill patternType="solid">
          <fgColor indexed="64"/>
          <bgColor theme="4" tint="0.39997558519241921"/>
        </patternFill>
      </fill>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indexed="64"/>
          <bgColor theme="4"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466725</xdr:colOff>
      <xdr:row>29</xdr:row>
      <xdr:rowOff>24765</xdr:rowOff>
    </xdr:from>
    <xdr:to>
      <xdr:col>1</xdr:col>
      <xdr:colOff>4133850</xdr:colOff>
      <xdr:row>37</xdr:row>
      <xdr:rowOff>47625</xdr:rowOff>
    </xdr:to>
    <xdr:pic>
      <xdr:nvPicPr>
        <xdr:cNvPr id="2" name="Picture 1">
          <a:extLst>
            <a:ext uri="{FF2B5EF4-FFF2-40B4-BE49-F238E27FC236}">
              <a16:creationId xmlns:a16="http://schemas.microsoft.com/office/drawing/2014/main" id="{3E15C004-2D70-42FE-AAD0-050971F2E1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6725" y="6130290"/>
          <a:ext cx="4152900" cy="158496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5D14C4-5DAD-4647-8EBE-ADDB6BEC5DC0}" name="Table2" displayName="Table2" ref="A2:J25" totalsRowShown="0" headerRowDxfId="4">
  <autoFilter ref="A2:J25" xr:uid="{76846418-598B-4291-947F-58F3BE7352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CFA7D7B-FF55-4AB8-89D4-C9F027F17989}" name="Step"/>
    <tableColumn id="2" xr3:uid="{7A0D612B-B09F-471E-A73E-3134FA21DB94}" name="Action" dataDxfId="3"/>
    <tableColumn id="3" xr3:uid="{FB2981B4-6096-4A3C-BE06-3C4FE3EB89DC}" name="Command"/>
    <tableColumn id="4" xr3:uid="{D0593C25-D71C-494A-B76B-9EC4A4DA8516}" name="Marlin Input"/>
    <tableColumn id="9" xr3:uid="{B66220D3-6553-47AF-B810-091AF75F55E6}" name="Unit" dataDxfId="2"/>
    <tableColumn id="10" xr3:uid="{29F83541-4DDE-49E2-9F11-72F1F236D067}" name="Remarks" dataDxfId="1"/>
    <tableColumn id="5" xr3:uid="{1903042B-3210-4CAA-A63C-09B925FCBC8C}" name="Klipper Value"/>
    <tableColumn id="7" xr3:uid="{9B8376B7-56CC-4CE1-B9A9-A7D9155CA949}" name="Klipper Rotation Distance [extruder]"/>
    <tableColumn id="6" xr3:uid="{2D987116-A2FC-4A65-BDF9-7FEA37701A44}" name="Unit2"/>
    <tableColumn id="8" xr3:uid="{5A3334E4-8B79-48BD-82B5-123CF39C33D8}" name="Remarks2" dataDxfId="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A1C568E-2C0D-43F9-A1B6-FE8E95293C16}" name="Table6" displayName="Table6" ref="A2:C15" totalsRowShown="0" headerRowDxfId="5">
  <autoFilter ref="A2:C15" xr:uid="{15CC3BF2-970B-4EDB-83DD-DFB4F006EB39}">
    <filterColumn colId="0" hiddenButton="1"/>
    <filterColumn colId="1" hiddenButton="1"/>
    <filterColumn colId="2" hiddenButton="1"/>
  </autoFilter>
  <tableColumns count="3">
    <tableColumn id="1" xr3:uid="{076063DC-9259-440A-AF63-3E484D9E2466}" name="Step"/>
    <tableColumn id="2" xr3:uid="{1B96AACB-F57F-4012-B00A-3E7367204E00}" name="Action"/>
    <tableColumn id="3" xr3:uid="{F6DF2C1B-BB82-437F-B371-40B6C6B017DA}" name="Inpu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B571-4888-4749-B10F-F961021AE21C}">
  <dimension ref="A1:B7"/>
  <sheetViews>
    <sheetView workbookViewId="0">
      <selection activeCell="B8" sqref="B8"/>
    </sheetView>
  </sheetViews>
  <sheetFormatPr defaultRowHeight="12.75" x14ac:dyDescent="0.2"/>
  <cols>
    <col min="1" max="1" width="59.7109375" customWidth="1"/>
    <col min="2" max="2" width="66.42578125" bestFit="1" customWidth="1"/>
  </cols>
  <sheetData>
    <row r="1" spans="1:2" x14ac:dyDescent="0.2">
      <c r="A1" s="12" t="s">
        <v>49</v>
      </c>
      <c r="B1" s="12" t="s">
        <v>70</v>
      </c>
    </row>
    <row r="2" spans="1:2" x14ac:dyDescent="0.2">
      <c r="A2" t="s">
        <v>69</v>
      </c>
      <c r="B2" t="s">
        <v>78</v>
      </c>
    </row>
    <row r="3" spans="1:2" x14ac:dyDescent="0.2">
      <c r="A3" t="s">
        <v>71</v>
      </c>
      <c r="B3" t="s">
        <v>72</v>
      </c>
    </row>
    <row r="4" spans="1:2" x14ac:dyDescent="0.2">
      <c r="A4" t="s">
        <v>77</v>
      </c>
      <c r="B4" t="s">
        <v>79</v>
      </c>
    </row>
    <row r="5" spans="1:2" x14ac:dyDescent="0.2">
      <c r="A5" t="s">
        <v>73</v>
      </c>
      <c r="B5" t="s">
        <v>74</v>
      </c>
    </row>
    <row r="6" spans="1:2" x14ac:dyDescent="0.2">
      <c r="A6" t="s">
        <v>75</v>
      </c>
      <c r="B6" t="s">
        <v>76</v>
      </c>
    </row>
    <row r="7" spans="1:2" x14ac:dyDescent="0.2">
      <c r="A7" t="s">
        <v>80</v>
      </c>
      <c r="B7"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K31"/>
  <sheetViews>
    <sheetView tabSelected="1" workbookViewId="0">
      <selection activeCell="E17" sqref="E17"/>
    </sheetView>
  </sheetViews>
  <sheetFormatPr defaultColWidth="14.42578125" defaultRowHeight="15.75" customHeight="1" x14ac:dyDescent="0.2"/>
  <cols>
    <col min="1" max="1" width="7.28515625" bestFit="1" customWidth="1"/>
    <col min="2" max="2" width="82.7109375" customWidth="1"/>
    <col min="3" max="3" width="12.7109375" bestFit="1" customWidth="1"/>
    <col min="5" max="5" width="10.28515625" customWidth="1"/>
    <col min="6" max="6" width="42.5703125" customWidth="1"/>
    <col min="7" max="7" width="11.28515625" customWidth="1"/>
    <col min="8" max="8" width="10" customWidth="1"/>
    <col min="9" max="9" width="9.28515625" bestFit="1" customWidth="1"/>
    <col min="10" max="10" width="59.140625" customWidth="1"/>
  </cols>
  <sheetData>
    <row r="1" spans="1:11" ht="23.25" x14ac:dyDescent="0.35">
      <c r="A1" s="24" t="s">
        <v>64</v>
      </c>
      <c r="B1" s="24"/>
      <c r="C1" s="25"/>
      <c r="D1" s="25"/>
      <c r="E1" s="25"/>
      <c r="F1" s="25"/>
      <c r="G1" s="25"/>
      <c r="H1" s="25"/>
      <c r="I1" s="25"/>
      <c r="J1" s="25"/>
    </row>
    <row r="2" spans="1:11" ht="51" x14ac:dyDescent="0.2">
      <c r="A2" s="23" t="s">
        <v>48</v>
      </c>
      <c r="B2" s="23" t="s">
        <v>49</v>
      </c>
      <c r="C2" s="23" t="s">
        <v>50</v>
      </c>
      <c r="D2" s="23" t="s">
        <v>55</v>
      </c>
      <c r="E2" s="29" t="s">
        <v>52</v>
      </c>
      <c r="F2" s="29" t="s">
        <v>89</v>
      </c>
      <c r="G2" s="23" t="s">
        <v>47</v>
      </c>
      <c r="H2" s="29" t="s">
        <v>99</v>
      </c>
      <c r="I2" s="29" t="s">
        <v>101</v>
      </c>
      <c r="J2" s="23" t="s">
        <v>106</v>
      </c>
    </row>
    <row r="3" spans="1:11" ht="42.75" x14ac:dyDescent="0.2">
      <c r="B3" s="28" t="s">
        <v>98</v>
      </c>
      <c r="C3" t="s">
        <v>53</v>
      </c>
      <c r="D3" s="6">
        <v>423</v>
      </c>
      <c r="E3" s="39" t="s">
        <v>18</v>
      </c>
      <c r="F3" s="39" t="s">
        <v>107</v>
      </c>
      <c r="G3" s="31">
        <f>1/415</f>
        <v>2.4096385542168677E-3</v>
      </c>
      <c r="H3" s="6">
        <v>7.7108429999999997</v>
      </c>
      <c r="I3" t="s">
        <v>54</v>
      </c>
      <c r="J3" s="39" t="s">
        <v>100</v>
      </c>
      <c r="K3" s="7"/>
    </row>
    <row r="4" spans="1:11" ht="28.5" x14ac:dyDescent="0.2">
      <c r="B4" s="28" t="s">
        <v>56</v>
      </c>
      <c r="D4">
        <v>120</v>
      </c>
      <c r="E4" s="9" t="s">
        <v>4</v>
      </c>
      <c r="F4" s="39" t="s">
        <v>90</v>
      </c>
      <c r="G4">
        <v>120</v>
      </c>
      <c r="H4">
        <v>120</v>
      </c>
      <c r="I4" t="s">
        <v>4</v>
      </c>
      <c r="J4" s="39" t="s">
        <v>90</v>
      </c>
      <c r="K4" s="1"/>
    </row>
    <row r="5" spans="1:11" ht="28.5" x14ac:dyDescent="0.2">
      <c r="B5" s="28" t="s">
        <v>57</v>
      </c>
      <c r="E5" s="9"/>
      <c r="F5" s="39"/>
      <c r="J5" s="26"/>
      <c r="K5" s="1"/>
    </row>
    <row r="6" spans="1:11" ht="15.75" customHeight="1" x14ac:dyDescent="0.2">
      <c r="B6" s="28" t="s">
        <v>60</v>
      </c>
      <c r="C6" t="s">
        <v>59</v>
      </c>
      <c r="E6" s="9"/>
      <c r="F6" s="39"/>
      <c r="J6" s="26"/>
      <c r="K6" s="1"/>
    </row>
    <row r="7" spans="1:11" ht="28.5" x14ac:dyDescent="0.2">
      <c r="B7" s="28" t="s">
        <v>58</v>
      </c>
      <c r="C7" t="s">
        <v>0</v>
      </c>
      <c r="D7">
        <v>100</v>
      </c>
      <c r="E7" s="9" t="s">
        <v>4</v>
      </c>
      <c r="F7" s="39" t="s">
        <v>91</v>
      </c>
      <c r="G7">
        <v>100</v>
      </c>
      <c r="H7">
        <v>100</v>
      </c>
      <c r="I7" t="s">
        <v>4</v>
      </c>
      <c r="J7" s="39" t="s">
        <v>91</v>
      </c>
      <c r="K7" s="1"/>
    </row>
    <row r="8" spans="1:11" ht="42.75" x14ac:dyDescent="0.2">
      <c r="B8" s="28" t="s">
        <v>96</v>
      </c>
      <c r="D8" s="6">
        <v>18</v>
      </c>
      <c r="E8" s="39" t="s">
        <v>4</v>
      </c>
      <c r="F8" s="39" t="s">
        <v>92</v>
      </c>
      <c r="G8" s="6">
        <v>18</v>
      </c>
      <c r="H8" s="6">
        <v>18</v>
      </c>
      <c r="I8" t="s">
        <v>4</v>
      </c>
      <c r="J8" s="39" t="s">
        <v>92</v>
      </c>
    </row>
    <row r="9" spans="1:11" ht="25.5" x14ac:dyDescent="0.2">
      <c r="B9" s="28" t="s">
        <v>97</v>
      </c>
      <c r="D9" s="8">
        <f>D4-D8</f>
        <v>102</v>
      </c>
      <c r="E9" s="32" t="s">
        <v>4</v>
      </c>
      <c r="F9" s="39"/>
      <c r="G9" s="8">
        <f t="shared" ref="G9:H9" si="0">G4-G8</f>
        <v>102</v>
      </c>
      <c r="H9" s="8">
        <f t="shared" si="0"/>
        <v>102</v>
      </c>
      <c r="I9" s="9" t="s">
        <v>4</v>
      </c>
      <c r="J9" s="26" t="s">
        <v>93</v>
      </c>
    </row>
    <row r="10" spans="1:11" ht="25.5" x14ac:dyDescent="0.2">
      <c r="B10" s="28" t="s">
        <v>105</v>
      </c>
      <c r="D10" s="8">
        <f>D3*D7</f>
        <v>42300</v>
      </c>
      <c r="E10" s="32" t="s">
        <v>102</v>
      </c>
      <c r="F10" s="39" t="s">
        <v>109</v>
      </c>
      <c r="G10" s="8"/>
      <c r="H10" s="8"/>
      <c r="I10" s="9"/>
      <c r="J10" s="26"/>
    </row>
    <row r="11" spans="1:11" ht="38.25" x14ac:dyDescent="0.2">
      <c r="B11" s="28" t="s">
        <v>61</v>
      </c>
      <c r="C11" t="str">
        <f>"M92 E" &amp; ROUND(D11,2)</f>
        <v>M92 E415</v>
      </c>
      <c r="D11" s="42">
        <f>ROUND(D10/D9,0)</f>
        <v>415</v>
      </c>
      <c r="E11" s="9" t="s">
        <v>18</v>
      </c>
      <c r="F11" s="39" t="s">
        <v>108</v>
      </c>
      <c r="G11" s="30">
        <f>ROUND(G3*G9/G7,6)</f>
        <v>2.4580000000000001E-3</v>
      </c>
      <c r="H11" s="30">
        <f>ROUND(H3*H9/H7,6)</f>
        <v>7.8650599999999997</v>
      </c>
      <c r="I11" s="9" t="s">
        <v>4</v>
      </c>
      <c r="J11" s="26" t="s">
        <v>94</v>
      </c>
    </row>
    <row r="12" spans="1:11" ht="15.75" customHeight="1" x14ac:dyDescent="0.2">
      <c r="B12" s="28" t="s">
        <v>62</v>
      </c>
      <c r="C12" s="9" t="s">
        <v>65</v>
      </c>
      <c r="E12" s="9"/>
      <c r="F12" s="39"/>
      <c r="J12" s="26"/>
    </row>
    <row r="13" spans="1:11" ht="15.75" customHeight="1" x14ac:dyDescent="0.2">
      <c r="B13" s="28" t="s">
        <v>63</v>
      </c>
      <c r="E13" s="9"/>
      <c r="F13" s="39"/>
      <c r="J13" s="26"/>
    </row>
    <row r="14" spans="1:11" ht="15.75" customHeight="1" x14ac:dyDescent="0.2">
      <c r="B14" s="40"/>
      <c r="C14" s="10"/>
      <c r="D14" s="10"/>
      <c r="E14" s="33"/>
      <c r="F14" s="41"/>
      <c r="G14" s="10"/>
      <c r="H14" s="10"/>
      <c r="I14" s="10"/>
      <c r="J14" s="26"/>
    </row>
    <row r="15" spans="1:11" ht="18" x14ac:dyDescent="0.25">
      <c r="B15" s="35" t="s">
        <v>103</v>
      </c>
      <c r="C15" s="10"/>
      <c r="D15" s="10"/>
      <c r="E15" s="33"/>
      <c r="F15" s="41"/>
      <c r="G15" s="10"/>
      <c r="H15" s="10"/>
      <c r="I15" s="10"/>
      <c r="J15" s="26"/>
    </row>
    <row r="16" spans="1:11" ht="12.75" x14ac:dyDescent="0.2">
      <c r="B16" s="36" t="s">
        <v>104</v>
      </c>
      <c r="C16" s="10"/>
      <c r="D16" s="10"/>
      <c r="E16" s="33"/>
      <c r="F16" s="41"/>
      <c r="G16" s="41"/>
      <c r="H16" s="6">
        <v>415</v>
      </c>
      <c r="I16" s="33" t="s">
        <v>18</v>
      </c>
      <c r="J16" s="39" t="s">
        <v>114</v>
      </c>
    </row>
    <row r="17" spans="2:10" ht="15.75" customHeight="1" x14ac:dyDescent="0.2">
      <c r="B17" s="37" t="s">
        <v>83</v>
      </c>
      <c r="C17" s="11"/>
      <c r="D17" s="11"/>
      <c r="E17" s="33"/>
      <c r="F17" s="41"/>
      <c r="G17" s="10"/>
      <c r="H17" s="6">
        <v>200</v>
      </c>
      <c r="I17" s="33" t="s">
        <v>102</v>
      </c>
      <c r="J17" s="39" t="s">
        <v>111</v>
      </c>
    </row>
    <row r="18" spans="2:10" ht="15.75" customHeight="1" x14ac:dyDescent="0.2">
      <c r="B18" s="37" t="s">
        <v>84</v>
      </c>
      <c r="C18" s="11"/>
      <c r="D18" s="11"/>
      <c r="E18" s="33"/>
      <c r="F18" s="41"/>
      <c r="G18" s="10"/>
      <c r="H18" s="6">
        <v>16</v>
      </c>
      <c r="I18" s="33" t="s">
        <v>102</v>
      </c>
      <c r="J18" s="39" t="s">
        <v>112</v>
      </c>
    </row>
    <row r="19" spans="2:10" ht="25.5" x14ac:dyDescent="0.2">
      <c r="B19" s="36" t="s">
        <v>110</v>
      </c>
      <c r="C19" s="11"/>
      <c r="D19" s="11"/>
      <c r="E19" s="33"/>
      <c r="F19" s="41"/>
      <c r="G19" s="10"/>
      <c r="H19" s="34">
        <f>ROUND((H17*H18)/H16,6)</f>
        <v>7.7108429999999997</v>
      </c>
      <c r="I19" s="33" t="s">
        <v>4</v>
      </c>
      <c r="J19" s="39" t="s">
        <v>82</v>
      </c>
    </row>
    <row r="20" spans="2:10" ht="15.75" customHeight="1" x14ac:dyDescent="0.2">
      <c r="B20" s="38"/>
      <c r="C20" s="10"/>
      <c r="D20" s="10"/>
      <c r="E20" s="33"/>
      <c r="F20" s="41"/>
      <c r="G20" s="10"/>
      <c r="H20" s="10"/>
      <c r="I20" s="10"/>
      <c r="J20" s="26"/>
    </row>
    <row r="21" spans="2:10" ht="15.75" customHeight="1" x14ac:dyDescent="0.25">
      <c r="B21" s="35" t="s">
        <v>113</v>
      </c>
      <c r="C21" s="10"/>
      <c r="D21" s="10"/>
      <c r="E21" s="33"/>
      <c r="F21" s="41"/>
      <c r="G21" s="10"/>
      <c r="H21" s="10"/>
      <c r="I21" s="10"/>
      <c r="J21" s="26"/>
    </row>
    <row r="22" spans="2:10" ht="15.75" customHeight="1" x14ac:dyDescent="0.2">
      <c r="B22" s="36" t="s">
        <v>104</v>
      </c>
      <c r="C22" s="10"/>
      <c r="D22" s="10"/>
      <c r="E22" s="33"/>
      <c r="F22" s="41"/>
      <c r="G22" s="6">
        <v>415</v>
      </c>
      <c r="H22" s="10"/>
      <c r="I22" s="33" t="s">
        <v>18</v>
      </c>
      <c r="J22" s="39" t="s">
        <v>114</v>
      </c>
    </row>
    <row r="23" spans="2:10" ht="15.75" customHeight="1" x14ac:dyDescent="0.2">
      <c r="B23" s="26"/>
      <c r="E23" s="9"/>
      <c r="F23" s="39"/>
      <c r="G23" s="34">
        <f>ROUND(1/G22,6)</f>
        <v>2.4099999999999998E-3</v>
      </c>
      <c r="I23" s="9" t="s">
        <v>4</v>
      </c>
      <c r="J23" s="39" t="s">
        <v>115</v>
      </c>
    </row>
    <row r="24" spans="2:10" ht="15.75" customHeight="1" x14ac:dyDescent="0.2">
      <c r="B24" s="26"/>
      <c r="E24" s="9"/>
      <c r="F24" s="39"/>
      <c r="J24" s="26"/>
    </row>
    <row r="25" spans="2:10" ht="15.75" customHeight="1" x14ac:dyDescent="0.2">
      <c r="B25" s="26"/>
      <c r="E25" s="9"/>
      <c r="F25" s="39"/>
      <c r="J25" s="26"/>
    </row>
    <row r="28" spans="2:10" ht="15.75" customHeight="1" x14ac:dyDescent="0.25">
      <c r="B28" s="27" t="s">
        <v>95</v>
      </c>
    </row>
    <row r="31" spans="2:10" ht="12.75" x14ac:dyDescent="0.2"/>
  </sheetData>
  <mergeCells count="1">
    <mergeCell ref="C1:J1"/>
  </mergeCells>
  <pageMargins left="0.7" right="0.7" top="0.75" bottom="0.75" header="0.3" footer="0.3"/>
  <pageSetup orientation="portrait" horizontalDpi="300" verticalDpi="3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71D87-9F41-4F62-B1ED-ED3597DB20C4}">
  <sheetPr codeName="Sheet4"/>
  <dimension ref="A1:C12"/>
  <sheetViews>
    <sheetView workbookViewId="0">
      <selection activeCell="C27" sqref="C27"/>
    </sheetView>
  </sheetViews>
  <sheetFormatPr defaultRowHeight="12.75" x14ac:dyDescent="0.2"/>
  <cols>
    <col min="1" max="1" width="5" bestFit="1" customWidth="1"/>
    <col min="2" max="2" width="50.28515625" bestFit="1" customWidth="1"/>
    <col min="3" max="3" width="6.85546875" customWidth="1"/>
  </cols>
  <sheetData>
    <row r="1" spans="1:3" ht="20.25" x14ac:dyDescent="0.3">
      <c r="A1" s="18" t="s">
        <v>3</v>
      </c>
      <c r="B1" s="18"/>
      <c r="C1" s="18"/>
    </row>
    <row r="2" spans="1:3" x14ac:dyDescent="0.2">
      <c r="A2" s="15" t="s">
        <v>48</v>
      </c>
      <c r="B2" s="15" t="s">
        <v>49</v>
      </c>
      <c r="C2" s="15" t="s">
        <v>51</v>
      </c>
    </row>
    <row r="3" spans="1:3" x14ac:dyDescent="0.2">
      <c r="A3">
        <v>1</v>
      </c>
      <c r="B3" s="9" t="s">
        <v>66</v>
      </c>
    </row>
    <row r="4" spans="1:3" x14ac:dyDescent="0.2">
      <c r="A4">
        <v>2</v>
      </c>
      <c r="B4" s="9" t="s">
        <v>1</v>
      </c>
    </row>
    <row r="5" spans="1:3" x14ac:dyDescent="0.2">
      <c r="A5">
        <v>3</v>
      </c>
      <c r="B5" s="9" t="s">
        <v>2</v>
      </c>
    </row>
    <row r="6" spans="1:3" x14ac:dyDescent="0.2">
      <c r="A6">
        <v>4</v>
      </c>
      <c r="B6" s="5" t="s">
        <v>67</v>
      </c>
      <c r="C6" s="14">
        <v>0.6</v>
      </c>
    </row>
    <row r="7" spans="1:3" x14ac:dyDescent="0.2">
      <c r="A7">
        <v>5</v>
      </c>
      <c r="B7" s="2" t="s">
        <v>5</v>
      </c>
      <c r="C7" s="14">
        <v>0.54</v>
      </c>
    </row>
    <row r="8" spans="1:3" x14ac:dyDescent="0.2">
      <c r="A8">
        <v>6</v>
      </c>
      <c r="B8" t="s">
        <v>6</v>
      </c>
      <c r="C8" s="14">
        <v>89</v>
      </c>
    </row>
    <row r="9" spans="1:3" x14ac:dyDescent="0.2">
      <c r="B9" s="9" t="s">
        <v>68</v>
      </c>
      <c r="C9" s="4">
        <f>C6/C7*C8</f>
        <v>98.888888888888872</v>
      </c>
    </row>
    <row r="11" spans="1:3" ht="14.25" x14ac:dyDescent="0.2">
      <c r="B11" s="5" t="s">
        <v>7</v>
      </c>
      <c r="C11" s="13">
        <f>C9</f>
        <v>98.888888888888872</v>
      </c>
    </row>
    <row r="12" spans="1:3" ht="14.25" x14ac:dyDescent="0.2">
      <c r="B12" s="2" t="s">
        <v>8</v>
      </c>
      <c r="C12" s="13">
        <f>C11*0.98</f>
        <v>96.911111111111097</v>
      </c>
    </row>
  </sheetData>
  <mergeCells count="1">
    <mergeCell ref="A1:C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BE3D-EAB5-4F0A-B986-F5BA335946AE}">
  <sheetPr>
    <outlinePr summaryBelow="0" summaryRight="0"/>
  </sheetPr>
  <dimension ref="A1:I31"/>
  <sheetViews>
    <sheetView workbookViewId="0">
      <selection activeCell="B27" sqref="B27"/>
    </sheetView>
  </sheetViews>
  <sheetFormatPr defaultColWidth="14.42578125" defaultRowHeight="15.75" customHeight="1" x14ac:dyDescent="0.2"/>
  <cols>
    <col min="1" max="1" width="36.140625" bestFit="1" customWidth="1"/>
    <col min="2" max="2" width="6.5703125" customWidth="1"/>
    <col min="3" max="3" width="9.28515625" bestFit="1" customWidth="1"/>
    <col min="4" max="4" width="20.5703125" bestFit="1" customWidth="1"/>
    <col min="5" max="5" width="10.140625" bestFit="1" customWidth="1"/>
    <col min="6" max="6" width="8.140625" customWidth="1"/>
    <col min="7" max="7" width="8.85546875" bestFit="1" customWidth="1"/>
  </cols>
  <sheetData>
    <row r="1" spans="1:9" ht="15.75" customHeight="1" x14ac:dyDescent="0.2">
      <c r="A1" s="19" t="s">
        <v>32</v>
      </c>
      <c r="B1" s="19"/>
      <c r="C1" s="19"/>
      <c r="D1" s="19"/>
      <c r="E1" s="19"/>
      <c r="F1" s="19"/>
      <c r="G1" s="19"/>
      <c r="H1" s="20"/>
      <c r="I1" s="20"/>
    </row>
    <row r="2" spans="1:9" ht="15.75" customHeight="1" x14ac:dyDescent="0.2">
      <c r="A2" s="16"/>
      <c r="B2" s="21" t="s">
        <v>86</v>
      </c>
      <c r="C2" s="22"/>
      <c r="D2" s="16" t="s">
        <v>88</v>
      </c>
      <c r="E2" s="16" t="s">
        <v>84</v>
      </c>
      <c r="F2" s="21" t="s">
        <v>85</v>
      </c>
      <c r="G2" s="22"/>
      <c r="H2" s="21" t="s">
        <v>87</v>
      </c>
      <c r="I2" s="22"/>
    </row>
    <row r="3" spans="1:9" ht="15.75" customHeight="1" x14ac:dyDescent="0.2">
      <c r="A3" s="3" t="s">
        <v>19</v>
      </c>
      <c r="B3" s="3">
        <v>100</v>
      </c>
      <c r="C3" s="3" t="s">
        <v>18</v>
      </c>
      <c r="D3" s="3">
        <v>200</v>
      </c>
      <c r="E3" s="3">
        <v>16</v>
      </c>
      <c r="F3" s="3">
        <f>1/B3</f>
        <v>0.01</v>
      </c>
      <c r="G3" s="3" t="s">
        <v>31</v>
      </c>
      <c r="H3" s="3">
        <f>ROUND((D3*E3)/B3,1)</f>
        <v>32</v>
      </c>
      <c r="I3" s="17" t="s">
        <v>4</v>
      </c>
    </row>
    <row r="4" spans="1:9" ht="15.75" customHeight="1" x14ac:dyDescent="0.2">
      <c r="A4" s="3" t="s">
        <v>20</v>
      </c>
      <c r="B4" s="3">
        <v>80</v>
      </c>
      <c r="C4" s="3" t="s">
        <v>18</v>
      </c>
      <c r="D4" s="3">
        <v>200</v>
      </c>
      <c r="E4" s="3">
        <v>16</v>
      </c>
      <c r="F4" s="3">
        <f t="shared" ref="F4:F7" si="0">1/B4</f>
        <v>1.2500000000000001E-2</v>
      </c>
      <c r="G4" s="3" t="s">
        <v>31</v>
      </c>
      <c r="H4" s="3">
        <f t="shared" ref="H4:H5" si="1">ROUND((D4*E4)/B4,1)</f>
        <v>40</v>
      </c>
      <c r="I4" s="17" t="s">
        <v>4</v>
      </c>
    </row>
    <row r="5" spans="1:9" ht="15.75" customHeight="1" x14ac:dyDescent="0.2">
      <c r="A5" s="3" t="s">
        <v>21</v>
      </c>
      <c r="B5" s="3">
        <v>800</v>
      </c>
      <c r="C5" s="3" t="s">
        <v>18</v>
      </c>
      <c r="D5" s="3">
        <v>200</v>
      </c>
      <c r="E5" s="3">
        <v>16</v>
      </c>
      <c r="F5" s="3">
        <f t="shared" si="0"/>
        <v>1.25E-3</v>
      </c>
      <c r="G5" s="3" t="s">
        <v>31</v>
      </c>
      <c r="H5" s="3">
        <f t="shared" si="1"/>
        <v>4</v>
      </c>
      <c r="I5" s="17" t="s">
        <v>4</v>
      </c>
    </row>
    <row r="6" spans="1:9" ht="15.75" customHeight="1" x14ac:dyDescent="0.2">
      <c r="A6" s="3" t="s">
        <v>34</v>
      </c>
      <c r="B6" s="3">
        <v>418</v>
      </c>
      <c r="C6" s="3" t="s">
        <v>18</v>
      </c>
      <c r="D6" s="3">
        <v>200</v>
      </c>
      <c r="E6" s="3">
        <v>16</v>
      </c>
      <c r="F6" s="3">
        <f t="shared" si="0"/>
        <v>2.3923444976076554E-3</v>
      </c>
      <c r="G6" s="3" t="s">
        <v>31</v>
      </c>
      <c r="H6" s="3">
        <f>ROUND((D6*E6)/B6,6)</f>
        <v>7.6555020000000003</v>
      </c>
      <c r="I6" s="17" t="s">
        <v>4</v>
      </c>
    </row>
    <row r="7" spans="1:9" ht="15.75" customHeight="1" x14ac:dyDescent="0.2">
      <c r="A7" s="3" t="s">
        <v>35</v>
      </c>
      <c r="B7" s="3">
        <v>415</v>
      </c>
      <c r="C7" s="3" t="s">
        <v>18</v>
      </c>
      <c r="D7" s="3">
        <v>200</v>
      </c>
      <c r="E7" s="3">
        <v>16</v>
      </c>
      <c r="F7" s="3">
        <f t="shared" si="0"/>
        <v>2.4096385542168677E-3</v>
      </c>
      <c r="G7" s="3" t="s">
        <v>31</v>
      </c>
      <c r="H7" s="3">
        <f t="shared" ref="H7" si="2">ROUND((D7*E7)/B7,6)</f>
        <v>7.7108429999999997</v>
      </c>
      <c r="I7" s="17" t="s">
        <v>4</v>
      </c>
    </row>
    <row r="8" spans="1:9" ht="12.75" x14ac:dyDescent="0.2">
      <c r="A8" s="3"/>
      <c r="B8" s="3"/>
      <c r="C8" s="3"/>
      <c r="D8" s="3"/>
      <c r="E8" s="3"/>
      <c r="F8" s="3"/>
      <c r="G8" s="3"/>
      <c r="H8" s="3"/>
      <c r="I8" s="3"/>
    </row>
    <row r="9" spans="1:9" ht="12.75" x14ac:dyDescent="0.2">
      <c r="A9" s="3" t="s">
        <v>22</v>
      </c>
      <c r="B9" s="3">
        <v>150</v>
      </c>
      <c r="C9" s="3" t="s">
        <v>16</v>
      </c>
      <c r="D9" s="3"/>
      <c r="E9" s="3"/>
      <c r="F9" s="3">
        <f>B9/0.02</f>
        <v>7500</v>
      </c>
      <c r="G9" s="3" t="s">
        <v>17</v>
      </c>
      <c r="H9" s="3"/>
      <c r="I9" s="3"/>
    </row>
    <row r="10" spans="1:9" ht="15.75" customHeight="1" x14ac:dyDescent="0.2">
      <c r="A10" s="3" t="s">
        <v>23</v>
      </c>
      <c r="B10" s="3">
        <v>150</v>
      </c>
      <c r="C10" s="3" t="s">
        <v>16</v>
      </c>
      <c r="D10" s="3"/>
      <c r="E10" s="3"/>
      <c r="F10" s="3">
        <f t="shared" ref="F10:F26" si="3">B10/0.02</f>
        <v>7500</v>
      </c>
      <c r="G10" s="3" t="s">
        <v>17</v>
      </c>
      <c r="H10" s="3"/>
      <c r="I10" s="3"/>
    </row>
    <row r="11" spans="1:9" ht="15.75" customHeight="1" x14ac:dyDescent="0.2">
      <c r="A11" s="3" t="s">
        <v>24</v>
      </c>
      <c r="B11" s="3">
        <v>20</v>
      </c>
      <c r="C11" s="3" t="s">
        <v>16</v>
      </c>
      <c r="D11" s="3"/>
      <c r="E11" s="3"/>
      <c r="F11" s="3">
        <f t="shared" si="3"/>
        <v>1000</v>
      </c>
      <c r="G11" s="3" t="s">
        <v>17</v>
      </c>
      <c r="H11" s="3"/>
      <c r="I11" s="3"/>
    </row>
    <row r="12" spans="1:9" ht="15.75" customHeight="1" x14ac:dyDescent="0.2">
      <c r="A12" s="3" t="s">
        <v>25</v>
      </c>
      <c r="B12" s="3">
        <v>80</v>
      </c>
      <c r="C12" s="3" t="s">
        <v>16</v>
      </c>
      <c r="D12" s="3"/>
      <c r="E12" s="3"/>
      <c r="F12" s="3">
        <f t="shared" si="3"/>
        <v>4000</v>
      </c>
      <c r="G12" s="3" t="s">
        <v>17</v>
      </c>
      <c r="H12" s="3"/>
      <c r="I12" s="3"/>
    </row>
    <row r="13" spans="1:9" ht="15.75" customHeight="1" x14ac:dyDescent="0.2">
      <c r="A13" s="3"/>
      <c r="B13" s="3"/>
      <c r="C13" s="3"/>
      <c r="D13" s="3"/>
      <c r="E13" s="3"/>
      <c r="F13" s="3"/>
      <c r="G13" s="3"/>
      <c r="H13" s="3"/>
      <c r="I13" s="3"/>
    </row>
    <row r="14" spans="1:9" ht="15.75" customHeight="1" x14ac:dyDescent="0.2">
      <c r="A14" s="3" t="s">
        <v>26</v>
      </c>
      <c r="B14" s="3">
        <v>700</v>
      </c>
      <c r="C14" s="3" t="s">
        <v>16</v>
      </c>
      <c r="D14" s="3"/>
      <c r="E14" s="3"/>
      <c r="F14" s="3">
        <f t="shared" si="3"/>
        <v>35000</v>
      </c>
      <c r="G14" s="3" t="s">
        <v>17</v>
      </c>
      <c r="H14" s="3"/>
      <c r="I14" s="3"/>
    </row>
    <row r="15" spans="1:9" ht="15.75" customHeight="1" x14ac:dyDescent="0.2">
      <c r="A15" s="3" t="s">
        <v>27</v>
      </c>
      <c r="B15" s="3">
        <v>700</v>
      </c>
      <c r="C15" s="3" t="s">
        <v>16</v>
      </c>
      <c r="D15" s="3"/>
      <c r="E15" s="3"/>
      <c r="F15" s="3">
        <f t="shared" si="3"/>
        <v>35000</v>
      </c>
      <c r="G15" s="3" t="s">
        <v>17</v>
      </c>
      <c r="H15" s="3"/>
      <c r="I15" s="3"/>
    </row>
    <row r="16" spans="1:9" ht="15.75" customHeight="1" x14ac:dyDescent="0.2">
      <c r="A16" s="3" t="s">
        <v>28</v>
      </c>
      <c r="B16" s="3">
        <v>70</v>
      </c>
      <c r="C16" s="3" t="s">
        <v>16</v>
      </c>
      <c r="D16" s="3"/>
      <c r="E16" s="3"/>
      <c r="F16" s="3">
        <f t="shared" si="3"/>
        <v>3500</v>
      </c>
      <c r="G16" s="3" t="s">
        <v>17</v>
      </c>
      <c r="H16" s="3"/>
      <c r="I16" s="3"/>
    </row>
    <row r="17" spans="1:9" ht="15.75" customHeight="1" x14ac:dyDescent="0.2">
      <c r="A17" s="3" t="s">
        <v>29</v>
      </c>
      <c r="B17" s="3">
        <v>15000</v>
      </c>
      <c r="C17" s="3" t="s">
        <v>16</v>
      </c>
      <c r="D17" s="3"/>
      <c r="E17" s="3"/>
      <c r="F17" s="3">
        <f t="shared" si="3"/>
        <v>750000</v>
      </c>
      <c r="G17" s="3" t="s">
        <v>17</v>
      </c>
      <c r="H17" s="3"/>
      <c r="I17" s="3"/>
    </row>
    <row r="18" spans="1:9" ht="15.75" customHeight="1" x14ac:dyDescent="0.2">
      <c r="A18" s="3" t="s">
        <v>30</v>
      </c>
      <c r="B18" s="3">
        <v>15000</v>
      </c>
      <c r="C18" s="3" t="s">
        <v>16</v>
      </c>
      <c r="D18" s="3"/>
      <c r="E18" s="3"/>
      <c r="F18" s="3">
        <f t="shared" si="3"/>
        <v>750000</v>
      </c>
      <c r="G18" s="3" t="s">
        <v>17</v>
      </c>
      <c r="H18" s="3"/>
      <c r="I18" s="3"/>
    </row>
    <row r="19" spans="1:9" ht="15.75" customHeight="1" x14ac:dyDescent="0.2">
      <c r="A19" s="3"/>
      <c r="B19" s="3"/>
      <c r="C19" s="3"/>
      <c r="D19" s="3"/>
      <c r="E19" s="3"/>
      <c r="F19" s="3"/>
      <c r="G19" s="3"/>
      <c r="H19" s="3"/>
      <c r="I19" s="3"/>
    </row>
    <row r="20" spans="1:9" ht="15.75" customHeight="1" x14ac:dyDescent="0.2">
      <c r="A20" s="3" t="s">
        <v>42</v>
      </c>
      <c r="B20" s="3">
        <v>700</v>
      </c>
      <c r="C20" s="3" t="s">
        <v>16</v>
      </c>
      <c r="D20" s="3"/>
      <c r="E20" s="3"/>
      <c r="F20" s="3">
        <f t="shared" si="3"/>
        <v>35000</v>
      </c>
      <c r="G20" s="3" t="s">
        <v>17</v>
      </c>
      <c r="H20" s="3"/>
      <c r="I20" s="3"/>
    </row>
    <row r="21" spans="1:9" ht="15.75" customHeight="1" x14ac:dyDescent="0.2">
      <c r="A21" s="3" t="s">
        <v>44</v>
      </c>
      <c r="B21" s="3">
        <v>700</v>
      </c>
      <c r="C21" s="3" t="s">
        <v>16</v>
      </c>
      <c r="D21" s="3"/>
      <c r="E21" s="3"/>
      <c r="F21" s="3">
        <f t="shared" si="3"/>
        <v>35000</v>
      </c>
      <c r="G21" s="3" t="s">
        <v>17</v>
      </c>
      <c r="H21" s="3"/>
      <c r="I21" s="3"/>
    </row>
    <row r="22" spans="1:9" ht="15.75" customHeight="1" x14ac:dyDescent="0.2">
      <c r="A22" s="3" t="s">
        <v>46</v>
      </c>
      <c r="B22" s="3">
        <v>200</v>
      </c>
      <c r="C22" s="3" t="s">
        <v>16</v>
      </c>
      <c r="D22" s="3"/>
      <c r="E22" s="3"/>
      <c r="F22" s="3">
        <f t="shared" si="3"/>
        <v>10000</v>
      </c>
      <c r="G22" s="3" t="s">
        <v>17</v>
      </c>
      <c r="H22" s="3"/>
      <c r="I22" s="3"/>
    </row>
    <row r="23" spans="1:9" ht="15.75" customHeight="1" x14ac:dyDescent="0.2">
      <c r="A23" s="3"/>
      <c r="B23" s="3"/>
      <c r="C23" s="3"/>
      <c r="D23" s="3"/>
      <c r="E23" s="3"/>
      <c r="F23" s="3"/>
      <c r="G23" s="3"/>
      <c r="H23" s="3"/>
      <c r="I23" s="3"/>
    </row>
    <row r="24" spans="1:9" ht="15.75" customHeight="1" x14ac:dyDescent="0.2">
      <c r="A24" s="3" t="s">
        <v>9</v>
      </c>
      <c r="B24" s="3">
        <v>11</v>
      </c>
      <c r="C24" s="3" t="s">
        <v>16</v>
      </c>
      <c r="D24" s="3"/>
      <c r="E24" s="3"/>
      <c r="F24" s="3">
        <f t="shared" si="3"/>
        <v>550</v>
      </c>
      <c r="G24" s="3" t="s">
        <v>17</v>
      </c>
      <c r="H24" s="3"/>
      <c r="I24" s="3"/>
    </row>
    <row r="25" spans="1:9" ht="15.75" customHeight="1" x14ac:dyDescent="0.2">
      <c r="A25" s="3" t="s">
        <v>10</v>
      </c>
      <c r="B25" s="3">
        <v>0.4</v>
      </c>
      <c r="C25" s="3" t="s">
        <v>16</v>
      </c>
      <c r="D25" s="3"/>
      <c r="E25" s="3"/>
      <c r="F25" s="3">
        <f t="shared" si="3"/>
        <v>20</v>
      </c>
      <c r="G25" s="3" t="s">
        <v>17</v>
      </c>
      <c r="H25" s="3"/>
      <c r="I25" s="3"/>
    </row>
    <row r="26" spans="1:9" ht="15.75" customHeight="1" x14ac:dyDescent="0.2">
      <c r="A26" s="3" t="s">
        <v>11</v>
      </c>
      <c r="B26" s="3">
        <v>10</v>
      </c>
      <c r="C26" s="3" t="s">
        <v>16</v>
      </c>
      <c r="D26" s="3"/>
      <c r="E26" s="3"/>
      <c r="F26" s="3">
        <f t="shared" si="3"/>
        <v>500</v>
      </c>
      <c r="G26" s="3" t="s">
        <v>17</v>
      </c>
      <c r="H26" s="3"/>
      <c r="I26" s="3"/>
    </row>
    <row r="27" spans="1:9" ht="15.75" customHeight="1" x14ac:dyDescent="0.2">
      <c r="A27" s="3"/>
      <c r="B27" s="3"/>
      <c r="C27" s="3"/>
      <c r="D27" s="3"/>
      <c r="E27" s="3"/>
      <c r="F27" s="3"/>
      <c r="G27" s="3"/>
      <c r="H27" s="3"/>
      <c r="I27" s="3"/>
    </row>
    <row r="28" spans="1:9" ht="15.75" customHeight="1" x14ac:dyDescent="0.2">
      <c r="A28" s="3" t="s">
        <v>12</v>
      </c>
      <c r="B28" s="3">
        <f>F28*0.02</f>
        <v>60</v>
      </c>
      <c r="C28" s="3" t="s">
        <v>16</v>
      </c>
      <c r="D28" s="3"/>
      <c r="E28" s="3"/>
      <c r="F28" s="3">
        <f>50*60</f>
        <v>3000</v>
      </c>
      <c r="G28" s="3" t="s">
        <v>17</v>
      </c>
      <c r="H28" s="3"/>
      <c r="I28" s="3"/>
    </row>
    <row r="29" spans="1:9" ht="15.75" customHeight="1" x14ac:dyDescent="0.2">
      <c r="A29" s="3" t="s">
        <v>15</v>
      </c>
      <c r="B29" s="3">
        <f t="shared" ref="B29:B31" si="4">F29*0.02</f>
        <v>60</v>
      </c>
      <c r="C29" s="3" t="s">
        <v>16</v>
      </c>
      <c r="D29" s="3"/>
      <c r="E29" s="3"/>
      <c r="F29" s="3">
        <f>50*60</f>
        <v>3000</v>
      </c>
      <c r="G29" s="3" t="s">
        <v>17</v>
      </c>
      <c r="H29" s="3"/>
      <c r="I29" s="3"/>
    </row>
    <row r="30" spans="1:9" ht="15.75" customHeight="1" x14ac:dyDescent="0.2">
      <c r="A30" s="3" t="s">
        <v>13</v>
      </c>
      <c r="B30" s="3">
        <f t="shared" si="4"/>
        <v>4.8</v>
      </c>
      <c r="C30" s="3" t="s">
        <v>16</v>
      </c>
      <c r="D30" s="3"/>
      <c r="E30" s="3"/>
      <c r="F30" s="3">
        <f>4*60</f>
        <v>240</v>
      </c>
      <c r="G30" s="3" t="s">
        <v>17</v>
      </c>
      <c r="H30" s="3"/>
      <c r="I30" s="3"/>
    </row>
    <row r="31" spans="1:9" ht="15.75" customHeight="1" x14ac:dyDescent="0.2">
      <c r="A31" s="3" t="s">
        <v>14</v>
      </c>
      <c r="B31" s="3">
        <f t="shared" si="4"/>
        <v>0</v>
      </c>
      <c r="C31" s="3" t="s">
        <v>16</v>
      </c>
      <c r="D31" s="3"/>
      <c r="E31" s="3"/>
      <c r="F31" s="3">
        <v>0</v>
      </c>
      <c r="G31" s="3" t="s">
        <v>17</v>
      </c>
      <c r="H31" s="3"/>
      <c r="I31" s="3"/>
    </row>
  </sheetData>
  <mergeCells count="4">
    <mergeCell ref="A1:I1"/>
    <mergeCell ref="B2:C2"/>
    <mergeCell ref="F2:G2"/>
    <mergeCell ref="H2:I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outlinePr summaryBelow="0" summaryRight="0"/>
  </sheetPr>
  <dimension ref="A1:I41"/>
  <sheetViews>
    <sheetView workbookViewId="0">
      <selection activeCell="D25" sqref="D25"/>
    </sheetView>
  </sheetViews>
  <sheetFormatPr defaultColWidth="14.42578125" defaultRowHeight="15.75" customHeight="1" x14ac:dyDescent="0.2"/>
  <cols>
    <col min="1" max="1" width="36.140625" bestFit="1" customWidth="1"/>
    <col min="2" max="2" width="6.5703125" customWidth="1"/>
    <col min="3" max="3" width="9.28515625" bestFit="1" customWidth="1"/>
    <col min="4" max="4" width="20.5703125" bestFit="1" customWidth="1"/>
    <col min="5" max="5" width="10.140625" bestFit="1" customWidth="1"/>
    <col min="6" max="6" width="8.140625" customWidth="1"/>
    <col min="7" max="7" width="8.85546875" bestFit="1" customWidth="1"/>
  </cols>
  <sheetData>
    <row r="1" spans="1:9" ht="15.75" customHeight="1" x14ac:dyDescent="0.2">
      <c r="A1" s="19" t="s">
        <v>32</v>
      </c>
      <c r="B1" s="19"/>
      <c r="C1" s="19"/>
      <c r="D1" s="19"/>
      <c r="E1" s="19"/>
      <c r="F1" s="19"/>
      <c r="G1" s="19"/>
      <c r="H1" s="20"/>
      <c r="I1" s="20"/>
    </row>
    <row r="2" spans="1:9" ht="15.75" customHeight="1" x14ac:dyDescent="0.2">
      <c r="A2" s="16"/>
      <c r="B2" s="21" t="s">
        <v>86</v>
      </c>
      <c r="C2" s="22"/>
      <c r="D2" s="16" t="s">
        <v>88</v>
      </c>
      <c r="E2" s="16" t="s">
        <v>84</v>
      </c>
      <c r="F2" s="21" t="s">
        <v>85</v>
      </c>
      <c r="G2" s="22"/>
      <c r="H2" s="21" t="s">
        <v>87</v>
      </c>
      <c r="I2" s="22"/>
    </row>
    <row r="3" spans="1:9" ht="15.75" customHeight="1" x14ac:dyDescent="0.2">
      <c r="A3" s="3" t="s">
        <v>19</v>
      </c>
      <c r="B3" s="3">
        <v>80</v>
      </c>
      <c r="C3" s="3" t="s">
        <v>18</v>
      </c>
      <c r="D3" s="3">
        <v>200</v>
      </c>
      <c r="E3" s="3">
        <v>16</v>
      </c>
      <c r="F3" s="3">
        <f>1/B3</f>
        <v>1.2500000000000001E-2</v>
      </c>
      <c r="G3" s="3" t="s">
        <v>31</v>
      </c>
      <c r="H3" s="3">
        <f>ROUND((D3*E3)/B3,1)</f>
        <v>40</v>
      </c>
      <c r="I3" s="17" t="s">
        <v>4</v>
      </c>
    </row>
    <row r="4" spans="1:9" ht="15.75" customHeight="1" x14ac:dyDescent="0.2">
      <c r="A4" s="3" t="s">
        <v>20</v>
      </c>
      <c r="B4" s="3">
        <v>80</v>
      </c>
      <c r="C4" s="3" t="s">
        <v>18</v>
      </c>
      <c r="D4" s="3">
        <v>200</v>
      </c>
      <c r="E4" s="3">
        <v>16</v>
      </c>
      <c r="F4" s="3">
        <f t="shared" ref="F4:F9" si="0">1/B4</f>
        <v>1.2500000000000001E-2</v>
      </c>
      <c r="G4" s="3" t="s">
        <v>31</v>
      </c>
      <c r="H4" s="3">
        <f t="shared" ref="H4:H5" si="1">ROUND((D4*E4)/B4,1)</f>
        <v>40</v>
      </c>
      <c r="I4" s="17" t="s">
        <v>4</v>
      </c>
    </row>
    <row r="5" spans="1:9" ht="15.75" customHeight="1" x14ac:dyDescent="0.2">
      <c r="A5" s="3" t="s">
        <v>21</v>
      </c>
      <c r="B5" s="3">
        <v>400</v>
      </c>
      <c r="C5" s="3" t="s">
        <v>18</v>
      </c>
      <c r="D5" s="3">
        <v>200</v>
      </c>
      <c r="E5" s="3">
        <v>16</v>
      </c>
      <c r="F5" s="3">
        <f t="shared" si="0"/>
        <v>2.5000000000000001E-3</v>
      </c>
      <c r="G5" s="3" t="s">
        <v>31</v>
      </c>
      <c r="H5" s="3">
        <f t="shared" si="1"/>
        <v>8</v>
      </c>
      <c r="I5" s="17" t="s">
        <v>4</v>
      </c>
    </row>
    <row r="6" spans="1:9" ht="15.75" customHeight="1" x14ac:dyDescent="0.2">
      <c r="A6" s="3" t="s">
        <v>34</v>
      </c>
      <c r="B6" s="3">
        <v>93</v>
      </c>
      <c r="C6" s="3" t="s">
        <v>18</v>
      </c>
      <c r="D6" s="3">
        <v>200</v>
      </c>
      <c r="E6" s="3">
        <v>16</v>
      </c>
      <c r="F6" s="3">
        <f t="shared" si="0"/>
        <v>1.0752688172043012E-2</v>
      </c>
      <c r="G6" s="3" t="s">
        <v>31</v>
      </c>
      <c r="H6" s="3">
        <f>ROUND((D6*E6)/B6,6)</f>
        <v>34.408602000000002</v>
      </c>
      <c r="I6" s="17" t="s">
        <v>4</v>
      </c>
    </row>
    <row r="7" spans="1:9" ht="15.75" customHeight="1" x14ac:dyDescent="0.2">
      <c r="A7" s="3" t="s">
        <v>33</v>
      </c>
      <c r="B7" s="3">
        <v>91.18</v>
      </c>
      <c r="C7" s="3" t="s">
        <v>18</v>
      </c>
      <c r="D7" s="3">
        <v>200</v>
      </c>
      <c r="E7" s="3">
        <v>16</v>
      </c>
      <c r="F7" s="3">
        <f t="shared" si="0"/>
        <v>1.0967317394165387E-2</v>
      </c>
      <c r="G7" s="3" t="s">
        <v>31</v>
      </c>
      <c r="H7" s="3">
        <f t="shared" ref="H7:H9" si="2">ROUND((D7*E7)/B7,6)</f>
        <v>35.095416</v>
      </c>
      <c r="I7" s="17" t="s">
        <v>4</v>
      </c>
    </row>
    <row r="8" spans="1:9" ht="15.75" customHeight="1" x14ac:dyDescent="0.2">
      <c r="A8" s="3" t="s">
        <v>35</v>
      </c>
      <c r="B8" s="3">
        <v>95</v>
      </c>
      <c r="C8" s="3" t="s">
        <v>18</v>
      </c>
      <c r="D8" s="3">
        <v>200</v>
      </c>
      <c r="E8" s="3">
        <v>16</v>
      </c>
      <c r="F8" s="3">
        <f t="shared" si="0"/>
        <v>1.0526315789473684E-2</v>
      </c>
      <c r="G8" s="3" t="s">
        <v>31</v>
      </c>
      <c r="H8" s="3">
        <f t="shared" si="2"/>
        <v>33.684210999999998</v>
      </c>
      <c r="I8" s="17" t="s">
        <v>4</v>
      </c>
    </row>
    <row r="9" spans="1:9" ht="15.75" customHeight="1" x14ac:dyDescent="0.2">
      <c r="A9" s="3" t="s">
        <v>35</v>
      </c>
      <c r="B9" s="3">
        <v>415</v>
      </c>
      <c r="C9" s="3" t="s">
        <v>18</v>
      </c>
      <c r="D9" s="3">
        <v>200</v>
      </c>
      <c r="E9" s="3">
        <v>16</v>
      </c>
      <c r="F9" s="3">
        <f t="shared" si="0"/>
        <v>2.4096385542168677E-3</v>
      </c>
      <c r="G9" s="3" t="s">
        <v>31</v>
      </c>
      <c r="H9" s="3">
        <f t="shared" si="2"/>
        <v>7.7108429999999997</v>
      </c>
      <c r="I9" s="17" t="s">
        <v>4</v>
      </c>
    </row>
    <row r="10" spans="1:9" ht="12.75" x14ac:dyDescent="0.2">
      <c r="A10" s="3"/>
      <c r="B10" s="3"/>
      <c r="C10" s="3"/>
      <c r="D10" s="3"/>
      <c r="E10" s="3"/>
      <c r="F10" s="3"/>
      <c r="G10" s="3"/>
      <c r="H10" s="3"/>
      <c r="I10" s="3"/>
    </row>
    <row r="11" spans="1:9" ht="12.75" x14ac:dyDescent="0.2">
      <c r="A11" s="3" t="s">
        <v>22</v>
      </c>
      <c r="B11" s="3">
        <v>500</v>
      </c>
      <c r="C11" s="3" t="s">
        <v>16</v>
      </c>
      <c r="D11" s="3"/>
      <c r="E11" s="3"/>
      <c r="F11" s="3">
        <f>B11/0.02</f>
        <v>25000</v>
      </c>
      <c r="G11" s="3" t="s">
        <v>17</v>
      </c>
      <c r="H11" s="3"/>
      <c r="I11" s="3"/>
    </row>
    <row r="12" spans="1:9" ht="12.75" x14ac:dyDescent="0.2">
      <c r="A12" s="3" t="s">
        <v>39</v>
      </c>
      <c r="B12" s="3">
        <v>750</v>
      </c>
      <c r="C12" s="3" t="s">
        <v>16</v>
      </c>
      <c r="D12" s="3"/>
      <c r="E12" s="3"/>
      <c r="F12" s="3">
        <f>B12/0.02</f>
        <v>37500</v>
      </c>
      <c r="G12" s="3" t="s">
        <v>17</v>
      </c>
      <c r="H12" s="3"/>
      <c r="I12" s="3"/>
    </row>
    <row r="13" spans="1:9" ht="15.75" customHeight="1" x14ac:dyDescent="0.2">
      <c r="A13" s="3" t="s">
        <v>23</v>
      </c>
      <c r="B13" s="3">
        <v>500</v>
      </c>
      <c r="C13" s="3" t="s">
        <v>16</v>
      </c>
      <c r="D13" s="3"/>
      <c r="E13" s="3"/>
      <c r="F13" s="3">
        <f t="shared" ref="F13:F36" si="3">B13/0.02</f>
        <v>25000</v>
      </c>
      <c r="G13" s="3" t="s">
        <v>17</v>
      </c>
      <c r="H13" s="3"/>
      <c r="I13" s="3"/>
    </row>
    <row r="14" spans="1:9" ht="15.75" customHeight="1" x14ac:dyDescent="0.2">
      <c r="A14" s="3" t="s">
        <v>40</v>
      </c>
      <c r="B14" s="3">
        <v>750</v>
      </c>
      <c r="C14" s="3" t="s">
        <v>16</v>
      </c>
      <c r="D14" s="3"/>
      <c r="E14" s="3"/>
      <c r="F14" s="3">
        <f t="shared" si="3"/>
        <v>37500</v>
      </c>
      <c r="G14" s="3" t="s">
        <v>17</v>
      </c>
      <c r="H14" s="3"/>
      <c r="I14" s="3"/>
    </row>
    <row r="15" spans="1:9" ht="15.75" customHeight="1" x14ac:dyDescent="0.2">
      <c r="A15" s="3" t="s">
        <v>24</v>
      </c>
      <c r="B15" s="3">
        <v>5</v>
      </c>
      <c r="C15" s="3" t="s">
        <v>16</v>
      </c>
      <c r="D15" s="3"/>
      <c r="E15" s="3"/>
      <c r="F15" s="3">
        <f t="shared" si="3"/>
        <v>250</v>
      </c>
      <c r="G15" s="3" t="s">
        <v>17</v>
      </c>
      <c r="H15" s="3"/>
      <c r="I15" s="3"/>
    </row>
    <row r="16" spans="1:9" ht="15.75" customHeight="1" x14ac:dyDescent="0.2">
      <c r="A16" s="3" t="s">
        <v>25</v>
      </c>
      <c r="B16" s="3">
        <v>25</v>
      </c>
      <c r="C16" s="3" t="s">
        <v>16</v>
      </c>
      <c r="D16" s="3"/>
      <c r="E16" s="3"/>
      <c r="F16" s="3">
        <f t="shared" si="3"/>
        <v>1250</v>
      </c>
      <c r="G16" s="3" t="s">
        <v>17</v>
      </c>
      <c r="H16" s="3"/>
      <c r="I16" s="3"/>
    </row>
    <row r="17" spans="1:9" ht="15.75" customHeight="1" x14ac:dyDescent="0.2">
      <c r="A17" s="3"/>
      <c r="B17" s="3"/>
      <c r="C17" s="3"/>
      <c r="D17" s="3"/>
      <c r="E17" s="3"/>
      <c r="F17" s="3"/>
      <c r="G17" s="3"/>
      <c r="H17" s="3"/>
      <c r="I17" s="3"/>
    </row>
    <row r="18" spans="1:9" ht="15.75" customHeight="1" x14ac:dyDescent="0.2">
      <c r="A18" s="3" t="s">
        <v>26</v>
      </c>
      <c r="B18" s="3">
        <v>500</v>
      </c>
      <c r="C18" s="3" t="s">
        <v>16</v>
      </c>
      <c r="D18" s="3"/>
      <c r="E18" s="3"/>
      <c r="F18" s="3">
        <f t="shared" si="3"/>
        <v>25000</v>
      </c>
      <c r="G18" s="3" t="s">
        <v>17</v>
      </c>
      <c r="H18" s="3"/>
      <c r="I18" s="3"/>
    </row>
    <row r="19" spans="1:9" ht="15.75" customHeight="1" x14ac:dyDescent="0.2">
      <c r="A19" s="3" t="s">
        <v>36</v>
      </c>
      <c r="B19" s="3">
        <v>2000</v>
      </c>
      <c r="C19" s="3" t="s">
        <v>16</v>
      </c>
      <c r="D19" s="3"/>
      <c r="E19" s="3"/>
      <c r="F19" s="3">
        <f t="shared" si="3"/>
        <v>100000</v>
      </c>
      <c r="G19" s="3" t="s">
        <v>17</v>
      </c>
      <c r="H19" s="3"/>
      <c r="I19" s="3"/>
    </row>
    <row r="20" spans="1:9" ht="15.75" customHeight="1" x14ac:dyDescent="0.2">
      <c r="A20" s="3" t="s">
        <v>27</v>
      </c>
      <c r="B20" s="3">
        <v>500</v>
      </c>
      <c r="C20" s="3" t="s">
        <v>16</v>
      </c>
      <c r="D20" s="3"/>
      <c r="E20" s="3"/>
      <c r="F20" s="3">
        <f t="shared" si="3"/>
        <v>25000</v>
      </c>
      <c r="G20" s="3" t="s">
        <v>17</v>
      </c>
      <c r="H20" s="3"/>
      <c r="I20" s="3"/>
    </row>
    <row r="21" spans="1:9" ht="15.75" customHeight="1" x14ac:dyDescent="0.2">
      <c r="A21" s="3" t="s">
        <v>37</v>
      </c>
      <c r="B21" s="3">
        <v>2000</v>
      </c>
      <c r="C21" s="3" t="s">
        <v>16</v>
      </c>
      <c r="D21" s="3"/>
      <c r="E21" s="3"/>
      <c r="F21" s="3">
        <f t="shared" si="3"/>
        <v>100000</v>
      </c>
      <c r="G21" s="3" t="s">
        <v>17</v>
      </c>
      <c r="H21" s="3"/>
      <c r="I21" s="3"/>
    </row>
    <row r="22" spans="1:9" ht="15.75" customHeight="1" x14ac:dyDescent="0.2">
      <c r="A22" s="3" t="s">
        <v>28</v>
      </c>
      <c r="B22" s="3">
        <v>100</v>
      </c>
      <c r="C22" s="3" t="s">
        <v>16</v>
      </c>
      <c r="D22" s="3"/>
      <c r="E22" s="3"/>
      <c r="F22" s="3">
        <f t="shared" si="3"/>
        <v>5000</v>
      </c>
      <c r="G22" s="3" t="s">
        <v>17</v>
      </c>
      <c r="H22" s="3"/>
      <c r="I22" s="3"/>
    </row>
    <row r="23" spans="1:9" ht="15.75" customHeight="1" x14ac:dyDescent="0.2">
      <c r="A23" s="3" t="s">
        <v>29</v>
      </c>
      <c r="B23" s="3">
        <v>5000</v>
      </c>
      <c r="C23" s="3" t="s">
        <v>16</v>
      </c>
      <c r="D23" s="3"/>
      <c r="E23" s="3"/>
      <c r="F23" s="3">
        <f t="shared" si="3"/>
        <v>250000</v>
      </c>
      <c r="G23" s="3" t="s">
        <v>17</v>
      </c>
      <c r="H23" s="3"/>
      <c r="I23" s="3"/>
    </row>
    <row r="24" spans="1:9" ht="15.75" customHeight="1" x14ac:dyDescent="0.2">
      <c r="A24" s="3" t="s">
        <v>38</v>
      </c>
      <c r="B24" s="3">
        <v>25</v>
      </c>
      <c r="C24" s="3" t="s">
        <v>16</v>
      </c>
      <c r="D24" s="3"/>
      <c r="E24" s="3"/>
      <c r="F24" s="3">
        <f t="shared" si="3"/>
        <v>1250</v>
      </c>
      <c r="G24" s="3" t="s">
        <v>17</v>
      </c>
      <c r="H24" s="3"/>
      <c r="I24" s="3"/>
    </row>
    <row r="25" spans="1:9" ht="15.75" customHeight="1" x14ac:dyDescent="0.2">
      <c r="A25" s="3" t="s">
        <v>30</v>
      </c>
      <c r="B25" s="3">
        <v>500</v>
      </c>
      <c r="C25" s="3" t="s">
        <v>16</v>
      </c>
      <c r="D25" s="3"/>
      <c r="E25" s="3"/>
      <c r="F25" s="3">
        <f t="shared" si="3"/>
        <v>25000</v>
      </c>
      <c r="G25" s="3" t="s">
        <v>17</v>
      </c>
      <c r="H25" s="3"/>
      <c r="I25" s="3"/>
    </row>
    <row r="26" spans="1:9" ht="15.75" customHeight="1" x14ac:dyDescent="0.2">
      <c r="A26" s="3" t="s">
        <v>41</v>
      </c>
      <c r="B26" s="3">
        <v>1000</v>
      </c>
      <c r="C26" s="3" t="s">
        <v>16</v>
      </c>
      <c r="D26" s="3"/>
      <c r="E26" s="3"/>
      <c r="F26" s="3">
        <f t="shared" si="3"/>
        <v>50000</v>
      </c>
      <c r="G26" s="3" t="s">
        <v>17</v>
      </c>
      <c r="H26" s="3"/>
      <c r="I26" s="3"/>
    </row>
    <row r="27" spans="1:9" ht="15.75" customHeight="1" x14ac:dyDescent="0.2">
      <c r="A27" s="3"/>
      <c r="B27" s="3"/>
      <c r="C27" s="3"/>
      <c r="D27" s="3"/>
      <c r="E27" s="3"/>
      <c r="F27" s="3"/>
      <c r="G27" s="3"/>
      <c r="H27" s="3"/>
      <c r="I27" s="3"/>
    </row>
    <row r="28" spans="1:9" ht="15.75" customHeight="1" x14ac:dyDescent="0.2">
      <c r="A28" s="3" t="s">
        <v>42</v>
      </c>
      <c r="B28" s="3">
        <v>500</v>
      </c>
      <c r="C28" s="3" t="s">
        <v>16</v>
      </c>
      <c r="D28" s="3"/>
      <c r="E28" s="3"/>
      <c r="F28" s="3">
        <f t="shared" si="3"/>
        <v>25000</v>
      </c>
      <c r="G28" s="3" t="s">
        <v>17</v>
      </c>
      <c r="H28" s="3"/>
      <c r="I28" s="3"/>
    </row>
    <row r="29" spans="1:9" ht="15.75" customHeight="1" x14ac:dyDescent="0.2">
      <c r="A29" s="3" t="s">
        <v>43</v>
      </c>
      <c r="B29" s="3">
        <v>300</v>
      </c>
      <c r="C29" s="3" t="s">
        <v>16</v>
      </c>
      <c r="D29" s="3"/>
      <c r="E29" s="3"/>
      <c r="F29" s="3">
        <f t="shared" si="3"/>
        <v>15000</v>
      </c>
      <c r="G29" s="3" t="s">
        <v>17</v>
      </c>
      <c r="H29" s="3"/>
      <c r="I29" s="3"/>
    </row>
    <row r="30" spans="1:9" ht="15.75" customHeight="1" x14ac:dyDescent="0.2">
      <c r="A30" s="3" t="s">
        <v>44</v>
      </c>
      <c r="B30" s="3">
        <v>500</v>
      </c>
      <c r="C30" s="3" t="s">
        <v>16</v>
      </c>
      <c r="D30" s="3"/>
      <c r="E30" s="3"/>
      <c r="F30" s="3">
        <f t="shared" si="3"/>
        <v>25000</v>
      </c>
      <c r="G30" s="3" t="s">
        <v>17</v>
      </c>
      <c r="H30" s="3"/>
      <c r="I30" s="3"/>
    </row>
    <row r="31" spans="1:9" ht="15.75" customHeight="1" x14ac:dyDescent="0.2">
      <c r="A31" s="3" t="s">
        <v>45</v>
      </c>
      <c r="B31" s="3">
        <v>300</v>
      </c>
      <c r="C31" s="3" t="s">
        <v>16</v>
      </c>
      <c r="D31" s="3"/>
      <c r="E31" s="3"/>
      <c r="F31" s="3">
        <f t="shared" si="3"/>
        <v>15000</v>
      </c>
      <c r="G31" s="3" t="s">
        <v>17</v>
      </c>
      <c r="H31" s="3"/>
      <c r="I31" s="3"/>
    </row>
    <row r="32" spans="1:9" ht="15.75" customHeight="1" x14ac:dyDescent="0.2">
      <c r="A32" s="3" t="s">
        <v>46</v>
      </c>
      <c r="B32" s="3">
        <v>300</v>
      </c>
      <c r="C32" s="3" t="s">
        <v>16</v>
      </c>
      <c r="D32" s="3"/>
      <c r="E32" s="3"/>
      <c r="F32" s="3">
        <f t="shared" si="3"/>
        <v>15000</v>
      </c>
      <c r="G32" s="3" t="s">
        <v>17</v>
      </c>
      <c r="H32" s="3"/>
      <c r="I32" s="3"/>
    </row>
    <row r="33" spans="1:9" ht="15.75" customHeight="1" x14ac:dyDescent="0.2">
      <c r="A33" s="3"/>
      <c r="B33" s="3"/>
      <c r="C33" s="3"/>
      <c r="D33" s="3"/>
      <c r="E33" s="3"/>
      <c r="F33" s="3"/>
      <c r="G33" s="3"/>
      <c r="H33" s="3"/>
      <c r="I33" s="3"/>
    </row>
    <row r="34" spans="1:9" ht="15.75" customHeight="1" x14ac:dyDescent="0.2">
      <c r="A34" s="3" t="s">
        <v>9</v>
      </c>
      <c r="B34" s="3">
        <v>20</v>
      </c>
      <c r="C34" s="3" t="s">
        <v>16</v>
      </c>
      <c r="D34" s="3"/>
      <c r="E34" s="3"/>
      <c r="F34" s="3">
        <f t="shared" si="3"/>
        <v>1000</v>
      </c>
      <c r="G34" s="3" t="s">
        <v>17</v>
      </c>
      <c r="H34" s="3"/>
      <c r="I34" s="3"/>
    </row>
    <row r="35" spans="1:9" ht="15.75" customHeight="1" x14ac:dyDescent="0.2">
      <c r="A35" s="3" t="s">
        <v>10</v>
      </c>
      <c r="B35" s="3">
        <v>0.4</v>
      </c>
      <c r="C35" s="3" t="s">
        <v>16</v>
      </c>
      <c r="D35" s="3"/>
      <c r="E35" s="3"/>
      <c r="F35" s="3">
        <f t="shared" si="3"/>
        <v>20</v>
      </c>
      <c r="G35" s="3" t="s">
        <v>17</v>
      </c>
      <c r="H35" s="3"/>
      <c r="I35" s="3"/>
    </row>
    <row r="36" spans="1:9" ht="15.75" customHeight="1" x14ac:dyDescent="0.2">
      <c r="A36" s="3" t="s">
        <v>11</v>
      </c>
      <c r="B36" s="3">
        <v>5</v>
      </c>
      <c r="C36" s="3" t="s">
        <v>16</v>
      </c>
      <c r="D36" s="3"/>
      <c r="E36" s="3"/>
      <c r="F36" s="3">
        <f t="shared" si="3"/>
        <v>250</v>
      </c>
      <c r="G36" s="3" t="s">
        <v>17</v>
      </c>
      <c r="H36" s="3"/>
      <c r="I36" s="3"/>
    </row>
    <row r="37" spans="1:9" ht="15.75" customHeight="1" x14ac:dyDescent="0.2">
      <c r="A37" s="3"/>
      <c r="B37" s="3"/>
      <c r="C37" s="3"/>
      <c r="D37" s="3"/>
      <c r="E37" s="3"/>
      <c r="F37" s="3"/>
      <c r="G37" s="3"/>
      <c r="H37" s="3"/>
      <c r="I37" s="3"/>
    </row>
    <row r="38" spans="1:9" ht="15.75" customHeight="1" x14ac:dyDescent="0.2">
      <c r="A38" s="3" t="s">
        <v>12</v>
      </c>
      <c r="B38" s="3">
        <f>F38*0.02</f>
        <v>60</v>
      </c>
      <c r="C38" s="3" t="s">
        <v>16</v>
      </c>
      <c r="D38" s="3"/>
      <c r="E38" s="3"/>
      <c r="F38" s="3">
        <f>50*60</f>
        <v>3000</v>
      </c>
      <c r="G38" s="3" t="s">
        <v>17</v>
      </c>
      <c r="H38" s="3"/>
      <c r="I38" s="3"/>
    </row>
    <row r="39" spans="1:9" ht="15.75" customHeight="1" x14ac:dyDescent="0.2">
      <c r="A39" s="3" t="s">
        <v>15</v>
      </c>
      <c r="B39" s="3">
        <f t="shared" ref="B39:B41" si="4">F39*0.02</f>
        <v>60</v>
      </c>
      <c r="C39" s="3" t="s">
        <v>16</v>
      </c>
      <c r="D39" s="3"/>
      <c r="E39" s="3"/>
      <c r="F39" s="3">
        <f>50*60</f>
        <v>3000</v>
      </c>
      <c r="G39" s="3" t="s">
        <v>17</v>
      </c>
      <c r="H39" s="3"/>
      <c r="I39" s="3"/>
    </row>
    <row r="40" spans="1:9" ht="15.75" customHeight="1" x14ac:dyDescent="0.2">
      <c r="A40" s="3" t="s">
        <v>13</v>
      </c>
      <c r="B40" s="3">
        <f t="shared" si="4"/>
        <v>4.8</v>
      </c>
      <c r="C40" s="3" t="s">
        <v>16</v>
      </c>
      <c r="D40" s="3"/>
      <c r="E40" s="3"/>
      <c r="F40" s="3">
        <f>4*60</f>
        <v>240</v>
      </c>
      <c r="G40" s="3" t="s">
        <v>17</v>
      </c>
      <c r="H40" s="3"/>
      <c r="I40" s="3"/>
    </row>
    <row r="41" spans="1:9" ht="15.75" customHeight="1" x14ac:dyDescent="0.2">
      <c r="A41" s="3" t="s">
        <v>14</v>
      </c>
      <c r="B41" s="3">
        <f t="shared" si="4"/>
        <v>0</v>
      </c>
      <c r="C41" s="3" t="s">
        <v>16</v>
      </c>
      <c r="D41" s="3"/>
      <c r="E41" s="3"/>
      <c r="F41" s="3">
        <v>0</v>
      </c>
      <c r="G41" s="3" t="s">
        <v>17</v>
      </c>
      <c r="H41" s="3"/>
      <c r="I41" s="3"/>
    </row>
  </sheetData>
  <mergeCells count="4">
    <mergeCell ref="B2:C2"/>
    <mergeCell ref="F2:G2"/>
    <mergeCell ref="A1:I1"/>
    <mergeCell ref="H2: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Calibration Steps</vt:lpstr>
      <vt:lpstr>E-Steps Calibration</vt:lpstr>
      <vt:lpstr>FlowRate Calibration</vt:lpstr>
      <vt:lpstr>4Max Pro Spec</vt:lpstr>
      <vt:lpstr>Ender Spec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2019-03-30T02:48:45Z</dcterms:created>
  <dcterms:modified xsi:type="dcterms:W3CDTF">2021-09-25T17:47:12Z</dcterms:modified>
</cp:coreProperties>
</file>