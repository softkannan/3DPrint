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hub\3DPrint\Calibration\"/>
    </mc:Choice>
  </mc:AlternateContent>
  <xr:revisionPtr revIDLastSave="0" documentId="13_ncr:1_{D2520DA6-A448-4587-9942-8A66616FA53A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Calibration Steps" sheetId="7" r:id="rId1"/>
    <sheet name="E-Steps Calibration" sheetId="2" r:id="rId2"/>
    <sheet name="FlowRate Calibration" sheetId="6" r:id="rId3"/>
    <sheet name="Ender Spec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2" l="1"/>
  <c r="D9" i="2" l="1"/>
  <c r="E9" i="2" s="1"/>
  <c r="C9" i="6"/>
  <c r="C11" i="6" s="1"/>
  <c r="C12" i="6" s="1"/>
  <c r="C9" i="2" l="1"/>
  <c r="D26" i="3"/>
  <c r="D27" i="3"/>
  <c r="D28" i="3"/>
  <c r="D29" i="3"/>
  <c r="D30" i="3"/>
  <c r="D24" i="3"/>
  <c r="D12" i="3"/>
  <c r="D10" i="3"/>
  <c r="D22" i="3"/>
  <c r="D19" i="3"/>
  <c r="D17" i="3"/>
  <c r="D7" i="3"/>
  <c r="D6" i="3"/>
  <c r="D3" i="3"/>
  <c r="D4" i="3"/>
  <c r="D5" i="3"/>
  <c r="D2" i="3"/>
  <c r="D16" i="3"/>
  <c r="D18" i="3"/>
  <c r="D20" i="3"/>
  <c r="D21" i="3"/>
  <c r="D23" i="3"/>
  <c r="D32" i="3"/>
  <c r="D33" i="3"/>
  <c r="D34" i="3"/>
  <c r="D11" i="3"/>
  <c r="D13" i="3"/>
  <c r="D14" i="3"/>
  <c r="D9" i="3"/>
  <c r="B39" i="3"/>
  <c r="D38" i="3"/>
  <c r="B38" i="3" s="1"/>
  <c r="D37" i="3"/>
  <c r="B37" i="3" s="1"/>
  <c r="D36" i="3"/>
  <c r="B36" i="3" s="1"/>
</calcChain>
</file>

<file path=xl/sharedStrings.xml><?xml version="1.0" encoding="utf-8"?>
<sst xmlns="http://schemas.openxmlformats.org/spreadsheetml/2006/main" count="150" uniqueCount="84">
  <si>
    <t>G1 E100 F100</t>
  </si>
  <si>
    <t>Just print up to the point we can measure</t>
  </si>
  <si>
    <t>Measure the wall thickness using digital caliper</t>
  </si>
  <si>
    <t>Flow Rate Calibration</t>
  </si>
  <si>
    <t>mm</t>
  </si>
  <si>
    <t>Measured Wall Thickness</t>
  </si>
  <si>
    <t>Existing Extrusion Multiplier</t>
  </si>
  <si>
    <t>New Extrusion Multiplier for PLA</t>
  </si>
  <si>
    <t>New Extrusion Multiplier for PETG</t>
  </si>
  <si>
    <t>XY Jerk</t>
  </si>
  <si>
    <t>Z Jerk</t>
  </si>
  <si>
    <t>E Jerk</t>
  </si>
  <si>
    <t>X Home Feedrate</t>
  </si>
  <si>
    <t>Z Home Feedrate</t>
  </si>
  <si>
    <t>E Home Feedrate</t>
  </si>
  <si>
    <t>Y Home Feedrate</t>
  </si>
  <si>
    <t>(mm/sec)</t>
  </si>
  <si>
    <t>(mm/min)</t>
  </si>
  <si>
    <t>steps/mm</t>
  </si>
  <si>
    <t>X Axis steps per unit</t>
  </si>
  <si>
    <t>Y Axis steps per unit</t>
  </si>
  <si>
    <t>Z Axis steps per unit</t>
  </si>
  <si>
    <t>X Axis Max Feedrate</t>
  </si>
  <si>
    <t xml:space="preserve">Y Axis Max Feedrate </t>
  </si>
  <si>
    <t>Z Axis Max Feedrate</t>
  </si>
  <si>
    <t>E Axis Max Feedrate</t>
  </si>
  <si>
    <t>X Axis Max Acceleration</t>
  </si>
  <si>
    <t>Y Axis Max Acceleration</t>
  </si>
  <si>
    <t>Z Axis Max Acceleration</t>
  </si>
  <si>
    <t>E Axis Max Acceleration</t>
  </si>
  <si>
    <t>Retract Acceleration</t>
  </si>
  <si>
    <t>mm/step</t>
  </si>
  <si>
    <t>Ender Movement Spec</t>
  </si>
  <si>
    <t>E Axis steps per unit (Teaching Tech)</t>
  </si>
  <si>
    <t>E Axis steps per unit (Stock Firmware)</t>
  </si>
  <si>
    <t>E Axis steps per unit (Klipper)</t>
  </si>
  <si>
    <t>X Axis Max Acceleration Tiny Machine</t>
  </si>
  <si>
    <t>Y Axis Max Acceleration Tiny Machine</t>
  </si>
  <si>
    <t>E Axis Max Acceleration Tiny Machine</t>
  </si>
  <si>
    <t>X Axis Max Feedrate Tiny Machine</t>
  </si>
  <si>
    <t>Y Axis Max Feedrate Tiny Machine</t>
  </si>
  <si>
    <t>Retract Acceleration Tiny Machine</t>
  </si>
  <si>
    <t>X Axis Default Acceleration</t>
  </si>
  <si>
    <t>X Axis Default Acceleration Tiny Machine</t>
  </si>
  <si>
    <t>Y Axis Default Acceleration</t>
  </si>
  <si>
    <t>Y Axis Default Acceleration Tiny Machine</t>
  </si>
  <si>
    <t>Z Axis Default Acceleration</t>
  </si>
  <si>
    <t>Klipper Value</t>
  </si>
  <si>
    <t>Step</t>
  </si>
  <si>
    <t>Action</t>
  </si>
  <si>
    <t>Command</t>
  </si>
  <si>
    <t>Input</t>
  </si>
  <si>
    <t>Unit</t>
  </si>
  <si>
    <t>Retreive the current "E" setting from octoprint by using the command to the right. Then input that number in the yellow cell to the right. (see image below)</t>
  </si>
  <si>
    <t>M503</t>
  </si>
  <si>
    <t>mm/s</t>
  </si>
  <si>
    <t>Marlin Input</t>
  </si>
  <si>
    <t>Measure 120mm of filament back from the extruder and mark the 120mm location.</t>
  </si>
  <si>
    <t>Set your nozzle temp to your preferred extrusion temperature and wait for it to reach temp.</t>
  </si>
  <si>
    <t>Command the printer to extrude 100mm of filament using the command to the right.</t>
  </si>
  <si>
    <t>G1 E50 F900</t>
  </si>
  <si>
    <t>Prime the nozzle by extruding 50mm filament at 15mm/s</t>
  </si>
  <si>
    <t>Measure to the 120mm mark you initally made. Input that number to the right. Ideally it will be around 20mm.</t>
  </si>
  <si>
    <t>Input the command to the right, replacing the "###.#" part with the number in the green cell.</t>
  </si>
  <si>
    <t>Input the command to the right to save the setting.</t>
  </si>
  <si>
    <t>Rebooting the system is not supposed to be necessary, but some suggest that it be done.</t>
  </si>
  <si>
    <t>E- Steps Calibration</t>
  </si>
  <si>
    <t>M500</t>
  </si>
  <si>
    <t>Use calibration cube and print 1 wall, 1 bottom, 0 infill, 0 top</t>
  </si>
  <si>
    <t>Nozzle Size / Existing Wall Extrusion Width</t>
  </si>
  <si>
    <t>New Extrusion Multiplier</t>
  </si>
  <si>
    <t>Perform Bed Leveling</t>
  </si>
  <si>
    <t>Cause</t>
  </si>
  <si>
    <t>Perform E-Steps Calibration</t>
  </si>
  <si>
    <t>Over / Under extrusion in all layers</t>
  </si>
  <si>
    <t>Perform FlowRate Calibration</t>
  </si>
  <si>
    <t>Wall Thickness issue</t>
  </si>
  <si>
    <t>Pressure Advance Calibration</t>
  </si>
  <si>
    <t>Over / Under extrusion at the top / bottom infill edge , Square Edge bulge</t>
  </si>
  <si>
    <t>Check slicer Start_Gcode</t>
  </si>
  <si>
    <t>First Layer donot stick to bed</t>
  </si>
  <si>
    <t>First Layer donot stick to bed / no filament comes out of nozzle for sometime</t>
  </si>
  <si>
    <t>Z-Offset Calibration</t>
  </si>
  <si>
    <t>Blobs and ball meterial found in part surface / scar on surfaces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</si>
</sst>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"/>
  </numFmts>
  <fonts count="8" x14ac:knownFonts="1">
    <font>
      <sz val="10"/>
      <color rgb="FF000000"/>
      <name val="Arial"/>
    </font>
    <font>
      <sz val="11"/>
      <color rgb="FF000000"/>
      <name val="Arial"/>
    </font>
    <font>
      <sz val="10"/>
      <name val="Arial"/>
    </font>
    <font>
      <b/>
      <sz val="14"/>
      <name val="Arial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0000"/>
      <name val="Arial"/>
      <family val="2"/>
    </font>
    <font>
      <b/>
      <sz val="16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2" fontId="0" fillId="0" borderId="0" xfId="0" applyNumberFormat="1"/>
    <xf numFmtId="0" fontId="4" fillId="0" borderId="0" xfId="0" applyFont="1"/>
    <xf numFmtId="0" fontId="0" fillId="6" borderId="0" xfId="0" applyFill="1"/>
    <xf numFmtId="0" fontId="1" fillId="0" borderId="0" xfId="0" applyFont="1" applyAlignment="1">
      <alignment wrapText="1"/>
    </xf>
    <xf numFmtId="0" fontId="0" fillId="4" borderId="0" xfId="0" applyFill="1"/>
    <xf numFmtId="0" fontId="5" fillId="0" borderId="0" xfId="0" applyFont="1"/>
    <xf numFmtId="0" fontId="1" fillId="0" borderId="0" xfId="0" applyFont="1" applyFill="1"/>
    <xf numFmtId="0" fontId="0" fillId="0" borderId="0" xfId="0" applyFill="1"/>
    <xf numFmtId="0" fontId="3" fillId="0" borderId="0" xfId="0" applyFont="1" applyFill="1"/>
    <xf numFmtId="0" fontId="2" fillId="0" borderId="0" xfId="0" applyFont="1" applyFill="1"/>
    <xf numFmtId="0" fontId="0" fillId="2" borderId="0" xfId="0" applyFill="1"/>
    <xf numFmtId="2" fontId="1" fillId="0" borderId="0" xfId="0" applyNumberFormat="1" applyFont="1"/>
    <xf numFmtId="0" fontId="2" fillId="6" borderId="0" xfId="0" applyFont="1" applyFill="1"/>
    <xf numFmtId="2" fontId="0" fillId="3" borderId="0" xfId="0" applyNumberFormat="1" applyFill="1"/>
    <xf numFmtId="0" fontId="5" fillId="2" borderId="0" xfId="0" applyFont="1" applyFill="1"/>
    <xf numFmtId="164" fontId="0" fillId="3" borderId="0" xfId="0" applyNumberFormat="1" applyFill="1"/>
    <xf numFmtId="0" fontId="6" fillId="5" borderId="0" xfId="0" applyFont="1" applyFill="1" applyAlignment="1">
      <alignment horizontal="left"/>
    </xf>
    <xf numFmtId="0" fontId="7" fillId="7" borderId="0" xfId="0" applyFont="1" applyFill="1" applyAlignment="1">
      <alignment horizontal="left"/>
    </xf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11</xdr:row>
      <xdr:rowOff>53340</xdr:rowOff>
    </xdr:from>
    <xdr:to>
      <xdr:col>1</xdr:col>
      <xdr:colOff>4610100</xdr:colOff>
      <xdr:row>19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15C004-2D70-42FE-AAD0-050971F2E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2628900"/>
          <a:ext cx="4152900" cy="15640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5D14C4-5DAD-4647-8EBE-ADDB6BEC5DC0}" name="Table2" displayName="Table2" ref="A2:F20" totalsRowShown="0" headerRowDxfId="1">
  <autoFilter ref="A2:F20" xr:uid="{76846418-598B-4291-947F-58F3BE7352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CFA7D7B-FF55-4AB8-89D4-C9F027F17989}" name="Step"/>
    <tableColumn id="2" xr3:uid="{7A0D612B-B09F-471E-A73E-3134FA21DB94}" name="Action"/>
    <tableColumn id="3" xr3:uid="{FB2981B4-6096-4A3C-BE06-3C4FE3EB89DC}" name="Command"/>
    <tableColumn id="4" xr3:uid="{D0593C25-D71C-494A-B76B-9EC4A4DA8516}" name="Marlin Input"/>
    <tableColumn id="5" xr3:uid="{1903042B-3210-4CAA-A63C-09B925FCBC8C}" name="Klipper Value"/>
    <tableColumn id="6" xr3:uid="{2D987116-A2FC-4A65-BDF9-7FEA37701A44}" name="Uni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A1C568E-2C0D-43F9-A1B6-FE8E95293C16}" name="Table6" displayName="Table6" ref="A2:C15" totalsRowShown="0" headerRowDxfId="0">
  <autoFilter ref="A2:C15" xr:uid="{15CC3BF2-970B-4EDB-83DD-DFB4F006EB39}">
    <filterColumn colId="0" hiddenButton="1"/>
    <filterColumn colId="1" hiddenButton="1"/>
    <filterColumn colId="2" hiddenButton="1"/>
  </autoFilter>
  <tableColumns count="3">
    <tableColumn id="1" xr3:uid="{076063DC-9259-440A-AF63-3E484D9E2466}" name="Step"/>
    <tableColumn id="2" xr3:uid="{1B96AACB-F57F-4012-B00A-3E7367204E00}" name="Action"/>
    <tableColumn id="3" xr3:uid="{F6DF2C1B-BB82-437F-B371-40B6C6B017DA}" name="Inpu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571-4888-4749-B10F-F961021AE21C}">
  <dimension ref="A1:B7"/>
  <sheetViews>
    <sheetView workbookViewId="0">
      <selection activeCell="B8" sqref="B8"/>
    </sheetView>
  </sheetViews>
  <sheetFormatPr defaultRowHeight="12.75" x14ac:dyDescent="0.2"/>
  <cols>
    <col min="1" max="1" width="59.7109375" customWidth="1"/>
    <col min="2" max="2" width="66.42578125" bestFit="1" customWidth="1"/>
  </cols>
  <sheetData>
    <row r="1" spans="1:2" x14ac:dyDescent="0.2">
      <c r="A1" s="14" t="s">
        <v>49</v>
      </c>
      <c r="B1" s="14" t="s">
        <v>72</v>
      </c>
    </row>
    <row r="2" spans="1:2" x14ac:dyDescent="0.2">
      <c r="A2" t="s">
        <v>71</v>
      </c>
      <c r="B2" t="s">
        <v>80</v>
      </c>
    </row>
    <row r="3" spans="1:2" x14ac:dyDescent="0.2">
      <c r="A3" t="s">
        <v>73</v>
      </c>
      <c r="B3" t="s">
        <v>74</v>
      </c>
    </row>
    <row r="4" spans="1:2" x14ac:dyDescent="0.2">
      <c r="A4" t="s">
        <v>79</v>
      </c>
      <c r="B4" t="s">
        <v>81</v>
      </c>
    </row>
    <row r="5" spans="1:2" x14ac:dyDescent="0.2">
      <c r="A5" t="s">
        <v>75</v>
      </c>
      <c r="B5" t="s">
        <v>76</v>
      </c>
    </row>
    <row r="6" spans="1:2" x14ac:dyDescent="0.2">
      <c r="A6" t="s">
        <v>77</v>
      </c>
      <c r="B6" t="s">
        <v>78</v>
      </c>
    </row>
    <row r="7" spans="1:2" x14ac:dyDescent="0.2">
      <c r="A7" t="s">
        <v>82</v>
      </c>
      <c r="B7" t="s">
        <v>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H26"/>
  <sheetViews>
    <sheetView tabSelected="1" workbookViewId="0">
      <selection activeCell="C24" sqref="C24"/>
    </sheetView>
  </sheetViews>
  <sheetFormatPr defaultColWidth="14.42578125" defaultRowHeight="15.75" customHeight="1" x14ac:dyDescent="0.2"/>
  <cols>
    <col min="1" max="1" width="7.28515625" bestFit="1" customWidth="1"/>
    <col min="2" max="2" width="86.7109375" customWidth="1"/>
    <col min="3" max="3" width="12.7109375" bestFit="1" customWidth="1"/>
  </cols>
  <sheetData>
    <row r="1" spans="1:8" ht="23.25" x14ac:dyDescent="0.35">
      <c r="A1" s="20" t="s">
        <v>66</v>
      </c>
      <c r="B1" s="20"/>
      <c r="C1" s="20"/>
      <c r="D1" s="20"/>
      <c r="E1" s="20"/>
      <c r="F1" s="20"/>
    </row>
    <row r="2" spans="1:8" ht="15.75" customHeight="1" x14ac:dyDescent="0.2">
      <c r="A2" s="14" t="s">
        <v>48</v>
      </c>
      <c r="B2" s="14" t="s">
        <v>49</v>
      </c>
      <c r="C2" s="14" t="s">
        <v>50</v>
      </c>
      <c r="D2" s="14" t="s">
        <v>56</v>
      </c>
      <c r="E2" s="14" t="s">
        <v>47</v>
      </c>
      <c r="F2" s="14" t="s">
        <v>52</v>
      </c>
    </row>
    <row r="3" spans="1:8" ht="28.5" x14ac:dyDescent="0.2">
      <c r="A3">
        <v>1</v>
      </c>
      <c r="B3" s="7" t="s">
        <v>53</v>
      </c>
      <c r="C3" t="s">
        <v>54</v>
      </c>
      <c r="D3" s="6">
        <v>435</v>
      </c>
      <c r="E3" s="6">
        <f>1/415</f>
        <v>2.4096385542168677E-3</v>
      </c>
      <c r="F3" t="s">
        <v>55</v>
      </c>
      <c r="H3" s="7"/>
    </row>
    <row r="4" spans="1:8" ht="15.75" customHeight="1" x14ac:dyDescent="0.2">
      <c r="A4">
        <v>2</v>
      </c>
      <c r="B4" s="1" t="s">
        <v>57</v>
      </c>
      <c r="H4" s="1"/>
    </row>
    <row r="5" spans="1:8" ht="15.75" customHeight="1" x14ac:dyDescent="0.2">
      <c r="B5" s="1" t="s">
        <v>58</v>
      </c>
      <c r="H5" s="1"/>
    </row>
    <row r="6" spans="1:8" ht="15.75" customHeight="1" x14ac:dyDescent="0.2">
      <c r="B6" s="1" t="s">
        <v>61</v>
      </c>
      <c r="C6" t="s">
        <v>60</v>
      </c>
      <c r="H6" s="1"/>
    </row>
    <row r="7" spans="1:8" ht="15.75" customHeight="1" x14ac:dyDescent="0.2">
      <c r="B7" s="1" t="s">
        <v>59</v>
      </c>
      <c r="C7" t="s">
        <v>0</v>
      </c>
      <c r="H7" s="1"/>
    </row>
    <row r="8" spans="1:8" ht="28.5" x14ac:dyDescent="0.2">
      <c r="B8" s="7" t="s">
        <v>62</v>
      </c>
      <c r="D8" s="6">
        <v>14</v>
      </c>
      <c r="E8" s="8"/>
      <c r="F8" t="s">
        <v>4</v>
      </c>
    </row>
    <row r="9" spans="1:8" ht="15.75" customHeight="1" x14ac:dyDescent="0.2">
      <c r="B9" s="1" t="s">
        <v>63</v>
      </c>
      <c r="C9" t="str">
        <f>"M92 E" &amp; ROUND(D9,2)</f>
        <v>M92 E410.38</v>
      </c>
      <c r="D9" s="17">
        <f>100/(120-D8) *IF(D3&gt;0,D3,1/E3)</f>
        <v>410.37735849056605</v>
      </c>
      <c r="E9" s="19">
        <f>1/D9</f>
        <v>2.4367816091954023E-3</v>
      </c>
      <c r="F9" s="9" t="s">
        <v>55</v>
      </c>
    </row>
    <row r="10" spans="1:8" ht="15.75" customHeight="1" x14ac:dyDescent="0.2">
      <c r="B10" s="1" t="s">
        <v>64</v>
      </c>
      <c r="C10" s="9" t="s">
        <v>67</v>
      </c>
    </row>
    <row r="11" spans="1:8" ht="15.75" customHeight="1" x14ac:dyDescent="0.2">
      <c r="B11" s="1" t="s">
        <v>65</v>
      </c>
    </row>
    <row r="12" spans="1:8" ht="15.75" customHeight="1" x14ac:dyDescent="0.2">
      <c r="B12" s="10"/>
      <c r="C12" s="11"/>
      <c r="D12" s="11"/>
      <c r="E12" s="11"/>
      <c r="F12" s="11"/>
    </row>
    <row r="13" spans="1:8" ht="18" x14ac:dyDescent="0.25">
      <c r="B13" s="12"/>
      <c r="C13" s="11"/>
      <c r="D13" s="11"/>
      <c r="E13" s="11"/>
      <c r="F13" s="11"/>
    </row>
    <row r="14" spans="1:8" ht="15.75" customHeight="1" x14ac:dyDescent="0.2">
      <c r="B14" s="13"/>
      <c r="C14" s="13"/>
      <c r="D14" s="11"/>
      <c r="E14" s="11"/>
      <c r="F14" s="11"/>
    </row>
    <row r="15" spans="1:8" ht="15.75" customHeight="1" x14ac:dyDescent="0.2">
      <c r="B15" s="13"/>
      <c r="C15" s="13"/>
      <c r="D15" s="11"/>
      <c r="E15" s="11"/>
      <c r="F15" s="11"/>
    </row>
    <row r="16" spans="1:8" ht="15.75" customHeight="1" x14ac:dyDescent="0.2">
      <c r="B16" s="11"/>
      <c r="C16" s="11"/>
      <c r="D16" s="11"/>
      <c r="E16" s="11"/>
      <c r="F16" s="11"/>
    </row>
    <row r="17" spans="2:6" ht="15.75" customHeight="1" x14ac:dyDescent="0.2">
      <c r="B17" s="13"/>
      <c r="C17" s="11"/>
      <c r="D17" s="11"/>
      <c r="E17" s="11"/>
      <c r="F17" s="11"/>
    </row>
    <row r="26" spans="2:6" ht="12.75" x14ac:dyDescent="0.2"/>
  </sheetData>
  <mergeCells count="1">
    <mergeCell ref="A1:F1"/>
  </mergeCells>
  <pageMargins left="0.7" right="0.7" top="0.75" bottom="0.75" header="0.3" footer="0.3"/>
  <pageSetup orientation="portrait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71D87-9F41-4F62-B1ED-ED3597DB20C4}">
  <sheetPr codeName="Sheet4"/>
  <dimension ref="A1:C12"/>
  <sheetViews>
    <sheetView workbookViewId="0">
      <selection activeCell="C27" sqref="C27"/>
    </sheetView>
  </sheetViews>
  <sheetFormatPr defaultRowHeight="12.75" x14ac:dyDescent="0.2"/>
  <cols>
    <col min="1" max="1" width="5" bestFit="1" customWidth="1"/>
    <col min="2" max="2" width="50.28515625" bestFit="1" customWidth="1"/>
    <col min="3" max="3" width="6.85546875" customWidth="1"/>
  </cols>
  <sheetData>
    <row r="1" spans="1:3" ht="20.25" x14ac:dyDescent="0.3">
      <c r="A1" s="21" t="s">
        <v>3</v>
      </c>
      <c r="B1" s="21"/>
      <c r="C1" s="21"/>
    </row>
    <row r="2" spans="1:3" x14ac:dyDescent="0.2">
      <c r="A2" s="18" t="s">
        <v>48</v>
      </c>
      <c r="B2" s="18" t="s">
        <v>49</v>
      </c>
      <c r="C2" s="18" t="s">
        <v>51</v>
      </c>
    </row>
    <row r="3" spans="1:3" x14ac:dyDescent="0.2">
      <c r="A3">
        <v>1</v>
      </c>
      <c r="B3" s="9" t="s">
        <v>68</v>
      </c>
    </row>
    <row r="4" spans="1:3" x14ac:dyDescent="0.2">
      <c r="A4">
        <v>2</v>
      </c>
      <c r="B4" s="9" t="s">
        <v>1</v>
      </c>
    </row>
    <row r="5" spans="1:3" x14ac:dyDescent="0.2">
      <c r="A5">
        <v>3</v>
      </c>
      <c r="B5" s="9" t="s">
        <v>2</v>
      </c>
    </row>
    <row r="6" spans="1:3" x14ac:dyDescent="0.2">
      <c r="A6">
        <v>4</v>
      </c>
      <c r="B6" s="5" t="s">
        <v>69</v>
      </c>
      <c r="C6" s="16">
        <v>0.6</v>
      </c>
    </row>
    <row r="7" spans="1:3" x14ac:dyDescent="0.2">
      <c r="A7">
        <v>5</v>
      </c>
      <c r="B7" s="2" t="s">
        <v>5</v>
      </c>
      <c r="C7" s="16">
        <v>0.54</v>
      </c>
    </row>
    <row r="8" spans="1:3" x14ac:dyDescent="0.2">
      <c r="A8">
        <v>6</v>
      </c>
      <c r="B8" t="s">
        <v>6</v>
      </c>
      <c r="C8" s="16">
        <v>89</v>
      </c>
    </row>
    <row r="9" spans="1:3" x14ac:dyDescent="0.2">
      <c r="B9" s="9" t="s">
        <v>70</v>
      </c>
      <c r="C9" s="4">
        <f>C6/C7*C8</f>
        <v>98.888888888888872</v>
      </c>
    </row>
    <row r="11" spans="1:3" ht="14.25" x14ac:dyDescent="0.2">
      <c r="B11" s="5" t="s">
        <v>7</v>
      </c>
      <c r="C11" s="15">
        <f>C9</f>
        <v>98.888888888888872</v>
      </c>
    </row>
    <row r="12" spans="1:3" ht="14.25" x14ac:dyDescent="0.2">
      <c r="B12" s="2" t="s">
        <v>8</v>
      </c>
      <c r="C12" s="15">
        <f>C11*0.98</f>
        <v>96.911111111111097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outlinePr summaryBelow="0" summaryRight="0"/>
  </sheetPr>
  <dimension ref="A1:E39"/>
  <sheetViews>
    <sheetView topLeftCell="A13" workbookViewId="0">
      <selection activeCell="G44" sqref="G44"/>
    </sheetView>
  </sheetViews>
  <sheetFormatPr defaultColWidth="14.42578125" defaultRowHeight="15.75" customHeight="1" x14ac:dyDescent="0.2"/>
  <cols>
    <col min="1" max="1" width="36.140625" bestFit="1" customWidth="1"/>
    <col min="2" max="2" width="6.5703125" customWidth="1"/>
    <col min="3" max="3" width="9.28515625" bestFit="1" customWidth="1"/>
    <col min="4" max="4" width="8.140625" customWidth="1"/>
    <col min="5" max="5" width="8.85546875" bestFit="1" customWidth="1"/>
  </cols>
  <sheetData>
    <row r="1" spans="1:5" ht="15.75" customHeight="1" x14ac:dyDescent="0.2">
      <c r="A1" s="22" t="s">
        <v>32</v>
      </c>
      <c r="B1" s="22"/>
      <c r="C1" s="22"/>
      <c r="D1" s="22"/>
      <c r="E1" s="22"/>
    </row>
    <row r="2" spans="1:5" ht="15.75" customHeight="1" x14ac:dyDescent="0.2">
      <c r="A2" s="3" t="s">
        <v>19</v>
      </c>
      <c r="B2" s="3">
        <v>80</v>
      </c>
      <c r="C2" s="3" t="s">
        <v>18</v>
      </c>
      <c r="D2" s="3">
        <f>1/B2</f>
        <v>1.2500000000000001E-2</v>
      </c>
      <c r="E2" s="3" t="s">
        <v>31</v>
      </c>
    </row>
    <row r="3" spans="1:5" ht="15.75" customHeight="1" x14ac:dyDescent="0.2">
      <c r="A3" s="3" t="s">
        <v>20</v>
      </c>
      <c r="B3" s="3">
        <v>80</v>
      </c>
      <c r="C3" s="3" t="s">
        <v>18</v>
      </c>
      <c r="D3" s="3">
        <f t="shared" ref="D3:D7" si="0">1/B3</f>
        <v>1.2500000000000001E-2</v>
      </c>
      <c r="E3" s="3" t="s">
        <v>31</v>
      </c>
    </row>
    <row r="4" spans="1:5" ht="15.75" customHeight="1" x14ac:dyDescent="0.2">
      <c r="A4" s="3" t="s">
        <v>21</v>
      </c>
      <c r="B4" s="3">
        <v>400</v>
      </c>
      <c r="C4" s="3" t="s">
        <v>18</v>
      </c>
      <c r="D4" s="3">
        <f t="shared" si="0"/>
        <v>2.5000000000000001E-3</v>
      </c>
      <c r="E4" s="3" t="s">
        <v>31</v>
      </c>
    </row>
    <row r="5" spans="1:5" ht="15.75" customHeight="1" x14ac:dyDescent="0.2">
      <c r="A5" s="3" t="s">
        <v>34</v>
      </c>
      <c r="B5" s="3">
        <v>93</v>
      </c>
      <c r="C5" s="3" t="s">
        <v>18</v>
      </c>
      <c r="D5" s="3">
        <f t="shared" si="0"/>
        <v>1.0752688172043012E-2</v>
      </c>
      <c r="E5" s="3" t="s">
        <v>31</v>
      </c>
    </row>
    <row r="6" spans="1:5" ht="15.75" customHeight="1" x14ac:dyDescent="0.2">
      <c r="A6" s="3" t="s">
        <v>33</v>
      </c>
      <c r="B6" s="3">
        <v>91.18</v>
      </c>
      <c r="C6" s="3" t="s">
        <v>18</v>
      </c>
      <c r="D6" s="3">
        <f t="shared" si="0"/>
        <v>1.0967317394165387E-2</v>
      </c>
      <c r="E6" s="3" t="s">
        <v>31</v>
      </c>
    </row>
    <row r="7" spans="1:5" ht="15.75" customHeight="1" x14ac:dyDescent="0.2">
      <c r="A7" s="3" t="s">
        <v>35</v>
      </c>
      <c r="B7" s="3">
        <v>95</v>
      </c>
      <c r="C7" s="3" t="s">
        <v>18</v>
      </c>
      <c r="D7" s="3">
        <f t="shared" si="0"/>
        <v>1.0526315789473684E-2</v>
      </c>
      <c r="E7" s="3" t="s">
        <v>31</v>
      </c>
    </row>
    <row r="8" spans="1:5" ht="12.75" x14ac:dyDescent="0.2">
      <c r="A8" s="3"/>
      <c r="B8" s="3"/>
      <c r="C8" s="3"/>
      <c r="D8" s="3"/>
      <c r="E8" s="3"/>
    </row>
    <row r="9" spans="1:5" ht="12.75" x14ac:dyDescent="0.2">
      <c r="A9" s="3" t="s">
        <v>22</v>
      </c>
      <c r="B9" s="3">
        <v>500</v>
      </c>
      <c r="C9" s="3" t="s">
        <v>16</v>
      </c>
      <c r="D9" s="3">
        <f>B9/0.02</f>
        <v>25000</v>
      </c>
      <c r="E9" s="3" t="s">
        <v>17</v>
      </c>
    </row>
    <row r="10" spans="1:5" ht="12.75" x14ac:dyDescent="0.2">
      <c r="A10" s="3" t="s">
        <v>39</v>
      </c>
      <c r="B10" s="3">
        <v>750</v>
      </c>
      <c r="C10" s="3" t="s">
        <v>16</v>
      </c>
      <c r="D10" s="3">
        <f>B10/0.02</f>
        <v>37500</v>
      </c>
      <c r="E10" s="3" t="s">
        <v>17</v>
      </c>
    </row>
    <row r="11" spans="1:5" ht="15.75" customHeight="1" x14ac:dyDescent="0.2">
      <c r="A11" s="3" t="s">
        <v>23</v>
      </c>
      <c r="B11" s="3">
        <v>500</v>
      </c>
      <c r="C11" s="3" t="s">
        <v>16</v>
      </c>
      <c r="D11" s="3">
        <f t="shared" ref="D11:D34" si="1">B11/0.02</f>
        <v>25000</v>
      </c>
      <c r="E11" s="3" t="s">
        <v>17</v>
      </c>
    </row>
    <row r="12" spans="1:5" ht="15.75" customHeight="1" x14ac:dyDescent="0.2">
      <c r="A12" s="3" t="s">
        <v>40</v>
      </c>
      <c r="B12" s="3">
        <v>750</v>
      </c>
      <c r="C12" s="3" t="s">
        <v>16</v>
      </c>
      <c r="D12" s="3">
        <f t="shared" si="1"/>
        <v>37500</v>
      </c>
      <c r="E12" s="3" t="s">
        <v>17</v>
      </c>
    </row>
    <row r="13" spans="1:5" ht="15.75" customHeight="1" x14ac:dyDescent="0.2">
      <c r="A13" s="3" t="s">
        <v>24</v>
      </c>
      <c r="B13" s="3">
        <v>5</v>
      </c>
      <c r="C13" s="3" t="s">
        <v>16</v>
      </c>
      <c r="D13" s="3">
        <f t="shared" si="1"/>
        <v>250</v>
      </c>
      <c r="E13" s="3" t="s">
        <v>17</v>
      </c>
    </row>
    <row r="14" spans="1:5" ht="15.75" customHeight="1" x14ac:dyDescent="0.2">
      <c r="A14" s="3" t="s">
        <v>25</v>
      </c>
      <c r="B14" s="3">
        <v>25</v>
      </c>
      <c r="C14" s="3" t="s">
        <v>16</v>
      </c>
      <c r="D14" s="3">
        <f t="shared" si="1"/>
        <v>1250</v>
      </c>
      <c r="E14" s="3" t="s">
        <v>17</v>
      </c>
    </row>
    <row r="15" spans="1:5" ht="15.75" customHeight="1" x14ac:dyDescent="0.2">
      <c r="A15" s="3"/>
      <c r="B15" s="3"/>
      <c r="C15" s="3"/>
      <c r="D15" s="3"/>
      <c r="E15" s="3"/>
    </row>
    <row r="16" spans="1:5" ht="15.75" customHeight="1" x14ac:dyDescent="0.2">
      <c r="A16" s="3" t="s">
        <v>26</v>
      </c>
      <c r="B16" s="3">
        <v>500</v>
      </c>
      <c r="C16" s="3" t="s">
        <v>16</v>
      </c>
      <c r="D16" s="3">
        <f t="shared" si="1"/>
        <v>25000</v>
      </c>
      <c r="E16" s="3" t="s">
        <v>17</v>
      </c>
    </row>
    <row r="17" spans="1:5" ht="15.75" customHeight="1" x14ac:dyDescent="0.2">
      <c r="A17" s="3" t="s">
        <v>36</v>
      </c>
      <c r="B17" s="3">
        <v>2000</v>
      </c>
      <c r="C17" s="3" t="s">
        <v>16</v>
      </c>
      <c r="D17" s="3">
        <f t="shared" si="1"/>
        <v>100000</v>
      </c>
      <c r="E17" s="3" t="s">
        <v>17</v>
      </c>
    </row>
    <row r="18" spans="1:5" ht="15.75" customHeight="1" x14ac:dyDescent="0.2">
      <c r="A18" s="3" t="s">
        <v>27</v>
      </c>
      <c r="B18" s="3">
        <v>500</v>
      </c>
      <c r="C18" s="3" t="s">
        <v>16</v>
      </c>
      <c r="D18" s="3">
        <f t="shared" si="1"/>
        <v>25000</v>
      </c>
      <c r="E18" s="3" t="s">
        <v>17</v>
      </c>
    </row>
    <row r="19" spans="1:5" ht="15.75" customHeight="1" x14ac:dyDescent="0.2">
      <c r="A19" s="3" t="s">
        <v>37</v>
      </c>
      <c r="B19" s="3">
        <v>2000</v>
      </c>
      <c r="C19" s="3" t="s">
        <v>16</v>
      </c>
      <c r="D19" s="3">
        <f t="shared" si="1"/>
        <v>100000</v>
      </c>
      <c r="E19" s="3" t="s">
        <v>17</v>
      </c>
    </row>
    <row r="20" spans="1:5" ht="15.75" customHeight="1" x14ac:dyDescent="0.2">
      <c r="A20" s="3" t="s">
        <v>28</v>
      </c>
      <c r="B20" s="3">
        <v>100</v>
      </c>
      <c r="C20" s="3" t="s">
        <v>16</v>
      </c>
      <c r="D20" s="3">
        <f t="shared" si="1"/>
        <v>5000</v>
      </c>
      <c r="E20" s="3" t="s">
        <v>17</v>
      </c>
    </row>
    <row r="21" spans="1:5" ht="15.75" customHeight="1" x14ac:dyDescent="0.2">
      <c r="A21" s="3" t="s">
        <v>29</v>
      </c>
      <c r="B21" s="3">
        <v>5000</v>
      </c>
      <c r="C21" s="3" t="s">
        <v>16</v>
      </c>
      <c r="D21" s="3">
        <f t="shared" si="1"/>
        <v>250000</v>
      </c>
      <c r="E21" s="3" t="s">
        <v>17</v>
      </c>
    </row>
    <row r="22" spans="1:5" ht="15.75" customHeight="1" x14ac:dyDescent="0.2">
      <c r="A22" s="3" t="s">
        <v>38</v>
      </c>
      <c r="B22" s="3">
        <v>25</v>
      </c>
      <c r="C22" s="3" t="s">
        <v>16</v>
      </c>
      <c r="D22" s="3">
        <f t="shared" si="1"/>
        <v>1250</v>
      </c>
      <c r="E22" s="3" t="s">
        <v>17</v>
      </c>
    </row>
    <row r="23" spans="1:5" ht="15.75" customHeight="1" x14ac:dyDescent="0.2">
      <c r="A23" s="3" t="s">
        <v>30</v>
      </c>
      <c r="B23" s="3">
        <v>500</v>
      </c>
      <c r="C23" s="3" t="s">
        <v>16</v>
      </c>
      <c r="D23" s="3">
        <f t="shared" si="1"/>
        <v>25000</v>
      </c>
      <c r="E23" s="3" t="s">
        <v>17</v>
      </c>
    </row>
    <row r="24" spans="1:5" ht="15.75" customHeight="1" x14ac:dyDescent="0.2">
      <c r="A24" s="3" t="s">
        <v>41</v>
      </c>
      <c r="B24" s="3">
        <v>1000</v>
      </c>
      <c r="C24" s="3" t="s">
        <v>16</v>
      </c>
      <c r="D24" s="3">
        <f t="shared" si="1"/>
        <v>50000</v>
      </c>
      <c r="E24" s="3" t="s">
        <v>17</v>
      </c>
    </row>
    <row r="25" spans="1:5" ht="15.75" customHeight="1" x14ac:dyDescent="0.2">
      <c r="A25" s="3"/>
      <c r="B25" s="3"/>
      <c r="C25" s="3"/>
      <c r="D25" s="3"/>
      <c r="E25" s="3"/>
    </row>
    <row r="26" spans="1:5" ht="15.75" customHeight="1" x14ac:dyDescent="0.2">
      <c r="A26" s="3" t="s">
        <v>42</v>
      </c>
      <c r="B26" s="3">
        <v>500</v>
      </c>
      <c r="C26" s="3" t="s">
        <v>16</v>
      </c>
      <c r="D26" s="3">
        <f t="shared" si="1"/>
        <v>25000</v>
      </c>
      <c r="E26" s="3" t="s">
        <v>17</v>
      </c>
    </row>
    <row r="27" spans="1:5" ht="15.75" customHeight="1" x14ac:dyDescent="0.2">
      <c r="A27" s="3" t="s">
        <v>43</v>
      </c>
      <c r="B27" s="3">
        <v>300</v>
      </c>
      <c r="C27" s="3" t="s">
        <v>16</v>
      </c>
      <c r="D27" s="3">
        <f t="shared" si="1"/>
        <v>15000</v>
      </c>
      <c r="E27" s="3" t="s">
        <v>17</v>
      </c>
    </row>
    <row r="28" spans="1:5" ht="15.75" customHeight="1" x14ac:dyDescent="0.2">
      <c r="A28" s="3" t="s">
        <v>44</v>
      </c>
      <c r="B28" s="3">
        <v>500</v>
      </c>
      <c r="C28" s="3" t="s">
        <v>16</v>
      </c>
      <c r="D28" s="3">
        <f t="shared" si="1"/>
        <v>25000</v>
      </c>
      <c r="E28" s="3" t="s">
        <v>17</v>
      </c>
    </row>
    <row r="29" spans="1:5" ht="15.75" customHeight="1" x14ac:dyDescent="0.2">
      <c r="A29" s="3" t="s">
        <v>45</v>
      </c>
      <c r="B29" s="3">
        <v>300</v>
      </c>
      <c r="C29" s="3" t="s">
        <v>16</v>
      </c>
      <c r="D29" s="3">
        <f t="shared" si="1"/>
        <v>15000</v>
      </c>
      <c r="E29" s="3" t="s">
        <v>17</v>
      </c>
    </row>
    <row r="30" spans="1:5" ht="15.75" customHeight="1" x14ac:dyDescent="0.2">
      <c r="A30" s="3" t="s">
        <v>46</v>
      </c>
      <c r="B30" s="3">
        <v>300</v>
      </c>
      <c r="C30" s="3" t="s">
        <v>16</v>
      </c>
      <c r="D30" s="3">
        <f t="shared" si="1"/>
        <v>15000</v>
      </c>
      <c r="E30" s="3" t="s">
        <v>17</v>
      </c>
    </row>
    <row r="31" spans="1:5" ht="15.75" customHeight="1" x14ac:dyDescent="0.2">
      <c r="A31" s="3"/>
      <c r="B31" s="3"/>
      <c r="C31" s="3"/>
      <c r="D31" s="3"/>
      <c r="E31" s="3"/>
    </row>
    <row r="32" spans="1:5" ht="15.75" customHeight="1" x14ac:dyDescent="0.2">
      <c r="A32" s="3" t="s">
        <v>9</v>
      </c>
      <c r="B32" s="3">
        <v>20</v>
      </c>
      <c r="C32" s="3" t="s">
        <v>16</v>
      </c>
      <c r="D32" s="3">
        <f t="shared" si="1"/>
        <v>1000</v>
      </c>
      <c r="E32" s="3" t="s">
        <v>17</v>
      </c>
    </row>
    <row r="33" spans="1:5" ht="15.75" customHeight="1" x14ac:dyDescent="0.2">
      <c r="A33" s="3" t="s">
        <v>10</v>
      </c>
      <c r="B33" s="3">
        <v>0.4</v>
      </c>
      <c r="C33" s="3" t="s">
        <v>16</v>
      </c>
      <c r="D33" s="3">
        <f t="shared" si="1"/>
        <v>20</v>
      </c>
      <c r="E33" s="3" t="s">
        <v>17</v>
      </c>
    </row>
    <row r="34" spans="1:5" ht="15.75" customHeight="1" x14ac:dyDescent="0.2">
      <c r="A34" s="3" t="s">
        <v>11</v>
      </c>
      <c r="B34" s="3">
        <v>5</v>
      </c>
      <c r="C34" s="3" t="s">
        <v>16</v>
      </c>
      <c r="D34" s="3">
        <f t="shared" si="1"/>
        <v>250</v>
      </c>
      <c r="E34" s="3" t="s">
        <v>17</v>
      </c>
    </row>
    <row r="35" spans="1:5" ht="15.75" customHeight="1" x14ac:dyDescent="0.2">
      <c r="A35" s="3"/>
      <c r="B35" s="3"/>
      <c r="C35" s="3"/>
      <c r="D35" s="3"/>
      <c r="E35" s="3"/>
    </row>
    <row r="36" spans="1:5" ht="15.75" customHeight="1" x14ac:dyDescent="0.2">
      <c r="A36" s="3" t="s">
        <v>12</v>
      </c>
      <c r="B36" s="3">
        <f>D36*0.02</f>
        <v>60</v>
      </c>
      <c r="C36" s="3" t="s">
        <v>16</v>
      </c>
      <c r="D36" s="3">
        <f>50*60</f>
        <v>3000</v>
      </c>
      <c r="E36" s="3" t="s">
        <v>17</v>
      </c>
    </row>
    <row r="37" spans="1:5" ht="15.75" customHeight="1" x14ac:dyDescent="0.2">
      <c r="A37" s="3" t="s">
        <v>15</v>
      </c>
      <c r="B37" s="3">
        <f t="shared" ref="B37:B39" si="2">D37*0.02</f>
        <v>60</v>
      </c>
      <c r="C37" s="3" t="s">
        <v>16</v>
      </c>
      <c r="D37" s="3">
        <f>50*60</f>
        <v>3000</v>
      </c>
      <c r="E37" s="3" t="s">
        <v>17</v>
      </c>
    </row>
    <row r="38" spans="1:5" ht="15.75" customHeight="1" x14ac:dyDescent="0.2">
      <c r="A38" s="3" t="s">
        <v>13</v>
      </c>
      <c r="B38" s="3">
        <f t="shared" si="2"/>
        <v>4.8</v>
      </c>
      <c r="C38" s="3" t="s">
        <v>16</v>
      </c>
      <c r="D38" s="3">
        <f>4*60</f>
        <v>240</v>
      </c>
      <c r="E38" s="3" t="s">
        <v>17</v>
      </c>
    </row>
    <row r="39" spans="1:5" ht="15.75" customHeight="1" x14ac:dyDescent="0.2">
      <c r="A39" s="3" t="s">
        <v>14</v>
      </c>
      <c r="B39" s="3">
        <f t="shared" si="2"/>
        <v>0</v>
      </c>
      <c r="C39" s="3" t="s">
        <v>16</v>
      </c>
      <c r="D39" s="3">
        <v>0</v>
      </c>
      <c r="E39" s="3" t="s">
        <v>17</v>
      </c>
    </row>
  </sheetData>
  <mergeCells count="1"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Calibration Steps</vt:lpstr>
      <vt:lpstr>E-Steps Calibration</vt:lpstr>
      <vt:lpstr>FlowRate Calibration</vt:lpstr>
      <vt:lpstr>Ender Spec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2019-03-30T02:48:45Z</dcterms:created>
  <dcterms:modified xsi:type="dcterms:W3CDTF">2020-01-20T23:12:10Z</dcterms:modified>
</cp:coreProperties>
</file>