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3DPrint\Calibration\"/>
    </mc:Choice>
  </mc:AlternateContent>
  <xr:revisionPtr revIDLastSave="0" documentId="13_ncr:1_{263ADB71-7AE9-420B-974F-A74261A1B6DC}" xr6:coauthVersionLast="41" xr6:coauthVersionMax="41" xr10:uidLastSave="{00000000-0000-0000-0000-000000000000}"/>
  <bookViews>
    <workbookView xWindow="-108" yWindow="-108" windowWidth="30936" windowHeight="16920" xr2:uid="{6DB58DD5-5CAC-4F8C-9FA2-0076AA18941D}"/>
  </bookViews>
  <sheets>
    <sheet name="Slicer Speed and Width Calc" sheetId="1" r:id="rId1"/>
  </sheets>
  <definedNames>
    <definedName name="_xlnm._FilterDatabase" localSheetId="0" hidden="1">'Slicer Speed and Width Calc'!$A$1:$D$21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M21" i="1" s="1"/>
  <c r="N3" i="1"/>
  <c r="N4" i="1" s="1"/>
  <c r="M18" i="1" s="1"/>
  <c r="L3" i="1"/>
  <c r="L9" i="1" s="1"/>
  <c r="N8" i="1" s="1"/>
  <c r="M22" i="1" s="1"/>
  <c r="M17" i="1" l="1"/>
  <c r="L6" i="1"/>
  <c r="L7" i="1"/>
  <c r="L4" i="1"/>
  <c r="L8" i="1"/>
  <c r="N10" i="1" s="1"/>
  <c r="M24" i="1" s="1"/>
  <c r="L5" i="1"/>
  <c r="N9" i="1" s="1"/>
  <c r="M23" i="1" s="1"/>
  <c r="G3" i="1"/>
  <c r="B3" i="1"/>
  <c r="N6" i="1" l="1"/>
  <c r="M20" i="1" s="1"/>
  <c r="N5" i="1"/>
  <c r="M19" i="1" s="1"/>
  <c r="D20" i="1"/>
  <c r="B8" i="1"/>
  <c r="B7" i="1"/>
  <c r="D5" i="1" l="1"/>
  <c r="D9" i="1"/>
  <c r="D13" i="1"/>
  <c r="D17" i="1"/>
  <c r="D21" i="1"/>
  <c r="D2" i="1"/>
  <c r="D6" i="1"/>
  <c r="D10" i="1"/>
  <c r="D14" i="1"/>
  <c r="D18" i="1"/>
  <c r="D3" i="1"/>
  <c r="D7" i="1"/>
  <c r="D11" i="1"/>
  <c r="D15" i="1"/>
  <c r="D19" i="1"/>
  <c r="D4" i="1"/>
  <c r="D8" i="1"/>
  <c r="D12" i="1"/>
  <c r="D16" i="1"/>
  <c r="G4" i="1" l="1"/>
  <c r="G6" i="1" s="1"/>
  <c r="G14" i="1" l="1"/>
  <c r="I14" i="1" s="1"/>
  <c r="H28" i="1" s="1"/>
  <c r="G9" i="1"/>
  <c r="I9" i="1" s="1"/>
  <c r="H23" i="1" s="1"/>
  <c r="G5" i="1"/>
  <c r="I5" i="1" s="1"/>
  <c r="I4" i="1" s="1"/>
  <c r="H18" i="1" s="1"/>
  <c r="I3" i="1"/>
  <c r="H17" i="1" s="1"/>
  <c r="G10" i="1"/>
  <c r="G11" i="1" s="1"/>
  <c r="I11" i="1" s="1"/>
  <c r="H25" i="1" s="1"/>
  <c r="H19" i="1"/>
  <c r="I6" i="1"/>
  <c r="H20" i="1" s="1"/>
  <c r="I8" i="1"/>
  <c r="G7" i="1"/>
  <c r="G8" i="1"/>
  <c r="I10" i="1" l="1"/>
  <c r="H24" i="1" s="1"/>
  <c r="I13" i="1"/>
  <c r="H27" i="1" s="1"/>
  <c r="H22" i="1"/>
  <c r="G12" i="1"/>
  <c r="I12" i="1" s="1"/>
  <c r="H26" i="1" s="1"/>
  <c r="I7" i="1"/>
  <c r="H2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D1" authorId="0" shapeId="0" xr:uid="{E9D1077F-CD2E-4986-9C83-45F2D510C43F}">
      <text>
        <r>
          <rPr>
            <b/>
            <sz val="9"/>
            <color indexed="81"/>
            <rFont val="Tahoma"/>
            <charset val="1"/>
          </rPr>
          <t>Kannan Krishnamoorthy:</t>
        </r>
        <r>
          <rPr>
            <sz val="9"/>
            <color indexed="81"/>
            <rFont val="Tahoma"/>
            <charset val="1"/>
          </rPr>
          <t xml:space="preserve">
Max. Speed = 11.5 mm3/s / (Extrusion Width X Layer Height)</t>
        </r>
      </text>
    </comment>
  </commentList>
</comments>
</file>

<file path=xl/sharedStrings.xml><?xml version="1.0" encoding="utf-8"?>
<sst xmlns="http://schemas.openxmlformats.org/spreadsheetml/2006/main" count="69" uniqueCount="63">
  <si>
    <t>Nozzle Size</t>
  </si>
  <si>
    <t>Meterial</t>
  </si>
  <si>
    <t>Meterial Volumetric Speed</t>
  </si>
  <si>
    <t>Layer Height</t>
  </si>
  <si>
    <t>Max Speed</t>
  </si>
  <si>
    <t>Max Print Speed</t>
  </si>
  <si>
    <t>PLA</t>
  </si>
  <si>
    <t>PETG</t>
  </si>
  <si>
    <t>TPU</t>
  </si>
  <si>
    <t>ABS</t>
  </si>
  <si>
    <t>NYLON</t>
  </si>
  <si>
    <t>Meterial Info</t>
  </si>
  <si>
    <t>Min Speed</t>
  </si>
  <si>
    <t>Min Layer Height</t>
  </si>
  <si>
    <t>Max Layer Height</t>
  </si>
  <si>
    <t>CURA Speed Values</t>
  </si>
  <si>
    <t>Slic3r Speed Values</t>
  </si>
  <si>
    <t>speed_print</t>
  </si>
  <si>
    <t>speed_wall</t>
  </si>
  <si>
    <t>speed_wall_x</t>
  </si>
  <si>
    <t>speed_infill</t>
  </si>
  <si>
    <t>speed_topbottom</t>
  </si>
  <si>
    <t>speed_layer_0</t>
  </si>
  <si>
    <t>speed_support</t>
  </si>
  <si>
    <t>Type</t>
  </si>
  <si>
    <t>Speed</t>
  </si>
  <si>
    <t>speed_wall_0</t>
  </si>
  <si>
    <t>perimeter_speed</t>
  </si>
  <si>
    <t>small_perimeter_speed</t>
  </si>
  <si>
    <t>external_perimeter_speed</t>
  </si>
  <si>
    <t>infill_speed</t>
  </si>
  <si>
    <t>solid_infill_speed</t>
  </si>
  <si>
    <t>top_solid_infill_speed</t>
  </si>
  <si>
    <t>support_material_speed</t>
  </si>
  <si>
    <t>support_material_interface_speed</t>
  </si>
  <si>
    <t>bridge_speed</t>
  </si>
  <si>
    <t>gap_fill_speed</t>
  </si>
  <si>
    <t>first_layer_speed</t>
  </si>
  <si>
    <t>speed_support_interface</t>
  </si>
  <si>
    <t>cool_min_speed</t>
  </si>
  <si>
    <t>bridge_wall_speed</t>
  </si>
  <si>
    <t>max_print_speed</t>
  </si>
  <si>
    <t>Line Width</t>
  </si>
  <si>
    <t>CURA</t>
  </si>
  <si>
    <t>Slic3r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</si>
  <si>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</si>
  <si>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</si>
  <si>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</si>
  <si>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</si>
  <si>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</si>
  <si>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</si>
  <si>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line_width</t>
  </si>
  <si>
    <t>extrusion_width</t>
  </si>
  <si>
    <t>first_layer_extrusion_width</t>
  </si>
  <si>
    <t>perimeter_extrusion_width</t>
  </si>
  <si>
    <t>external_perimeter_extrusion_width</t>
  </si>
  <si>
    <t>infill_extrusion_width</t>
  </si>
  <si>
    <t>solid_infill_extrusion_width</t>
  </si>
  <si>
    <t>top_infill_extrusion_width</t>
  </si>
  <si>
    <t>support_material_extrusion_width</t>
  </si>
  <si>
    <t>Slic3r Settings For Copy</t>
  </si>
  <si>
    <t>Calc Max Volumetric Speed</t>
  </si>
  <si>
    <t>Linear Max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</si>
</sst>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1" fontId="0" fillId="0" borderId="1" xfId="0" applyNumberFormat="1" applyBorder="1"/>
    <xf numFmtId="0" fontId="0" fillId="3" borderId="1" xfId="0" applyFill="1" applyBorder="1"/>
    <xf numFmtId="0" fontId="0" fillId="3" borderId="2" xfId="0" applyFill="1" applyBorder="1"/>
    <xf numFmtId="0" fontId="0" fillId="3" borderId="1" xfId="0" applyFill="1" applyBorder="1" applyAlignment="1">
      <alignment wrapText="1"/>
    </xf>
    <xf numFmtId="2" fontId="0" fillId="4" borderId="1" xfId="0" applyNumberFormat="1" applyFill="1" applyBorder="1"/>
    <xf numFmtId="0" fontId="0" fillId="3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5" borderId="1" xfId="0" applyFill="1" applyBorder="1"/>
    <xf numFmtId="1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2" fontId="0" fillId="0" borderId="0" xfId="0" applyNumberFormat="1"/>
    <xf numFmtId="0" fontId="0" fillId="6" borderId="1" xfId="0" applyFill="1" applyBorder="1"/>
    <xf numFmtId="0" fontId="0" fillId="7" borderId="1" xfId="0" applyFill="1" applyBorder="1"/>
    <xf numFmtId="0" fontId="0" fillId="8" borderId="2" xfId="0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5"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05C87-5B7E-4245-A684-85596A8DFB7A}">
  <dimension ref="A1:N36"/>
  <sheetViews>
    <sheetView tabSelected="1" workbookViewId="0">
      <selection activeCell="F21" sqref="F21"/>
    </sheetView>
  </sheetViews>
  <sheetFormatPr defaultRowHeight="14.4" x14ac:dyDescent="0.3"/>
  <cols>
    <col min="1" max="1" width="14.77734375" bestFit="1" customWidth="1"/>
    <col min="2" max="2" width="11.21875" customWidth="1"/>
    <col min="3" max="3" width="13.33203125" bestFit="1" customWidth="1"/>
    <col min="4" max="4" width="16.44140625" bestFit="1" customWidth="1"/>
    <col min="5" max="5" width="11.109375" bestFit="1" customWidth="1"/>
    <col min="6" max="6" width="20.44140625" customWidth="1"/>
    <col min="8" max="8" width="33.6640625" bestFit="1" customWidth="1"/>
    <col min="11" max="11" width="25.44140625" bestFit="1" customWidth="1"/>
    <col min="13" max="13" width="36.88671875" bestFit="1" customWidth="1"/>
  </cols>
  <sheetData>
    <row r="1" spans="1:14" x14ac:dyDescent="0.3">
      <c r="A1" s="3" t="s">
        <v>0</v>
      </c>
      <c r="B1" s="4" t="s">
        <v>1</v>
      </c>
      <c r="C1" s="3" t="s">
        <v>3</v>
      </c>
      <c r="D1" s="3" t="s">
        <v>5</v>
      </c>
      <c r="E1" s="3"/>
      <c r="F1" s="12" t="s">
        <v>15</v>
      </c>
      <c r="G1" s="13"/>
      <c r="H1" s="12" t="s">
        <v>16</v>
      </c>
      <c r="I1" s="13"/>
      <c r="K1" s="3" t="s">
        <v>42</v>
      </c>
      <c r="L1" s="3"/>
      <c r="M1" s="3"/>
      <c r="N1" s="3"/>
    </row>
    <row r="2" spans="1:14" x14ac:dyDescent="0.3">
      <c r="A2" s="1">
        <v>0.5</v>
      </c>
      <c r="B2" s="8" t="s">
        <v>6</v>
      </c>
      <c r="C2" s="1">
        <v>0.04</v>
      </c>
      <c r="D2" s="2">
        <f>B3/((A2*1.2)*C2)</f>
        <v>479.16666666666663</v>
      </c>
      <c r="E2" s="9" t="s">
        <v>3</v>
      </c>
      <c r="F2" s="9" t="s">
        <v>24</v>
      </c>
      <c r="G2" s="9" t="s">
        <v>25</v>
      </c>
      <c r="H2" s="9" t="s">
        <v>24</v>
      </c>
      <c r="I2" s="9" t="s">
        <v>25</v>
      </c>
      <c r="K2" s="15" t="s">
        <v>43</v>
      </c>
      <c r="L2" s="15"/>
      <c r="M2" s="15" t="s">
        <v>44</v>
      </c>
      <c r="N2" s="15"/>
    </row>
    <row r="3" spans="1:14" x14ac:dyDescent="0.3">
      <c r="B3" s="17">
        <f>VLOOKUP($B$2,$A$25:$B$32,2,FALSE)</f>
        <v>11.5</v>
      </c>
      <c r="C3" s="1">
        <v>0.08</v>
      </c>
      <c r="D3" s="2">
        <f>B3/((A2*1.2)*C3)</f>
        <v>239.58333333333331</v>
      </c>
      <c r="E3">
        <v>0.32</v>
      </c>
      <c r="F3" t="s">
        <v>39</v>
      </c>
      <c r="G3" s="10">
        <f>D25</f>
        <v>15</v>
      </c>
      <c r="H3" t="s">
        <v>41</v>
      </c>
      <c r="I3" s="10">
        <f>G4</f>
        <v>59.895833333333329</v>
      </c>
      <c r="K3" t="s">
        <v>51</v>
      </c>
      <c r="L3" s="14">
        <f>A2</f>
        <v>0.5</v>
      </c>
      <c r="M3" t="s">
        <v>52</v>
      </c>
      <c r="N3" s="14">
        <f>A2</f>
        <v>0.5</v>
      </c>
    </row>
    <row r="4" spans="1:14" x14ac:dyDescent="0.3">
      <c r="C4" s="1">
        <v>0.12</v>
      </c>
      <c r="D4" s="2">
        <f>B3/((A2*1.2)*C4)</f>
        <v>159.72222222222223</v>
      </c>
      <c r="F4" t="s">
        <v>17</v>
      </c>
      <c r="G4" s="10">
        <f>MIN(VLOOKUP(B2,A25:D32,3,FALSE),VLOOKUP(E3,C2:D21,2,FALSE))</f>
        <v>59.895833333333329</v>
      </c>
      <c r="H4" t="s">
        <v>31</v>
      </c>
      <c r="I4" s="10">
        <f>I5*0.75</f>
        <v>44.921875</v>
      </c>
      <c r="K4" t="s">
        <v>45</v>
      </c>
      <c r="L4" s="14">
        <f>L3*0.98</f>
        <v>0.49</v>
      </c>
      <c r="M4" t="s">
        <v>53</v>
      </c>
      <c r="N4" s="14">
        <f>N3</f>
        <v>0.5</v>
      </c>
    </row>
    <row r="5" spans="1:14" x14ac:dyDescent="0.3">
      <c r="C5" s="1">
        <v>0.16</v>
      </c>
      <c r="D5" s="2">
        <f>B3/((A2*1.2)*C5)</f>
        <v>119.79166666666666</v>
      </c>
      <c r="F5" t="s">
        <v>20</v>
      </c>
      <c r="G5" s="10">
        <f>G4</f>
        <v>59.895833333333329</v>
      </c>
      <c r="H5" t="s">
        <v>30</v>
      </c>
      <c r="I5" s="10">
        <f>G5</f>
        <v>59.895833333333329</v>
      </c>
      <c r="K5" t="s">
        <v>46</v>
      </c>
      <c r="L5" s="14">
        <f>L3*0.98</f>
        <v>0.49</v>
      </c>
      <c r="M5" t="s">
        <v>54</v>
      </c>
      <c r="N5" s="14">
        <f>L4</f>
        <v>0.49</v>
      </c>
    </row>
    <row r="6" spans="1:14" x14ac:dyDescent="0.3">
      <c r="C6" s="1">
        <v>0.2</v>
      </c>
      <c r="D6" s="2">
        <f>B3/((A2*1.2)*C6)</f>
        <v>95.833333333333343</v>
      </c>
      <c r="F6" t="s">
        <v>18</v>
      </c>
      <c r="G6" s="10">
        <f>G4/2</f>
        <v>29.947916666666664</v>
      </c>
      <c r="H6" t="s">
        <v>27</v>
      </c>
      <c r="I6" s="10">
        <f>G6</f>
        <v>29.947916666666664</v>
      </c>
      <c r="K6" t="s">
        <v>47</v>
      </c>
      <c r="L6" s="14">
        <f>L3*1.125</f>
        <v>0.5625</v>
      </c>
      <c r="M6" t="s">
        <v>55</v>
      </c>
      <c r="N6" s="14">
        <f>L4</f>
        <v>0.49</v>
      </c>
    </row>
    <row r="7" spans="1:14" x14ac:dyDescent="0.3">
      <c r="A7" s="7" t="s">
        <v>13</v>
      </c>
      <c r="B7" s="6">
        <f>A2*0.2</f>
        <v>0.1</v>
      </c>
      <c r="C7" s="1">
        <v>0.24</v>
      </c>
      <c r="D7" s="2">
        <f>B3/((A2*1.2)*C7)</f>
        <v>79.861111111111114</v>
      </c>
      <c r="F7" t="s">
        <v>26</v>
      </c>
      <c r="G7" s="10">
        <f>G6</f>
        <v>29.947916666666664</v>
      </c>
      <c r="H7" t="s">
        <v>29</v>
      </c>
      <c r="I7" s="10">
        <f>G7</f>
        <v>29.947916666666664</v>
      </c>
      <c r="K7" t="s">
        <v>48</v>
      </c>
      <c r="L7" s="14">
        <f>L3*0.98</f>
        <v>0.49</v>
      </c>
      <c r="M7" t="s">
        <v>56</v>
      </c>
      <c r="N7" s="14">
        <f>L9</f>
        <v>0.5625</v>
      </c>
    </row>
    <row r="8" spans="1:14" x14ac:dyDescent="0.3">
      <c r="A8" s="7" t="s">
        <v>14</v>
      </c>
      <c r="B8" s="6">
        <f>A2*0.8</f>
        <v>0.4</v>
      </c>
      <c r="C8" s="1">
        <v>0.28000000000000003</v>
      </c>
      <c r="D8" s="2">
        <f>B3/((A2*1.2)*C8)</f>
        <v>68.452380952380949</v>
      </c>
      <c r="F8" t="s">
        <v>19</v>
      </c>
      <c r="G8" s="10">
        <f>G6*2</f>
        <v>59.895833333333329</v>
      </c>
      <c r="H8" t="s">
        <v>28</v>
      </c>
      <c r="I8" s="10">
        <f>G6*0.56</f>
        <v>16.770833333333332</v>
      </c>
      <c r="K8" t="s">
        <v>49</v>
      </c>
      <c r="L8" s="14">
        <f>L3*0.7</f>
        <v>0.35</v>
      </c>
      <c r="M8" t="s">
        <v>57</v>
      </c>
      <c r="N8" s="14">
        <f>L9</f>
        <v>0.5625</v>
      </c>
    </row>
    <row r="9" spans="1:14" x14ac:dyDescent="0.3">
      <c r="C9" s="1">
        <v>0.32</v>
      </c>
      <c r="D9" s="2">
        <f>B3/((A2*1.2)*C9)</f>
        <v>59.895833333333329</v>
      </c>
      <c r="F9" t="s">
        <v>21</v>
      </c>
      <c r="G9" s="10">
        <f>G4/2</f>
        <v>29.947916666666664</v>
      </c>
      <c r="H9" t="s">
        <v>32</v>
      </c>
      <c r="I9" s="10">
        <f>G9</f>
        <v>29.947916666666664</v>
      </c>
      <c r="K9" t="s">
        <v>50</v>
      </c>
      <c r="L9" s="14">
        <f>L3*1.125</f>
        <v>0.5625</v>
      </c>
      <c r="M9" t="s">
        <v>58</v>
      </c>
      <c r="N9" s="14">
        <f>L5</f>
        <v>0.49</v>
      </c>
    </row>
    <row r="10" spans="1:14" x14ac:dyDescent="0.3">
      <c r="C10" s="1">
        <v>0.36</v>
      </c>
      <c r="D10" s="2">
        <f>B3/((A2*1.2)*C10)</f>
        <v>53.24074074074074</v>
      </c>
      <c r="F10" t="s">
        <v>23</v>
      </c>
      <c r="G10" s="10">
        <f>G4</f>
        <v>59.895833333333329</v>
      </c>
      <c r="H10" t="s">
        <v>33</v>
      </c>
      <c r="I10" s="10">
        <f>G10</f>
        <v>59.895833333333329</v>
      </c>
      <c r="L10" s="14"/>
      <c r="M10" t="s">
        <v>59</v>
      </c>
      <c r="N10" s="14">
        <f>L8</f>
        <v>0.35</v>
      </c>
    </row>
    <row r="11" spans="1:14" x14ac:dyDescent="0.3">
      <c r="C11" s="1">
        <v>0.4</v>
      </c>
      <c r="D11" s="2">
        <f>B3/((A2*1.2)*C11)</f>
        <v>47.916666666666671</v>
      </c>
      <c r="F11" t="s">
        <v>38</v>
      </c>
      <c r="G11" s="10">
        <f>G10/1.5</f>
        <v>39.93055555555555</v>
      </c>
      <c r="H11" t="s">
        <v>34</v>
      </c>
      <c r="I11" s="10">
        <f>G11</f>
        <v>39.93055555555555</v>
      </c>
      <c r="L11" s="14"/>
      <c r="N11" s="14"/>
    </row>
    <row r="12" spans="1:14" x14ac:dyDescent="0.3">
      <c r="C12" s="1">
        <v>0.44</v>
      </c>
      <c r="D12" s="2">
        <f>B3/((A2*1.2)*C12)</f>
        <v>43.560606060606055</v>
      </c>
      <c r="F12" t="s">
        <v>40</v>
      </c>
      <c r="G12" s="10">
        <f>MAX(G3, G7 / 2)</f>
        <v>15</v>
      </c>
      <c r="H12" t="s">
        <v>35</v>
      </c>
      <c r="I12" s="10">
        <f>G12</f>
        <v>15</v>
      </c>
      <c r="L12" s="14"/>
      <c r="N12" s="14"/>
    </row>
    <row r="13" spans="1:14" x14ac:dyDescent="0.3">
      <c r="C13" s="1">
        <v>0.48</v>
      </c>
      <c r="D13" s="2">
        <f>B3/((A2*1.2)*C13)</f>
        <v>39.930555555555557</v>
      </c>
      <c r="G13" s="10"/>
      <c r="H13" t="s">
        <v>36</v>
      </c>
      <c r="I13" s="10">
        <f>I8</f>
        <v>16.770833333333332</v>
      </c>
      <c r="L13" s="14"/>
    </row>
    <row r="14" spans="1:14" x14ac:dyDescent="0.3">
      <c r="C14" s="1">
        <v>0.52</v>
      </c>
      <c r="D14" s="2">
        <f>B3/((A2*1.2)*C14)</f>
        <v>36.858974358974358</v>
      </c>
      <c r="F14" t="s">
        <v>22</v>
      </c>
      <c r="G14" s="10">
        <f>G4 * 30 / 60</f>
        <v>29.947916666666664</v>
      </c>
      <c r="H14" t="s">
        <v>37</v>
      </c>
      <c r="I14" s="10">
        <f>G14</f>
        <v>29.947916666666664</v>
      </c>
      <c r="L14" s="14"/>
    </row>
    <row r="15" spans="1:14" x14ac:dyDescent="0.3">
      <c r="C15" s="1">
        <v>0.56000000000000005</v>
      </c>
      <c r="D15" s="2">
        <f>B3/((A2*1.2)*C15)</f>
        <v>34.226190476190474</v>
      </c>
    </row>
    <row r="16" spans="1:14" x14ac:dyDescent="0.3">
      <c r="C16" s="1">
        <v>0.6</v>
      </c>
      <c r="D16" s="2">
        <f>B3/((A2*1.2)*C16)</f>
        <v>31.944444444444446</v>
      </c>
      <c r="H16" s="16" t="s">
        <v>60</v>
      </c>
      <c r="M16" s="16" t="s">
        <v>60</v>
      </c>
    </row>
    <row r="17" spans="1:13" x14ac:dyDescent="0.3">
      <c r="C17" s="1">
        <v>0.64</v>
      </c>
      <c r="D17" s="2">
        <f>B3/((A2*1.2)*C17)</f>
        <v>29.947916666666664</v>
      </c>
      <c r="G17" s="10"/>
      <c r="H17" s="10" t="str">
        <f>H3 &amp; " = " &amp; ROUND(I3,0)</f>
        <v>max_print_speed = 60</v>
      </c>
      <c r="M17" t="str">
        <f>M3&amp;" = "&amp;ROUND(N3,2)</f>
        <v>extrusion_width = 0.5</v>
      </c>
    </row>
    <row r="18" spans="1:13" x14ac:dyDescent="0.3">
      <c r="C18" s="1">
        <v>0.68</v>
      </c>
      <c r="D18" s="2">
        <f>B3/((A2*1.2)*C18)</f>
        <v>28.186274509803919</v>
      </c>
      <c r="H18" s="10" t="str">
        <f t="shared" ref="H18:H28" si="0">H4 &amp; " = " &amp; ROUND(I4,0)</f>
        <v>solid_infill_speed = 45</v>
      </c>
      <c r="M18" t="str">
        <f t="shared" ref="M18:M24" si="1">M4&amp;" = "&amp;ROUND(N4,2)</f>
        <v>first_layer_extrusion_width = 0.5</v>
      </c>
    </row>
    <row r="19" spans="1:13" x14ac:dyDescent="0.3">
      <c r="C19" s="1">
        <v>0.72</v>
      </c>
      <c r="D19" s="2">
        <f>B3/((A2*1.2)*C19)</f>
        <v>26.62037037037037</v>
      </c>
      <c r="H19" s="10" t="str">
        <f t="shared" si="0"/>
        <v>infill_speed = 60</v>
      </c>
      <c r="M19" t="str">
        <f t="shared" si="1"/>
        <v>perimeter_extrusion_width = 0.49</v>
      </c>
    </row>
    <row r="20" spans="1:13" x14ac:dyDescent="0.3">
      <c r="C20" s="1">
        <v>0.76</v>
      </c>
      <c r="D20" s="2">
        <f>B3/((A2*1.2)*C20)</f>
        <v>25.219298245614038</v>
      </c>
      <c r="H20" s="10" t="str">
        <f t="shared" si="0"/>
        <v>perimeter_speed = 30</v>
      </c>
      <c r="M20" t="str">
        <f t="shared" si="1"/>
        <v>external_perimeter_extrusion_width = 0.49</v>
      </c>
    </row>
    <row r="21" spans="1:13" x14ac:dyDescent="0.3">
      <c r="C21" s="1">
        <v>0.8</v>
      </c>
      <c r="D21" s="2">
        <f>B3/((A2*1.2)*C21)</f>
        <v>23.958333333333336</v>
      </c>
      <c r="H21" s="10" t="str">
        <f t="shared" si="0"/>
        <v>external_perimeter_speed = 30</v>
      </c>
      <c r="M21" t="str">
        <f t="shared" si="1"/>
        <v>infill_extrusion_width = 0.56</v>
      </c>
    </row>
    <row r="22" spans="1:13" x14ac:dyDescent="0.3">
      <c r="H22" s="10" t="str">
        <f t="shared" si="0"/>
        <v>small_perimeter_speed = 17</v>
      </c>
      <c r="M22" t="str">
        <f t="shared" si="1"/>
        <v>solid_infill_extrusion_width = 0.56</v>
      </c>
    </row>
    <row r="23" spans="1:13" x14ac:dyDescent="0.3">
      <c r="A23" s="11" t="s">
        <v>11</v>
      </c>
      <c r="B23" s="11"/>
      <c r="C23" s="11"/>
      <c r="D23" s="11"/>
      <c r="H23" s="10" t="str">
        <f t="shared" si="0"/>
        <v>top_solid_infill_speed = 30</v>
      </c>
      <c r="M23" t="str">
        <f t="shared" si="1"/>
        <v>top_infill_extrusion_width = 0.49</v>
      </c>
    </row>
    <row r="24" spans="1:13" ht="43.2" x14ac:dyDescent="0.3">
      <c r="A24" s="3" t="s">
        <v>1</v>
      </c>
      <c r="B24" s="5" t="s">
        <v>2</v>
      </c>
      <c r="C24" s="3" t="s">
        <v>4</v>
      </c>
      <c r="D24" s="3" t="s">
        <v>12</v>
      </c>
      <c r="H24" s="10" t="str">
        <f t="shared" si="0"/>
        <v>support_material_speed = 60</v>
      </c>
      <c r="M24" t="str">
        <f t="shared" si="1"/>
        <v>support_material_extrusion_width = 0.35</v>
      </c>
    </row>
    <row r="25" spans="1:13" x14ac:dyDescent="0.3">
      <c r="A25" s="1" t="s">
        <v>6</v>
      </c>
      <c r="B25" s="1">
        <v>11.5</v>
      </c>
      <c r="C25" s="1">
        <v>90</v>
      </c>
      <c r="D25" s="1">
        <v>15</v>
      </c>
      <c r="H25" s="10" t="str">
        <f t="shared" si="0"/>
        <v>support_material_interface_speed = 40</v>
      </c>
    </row>
    <row r="26" spans="1:13" x14ac:dyDescent="0.3">
      <c r="A26" s="1" t="s">
        <v>7</v>
      </c>
      <c r="B26" s="1">
        <v>8</v>
      </c>
      <c r="C26" s="1">
        <v>60</v>
      </c>
      <c r="D26" s="1">
        <v>15</v>
      </c>
      <c r="H26" s="10" t="str">
        <f t="shared" si="0"/>
        <v>bridge_speed = 15</v>
      </c>
    </row>
    <row r="27" spans="1:13" x14ac:dyDescent="0.3">
      <c r="A27" s="1" t="s">
        <v>8</v>
      </c>
      <c r="B27" s="1">
        <v>6</v>
      </c>
      <c r="C27" s="1">
        <v>40</v>
      </c>
      <c r="D27" s="1">
        <v>15</v>
      </c>
      <c r="H27" s="10" t="str">
        <f t="shared" si="0"/>
        <v>gap_fill_speed = 17</v>
      </c>
    </row>
    <row r="28" spans="1:13" x14ac:dyDescent="0.3">
      <c r="A28" s="1" t="s">
        <v>9</v>
      </c>
      <c r="B28" s="1">
        <v>11.5</v>
      </c>
      <c r="C28" s="1">
        <v>90</v>
      </c>
      <c r="D28" s="1">
        <v>15</v>
      </c>
      <c r="H28" s="10" t="str">
        <f t="shared" si="0"/>
        <v>first_layer_speed = 30</v>
      </c>
    </row>
    <row r="29" spans="1:13" x14ac:dyDescent="0.3">
      <c r="A29" s="1" t="s">
        <v>10</v>
      </c>
      <c r="B29" s="1">
        <v>6</v>
      </c>
      <c r="C29" s="1">
        <v>50</v>
      </c>
      <c r="D29" s="1">
        <v>15</v>
      </c>
      <c r="H29" s="10"/>
    </row>
    <row r="30" spans="1:13" x14ac:dyDescent="0.3">
      <c r="A30" s="1"/>
      <c r="B30" s="1"/>
      <c r="C30" s="1"/>
      <c r="D30" s="1"/>
    </row>
    <row r="31" spans="1:13" x14ac:dyDescent="0.3">
      <c r="A31" s="1"/>
      <c r="B31" s="1"/>
      <c r="C31" s="1"/>
      <c r="D31" s="1"/>
    </row>
    <row r="32" spans="1:13" x14ac:dyDescent="0.3">
      <c r="A32" s="1"/>
      <c r="B32" s="1"/>
      <c r="C32" s="1"/>
      <c r="D32" s="1"/>
    </row>
    <row r="35" spans="1:1" ht="43.2" x14ac:dyDescent="0.3">
      <c r="A35" s="18" t="s">
        <v>61</v>
      </c>
    </row>
    <row r="36" spans="1:1" x14ac:dyDescent="0.3">
      <c r="A36" t="s">
        <v>62</v>
      </c>
    </row>
  </sheetData>
  <autoFilter ref="A1:D21" xr:uid="{C307C72A-B94A-4122-98B0-43E52096EC03}"/>
  <mergeCells count="3">
    <mergeCell ref="A23:D23"/>
    <mergeCell ref="H1:I1"/>
    <mergeCell ref="F1:G1"/>
  </mergeCells>
  <conditionalFormatting sqref="C2:D21">
    <cfRule type="expression" dxfId="4" priority="4">
      <formula>NOT(AND($C2 &gt;= $B$7, $C2 &lt;= $B$8))</formula>
    </cfRule>
    <cfRule type="expression" dxfId="3" priority="5">
      <formula>AND($C2 &gt;= $B$7, $C2 &lt;= $B$8)</formula>
    </cfRule>
  </conditionalFormatting>
  <conditionalFormatting sqref="E3">
    <cfRule type="cellIs" dxfId="2" priority="1" operator="lessThan">
      <formula>$B$7</formula>
    </cfRule>
    <cfRule type="cellIs" dxfId="1" priority="2" operator="greaterThan">
      <formula>$B$8</formula>
    </cfRule>
    <cfRule type="cellIs" dxfId="0" priority="3" operator="between">
      <formula>$B$7</formula>
      <formula>$B$8</formula>
    </cfRule>
  </conditionalFormatting>
  <dataValidations count="3">
    <dataValidation type="list" allowBlank="1" showInputMessage="1" showErrorMessage="1" sqref="A2" xr:uid="{5D867062-446A-46A2-9D13-B2D58704D675}">
      <formula1>"0.2,0.3,0.4,0.5,0.6,0.7,0.8,0.9,1.0"</formula1>
    </dataValidation>
    <dataValidation type="list" allowBlank="1" showInputMessage="1" showErrorMessage="1" sqref="B2" xr:uid="{8321BCAF-C775-4836-A5A0-EA64F1380EBE}">
      <formula1>OFFSET($A$25:$A$32,0,0,COUNTA($A$25:$A$32),1)</formula1>
    </dataValidation>
    <dataValidation type="list" allowBlank="1" showInputMessage="1" showErrorMessage="1" sqref="E3" xr:uid="{A0B5E031-61AD-4744-95BD-9324F2BA324F}">
      <formula1>$C$2:$C$21</formula1>
    </dataValidation>
  </dataValidations>
  <pageMargins left="0.7" right="0.7" top="0.75" bottom="0.75" header="0.3" footer="0.3"/>
  <pageSetup orientation="portrait" horizontalDpi="300" verticalDpi="300" r:id="rId1"/>
  <ignoredErrors>
    <ignoredError sqref="G6 I8 I13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Slicer Speed and Width 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2019-03-29T15:24:35Z</dcterms:created>
  <dcterms:modified xsi:type="dcterms:W3CDTF">2019-03-29T20:48:07Z</dcterms:modified>
</cp:coreProperties>
</file>