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3DPrint\Calibration\"/>
    </mc:Choice>
  </mc:AlternateContent>
  <xr:revisionPtr revIDLastSave="0" documentId="13_ncr:1_{286498A9-AA9E-4CF4-86FC-A2A457BFC79A}" xr6:coauthVersionLast="41" xr6:coauthVersionMax="43" xr10:uidLastSave="{00000000-0000-0000-0000-000000000000}"/>
  <bookViews>
    <workbookView xWindow="-23148" yWindow="2148" windowWidth="23256" windowHeight="13176" activeTab="2" xr2:uid="{00000000-000D-0000-FFFF-FFFF00000000}"/>
  </bookViews>
  <sheets>
    <sheet name="Slicer Speed and Width Calc" sheetId="5" r:id="rId1"/>
    <sheet name="Misc Slicer Settings" sheetId="1" r:id="rId2"/>
    <sheet name="E-Steps Calibration" sheetId="2" r:id="rId3"/>
    <sheet name="FlowRate Calibration" sheetId="6" r:id="rId4"/>
    <sheet name="Ender Spec" sheetId="3" r:id="rId5"/>
  </sheets>
  <calcPr calcId="181029"/>
</workbook>
</file>

<file path=xl/calcChain.xml><?xml version="1.0" encoding="utf-8"?>
<calcChain xmlns="http://schemas.openxmlformats.org/spreadsheetml/2006/main">
  <c r="D9" i="2" l="1"/>
  <c r="E9" i="2" s="1"/>
  <c r="E3" i="2"/>
  <c r="C9" i="6"/>
  <c r="C11" i="6" s="1"/>
  <c r="C12" i="6" s="1"/>
  <c r="C9" i="2" l="1"/>
  <c r="D26" i="3"/>
  <c r="D27" i="3"/>
  <c r="D28" i="3"/>
  <c r="D29" i="3"/>
  <c r="D30" i="3"/>
  <c r="D24" i="3"/>
  <c r="D12" i="3"/>
  <c r="D10" i="3"/>
  <c r="D22" i="3"/>
  <c r="D19" i="3"/>
  <c r="D17" i="3"/>
  <c r="D7" i="3"/>
  <c r="D6" i="3"/>
  <c r="D3" i="3"/>
  <c r="D4" i="3"/>
  <c r="D5" i="3"/>
  <c r="D2" i="3"/>
  <c r="D16" i="3"/>
  <c r="D18" i="3"/>
  <c r="D20" i="3"/>
  <c r="D21" i="3"/>
  <c r="D23" i="3"/>
  <c r="D32" i="3"/>
  <c r="D33" i="3"/>
  <c r="D34" i="3"/>
  <c r="D11" i="3"/>
  <c r="D13" i="3"/>
  <c r="D14" i="3"/>
  <c r="D9" i="3"/>
  <c r="B39" i="3"/>
  <c r="D38" i="3"/>
  <c r="B38" i="3" s="1"/>
  <c r="D37" i="3"/>
  <c r="B37" i="3" s="1"/>
  <c r="D36" i="3"/>
  <c r="B36" i="3" s="1"/>
  <c r="D4" i="1" l="1"/>
  <c r="D3" i="1"/>
  <c r="B10" i="1"/>
  <c r="B9" i="1"/>
  <c r="B12" i="5" l="1"/>
  <c r="B11" i="5"/>
  <c r="L3" i="5"/>
  <c r="K17" i="5" s="1"/>
  <c r="J3" i="5"/>
  <c r="J5" i="5" s="1"/>
  <c r="L9" i="5" s="1"/>
  <c r="K23" i="5" s="1"/>
  <c r="F3" i="5"/>
  <c r="B9" i="5"/>
  <c r="D16" i="5" s="1"/>
  <c r="J4" i="5" l="1"/>
  <c r="L6" i="5" s="1"/>
  <c r="K20" i="5" s="1"/>
  <c r="J6" i="5"/>
  <c r="J8" i="5"/>
  <c r="L10" i="5" s="1"/>
  <c r="K24" i="5" s="1"/>
  <c r="L4" i="5"/>
  <c r="K18" i="5" s="1"/>
  <c r="J7" i="5"/>
  <c r="D6" i="5"/>
  <c r="D13" i="5"/>
  <c r="D20" i="5"/>
  <c r="D21" i="5"/>
  <c r="D17" i="5"/>
  <c r="D3" i="5"/>
  <c r="D9" i="5"/>
  <c r="F4" i="5" s="1"/>
  <c r="D11" i="5"/>
  <c r="D14" i="5"/>
  <c r="D18" i="5"/>
  <c r="D5" i="5"/>
  <c r="J9" i="5"/>
  <c r="D12" i="5"/>
  <c r="D19" i="5"/>
  <c r="D2" i="5"/>
  <c r="D8" i="5"/>
  <c r="D15" i="5"/>
  <c r="D4" i="5"/>
  <c r="D7" i="5"/>
  <c r="D10" i="5"/>
  <c r="L5" i="5" l="1"/>
  <c r="K19" i="5" s="1"/>
  <c r="F9" i="5"/>
  <c r="H9" i="5" s="1"/>
  <c r="G23" i="5" s="1"/>
  <c r="F5" i="5"/>
  <c r="H5" i="5" s="1"/>
  <c r="H3" i="5"/>
  <c r="G17" i="5" s="1"/>
  <c r="F6" i="5"/>
  <c r="F14" i="5"/>
  <c r="H14" i="5" s="1"/>
  <c r="G28" i="5" s="1"/>
  <c r="F10" i="5"/>
  <c r="L7" i="5"/>
  <c r="K21" i="5" s="1"/>
  <c r="L8" i="5"/>
  <c r="K22" i="5" s="1"/>
  <c r="F11" i="5" l="1"/>
  <c r="H11" i="5" s="1"/>
  <c r="G25" i="5" s="1"/>
  <c r="H10" i="5"/>
  <c r="G24" i="5" s="1"/>
  <c r="G19" i="5"/>
  <c r="H4" i="5"/>
  <c r="G18" i="5" s="1"/>
  <c r="H8" i="5"/>
  <c r="F7" i="5"/>
  <c r="F8" i="5"/>
  <c r="H6" i="5"/>
  <c r="G20" i="5" s="1"/>
  <c r="F12" i="5" l="1"/>
  <c r="H12" i="5" s="1"/>
  <c r="G26" i="5" s="1"/>
  <c r="H7" i="5"/>
  <c r="G21" i="5" s="1"/>
  <c r="G22" i="5"/>
  <c r="H13" i="5"/>
  <c r="G27" i="5" s="1"/>
  <c r="D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D1" authorId="0" shapeId="0" xr:uid="{090BC357-2782-4342-9E0B-D6F78F7DF4CD}">
      <text>
        <r>
          <rPr>
            <b/>
            <sz val="9"/>
            <color indexed="81"/>
            <rFont val="Tahoma"/>
            <charset val="1"/>
          </rPr>
          <t>Kannan Krishnamoorthy:</t>
        </r>
        <r>
          <rPr>
            <sz val="9"/>
            <color indexed="81"/>
            <rFont val="Tahoma"/>
            <charset val="1"/>
          </rPr>
          <t xml:space="preserve">
Max. Speed = 11.5 mm3/s / (Extrusion Width X Layer Height)</t>
        </r>
      </text>
    </comment>
  </commentList>
</comments>
</file>

<file path=xl/sharedStrings.xml><?xml version="1.0" encoding="utf-8"?>
<sst xmlns="http://schemas.openxmlformats.org/spreadsheetml/2006/main" count="233" uniqueCount="149">
  <si>
    <t>G1 E100 F100</t>
  </si>
  <si>
    <t>Filament Size</t>
  </si>
  <si>
    <t>Cura</t>
  </si>
  <si>
    <t>Just print up to the point we can measure</t>
  </si>
  <si>
    <t>Measure the wall thickness using digital caliper</t>
  </si>
  <si>
    <t>Flow Rate Calibration</t>
  </si>
  <si>
    <t>Slic3r PE</t>
  </si>
  <si>
    <t>Extra Prime Length</t>
  </si>
  <si>
    <t>mm</t>
  </si>
  <si>
    <t>Nozzle Size</t>
  </si>
  <si>
    <t>Measured Wall Thickness</t>
  </si>
  <si>
    <t>Existing Extrusion Multiplier</t>
  </si>
  <si>
    <t>New Extrusion Multiplier for PLA</t>
  </si>
  <si>
    <t>mm3</t>
  </si>
  <si>
    <t>New Extrusion Multiplier for PETG</t>
  </si>
  <si>
    <t>Meterial</t>
  </si>
  <si>
    <t>Layer Height</t>
  </si>
  <si>
    <t>Max Print Speed</t>
  </si>
  <si>
    <t>CURA Speed Values</t>
  </si>
  <si>
    <t>Slic3r Speed Values</t>
  </si>
  <si>
    <t>Line Width</t>
  </si>
  <si>
    <t>PLA</t>
  </si>
  <si>
    <t>Type</t>
  </si>
  <si>
    <t>Speed</t>
  </si>
  <si>
    <t>CURA</t>
  </si>
  <si>
    <t>Slic3r</t>
  </si>
  <si>
    <t>cool_min_speed</t>
  </si>
  <si>
    <t>max_print_speed</t>
  </si>
  <si>
    <t>line_width</t>
  </si>
  <si>
    <t>extrusion_width</t>
  </si>
  <si>
    <t>speed_print</t>
  </si>
  <si>
    <t>solid_infill_speed</t>
  </si>
  <si>
    <t>wall_line_width</t>
  </si>
  <si>
    <t>first_layer_extrusion_width</t>
  </si>
  <si>
    <t>speed_infill</t>
  </si>
  <si>
    <t>infill_speed</t>
  </si>
  <si>
    <t>skin_line_width</t>
  </si>
  <si>
    <t>perimeter_extrusion_width</t>
  </si>
  <si>
    <t>speed_wall</t>
  </si>
  <si>
    <t>perimeter_speed</t>
  </si>
  <si>
    <t>skirt_brim_line_width</t>
  </si>
  <si>
    <t>external_perimeter_extrusion_width</t>
  </si>
  <si>
    <t>Min Layer Height</t>
  </si>
  <si>
    <t>speed_wall_0</t>
  </si>
  <si>
    <t>external_perimeter_speed</t>
  </si>
  <si>
    <t>support_line_width</t>
  </si>
  <si>
    <t>infill_extrusion_width</t>
  </si>
  <si>
    <t>Max Layer Height</t>
  </si>
  <si>
    <t>speed_wall_x</t>
  </si>
  <si>
    <t>small_perimeter_speed</t>
  </si>
  <si>
    <t>support_interface_line_width</t>
  </si>
  <si>
    <t>solid_infill_extrusion_width</t>
  </si>
  <si>
    <t>speed_topbottom</t>
  </si>
  <si>
    <t>top_solid_infill_speed</t>
  </si>
  <si>
    <t>infill_line_width</t>
  </si>
  <si>
    <t>top_infill_extrusion_width</t>
  </si>
  <si>
    <t>speed_support</t>
  </si>
  <si>
    <t>support_material_speed</t>
  </si>
  <si>
    <t>support_material_extrusion_width</t>
  </si>
  <si>
    <t>speed_support_interface</t>
  </si>
  <si>
    <t>support_material_interface_speed</t>
  </si>
  <si>
    <t>bridge_wall_speed</t>
  </si>
  <si>
    <t>bridge_speed</t>
  </si>
  <si>
    <t>gap_fill_speed</t>
  </si>
  <si>
    <t>speed_layer_0</t>
  </si>
  <si>
    <t>first_layer_speed</t>
  </si>
  <si>
    <t>Slic3r Settings For Copy</t>
  </si>
  <si>
    <t>Max Speed</t>
  </si>
  <si>
    <t>Min Speed</t>
  </si>
  <si>
    <t>PETG</t>
  </si>
  <si>
    <t>TPU</t>
  </si>
  <si>
    <t>ABS</t>
  </si>
  <si>
    <t>NYLON</t>
  </si>
  <si>
    <t>Ender 3 Spec</t>
  </si>
  <si>
    <t>Max Travel Speed</t>
  </si>
  <si>
    <t>Precision</t>
  </si>
  <si>
    <t>Max Temp</t>
  </si>
  <si>
    <t>Max Bed Temp</t>
  </si>
  <si>
    <t>Filament Type</t>
  </si>
  <si>
    <t>Volumetric Speed</t>
  </si>
  <si>
    <t>Supported Meterial Info</t>
  </si>
  <si>
    <t>Fusion 360</t>
  </si>
  <si>
    <t>retraction_extra_prime_amount</t>
  </si>
  <si>
    <t>coasting_volume</t>
  </si>
  <si>
    <t>coasting_min_volume</t>
  </si>
  <si>
    <t>wall_thickness</t>
  </si>
  <si>
    <t>top_bottom_thickness</t>
  </si>
  <si>
    <t>XY Jerk</t>
  </si>
  <si>
    <t>Z Jerk</t>
  </si>
  <si>
    <t>E Jerk</t>
  </si>
  <si>
    <t>X Home Feedrate</t>
  </si>
  <si>
    <t>Z Home Feedrate</t>
  </si>
  <si>
    <t>E Home Feedrate</t>
  </si>
  <si>
    <t>Y Home Feedrate</t>
  </si>
  <si>
    <t>(mm/sec)</t>
  </si>
  <si>
    <t>(mm/min)</t>
  </si>
  <si>
    <t>steps/mm</t>
  </si>
  <si>
    <t>X Axis steps per unit</t>
  </si>
  <si>
    <t>Y Axis steps per unit</t>
  </si>
  <si>
    <t>Z Axis steps per unit</t>
  </si>
  <si>
    <t>X Axis Max Feedrate</t>
  </si>
  <si>
    <t xml:space="preserve">Y Axis Max Feedrate </t>
  </si>
  <si>
    <t>Z Axis Max Feedrate</t>
  </si>
  <si>
    <t>E Axis Max Feedrate</t>
  </si>
  <si>
    <t>X Axis Max Acceleration</t>
  </si>
  <si>
    <t>Y Axis Max Acceleration</t>
  </si>
  <si>
    <t>Z Axis Max Acceleration</t>
  </si>
  <si>
    <t>E Axis Max Acceleration</t>
  </si>
  <si>
    <t>Retract Acceleration</t>
  </si>
  <si>
    <t>mm/step</t>
  </si>
  <si>
    <t>Ender Movement Spec</t>
  </si>
  <si>
    <t>E Axis steps per unit (Teaching Tech)</t>
  </si>
  <si>
    <t>E Axis steps per unit (Stock Firmware)</t>
  </si>
  <si>
    <t>E Axis steps per unit (Klipper)</t>
  </si>
  <si>
    <t>X Axis Max Acceleration Tiny Machine</t>
  </si>
  <si>
    <t>Y Axis Max Acceleration Tiny Machine</t>
  </si>
  <si>
    <t>E Axis Max Acceleration Tiny Machine</t>
  </si>
  <si>
    <t>X Axis Max Feedrate Tiny Machine</t>
  </si>
  <si>
    <t>Y Axis Max Feedrate Tiny Machine</t>
  </si>
  <si>
    <t>Retract Acceleration Tiny Machine</t>
  </si>
  <si>
    <t>X Axis Default Acceleration</t>
  </si>
  <si>
    <t>X Axis Default Acceleration Tiny Machine</t>
  </si>
  <si>
    <t>Y Axis Default Acceleration</t>
  </si>
  <si>
    <t>Y Axis Default Acceleration Tiny Machine</t>
  </si>
  <si>
    <t>Z Axis Default Acceleration</t>
  </si>
  <si>
    <t>Klipper Value</t>
  </si>
  <si>
    <t>Step</t>
  </si>
  <si>
    <t>Action</t>
  </si>
  <si>
    <t>Command</t>
  </si>
  <si>
    <t>Input</t>
  </si>
  <si>
    <t>Unit</t>
  </si>
  <si>
    <t>Retreive the current "E" setting from octoprint by using the command to the right. Then input that number in the yellow cell to the right. (see image below)</t>
  </si>
  <si>
    <t>M503</t>
  </si>
  <si>
    <t>mm/s</t>
  </si>
  <si>
    <t>Marlin Input</t>
  </si>
  <si>
    <t>Measure 120mm of filament back from the extruder and mark the 120mm location.</t>
  </si>
  <si>
    <t>Set your nozzle temp to your preferred extrusion temperature and wait for it to reach temp.</t>
  </si>
  <si>
    <t>Command the printer to extrude 100mm of filament using the command to the right.</t>
  </si>
  <si>
    <t>G1 E50 F900</t>
  </si>
  <si>
    <t>Prime the nozzle by extruding 50mm filament at 15mm/s</t>
  </si>
  <si>
    <t>Measure to the 120mm mark you initally made. Input that number to the right. Ideally it will be around 20mm.</t>
  </si>
  <si>
    <t>Input the command to the right, replacing the "###.#" part with the number in the green cell.</t>
  </si>
  <si>
    <t>Input the command to the right to save the setting.</t>
  </si>
  <si>
    <t>Rebooting the system is not supposed to be necessary, but some suggest that it be done.</t>
  </si>
  <si>
    <t>E- Steps Calibration</t>
  </si>
  <si>
    <t>M500</t>
  </si>
  <si>
    <t>Use calibration cube and print 1 wall, 1 bottom, 0 infill, 0 top</t>
  </si>
  <si>
    <t>Nozzle Size / Existing Wall Extrusion Width</t>
  </si>
  <si>
    <t>New Extrusion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</si>
</sst>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2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0"/>
      <name val="Arial"/>
    </font>
    <font>
      <b/>
      <sz val="14"/>
      <name val="Arial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8"/>
      <color rgb="FF000000"/>
      <name val="Arial"/>
      <family val="2"/>
    </font>
    <font>
      <b/>
      <sz val="16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0" fillId="3" borderId="1" xfId="0" applyFill="1" applyBorder="1"/>
    <xf numFmtId="0" fontId="0" fillId="0" borderId="1" xfId="0" applyBorder="1"/>
    <xf numFmtId="1" fontId="0" fillId="0" borderId="1" xfId="0" applyNumberFormat="1" applyBorder="1"/>
    <xf numFmtId="0" fontId="0" fillId="4" borderId="1" xfId="0" applyFill="1" applyBorder="1"/>
    <xf numFmtId="1" fontId="0" fillId="0" borderId="0" xfId="0" applyNumberFormat="1"/>
    <xf numFmtId="2" fontId="0" fillId="0" borderId="0" xfId="0" applyNumberFormat="1"/>
    <xf numFmtId="0" fontId="0" fillId="6" borderId="1" xfId="0" applyFill="1" applyBorder="1"/>
    <xf numFmtId="0" fontId="0" fillId="9" borderId="1" xfId="0" applyFill="1" applyBorder="1"/>
    <xf numFmtId="0" fontId="8" fillId="9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8" fillId="3" borderId="1" xfId="0" applyFont="1" applyFill="1" applyBorder="1" applyAlignment="1">
      <alignment wrapText="1"/>
    </xf>
    <xf numFmtId="2" fontId="0" fillId="9" borderId="1" xfId="0" applyNumberFormat="1" applyFill="1" applyBorder="1"/>
    <xf numFmtId="0" fontId="9" fillId="2" borderId="0" xfId="0" applyFont="1" applyFill="1"/>
    <xf numFmtId="0" fontId="7" fillId="0" borderId="0" xfId="0" applyFont="1"/>
    <xf numFmtId="0" fontId="0" fillId="11" borderId="0" xfId="0" applyFill="1"/>
    <xf numFmtId="0" fontId="0" fillId="3" borderId="1" xfId="0" applyFill="1" applyBorder="1"/>
    <xf numFmtId="0" fontId="0" fillId="0" borderId="1" xfId="0" applyBorder="1"/>
    <xf numFmtId="0" fontId="8" fillId="7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0" fontId="0" fillId="5" borderId="2" xfId="0" applyFill="1" applyBorder="1"/>
    <xf numFmtId="0" fontId="0" fillId="10" borderId="1" xfId="0" applyFill="1" applyBorder="1" applyAlignment="1">
      <alignment horizontal="left"/>
    </xf>
    <xf numFmtId="0" fontId="1" fillId="0" borderId="0" xfId="0" applyFont="1" applyAlignment="1">
      <alignment wrapText="1"/>
    </xf>
    <xf numFmtId="0" fontId="0" fillId="9" borderId="0" xfId="0" applyFill="1"/>
    <xf numFmtId="0" fontId="8" fillId="0" borderId="0" xfId="0" applyFont="1"/>
    <xf numFmtId="0" fontId="1" fillId="0" borderId="0" xfId="0" applyFont="1" applyFill="1"/>
    <xf numFmtId="0" fontId="0" fillId="0" borderId="0" xfId="0" applyFill="1"/>
    <xf numFmtId="0" fontId="4" fillId="0" borderId="0" xfId="0" applyFont="1" applyFill="1"/>
    <xf numFmtId="0" fontId="2" fillId="0" borderId="0" xfId="0" applyFont="1" applyFill="1"/>
    <xf numFmtId="0" fontId="0" fillId="7" borderId="0" xfId="0" applyFill="1"/>
    <xf numFmtId="0" fontId="10" fillId="10" borderId="0" xfId="0" applyFont="1" applyFill="1" applyAlignment="1">
      <alignment horizontal="left"/>
    </xf>
    <xf numFmtId="2" fontId="1" fillId="0" borderId="0" xfId="0" applyNumberFormat="1" applyFont="1"/>
    <xf numFmtId="0" fontId="2" fillId="11" borderId="0" xfId="0" applyFont="1" applyFill="1"/>
    <xf numFmtId="2" fontId="0" fillId="8" borderId="0" xfId="0" applyNumberFormat="1" applyFill="1"/>
    <xf numFmtId="164" fontId="0" fillId="8" borderId="0" xfId="0" applyNumberFormat="1" applyFill="1"/>
    <xf numFmtId="0" fontId="8" fillId="7" borderId="0" xfId="0" applyFont="1" applyFill="1"/>
    <xf numFmtId="0" fontId="11" fillId="12" borderId="0" xfId="0" applyFont="1" applyFill="1" applyAlignment="1">
      <alignment horizontal="left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 tint="-0.499984740745262"/>
        </patternFill>
      </fill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11</xdr:row>
      <xdr:rowOff>53340</xdr:rowOff>
    </xdr:from>
    <xdr:to>
      <xdr:col>1</xdr:col>
      <xdr:colOff>4610100</xdr:colOff>
      <xdr:row>19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15C004-2D70-42FE-AAD0-050971F2E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2628900"/>
          <a:ext cx="4152900" cy="15640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5D14C4-5DAD-4647-8EBE-ADDB6BEC5DC0}" name="Table2" displayName="Table2" ref="A2:F20" totalsRowShown="0" headerRowDxfId="9">
  <autoFilter ref="A2:F20" xr:uid="{76846418-598B-4291-947F-58F3BE7352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CFA7D7B-FF55-4AB8-89D4-C9F027F17989}" name="Step"/>
    <tableColumn id="2" xr3:uid="{7A0D612B-B09F-471E-A73E-3134FA21DB94}" name="Action"/>
    <tableColumn id="3" xr3:uid="{FB2981B4-6096-4A3C-BE06-3C4FE3EB89DC}" name="Command"/>
    <tableColumn id="4" xr3:uid="{D0593C25-D71C-494A-B76B-9EC4A4DA8516}" name="Marlin Input"/>
    <tableColumn id="5" xr3:uid="{1903042B-3210-4CAA-A63C-09B925FCBC8C}" name="Klipper Value"/>
    <tableColumn id="6" xr3:uid="{2D987116-A2FC-4A65-BDF9-7FEA37701A44}" name="Uni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1C568E-2C0D-43F9-A1B6-FE8E95293C16}" name="Table6" displayName="Table6" ref="A2:C15" totalsRowShown="0" headerRowDxfId="0">
  <autoFilter ref="A2:C15" xr:uid="{15CC3BF2-970B-4EDB-83DD-DFB4F006EB39}">
    <filterColumn colId="0" hiddenButton="1"/>
    <filterColumn colId="1" hiddenButton="1"/>
    <filterColumn colId="2" hiddenButton="1"/>
  </autoFilter>
  <tableColumns count="3">
    <tableColumn id="1" xr3:uid="{076063DC-9259-440A-AF63-3E484D9E2466}" name="Step"/>
    <tableColumn id="2" xr3:uid="{1B96AACB-F57F-4012-B00A-3E7367204E00}" name="Action"/>
    <tableColumn id="3" xr3:uid="{F6DF2C1B-BB82-437F-B371-40B6C6B017DA}" name="Inpu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775E-0CCD-4A56-A02B-0660AB65AF92}">
  <dimension ref="A1:L32"/>
  <sheetViews>
    <sheetView workbookViewId="0">
      <selection activeCell="E33" sqref="E33"/>
    </sheetView>
  </sheetViews>
  <sheetFormatPr defaultRowHeight="13.2" x14ac:dyDescent="0.25"/>
  <cols>
    <col min="1" max="1" width="15.88671875" bestFit="1" customWidth="1"/>
    <col min="2" max="2" width="11.33203125" customWidth="1"/>
    <col min="3" max="3" width="13.33203125" bestFit="1" customWidth="1"/>
    <col min="4" max="4" width="15" bestFit="1" customWidth="1"/>
    <col min="5" max="5" width="20.44140625" customWidth="1"/>
    <col min="7" max="7" width="33.6640625" bestFit="1" customWidth="1"/>
    <col min="9" max="9" width="25.44140625" bestFit="1" customWidth="1"/>
    <col min="11" max="11" width="36.88671875" bestFit="1" customWidth="1"/>
  </cols>
  <sheetData>
    <row r="1" spans="1:12" x14ac:dyDescent="0.25">
      <c r="A1" s="25" t="s">
        <v>73</v>
      </c>
      <c r="B1" s="25"/>
      <c r="C1" s="4" t="s">
        <v>16</v>
      </c>
      <c r="D1" s="4" t="s">
        <v>17</v>
      </c>
      <c r="E1" s="21" t="s">
        <v>18</v>
      </c>
      <c r="F1" s="22"/>
      <c r="G1" s="21" t="s">
        <v>19</v>
      </c>
      <c r="H1" s="22"/>
      <c r="I1" s="26" t="s">
        <v>20</v>
      </c>
      <c r="J1" s="27"/>
      <c r="K1" s="27"/>
      <c r="L1" s="28"/>
    </row>
    <row r="2" spans="1:12" x14ac:dyDescent="0.25">
      <c r="A2" s="11" t="s">
        <v>74</v>
      </c>
      <c r="B2" s="11">
        <v>180</v>
      </c>
      <c r="C2" s="5">
        <v>0.04</v>
      </c>
      <c r="D2" s="6">
        <f>B9/((B7*1.2)*C2)</f>
        <v>479.16666666666663</v>
      </c>
      <c r="E2" s="7" t="s">
        <v>22</v>
      </c>
      <c r="F2" s="7" t="s">
        <v>23</v>
      </c>
      <c r="G2" s="7" t="s">
        <v>22</v>
      </c>
      <c r="H2" s="7" t="s">
        <v>23</v>
      </c>
      <c r="I2" s="29" t="s">
        <v>24</v>
      </c>
      <c r="J2" s="28"/>
      <c r="K2" s="29" t="s">
        <v>25</v>
      </c>
      <c r="L2" s="28"/>
    </row>
    <row r="3" spans="1:12" x14ac:dyDescent="0.25">
      <c r="A3" s="12" t="s">
        <v>75</v>
      </c>
      <c r="B3" s="11">
        <v>0.1</v>
      </c>
      <c r="C3" s="5">
        <v>0.08</v>
      </c>
      <c r="D3" s="6">
        <f>B9/((B7*1.2)*C3)</f>
        <v>239.58333333333331</v>
      </c>
      <c r="E3" t="s">
        <v>26</v>
      </c>
      <c r="F3" s="8">
        <f>D25</f>
        <v>15</v>
      </c>
      <c r="G3" t="s">
        <v>27</v>
      </c>
      <c r="H3" s="8">
        <f>F4</f>
        <v>47.916666666666671</v>
      </c>
      <c r="I3" t="s">
        <v>28</v>
      </c>
      <c r="J3" s="9">
        <f>B7</f>
        <v>0.5</v>
      </c>
      <c r="K3" t="s">
        <v>29</v>
      </c>
      <c r="L3" s="9">
        <f>B7</f>
        <v>0.5</v>
      </c>
    </row>
    <row r="4" spans="1:12" x14ac:dyDescent="0.25">
      <c r="A4" s="12" t="s">
        <v>76</v>
      </c>
      <c r="B4" s="11">
        <v>255</v>
      </c>
      <c r="C4" s="5">
        <v>0.12</v>
      </c>
      <c r="D4" s="6">
        <f>B9/((B7*1.2)*C4)</f>
        <v>159.72222222222223</v>
      </c>
      <c r="E4" t="s">
        <v>30</v>
      </c>
      <c r="F4" s="8">
        <f>MIN(VLOOKUP(B8,A25:D32,3,FALSE),VLOOKUP(B10,C2:D21,2,FALSE))</f>
        <v>47.916666666666671</v>
      </c>
      <c r="G4" t="s">
        <v>31</v>
      </c>
      <c r="H4" s="8">
        <f>H5*0.75</f>
        <v>35.9375</v>
      </c>
      <c r="I4" t="s">
        <v>32</v>
      </c>
      <c r="J4" s="9">
        <f>J3*0.98</f>
        <v>0.49</v>
      </c>
      <c r="K4" t="s">
        <v>33</v>
      </c>
      <c r="L4" s="9">
        <f>L3</f>
        <v>0.5</v>
      </c>
    </row>
    <row r="5" spans="1:12" x14ac:dyDescent="0.25">
      <c r="A5" s="12" t="s">
        <v>77</v>
      </c>
      <c r="B5" s="11">
        <v>110</v>
      </c>
      <c r="C5" s="5">
        <v>0.16</v>
      </c>
      <c r="D5" s="6">
        <f>B9/((B7*1.2)*C5)</f>
        <v>119.79166666666666</v>
      </c>
      <c r="E5" t="s">
        <v>34</v>
      </c>
      <c r="F5" s="8">
        <f>F4</f>
        <v>47.916666666666671</v>
      </c>
      <c r="G5" t="s">
        <v>35</v>
      </c>
      <c r="H5" s="8">
        <f>F5</f>
        <v>47.916666666666671</v>
      </c>
      <c r="I5" t="s">
        <v>36</v>
      </c>
      <c r="J5" s="9">
        <f>J3*0.98</f>
        <v>0.49</v>
      </c>
      <c r="K5" t="s">
        <v>37</v>
      </c>
      <c r="L5" s="9">
        <f>J4</f>
        <v>0.49</v>
      </c>
    </row>
    <row r="6" spans="1:12" x14ac:dyDescent="0.25">
      <c r="A6" s="12" t="s">
        <v>1</v>
      </c>
      <c r="B6" s="11">
        <v>1.75</v>
      </c>
      <c r="C6" s="5">
        <v>0.2</v>
      </c>
      <c r="D6" s="6">
        <f>B9/((B7*1.2)*C6)</f>
        <v>95.833333333333343</v>
      </c>
      <c r="E6" t="s">
        <v>38</v>
      </c>
      <c r="F6" s="8">
        <f>F4/2</f>
        <v>23.958333333333336</v>
      </c>
      <c r="G6" t="s">
        <v>39</v>
      </c>
      <c r="H6" s="8">
        <f>F6</f>
        <v>23.958333333333336</v>
      </c>
      <c r="I6" t="s">
        <v>40</v>
      </c>
      <c r="J6" s="9">
        <f>J3*1.125</f>
        <v>0.5625</v>
      </c>
      <c r="K6" t="s">
        <v>41</v>
      </c>
      <c r="L6" s="9">
        <f>J4</f>
        <v>0.49</v>
      </c>
    </row>
    <row r="7" spans="1:12" x14ac:dyDescent="0.25">
      <c r="A7" s="12" t="s">
        <v>9</v>
      </c>
      <c r="B7" s="13">
        <v>0.5</v>
      </c>
      <c r="C7" s="5">
        <v>0.24</v>
      </c>
      <c r="D7" s="6">
        <f>B9/((B7*1.2)*C7)</f>
        <v>79.861111111111114</v>
      </c>
      <c r="E7" t="s">
        <v>43</v>
      </c>
      <c r="F7" s="8">
        <f>F6</f>
        <v>23.958333333333336</v>
      </c>
      <c r="G7" t="s">
        <v>44</v>
      </c>
      <c r="H7" s="8">
        <f>F7</f>
        <v>23.958333333333336</v>
      </c>
      <c r="I7" t="s">
        <v>45</v>
      </c>
      <c r="J7" s="9">
        <f>J3*0.98</f>
        <v>0.49</v>
      </c>
      <c r="K7" t="s">
        <v>46</v>
      </c>
      <c r="L7" s="9">
        <f>J9</f>
        <v>0.5625</v>
      </c>
    </row>
    <row r="8" spans="1:12" x14ac:dyDescent="0.25">
      <c r="A8" s="12" t="s">
        <v>78</v>
      </c>
      <c r="B8" s="14" t="s">
        <v>21</v>
      </c>
      <c r="C8" s="5">
        <v>0.28000000000000003</v>
      </c>
      <c r="D8" s="6">
        <f>B9/((B7*1.2)*C8)</f>
        <v>68.452380952380949</v>
      </c>
      <c r="E8" t="s">
        <v>48</v>
      </c>
      <c r="F8" s="8">
        <f>F6*2</f>
        <v>47.916666666666671</v>
      </c>
      <c r="G8" t="s">
        <v>49</v>
      </c>
      <c r="H8" s="8">
        <f>F6*0.56</f>
        <v>13.41666666666667</v>
      </c>
      <c r="I8" t="s">
        <v>50</v>
      </c>
      <c r="J8" s="9">
        <f>J3*0.7</f>
        <v>0.35</v>
      </c>
      <c r="K8" t="s">
        <v>51</v>
      </c>
      <c r="L8" s="9">
        <f>J9</f>
        <v>0.5625</v>
      </c>
    </row>
    <row r="9" spans="1:12" x14ac:dyDescent="0.25">
      <c r="A9" s="12" t="s">
        <v>79</v>
      </c>
      <c r="B9" s="11">
        <f>VLOOKUP($B$8,$A$25:$B$32,2,FALSE)</f>
        <v>11.5</v>
      </c>
      <c r="C9" s="5">
        <v>0.32</v>
      </c>
      <c r="D9" s="6">
        <f>B9/((B7*1.2)*C9)</f>
        <v>59.895833333333329</v>
      </c>
      <c r="E9" t="s">
        <v>52</v>
      </c>
      <c r="F9" s="8">
        <f>F4/2</f>
        <v>23.958333333333336</v>
      </c>
      <c r="G9" t="s">
        <v>53</v>
      </c>
      <c r="H9" s="8">
        <f>F9</f>
        <v>23.958333333333336</v>
      </c>
      <c r="I9" t="s">
        <v>54</v>
      </c>
      <c r="J9" s="9">
        <f>J3*1.125</f>
        <v>0.5625</v>
      </c>
      <c r="K9" t="s">
        <v>55</v>
      </c>
      <c r="L9" s="9">
        <f>J5</f>
        <v>0.49</v>
      </c>
    </row>
    <row r="10" spans="1:12" x14ac:dyDescent="0.25">
      <c r="A10" s="12" t="s">
        <v>16</v>
      </c>
      <c r="B10" s="5">
        <v>0.4</v>
      </c>
      <c r="C10" s="5">
        <v>0.36</v>
      </c>
      <c r="D10" s="6">
        <f>B9/((B7*1.2)*C10)</f>
        <v>53.24074074074074</v>
      </c>
      <c r="E10" t="s">
        <v>56</v>
      </c>
      <c r="F10" s="8">
        <f>F4</f>
        <v>47.916666666666671</v>
      </c>
      <c r="G10" t="s">
        <v>57</v>
      </c>
      <c r="H10" s="8">
        <f>F10</f>
        <v>47.916666666666671</v>
      </c>
      <c r="J10" s="9"/>
      <c r="K10" t="s">
        <v>58</v>
      </c>
      <c r="L10" s="9">
        <f>J8</f>
        <v>0.35</v>
      </c>
    </row>
    <row r="11" spans="1:12" x14ac:dyDescent="0.25">
      <c r="A11" s="15" t="s">
        <v>42</v>
      </c>
      <c r="B11" s="17">
        <f>B7*0.2</f>
        <v>0.1</v>
      </c>
      <c r="C11" s="5">
        <v>0.4</v>
      </c>
      <c r="D11" s="6">
        <f>B9/((B7*1.2)*C11)</f>
        <v>47.916666666666671</v>
      </c>
      <c r="E11" t="s">
        <v>59</v>
      </c>
      <c r="F11" s="8">
        <f>F10/1.5</f>
        <v>31.944444444444446</v>
      </c>
      <c r="G11" t="s">
        <v>60</v>
      </c>
      <c r="H11" s="8">
        <f>F11</f>
        <v>31.944444444444446</v>
      </c>
      <c r="J11" s="9"/>
      <c r="L11" s="9"/>
    </row>
    <row r="12" spans="1:12" x14ac:dyDescent="0.25">
      <c r="A12" s="15" t="s">
        <v>47</v>
      </c>
      <c r="B12" s="17">
        <f>B7*0.8</f>
        <v>0.4</v>
      </c>
      <c r="C12" s="5">
        <v>0.44</v>
      </c>
      <c r="D12" s="6">
        <f>B9/((B7*1.2)*C12)</f>
        <v>43.560606060606055</v>
      </c>
      <c r="E12" t="s">
        <v>61</v>
      </c>
      <c r="F12" s="8">
        <f>MAX(F3, F7 / 2)</f>
        <v>15</v>
      </c>
      <c r="G12" t="s">
        <v>62</v>
      </c>
      <c r="H12" s="8">
        <f>F12</f>
        <v>15</v>
      </c>
      <c r="J12" s="9"/>
      <c r="L12" s="9"/>
    </row>
    <row r="13" spans="1:12" x14ac:dyDescent="0.25">
      <c r="C13" s="5">
        <v>0.48</v>
      </c>
      <c r="D13" s="6">
        <f>B9/((B7*1.2)*C13)</f>
        <v>39.930555555555557</v>
      </c>
      <c r="F13" s="8"/>
      <c r="G13" t="s">
        <v>63</v>
      </c>
      <c r="H13" s="8">
        <f>H8</f>
        <v>13.41666666666667</v>
      </c>
      <c r="J13" s="9"/>
    </row>
    <row r="14" spans="1:12" x14ac:dyDescent="0.25">
      <c r="C14" s="5">
        <v>0.52</v>
      </c>
      <c r="D14" s="6">
        <f>B9/((B7*1.2)*C14)</f>
        <v>36.858974358974358</v>
      </c>
      <c r="E14" t="s">
        <v>64</v>
      </c>
      <c r="F14" s="8">
        <f>F4 * 30 / 60</f>
        <v>23.958333333333336</v>
      </c>
      <c r="G14" t="s">
        <v>65</v>
      </c>
      <c r="H14" s="8">
        <f>F14</f>
        <v>23.958333333333336</v>
      </c>
      <c r="J14" s="9"/>
    </row>
    <row r="15" spans="1:12" x14ac:dyDescent="0.25">
      <c r="C15" s="5">
        <v>0.56000000000000005</v>
      </c>
      <c r="D15" s="6">
        <f>B9/((B7*1.2)*C15)</f>
        <v>34.226190476190474</v>
      </c>
    </row>
    <row r="16" spans="1:12" x14ac:dyDescent="0.25">
      <c r="C16" s="5">
        <v>0.6</v>
      </c>
      <c r="D16" s="6">
        <f>B9/((B7*1.2)*C16)</f>
        <v>31.944444444444446</v>
      </c>
      <c r="G16" s="10" t="s">
        <v>66</v>
      </c>
      <c r="K16" s="10" t="s">
        <v>66</v>
      </c>
    </row>
    <row r="17" spans="1:11" x14ac:dyDescent="0.25">
      <c r="C17" s="5">
        <v>0.64</v>
      </c>
      <c r="D17" s="6">
        <f>B9/((B7*1.2)*C17)</f>
        <v>29.947916666666664</v>
      </c>
      <c r="F17" s="8"/>
      <c r="G17" s="8" t="str">
        <f>G3 &amp; " = " &amp; ROUND(H3,0)</f>
        <v>max_print_speed = 48</v>
      </c>
      <c r="K17" t="str">
        <f>K3&amp;" = "&amp;ROUND(L3,2)</f>
        <v>extrusion_width = 0.5</v>
      </c>
    </row>
    <row r="18" spans="1:11" x14ac:dyDescent="0.25">
      <c r="C18" s="5">
        <v>0.68</v>
      </c>
      <c r="D18" s="6">
        <f>B9/((B7*1.2)*C18)</f>
        <v>28.186274509803919</v>
      </c>
      <c r="G18" s="8" t="str">
        <f t="shared" ref="G18:G28" si="0">G4 &amp; " = " &amp; ROUND(H4,0)</f>
        <v>solid_infill_speed = 36</v>
      </c>
      <c r="K18" t="str">
        <f t="shared" ref="K18:K24" si="1">K4&amp;" = "&amp;ROUND(L4,2)</f>
        <v>first_layer_extrusion_width = 0.5</v>
      </c>
    </row>
    <row r="19" spans="1:11" x14ac:dyDescent="0.25">
      <c r="C19" s="5">
        <v>0.72</v>
      </c>
      <c r="D19" s="6">
        <f>B9/((B7*1.2)*C19)</f>
        <v>26.62037037037037</v>
      </c>
      <c r="G19" s="8" t="str">
        <f t="shared" si="0"/>
        <v>infill_speed = 48</v>
      </c>
      <c r="K19" t="str">
        <f t="shared" si="1"/>
        <v>perimeter_extrusion_width = 0.49</v>
      </c>
    </row>
    <row r="20" spans="1:11" x14ac:dyDescent="0.25">
      <c r="C20" s="5">
        <v>0.76</v>
      </c>
      <c r="D20" s="6">
        <f>B9/((B7*1.2)*C20)</f>
        <v>25.219298245614038</v>
      </c>
      <c r="G20" s="8" t="str">
        <f t="shared" si="0"/>
        <v>perimeter_speed = 24</v>
      </c>
      <c r="K20" t="str">
        <f t="shared" si="1"/>
        <v>external_perimeter_extrusion_width = 0.49</v>
      </c>
    </row>
    <row r="21" spans="1:11" x14ac:dyDescent="0.25">
      <c r="C21" s="5">
        <v>0.8</v>
      </c>
      <c r="D21" s="6">
        <f>B9/((B7*1.2)*C21)</f>
        <v>23.958333333333336</v>
      </c>
      <c r="G21" s="8" t="str">
        <f t="shared" si="0"/>
        <v>external_perimeter_speed = 24</v>
      </c>
      <c r="K21" t="str">
        <f t="shared" si="1"/>
        <v>infill_extrusion_width = 0.56</v>
      </c>
    </row>
    <row r="22" spans="1:11" x14ac:dyDescent="0.25">
      <c r="G22" s="8" t="str">
        <f t="shared" si="0"/>
        <v>small_perimeter_speed = 13</v>
      </c>
      <c r="K22" t="str">
        <f t="shared" si="1"/>
        <v>solid_infill_extrusion_width = 0.56</v>
      </c>
    </row>
    <row r="23" spans="1:11" x14ac:dyDescent="0.25">
      <c r="A23" s="23" t="s">
        <v>80</v>
      </c>
      <c r="B23" s="24"/>
      <c r="C23" s="24"/>
      <c r="D23" s="24"/>
      <c r="G23" s="8" t="str">
        <f t="shared" si="0"/>
        <v>top_solid_infill_speed = 24</v>
      </c>
      <c r="K23" t="str">
        <f t="shared" si="1"/>
        <v>top_infill_extrusion_width = 0.49</v>
      </c>
    </row>
    <row r="24" spans="1:11" ht="26.4" x14ac:dyDescent="0.25">
      <c r="A24" s="4" t="s">
        <v>15</v>
      </c>
      <c r="B24" s="16" t="s">
        <v>79</v>
      </c>
      <c r="C24" s="4" t="s">
        <v>67</v>
      </c>
      <c r="D24" s="4" t="s">
        <v>68</v>
      </c>
      <c r="G24" s="8" t="str">
        <f t="shared" si="0"/>
        <v>support_material_speed = 48</v>
      </c>
      <c r="K24" t="str">
        <f t="shared" si="1"/>
        <v>support_material_extrusion_width = 0.35</v>
      </c>
    </row>
    <row r="25" spans="1:11" x14ac:dyDescent="0.25">
      <c r="A25" s="5" t="s">
        <v>21</v>
      </c>
      <c r="B25" s="5">
        <v>11.5</v>
      </c>
      <c r="C25" s="5">
        <v>90</v>
      </c>
      <c r="D25" s="5">
        <v>15</v>
      </c>
      <c r="G25" s="8" t="str">
        <f t="shared" si="0"/>
        <v>support_material_interface_speed = 32</v>
      </c>
    </row>
    <row r="26" spans="1:11" x14ac:dyDescent="0.25">
      <c r="A26" s="5" t="s">
        <v>69</v>
      </c>
      <c r="B26" s="5">
        <v>8</v>
      </c>
      <c r="C26" s="5">
        <v>60</v>
      </c>
      <c r="D26" s="5">
        <v>15</v>
      </c>
      <c r="G26" s="8" t="str">
        <f t="shared" si="0"/>
        <v>bridge_speed = 15</v>
      </c>
    </row>
    <row r="27" spans="1:11" x14ac:dyDescent="0.25">
      <c r="A27" s="5" t="s">
        <v>70</v>
      </c>
      <c r="B27" s="5">
        <v>6</v>
      </c>
      <c r="C27" s="5">
        <v>40</v>
      </c>
      <c r="D27" s="5">
        <v>15</v>
      </c>
      <c r="G27" s="8" t="str">
        <f t="shared" si="0"/>
        <v>gap_fill_speed = 13</v>
      </c>
    </row>
    <row r="28" spans="1:11" x14ac:dyDescent="0.25">
      <c r="A28" s="5" t="s">
        <v>71</v>
      </c>
      <c r="B28" s="5">
        <v>11.5</v>
      </c>
      <c r="C28" s="5">
        <v>90</v>
      </c>
      <c r="D28" s="5">
        <v>15</v>
      </c>
      <c r="G28" s="8" t="str">
        <f t="shared" si="0"/>
        <v>first_layer_speed = 24</v>
      </c>
    </row>
    <row r="29" spans="1:11" x14ac:dyDescent="0.25">
      <c r="A29" s="5" t="s">
        <v>72</v>
      </c>
      <c r="B29" s="5">
        <v>6</v>
      </c>
      <c r="C29" s="5">
        <v>50</v>
      </c>
      <c r="D29" s="5">
        <v>15</v>
      </c>
      <c r="G29" s="8"/>
    </row>
    <row r="30" spans="1:11" x14ac:dyDescent="0.25">
      <c r="A30" s="5"/>
      <c r="B30" s="5"/>
      <c r="C30" s="5"/>
      <c r="D30" s="5"/>
    </row>
    <row r="31" spans="1:11" x14ac:dyDescent="0.25">
      <c r="A31" s="5"/>
      <c r="B31" s="5"/>
      <c r="C31" s="5"/>
      <c r="D31" s="5"/>
    </row>
    <row r="32" spans="1:11" x14ac:dyDescent="0.25">
      <c r="A32" s="5"/>
      <c r="B32" s="5"/>
      <c r="C32" s="5"/>
      <c r="D32" s="5"/>
    </row>
  </sheetData>
  <mergeCells count="7">
    <mergeCell ref="E1:F1"/>
    <mergeCell ref="G1:H1"/>
    <mergeCell ref="A23:D23"/>
    <mergeCell ref="A1:B1"/>
    <mergeCell ref="I1:L1"/>
    <mergeCell ref="I2:J2"/>
    <mergeCell ref="K2:L2"/>
  </mergeCells>
  <conditionalFormatting sqref="C2:D21">
    <cfRule type="expression" dxfId="8" priority="11">
      <formula>NOT(AND($C2 &gt;= $B$11, $C2 &lt;= $B$12))</formula>
    </cfRule>
    <cfRule type="expression" dxfId="7" priority="12">
      <formula>AND($C2 &gt;= $B$11, $C2 &lt;= $B$12)</formula>
    </cfRule>
  </conditionalFormatting>
  <conditionalFormatting sqref="B10">
    <cfRule type="cellIs" dxfId="6" priority="13" operator="lessThan">
      <formula>$B$11</formula>
    </cfRule>
    <cfRule type="cellIs" dxfId="5" priority="14" operator="greaterThan">
      <formula>$B$12</formula>
    </cfRule>
    <cfRule type="cellIs" dxfId="4" priority="15" operator="between">
      <formula>$B$11</formula>
      <formula>$B$12</formula>
    </cfRule>
  </conditionalFormatting>
  <dataValidations count="3">
    <dataValidation type="list" allowBlank="1" showInputMessage="1" showErrorMessage="1" sqref="B10" xr:uid="{CA98D345-50B0-4A60-9A99-910CDB2E7493}">
      <formula1>$C$2:$C$21</formula1>
    </dataValidation>
    <dataValidation type="list" allowBlank="1" showInputMessage="1" showErrorMessage="1" sqref="B8" xr:uid="{2D627D53-4AB9-4959-B8AB-D1C3FA64042F}">
      <formula1>OFFSET($A$25:$A$32,0,0,COUNTA($A$25:$A$32),1)</formula1>
    </dataValidation>
    <dataValidation type="list" allowBlank="1" showInputMessage="1" showErrorMessage="1" sqref="B7" xr:uid="{4D0BCD23-07F6-4240-909D-D0B9E544D1BF}">
      <formula1>"0.2,0.3,0.4,0.5,0.6,0.7,0.8,0.9,1.0"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K16"/>
  <sheetViews>
    <sheetView workbookViewId="0">
      <selection activeCell="B19" sqref="B19"/>
    </sheetView>
  </sheetViews>
  <sheetFormatPr defaultColWidth="14.44140625" defaultRowHeight="15.75" customHeight="1" x14ac:dyDescent="0.25"/>
  <cols>
    <col min="2" max="2" width="28.44140625" customWidth="1"/>
    <col min="3" max="3" width="28.5546875" bestFit="1" customWidth="1"/>
  </cols>
  <sheetData>
    <row r="1" spans="1:11" ht="15.75" customHeight="1" x14ac:dyDescent="0.25">
      <c r="A1" s="25" t="s">
        <v>73</v>
      </c>
      <c r="B1" s="25"/>
      <c r="C1" s="3" t="s">
        <v>2</v>
      </c>
      <c r="D1" s="3"/>
      <c r="E1" s="3"/>
      <c r="F1" s="3" t="s">
        <v>6</v>
      </c>
      <c r="G1" s="3"/>
      <c r="H1" s="3"/>
      <c r="I1" s="18" t="s">
        <v>81</v>
      </c>
      <c r="J1" s="3"/>
      <c r="K1" s="3"/>
    </row>
    <row r="2" spans="1:11" ht="15.75" customHeight="1" x14ac:dyDescent="0.25">
      <c r="A2" s="11" t="s">
        <v>74</v>
      </c>
      <c r="B2" s="11">
        <v>180</v>
      </c>
      <c r="C2" s="2" t="s">
        <v>7</v>
      </c>
      <c r="D2" s="2">
        <v>1</v>
      </c>
      <c r="E2" s="2" t="s">
        <v>8</v>
      </c>
    </row>
    <row r="3" spans="1:11" ht="15.75" customHeight="1" x14ac:dyDescent="0.25">
      <c r="A3" s="12" t="s">
        <v>75</v>
      </c>
      <c r="B3" s="11">
        <v>0.1</v>
      </c>
      <c r="C3" s="19" t="s">
        <v>82</v>
      </c>
      <c r="D3">
        <f>3.141 * (B7* B7) * D2</f>
        <v>3.141</v>
      </c>
      <c r="E3" s="2" t="s">
        <v>13</v>
      </c>
    </row>
    <row r="4" spans="1:11" ht="15.75" customHeight="1" x14ac:dyDescent="0.25">
      <c r="A4" s="12" t="s">
        <v>76</v>
      </c>
      <c r="B4" s="11">
        <v>255</v>
      </c>
      <c r="C4" s="19" t="s">
        <v>83</v>
      </c>
      <c r="D4">
        <f>3.141 * (B7 * B7) * B7</f>
        <v>3.141</v>
      </c>
      <c r="E4" s="2" t="s">
        <v>13</v>
      </c>
    </row>
    <row r="5" spans="1:11" ht="15.75" customHeight="1" x14ac:dyDescent="0.25">
      <c r="A5" s="12" t="s">
        <v>77</v>
      </c>
      <c r="B5" s="11">
        <v>110</v>
      </c>
      <c r="C5" s="19" t="s">
        <v>84</v>
      </c>
      <c r="D5">
        <f>ROUNDUP(D4,1)</f>
        <v>3.2</v>
      </c>
      <c r="E5" s="2" t="s">
        <v>13</v>
      </c>
    </row>
    <row r="6" spans="1:11" ht="15.75" customHeight="1" x14ac:dyDescent="0.25">
      <c r="A6" s="12" t="s">
        <v>1</v>
      </c>
      <c r="B6" s="11">
        <v>1.75</v>
      </c>
      <c r="C6" s="19" t="s">
        <v>85</v>
      </c>
    </row>
    <row r="7" spans="1:11" ht="15.75" customHeight="1" x14ac:dyDescent="0.25">
      <c r="A7" s="12" t="s">
        <v>9</v>
      </c>
      <c r="B7" s="13">
        <v>1</v>
      </c>
      <c r="C7" t="s">
        <v>86</v>
      </c>
    </row>
    <row r="8" spans="1:11" ht="15.75" customHeight="1" x14ac:dyDescent="0.25">
      <c r="A8" s="12" t="s">
        <v>16</v>
      </c>
      <c r="B8" s="5">
        <v>0.36</v>
      </c>
    </row>
    <row r="9" spans="1:11" ht="15.75" customHeight="1" x14ac:dyDescent="0.25">
      <c r="A9" s="15" t="s">
        <v>42</v>
      </c>
      <c r="B9" s="17">
        <f>B7*0.2</f>
        <v>0.2</v>
      </c>
    </row>
    <row r="10" spans="1:11" ht="15.75" customHeight="1" x14ac:dyDescent="0.25">
      <c r="A10" s="15" t="s">
        <v>47</v>
      </c>
      <c r="B10" s="17">
        <f>B7*0.8</f>
        <v>0.8</v>
      </c>
    </row>
    <row r="15" spans="1:11" ht="15.75" customHeight="1" x14ac:dyDescent="0.25">
      <c r="F15" s="2"/>
      <c r="G15" s="2"/>
    </row>
    <row r="16" spans="1:11" ht="15.75" customHeight="1" x14ac:dyDescent="0.25">
      <c r="F16" s="2"/>
      <c r="G16" s="2"/>
    </row>
  </sheetData>
  <mergeCells count="1">
    <mergeCell ref="A1:B1"/>
  </mergeCells>
  <conditionalFormatting sqref="B8">
    <cfRule type="cellIs" dxfId="3" priority="1" operator="lessThan">
      <formula>$B$9</formula>
    </cfRule>
    <cfRule type="cellIs" dxfId="2" priority="2" operator="greaterThan">
      <formula>$B$10</formula>
    </cfRule>
    <cfRule type="cellIs" dxfId="1" priority="3" operator="between">
      <formula>$B$9</formula>
      <formula>$B$10</formula>
    </cfRule>
  </conditionalFormatting>
  <dataValidations count="1">
    <dataValidation type="list" allowBlank="1" showInputMessage="1" showErrorMessage="1" sqref="B7" xr:uid="{D3EDD1C8-ACC5-4864-A9EF-FA5DB4DE2612}">
      <formula1>"0.2,0.3,0.4,0.5,0.6,0.7,0.8,0.9,1.0"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777C76-50FA-4165-9502-91C9B1873E8E}">
          <x14:formula1>
            <xm:f>'Slicer Speed and Width Calc'!$C$2:$C$21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H26"/>
  <sheetViews>
    <sheetView tabSelected="1" workbookViewId="0">
      <selection activeCell="I19" sqref="I19"/>
    </sheetView>
  </sheetViews>
  <sheetFormatPr defaultColWidth="14.44140625" defaultRowHeight="15.75" customHeight="1" x14ac:dyDescent="0.25"/>
  <cols>
    <col min="1" max="1" width="7.21875" bestFit="1" customWidth="1"/>
    <col min="2" max="2" width="86.77734375" customWidth="1"/>
    <col min="3" max="3" width="12.77734375" bestFit="1" customWidth="1"/>
  </cols>
  <sheetData>
    <row r="1" spans="1:8" ht="22.8" x14ac:dyDescent="0.4">
      <c r="A1" s="39" t="s">
        <v>144</v>
      </c>
      <c r="B1" s="39"/>
      <c r="C1" s="39"/>
      <c r="D1" s="39"/>
      <c r="E1" s="39"/>
      <c r="F1" s="39"/>
    </row>
    <row r="2" spans="1:8" ht="15.75" customHeight="1" x14ac:dyDescent="0.25">
      <c r="A2" s="38" t="s">
        <v>126</v>
      </c>
      <c r="B2" s="38" t="s">
        <v>127</v>
      </c>
      <c r="C2" s="38" t="s">
        <v>128</v>
      </c>
      <c r="D2" s="38" t="s">
        <v>134</v>
      </c>
      <c r="E2" s="38" t="s">
        <v>125</v>
      </c>
      <c r="F2" s="38" t="s">
        <v>130</v>
      </c>
    </row>
    <row r="3" spans="1:8" ht="27.6" x14ac:dyDescent="0.25">
      <c r="A3">
        <v>1</v>
      </c>
      <c r="B3" s="31" t="s">
        <v>131</v>
      </c>
      <c r="C3" t="s">
        <v>132</v>
      </c>
      <c r="D3" s="20">
        <v>91.18</v>
      </c>
      <c r="E3" s="20">
        <f>1/91.18</f>
        <v>1.0967317394165387E-2</v>
      </c>
      <c r="F3" t="s">
        <v>133</v>
      </c>
      <c r="H3" s="31"/>
    </row>
    <row r="4" spans="1:8" ht="15.75" customHeight="1" x14ac:dyDescent="0.25">
      <c r="A4">
        <v>2</v>
      </c>
      <c r="B4" s="1" t="s">
        <v>135</v>
      </c>
      <c r="H4" s="1"/>
    </row>
    <row r="5" spans="1:8" ht="15.75" customHeight="1" x14ac:dyDescent="0.25">
      <c r="B5" s="1" t="s">
        <v>136</v>
      </c>
      <c r="H5" s="1"/>
    </row>
    <row r="6" spans="1:8" ht="15.75" customHeight="1" x14ac:dyDescent="0.25">
      <c r="B6" s="1" t="s">
        <v>139</v>
      </c>
      <c r="C6" t="s">
        <v>138</v>
      </c>
      <c r="H6" s="1"/>
    </row>
    <row r="7" spans="1:8" ht="15.75" customHeight="1" x14ac:dyDescent="0.25">
      <c r="B7" s="1" t="s">
        <v>137</v>
      </c>
      <c r="C7" t="s">
        <v>0</v>
      </c>
      <c r="H7" s="1"/>
    </row>
    <row r="8" spans="1:8" ht="27.6" x14ac:dyDescent="0.25">
      <c r="B8" s="31" t="s">
        <v>140</v>
      </c>
      <c r="D8" s="20">
        <v>27</v>
      </c>
      <c r="E8" s="32"/>
      <c r="F8" t="s">
        <v>8</v>
      </c>
    </row>
    <row r="9" spans="1:8" ht="15.75" customHeight="1" x14ac:dyDescent="0.25">
      <c r="B9" s="1" t="s">
        <v>141</v>
      </c>
      <c r="C9" t="str">
        <f>"M92 E" &amp; ROUND(D9,2)</f>
        <v>M92 E98.04</v>
      </c>
      <c r="D9" s="42">
        <f>100/(120-D8) *IF(D3&gt;0,D3,1/E3)</f>
        <v>98.043010752688176</v>
      </c>
      <c r="E9" s="43">
        <f>1/D9</f>
        <v>1.019960517657381E-2</v>
      </c>
      <c r="F9" s="33" t="s">
        <v>133</v>
      </c>
    </row>
    <row r="10" spans="1:8" ht="15.75" customHeight="1" x14ac:dyDescent="0.25">
      <c r="B10" s="1" t="s">
        <v>142</v>
      </c>
      <c r="C10" s="33" t="s">
        <v>145</v>
      </c>
    </row>
    <row r="11" spans="1:8" ht="15.75" customHeight="1" x14ac:dyDescent="0.25">
      <c r="B11" s="1" t="s">
        <v>143</v>
      </c>
    </row>
    <row r="12" spans="1:8" ht="15.75" customHeight="1" x14ac:dyDescent="0.25">
      <c r="B12" s="34"/>
      <c r="C12" s="35"/>
      <c r="D12" s="35"/>
      <c r="E12" s="35"/>
      <c r="F12" s="35"/>
    </row>
    <row r="13" spans="1:8" ht="17.399999999999999" x14ac:dyDescent="0.3">
      <c r="B13" s="36"/>
      <c r="C13" s="35"/>
      <c r="D13" s="35"/>
      <c r="E13" s="35"/>
      <c r="F13" s="35"/>
    </row>
    <row r="14" spans="1:8" ht="15.75" customHeight="1" x14ac:dyDescent="0.25">
      <c r="B14" s="37"/>
      <c r="C14" s="37"/>
      <c r="D14" s="35"/>
      <c r="E14" s="35"/>
      <c r="F14" s="35"/>
    </row>
    <row r="15" spans="1:8" ht="15.75" customHeight="1" x14ac:dyDescent="0.25">
      <c r="B15" s="37"/>
      <c r="C15" s="37"/>
      <c r="D15" s="35"/>
      <c r="E15" s="35"/>
      <c r="F15" s="35"/>
    </row>
    <row r="16" spans="1:8" ht="15.75" customHeight="1" x14ac:dyDescent="0.25">
      <c r="B16" s="35"/>
      <c r="C16" s="35"/>
      <c r="D16" s="35"/>
      <c r="E16" s="35"/>
      <c r="F16" s="35"/>
    </row>
    <row r="17" spans="2:6" ht="15.75" customHeight="1" x14ac:dyDescent="0.25">
      <c r="B17" s="37"/>
      <c r="C17" s="35"/>
      <c r="D17" s="35"/>
      <c r="E17" s="35"/>
      <c r="F17" s="35"/>
    </row>
    <row r="26" spans="2:6" ht="13.2" x14ac:dyDescent="0.25"/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71D87-9F41-4F62-B1ED-ED3597DB20C4}">
  <dimension ref="A1:C12"/>
  <sheetViews>
    <sheetView workbookViewId="0">
      <selection activeCell="F20" sqref="F20"/>
    </sheetView>
  </sheetViews>
  <sheetFormatPr defaultRowHeight="13.2" x14ac:dyDescent="0.25"/>
  <cols>
    <col min="1" max="1" width="5" bestFit="1" customWidth="1"/>
    <col min="2" max="2" width="50.21875" bestFit="1" customWidth="1"/>
    <col min="3" max="3" width="6.88671875" customWidth="1"/>
  </cols>
  <sheetData>
    <row r="1" spans="1:3" ht="21" x14ac:dyDescent="0.4">
      <c r="A1" s="45" t="s">
        <v>5</v>
      </c>
      <c r="B1" s="45"/>
      <c r="C1" s="45"/>
    </row>
    <row r="2" spans="1:3" x14ac:dyDescent="0.25">
      <c r="A2" s="44" t="s">
        <v>126</v>
      </c>
      <c r="B2" s="44" t="s">
        <v>127</v>
      </c>
      <c r="C2" s="44" t="s">
        <v>129</v>
      </c>
    </row>
    <row r="3" spans="1:3" x14ac:dyDescent="0.25">
      <c r="A3">
        <v>1</v>
      </c>
      <c r="B3" s="33" t="s">
        <v>146</v>
      </c>
    </row>
    <row r="4" spans="1:3" x14ac:dyDescent="0.25">
      <c r="A4">
        <v>2</v>
      </c>
      <c r="B4" s="33" t="s">
        <v>3</v>
      </c>
    </row>
    <row r="5" spans="1:3" x14ac:dyDescent="0.25">
      <c r="A5">
        <v>3</v>
      </c>
      <c r="B5" s="33" t="s">
        <v>4</v>
      </c>
    </row>
    <row r="6" spans="1:3" x14ac:dyDescent="0.25">
      <c r="A6">
        <v>4</v>
      </c>
      <c r="B6" s="19" t="s">
        <v>147</v>
      </c>
      <c r="C6" s="41">
        <v>0.5</v>
      </c>
    </row>
    <row r="7" spans="1:3" x14ac:dyDescent="0.25">
      <c r="A7">
        <v>5</v>
      </c>
      <c r="B7" s="2" t="s">
        <v>10</v>
      </c>
      <c r="C7" s="41">
        <v>0.54</v>
      </c>
    </row>
    <row r="8" spans="1:3" x14ac:dyDescent="0.25">
      <c r="A8">
        <v>6</v>
      </c>
      <c r="B8" t="s">
        <v>11</v>
      </c>
      <c r="C8" s="41">
        <v>100</v>
      </c>
    </row>
    <row r="9" spans="1:3" x14ac:dyDescent="0.25">
      <c r="B9" s="33" t="s">
        <v>148</v>
      </c>
      <c r="C9" s="9">
        <f>C6/C7*C8</f>
        <v>92.592592592592581</v>
      </c>
    </row>
    <row r="11" spans="1:3" ht="13.8" x14ac:dyDescent="0.25">
      <c r="B11" s="19" t="s">
        <v>12</v>
      </c>
      <c r="C11" s="40">
        <f>C9</f>
        <v>92.592592592592581</v>
      </c>
    </row>
    <row r="12" spans="1:3" ht="13.8" x14ac:dyDescent="0.25">
      <c r="B12" s="2" t="s">
        <v>14</v>
      </c>
      <c r="C12" s="40">
        <f>C11*0.98</f>
        <v>90.740740740740733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E39"/>
  <sheetViews>
    <sheetView topLeftCell="A13" workbookViewId="0">
      <selection activeCell="C44" sqref="C44"/>
    </sheetView>
  </sheetViews>
  <sheetFormatPr defaultColWidth="14.44140625" defaultRowHeight="15.75" customHeight="1" x14ac:dyDescent="0.25"/>
  <cols>
    <col min="1" max="1" width="36.109375" bestFit="1" customWidth="1"/>
    <col min="2" max="2" width="6.5546875" customWidth="1"/>
    <col min="3" max="3" width="9.33203125" bestFit="1" customWidth="1"/>
    <col min="4" max="4" width="8.109375" customWidth="1"/>
    <col min="5" max="5" width="8.88671875" bestFit="1" customWidth="1"/>
  </cols>
  <sheetData>
    <row r="1" spans="1:5" ht="15.75" customHeight="1" x14ac:dyDescent="0.25">
      <c r="A1" s="30" t="s">
        <v>110</v>
      </c>
      <c r="B1" s="30"/>
      <c r="C1" s="30"/>
      <c r="D1" s="30"/>
      <c r="E1" s="30"/>
    </row>
    <row r="2" spans="1:5" ht="15.75" customHeight="1" x14ac:dyDescent="0.25">
      <c r="A2" s="5" t="s">
        <v>97</v>
      </c>
      <c r="B2" s="5">
        <v>80</v>
      </c>
      <c r="C2" s="5" t="s">
        <v>96</v>
      </c>
      <c r="D2" s="5">
        <f>1/B2</f>
        <v>1.2500000000000001E-2</v>
      </c>
      <c r="E2" s="5" t="s">
        <v>109</v>
      </c>
    </row>
    <row r="3" spans="1:5" ht="15.75" customHeight="1" x14ac:dyDescent="0.25">
      <c r="A3" s="5" t="s">
        <v>98</v>
      </c>
      <c r="B3" s="5">
        <v>80</v>
      </c>
      <c r="C3" s="5" t="s">
        <v>96</v>
      </c>
      <c r="D3" s="5">
        <f t="shared" ref="D3:D7" si="0">1/B3</f>
        <v>1.2500000000000001E-2</v>
      </c>
      <c r="E3" s="5" t="s">
        <v>109</v>
      </c>
    </row>
    <row r="4" spans="1:5" ht="15.75" customHeight="1" x14ac:dyDescent="0.25">
      <c r="A4" s="5" t="s">
        <v>99</v>
      </c>
      <c r="B4" s="5">
        <v>400</v>
      </c>
      <c r="C4" s="5" t="s">
        <v>96</v>
      </c>
      <c r="D4" s="5">
        <f t="shared" si="0"/>
        <v>2.5000000000000001E-3</v>
      </c>
      <c r="E4" s="5" t="s">
        <v>109</v>
      </c>
    </row>
    <row r="5" spans="1:5" ht="15.75" customHeight="1" x14ac:dyDescent="0.25">
      <c r="A5" s="5" t="s">
        <v>112</v>
      </c>
      <c r="B5" s="5">
        <v>93</v>
      </c>
      <c r="C5" s="5" t="s">
        <v>96</v>
      </c>
      <c r="D5" s="5">
        <f t="shared" si="0"/>
        <v>1.0752688172043012E-2</v>
      </c>
      <c r="E5" s="5" t="s">
        <v>109</v>
      </c>
    </row>
    <row r="6" spans="1:5" ht="15.75" customHeight="1" x14ac:dyDescent="0.25">
      <c r="A6" s="5" t="s">
        <v>111</v>
      </c>
      <c r="B6" s="5">
        <v>91.18</v>
      </c>
      <c r="C6" s="5" t="s">
        <v>96</v>
      </c>
      <c r="D6" s="5">
        <f t="shared" si="0"/>
        <v>1.0967317394165387E-2</v>
      </c>
      <c r="E6" s="5" t="s">
        <v>109</v>
      </c>
    </row>
    <row r="7" spans="1:5" ht="15.75" customHeight="1" x14ac:dyDescent="0.25">
      <c r="A7" s="5" t="s">
        <v>113</v>
      </c>
      <c r="B7" s="5">
        <v>95</v>
      </c>
      <c r="C7" s="5" t="s">
        <v>96</v>
      </c>
      <c r="D7" s="5">
        <f t="shared" si="0"/>
        <v>1.0526315789473684E-2</v>
      </c>
      <c r="E7" s="5" t="s">
        <v>109</v>
      </c>
    </row>
    <row r="8" spans="1:5" ht="13.2" x14ac:dyDescent="0.25">
      <c r="A8" s="5"/>
      <c r="B8" s="5"/>
      <c r="C8" s="5"/>
      <c r="D8" s="5"/>
      <c r="E8" s="5"/>
    </row>
    <row r="9" spans="1:5" ht="13.2" x14ac:dyDescent="0.25">
      <c r="A9" s="5" t="s">
        <v>100</v>
      </c>
      <c r="B9" s="5">
        <v>500</v>
      </c>
      <c r="C9" s="5" t="s">
        <v>94</v>
      </c>
      <c r="D9" s="5">
        <f>B9/0.02</f>
        <v>25000</v>
      </c>
      <c r="E9" s="5" t="s">
        <v>95</v>
      </c>
    </row>
    <row r="10" spans="1:5" ht="13.2" x14ac:dyDescent="0.25">
      <c r="A10" s="5" t="s">
        <v>117</v>
      </c>
      <c r="B10" s="5">
        <v>750</v>
      </c>
      <c r="C10" s="5" t="s">
        <v>94</v>
      </c>
      <c r="D10" s="5">
        <f>B10/0.02</f>
        <v>37500</v>
      </c>
      <c r="E10" s="5" t="s">
        <v>95</v>
      </c>
    </row>
    <row r="11" spans="1:5" ht="15.75" customHeight="1" x14ac:dyDescent="0.25">
      <c r="A11" s="5" t="s">
        <v>101</v>
      </c>
      <c r="B11" s="5">
        <v>500</v>
      </c>
      <c r="C11" s="5" t="s">
        <v>94</v>
      </c>
      <c r="D11" s="5">
        <f t="shared" ref="D11:D34" si="1">B11/0.02</f>
        <v>25000</v>
      </c>
      <c r="E11" s="5" t="s">
        <v>95</v>
      </c>
    </row>
    <row r="12" spans="1:5" ht="15.75" customHeight="1" x14ac:dyDescent="0.25">
      <c r="A12" s="5" t="s">
        <v>118</v>
      </c>
      <c r="B12" s="5">
        <v>750</v>
      </c>
      <c r="C12" s="5" t="s">
        <v>94</v>
      </c>
      <c r="D12" s="5">
        <f t="shared" si="1"/>
        <v>37500</v>
      </c>
      <c r="E12" s="5" t="s">
        <v>95</v>
      </c>
    </row>
    <row r="13" spans="1:5" ht="15.75" customHeight="1" x14ac:dyDescent="0.25">
      <c r="A13" s="5" t="s">
        <v>102</v>
      </c>
      <c r="B13" s="5">
        <v>5</v>
      </c>
      <c r="C13" s="5" t="s">
        <v>94</v>
      </c>
      <c r="D13" s="5">
        <f t="shared" si="1"/>
        <v>250</v>
      </c>
      <c r="E13" s="5" t="s">
        <v>95</v>
      </c>
    </row>
    <row r="14" spans="1:5" ht="15.75" customHeight="1" x14ac:dyDescent="0.25">
      <c r="A14" s="5" t="s">
        <v>103</v>
      </c>
      <c r="B14" s="5">
        <v>25</v>
      </c>
      <c r="C14" s="5" t="s">
        <v>94</v>
      </c>
      <c r="D14" s="5">
        <f t="shared" si="1"/>
        <v>1250</v>
      </c>
      <c r="E14" s="5" t="s">
        <v>95</v>
      </c>
    </row>
    <row r="15" spans="1:5" ht="15.75" customHeight="1" x14ac:dyDescent="0.25">
      <c r="A15" s="5"/>
      <c r="B15" s="5"/>
      <c r="C15" s="5"/>
      <c r="D15" s="5"/>
      <c r="E15" s="5"/>
    </row>
    <row r="16" spans="1:5" ht="15.75" customHeight="1" x14ac:dyDescent="0.25">
      <c r="A16" s="5" t="s">
        <v>104</v>
      </c>
      <c r="B16" s="5">
        <v>500</v>
      </c>
      <c r="C16" s="5" t="s">
        <v>94</v>
      </c>
      <c r="D16" s="5">
        <f t="shared" si="1"/>
        <v>25000</v>
      </c>
      <c r="E16" s="5" t="s">
        <v>95</v>
      </c>
    </row>
    <row r="17" spans="1:5" ht="15.75" customHeight="1" x14ac:dyDescent="0.25">
      <c r="A17" s="5" t="s">
        <v>114</v>
      </c>
      <c r="B17" s="5">
        <v>2000</v>
      </c>
      <c r="C17" s="5" t="s">
        <v>94</v>
      </c>
      <c r="D17" s="5">
        <f t="shared" si="1"/>
        <v>100000</v>
      </c>
      <c r="E17" s="5" t="s">
        <v>95</v>
      </c>
    </row>
    <row r="18" spans="1:5" ht="15.75" customHeight="1" x14ac:dyDescent="0.25">
      <c r="A18" s="5" t="s">
        <v>105</v>
      </c>
      <c r="B18" s="5">
        <v>500</v>
      </c>
      <c r="C18" s="5" t="s">
        <v>94</v>
      </c>
      <c r="D18" s="5">
        <f t="shared" si="1"/>
        <v>25000</v>
      </c>
      <c r="E18" s="5" t="s">
        <v>95</v>
      </c>
    </row>
    <row r="19" spans="1:5" ht="15.75" customHeight="1" x14ac:dyDescent="0.25">
      <c r="A19" s="5" t="s">
        <v>115</v>
      </c>
      <c r="B19" s="5">
        <v>2000</v>
      </c>
      <c r="C19" s="5" t="s">
        <v>94</v>
      </c>
      <c r="D19" s="5">
        <f t="shared" si="1"/>
        <v>100000</v>
      </c>
      <c r="E19" s="5" t="s">
        <v>95</v>
      </c>
    </row>
    <row r="20" spans="1:5" ht="15.75" customHeight="1" x14ac:dyDescent="0.25">
      <c r="A20" s="5" t="s">
        <v>106</v>
      </c>
      <c r="B20" s="5">
        <v>100</v>
      </c>
      <c r="C20" s="5" t="s">
        <v>94</v>
      </c>
      <c r="D20" s="5">
        <f t="shared" si="1"/>
        <v>5000</v>
      </c>
      <c r="E20" s="5" t="s">
        <v>95</v>
      </c>
    </row>
    <row r="21" spans="1:5" ht="15.75" customHeight="1" x14ac:dyDescent="0.25">
      <c r="A21" s="5" t="s">
        <v>107</v>
      </c>
      <c r="B21" s="5">
        <v>5000</v>
      </c>
      <c r="C21" s="5" t="s">
        <v>94</v>
      </c>
      <c r="D21" s="5">
        <f t="shared" si="1"/>
        <v>250000</v>
      </c>
      <c r="E21" s="5" t="s">
        <v>95</v>
      </c>
    </row>
    <row r="22" spans="1:5" ht="15.75" customHeight="1" x14ac:dyDescent="0.25">
      <c r="A22" s="5" t="s">
        <v>116</v>
      </c>
      <c r="B22" s="5">
        <v>25</v>
      </c>
      <c r="C22" s="5" t="s">
        <v>94</v>
      </c>
      <c r="D22" s="5">
        <f t="shared" si="1"/>
        <v>1250</v>
      </c>
      <c r="E22" s="5" t="s">
        <v>95</v>
      </c>
    </row>
    <row r="23" spans="1:5" ht="15.75" customHeight="1" x14ac:dyDescent="0.25">
      <c r="A23" s="5" t="s">
        <v>108</v>
      </c>
      <c r="B23" s="5">
        <v>500</v>
      </c>
      <c r="C23" s="5" t="s">
        <v>94</v>
      </c>
      <c r="D23" s="5">
        <f t="shared" si="1"/>
        <v>25000</v>
      </c>
      <c r="E23" s="5" t="s">
        <v>95</v>
      </c>
    </row>
    <row r="24" spans="1:5" ht="15.75" customHeight="1" x14ac:dyDescent="0.25">
      <c r="A24" s="5" t="s">
        <v>119</v>
      </c>
      <c r="B24" s="5">
        <v>1000</v>
      </c>
      <c r="C24" s="5" t="s">
        <v>94</v>
      </c>
      <c r="D24" s="5">
        <f t="shared" si="1"/>
        <v>50000</v>
      </c>
      <c r="E24" s="5" t="s">
        <v>95</v>
      </c>
    </row>
    <row r="25" spans="1:5" ht="15.75" customHeight="1" x14ac:dyDescent="0.25">
      <c r="A25" s="5"/>
      <c r="B25" s="5"/>
      <c r="C25" s="5"/>
      <c r="D25" s="5"/>
      <c r="E25" s="5"/>
    </row>
    <row r="26" spans="1:5" ht="15.75" customHeight="1" x14ac:dyDescent="0.25">
      <c r="A26" s="5" t="s">
        <v>120</v>
      </c>
      <c r="B26" s="5">
        <v>500</v>
      </c>
      <c r="C26" s="5" t="s">
        <v>94</v>
      </c>
      <c r="D26" s="5">
        <f t="shared" si="1"/>
        <v>25000</v>
      </c>
      <c r="E26" s="5" t="s">
        <v>95</v>
      </c>
    </row>
    <row r="27" spans="1:5" ht="15.75" customHeight="1" x14ac:dyDescent="0.25">
      <c r="A27" s="5" t="s">
        <v>121</v>
      </c>
      <c r="B27" s="5">
        <v>300</v>
      </c>
      <c r="C27" s="5" t="s">
        <v>94</v>
      </c>
      <c r="D27" s="5">
        <f t="shared" si="1"/>
        <v>15000</v>
      </c>
      <c r="E27" s="5" t="s">
        <v>95</v>
      </c>
    </row>
    <row r="28" spans="1:5" ht="15.75" customHeight="1" x14ac:dyDescent="0.25">
      <c r="A28" s="5" t="s">
        <v>122</v>
      </c>
      <c r="B28" s="5">
        <v>500</v>
      </c>
      <c r="C28" s="5" t="s">
        <v>94</v>
      </c>
      <c r="D28" s="5">
        <f t="shared" si="1"/>
        <v>25000</v>
      </c>
      <c r="E28" s="5" t="s">
        <v>95</v>
      </c>
    </row>
    <row r="29" spans="1:5" ht="15.75" customHeight="1" x14ac:dyDescent="0.25">
      <c r="A29" s="5" t="s">
        <v>123</v>
      </c>
      <c r="B29" s="5">
        <v>300</v>
      </c>
      <c r="C29" s="5" t="s">
        <v>94</v>
      </c>
      <c r="D29" s="5">
        <f t="shared" si="1"/>
        <v>15000</v>
      </c>
      <c r="E29" s="5" t="s">
        <v>95</v>
      </c>
    </row>
    <row r="30" spans="1:5" ht="15.75" customHeight="1" x14ac:dyDescent="0.25">
      <c r="A30" s="5" t="s">
        <v>124</v>
      </c>
      <c r="B30" s="5">
        <v>300</v>
      </c>
      <c r="C30" s="5" t="s">
        <v>94</v>
      </c>
      <c r="D30" s="5">
        <f t="shared" si="1"/>
        <v>15000</v>
      </c>
      <c r="E30" s="5" t="s">
        <v>95</v>
      </c>
    </row>
    <row r="31" spans="1:5" ht="15.75" customHeight="1" x14ac:dyDescent="0.25">
      <c r="A31" s="5"/>
      <c r="B31" s="5"/>
      <c r="C31" s="5"/>
      <c r="D31" s="5"/>
      <c r="E31" s="5"/>
    </row>
    <row r="32" spans="1:5" ht="15.75" customHeight="1" x14ac:dyDescent="0.25">
      <c r="A32" s="5" t="s">
        <v>87</v>
      </c>
      <c r="B32" s="5">
        <v>20</v>
      </c>
      <c r="C32" s="5" t="s">
        <v>94</v>
      </c>
      <c r="D32" s="5">
        <f t="shared" si="1"/>
        <v>1000</v>
      </c>
      <c r="E32" s="5" t="s">
        <v>95</v>
      </c>
    </row>
    <row r="33" spans="1:5" ht="15.75" customHeight="1" x14ac:dyDescent="0.25">
      <c r="A33" s="5" t="s">
        <v>88</v>
      </c>
      <c r="B33" s="5">
        <v>0.4</v>
      </c>
      <c r="C33" s="5" t="s">
        <v>94</v>
      </c>
      <c r="D33" s="5">
        <f t="shared" si="1"/>
        <v>20</v>
      </c>
      <c r="E33" s="5" t="s">
        <v>95</v>
      </c>
    </row>
    <row r="34" spans="1:5" ht="15.75" customHeight="1" x14ac:dyDescent="0.25">
      <c r="A34" s="5" t="s">
        <v>89</v>
      </c>
      <c r="B34" s="5">
        <v>5</v>
      </c>
      <c r="C34" s="5" t="s">
        <v>94</v>
      </c>
      <c r="D34" s="5">
        <f t="shared" si="1"/>
        <v>250</v>
      </c>
      <c r="E34" s="5" t="s">
        <v>95</v>
      </c>
    </row>
    <row r="35" spans="1:5" ht="15.75" customHeight="1" x14ac:dyDescent="0.25">
      <c r="A35" s="5"/>
      <c r="B35" s="5"/>
      <c r="C35" s="5"/>
      <c r="D35" s="5"/>
      <c r="E35" s="5"/>
    </row>
    <row r="36" spans="1:5" ht="15.75" customHeight="1" x14ac:dyDescent="0.25">
      <c r="A36" s="5" t="s">
        <v>90</v>
      </c>
      <c r="B36" s="5">
        <f>D36*0.02</f>
        <v>60</v>
      </c>
      <c r="C36" s="5" t="s">
        <v>94</v>
      </c>
      <c r="D36" s="5">
        <f>50*60</f>
        <v>3000</v>
      </c>
      <c r="E36" s="5" t="s">
        <v>95</v>
      </c>
    </row>
    <row r="37" spans="1:5" ht="15.75" customHeight="1" x14ac:dyDescent="0.25">
      <c r="A37" s="5" t="s">
        <v>93</v>
      </c>
      <c r="B37" s="5">
        <f t="shared" ref="B37:B39" si="2">D37*0.02</f>
        <v>60</v>
      </c>
      <c r="C37" s="5" t="s">
        <v>94</v>
      </c>
      <c r="D37" s="5">
        <f>50*60</f>
        <v>3000</v>
      </c>
      <c r="E37" s="5" t="s">
        <v>95</v>
      </c>
    </row>
    <row r="38" spans="1:5" ht="15.75" customHeight="1" x14ac:dyDescent="0.25">
      <c r="A38" s="5" t="s">
        <v>91</v>
      </c>
      <c r="B38" s="5">
        <f t="shared" si="2"/>
        <v>4.8</v>
      </c>
      <c r="C38" s="5" t="s">
        <v>94</v>
      </c>
      <c r="D38" s="5">
        <f>4*60</f>
        <v>240</v>
      </c>
      <c r="E38" s="5" t="s">
        <v>95</v>
      </c>
    </row>
    <row r="39" spans="1:5" ht="15.75" customHeight="1" x14ac:dyDescent="0.25">
      <c r="A39" s="5" t="s">
        <v>92</v>
      </c>
      <c r="B39" s="5">
        <f t="shared" si="2"/>
        <v>0</v>
      </c>
      <c r="C39" s="5" t="s">
        <v>94</v>
      </c>
      <c r="D39" s="5">
        <v>0</v>
      </c>
      <c r="E39" s="5" t="s">
        <v>95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Slicer Speed and Width Calc</vt:lpstr>
      <vt:lpstr>Misc Slicer Settings</vt:lpstr>
      <vt:lpstr>E-Steps Calibration</vt:lpstr>
      <vt:lpstr>FlowRate Calibration</vt:lpstr>
      <vt:lpstr>Ender Spec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2019-04-04T18:53:11Z</dcterms:modified>
</cp:coreProperties>
</file>