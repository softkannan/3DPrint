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3DPrint\Calibration\"/>
    </mc:Choice>
  </mc:AlternateContent>
  <xr:revisionPtr revIDLastSave="0" documentId="13_ncr:1_{6F3B5539-278D-447C-B375-AA3F725E6B0B}" xr6:coauthVersionLast="41" xr6:coauthVersionMax="41" xr10:uidLastSave="{00000000-0000-0000-0000-000000000000}"/>
  <bookViews>
    <workbookView xWindow="11112" yWindow="4260" windowWidth="18432" windowHeight="9744" xr2:uid="{6DB58DD5-5CAC-4F8C-9FA2-0076AA18941D}"/>
  </bookViews>
  <sheets>
    <sheet name="Speed Estimation" sheetId="1" r:id="rId1"/>
  </sheets>
  <definedNames>
    <definedName name="_xlnm._FilterDatabase" localSheetId="0" hidden="1">'Speed Estimation'!$A$1:$D$21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B3" i="1"/>
  <c r="D20" i="1" l="1"/>
  <c r="B8" i="1"/>
  <c r="B7" i="1"/>
  <c r="D5" i="1" l="1"/>
  <c r="D9" i="1"/>
  <c r="D13" i="1"/>
  <c r="D17" i="1"/>
  <c r="D21" i="1"/>
  <c r="D2" i="1"/>
  <c r="D6" i="1"/>
  <c r="D10" i="1"/>
  <c r="D14" i="1"/>
  <c r="D18" i="1"/>
  <c r="D3" i="1"/>
  <c r="D7" i="1"/>
  <c r="D11" i="1"/>
  <c r="H4" i="1" s="1"/>
  <c r="D15" i="1"/>
  <c r="D19" i="1"/>
  <c r="D4" i="1"/>
  <c r="D8" i="1"/>
  <c r="D12" i="1"/>
  <c r="D16" i="1"/>
  <c r="H9" i="1" l="1"/>
  <c r="J9" i="1" s="1"/>
  <c r="H6" i="1"/>
  <c r="J3" i="1"/>
  <c r="H5" i="1"/>
  <c r="J5" i="1" s="1"/>
  <c r="J4" i="1" s="1"/>
  <c r="H14" i="1"/>
  <c r="J14" i="1" s="1"/>
  <c r="H10" i="1"/>
  <c r="H11" i="1" l="1"/>
  <c r="J11" i="1" s="1"/>
  <c r="J10" i="1"/>
  <c r="J6" i="1"/>
  <c r="J8" i="1"/>
  <c r="J13" i="1" s="1"/>
  <c r="H7" i="1"/>
  <c r="H8" i="1"/>
  <c r="H12" i="1" l="1"/>
  <c r="J12" i="1" s="1"/>
  <c r="J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E9D1077F-CD2E-4986-9C83-45F2D510C43F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<sst xmlns="http://schemas.openxmlformats.org/spreadsheetml/2006/main" count="47" uniqueCount="42">
  <si>
    <t>Nozzle Size</t>
  </si>
  <si>
    <t>Meterial</t>
  </si>
  <si>
    <t>Meterial Volumetric Speed</t>
  </si>
  <si>
    <t>Layer Height</t>
  </si>
  <si>
    <t>Max Speed</t>
  </si>
  <si>
    <t>Max Print Speed</t>
  </si>
  <si>
    <t>PLA</t>
  </si>
  <si>
    <t>PETG</t>
  </si>
  <si>
    <t>TPU</t>
  </si>
  <si>
    <t>ABS</t>
  </si>
  <si>
    <t>NYLON</t>
  </si>
  <si>
    <t>Meterial Info</t>
  </si>
  <si>
    <t>Min Speed</t>
  </si>
  <si>
    <t>Min Layer Height</t>
  </si>
  <si>
    <t>Max Layer Height</t>
  </si>
  <si>
    <t>CURA Speed Values</t>
  </si>
  <si>
    <t>Slic3r Speed Values</t>
  </si>
  <si>
    <t>speed_print</t>
  </si>
  <si>
    <t>speed_wall</t>
  </si>
  <si>
    <t>speed_wall_x</t>
  </si>
  <si>
    <t>speed_infill</t>
  </si>
  <si>
    <t>speed_topbottom</t>
  </si>
  <si>
    <t>speed_layer_0</t>
  </si>
  <si>
    <t>speed_support</t>
  </si>
  <si>
    <t>Type</t>
  </si>
  <si>
    <t>Speed</t>
  </si>
  <si>
    <t>speed_wall_0</t>
  </si>
  <si>
    <t>perimeter_speed</t>
  </si>
  <si>
    <t>small_perimeter_speed</t>
  </si>
  <si>
    <t>external_perimeter_speed</t>
  </si>
  <si>
    <t>infill_speed</t>
  </si>
  <si>
    <t>solid_infill_speed</t>
  </si>
  <si>
    <t>top_solid_infill_speed</t>
  </si>
  <si>
    <t>support_material_speed</t>
  </si>
  <si>
    <t>support_material_interface_speed</t>
  </si>
  <si>
    <t>bridge_speed</t>
  </si>
  <si>
    <t>gap_fill_speed</t>
  </si>
  <si>
    <t>first_layer_speed</t>
  </si>
  <si>
    <t>speed_support_interface</t>
  </si>
  <si>
    <t>cool_min_speed</t>
  </si>
  <si>
    <t>bridge_wall_speed</t>
  </si>
  <si>
    <t>max_print_speed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</si>
</sst>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1" fontId="0" fillId="0" borderId="1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3" borderId="1" xfId="0" applyFill="1" applyBorder="1" applyAlignment="1">
      <alignment wrapText="1"/>
    </xf>
    <xf numFmtId="2" fontId="0" fillId="4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2" borderId="1" xfId="0" applyFill="1" applyBorder="1"/>
    <xf numFmtId="0" fontId="0" fillId="0" borderId="1" xfId="0" applyBorder="1" applyAlignment="1">
      <alignment horizontal="right"/>
    </xf>
    <xf numFmtId="0" fontId="0" fillId="3" borderId="1" xfId="0" applyFill="1" applyBorder="1"/>
    <xf numFmtId="0" fontId="0" fillId="0" borderId="1" xfId="0" applyBorder="1"/>
    <xf numFmtId="0" fontId="0" fillId="5" borderId="1" xfId="0" applyFill="1" applyBorder="1"/>
    <xf numFmtId="1" fontId="0" fillId="0" borderId="0" xfId="0" applyNumberFormat="1"/>
  </cellXfs>
  <cellStyles count="1">
    <cellStyle name="Normal" xfId="0" builtinId="0"/>
  </cellStyles>
  <dxfs count="19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05C87-5B7E-4245-A684-85596A8DFB7A}">
  <dimension ref="A1:J32"/>
  <sheetViews>
    <sheetView tabSelected="1" workbookViewId="0">
      <selection activeCell="C38" sqref="C38"/>
    </sheetView>
  </sheetViews>
  <sheetFormatPr defaultRowHeight="14.4" x14ac:dyDescent="0.3"/>
  <cols>
    <col min="1" max="1" width="14.77734375" bestFit="1" customWidth="1"/>
    <col min="2" max="2" width="11.21875" customWidth="1"/>
    <col min="3" max="3" width="13.33203125" bestFit="1" customWidth="1"/>
    <col min="4" max="4" width="16.44140625" bestFit="1" customWidth="1"/>
    <col min="6" max="6" width="11.109375" bestFit="1" customWidth="1"/>
    <col min="7" max="7" width="20.44140625" customWidth="1"/>
    <col min="9" max="9" width="29.6640625" bestFit="1" customWidth="1"/>
  </cols>
  <sheetData>
    <row r="1" spans="1:10" x14ac:dyDescent="0.3">
      <c r="A1" s="4" t="s">
        <v>0</v>
      </c>
      <c r="B1" s="5" t="s">
        <v>1</v>
      </c>
      <c r="C1" s="4" t="s">
        <v>3</v>
      </c>
      <c r="D1" s="4" t="s">
        <v>5</v>
      </c>
      <c r="F1" s="4"/>
      <c r="G1" s="11" t="s">
        <v>15</v>
      </c>
      <c r="H1" s="12"/>
      <c r="I1" s="11" t="s">
        <v>16</v>
      </c>
      <c r="J1" s="12"/>
    </row>
    <row r="2" spans="1:10" x14ac:dyDescent="0.3">
      <c r="A2" s="1">
        <v>0.5</v>
      </c>
      <c r="B2" s="10" t="s">
        <v>6</v>
      </c>
      <c r="C2" s="1">
        <v>0.04</v>
      </c>
      <c r="D2" s="3">
        <f>B3/((A2*1.2)*C2)</f>
        <v>479.16666666666663</v>
      </c>
      <c r="F2" s="13" t="s">
        <v>3</v>
      </c>
      <c r="G2" s="13" t="s">
        <v>24</v>
      </c>
      <c r="H2" s="13" t="s">
        <v>25</v>
      </c>
      <c r="I2" s="13" t="s">
        <v>24</v>
      </c>
      <c r="J2" s="13" t="s">
        <v>25</v>
      </c>
    </row>
    <row r="3" spans="1:10" x14ac:dyDescent="0.3">
      <c r="B3" s="2">
        <f>VLOOKUP($B$2,$A$25:$B$32,2,FALSE)</f>
        <v>11.5</v>
      </c>
      <c r="C3" s="1">
        <v>0.08</v>
      </c>
      <c r="D3" s="3">
        <f>B3/((A2*1.2)*C3)</f>
        <v>239.58333333333331</v>
      </c>
      <c r="F3">
        <v>0.4</v>
      </c>
      <c r="G3" t="s">
        <v>39</v>
      </c>
      <c r="H3" s="14">
        <f>D25</f>
        <v>15</v>
      </c>
      <c r="I3" t="s">
        <v>41</v>
      </c>
      <c r="J3" s="14">
        <f>H4</f>
        <v>47.916666666666671</v>
      </c>
    </row>
    <row r="4" spans="1:10" x14ac:dyDescent="0.3">
      <c r="C4" s="1">
        <v>0.12</v>
      </c>
      <c r="D4" s="3">
        <f>B3/((A2*1.2)*C4)</f>
        <v>159.72222222222223</v>
      </c>
      <c r="G4" t="s">
        <v>17</v>
      </c>
      <c r="H4" s="14">
        <f>MIN(VLOOKUP(B2,A25:D32,3,FALSE),VLOOKUP(F3,C2:D21,2,FALSE))</f>
        <v>47.916666666666671</v>
      </c>
      <c r="I4" t="s">
        <v>31</v>
      </c>
      <c r="J4" s="14">
        <f>J5*0.75</f>
        <v>35.9375</v>
      </c>
    </row>
    <row r="5" spans="1:10" x14ac:dyDescent="0.3">
      <c r="C5" s="1">
        <v>0.16</v>
      </c>
      <c r="D5" s="3">
        <f>B3/((A2*1.2)*C5)</f>
        <v>119.79166666666666</v>
      </c>
      <c r="G5" t="s">
        <v>20</v>
      </c>
      <c r="H5" s="14">
        <f>H4</f>
        <v>47.916666666666671</v>
      </c>
      <c r="I5" t="s">
        <v>30</v>
      </c>
      <c r="J5" s="14">
        <f>H5</f>
        <v>47.916666666666671</v>
      </c>
    </row>
    <row r="6" spans="1:10" x14ac:dyDescent="0.3">
      <c r="C6" s="1">
        <v>0.2</v>
      </c>
      <c r="D6" s="3">
        <f>B3/((A2*1.2)*C6)</f>
        <v>95.833333333333343</v>
      </c>
      <c r="G6" t="s">
        <v>18</v>
      </c>
      <c r="H6" s="14">
        <f>H4/2</f>
        <v>23.958333333333336</v>
      </c>
      <c r="I6" t="s">
        <v>27</v>
      </c>
      <c r="J6" s="14">
        <f>H6</f>
        <v>23.958333333333336</v>
      </c>
    </row>
    <row r="7" spans="1:10" x14ac:dyDescent="0.3">
      <c r="A7" s="8" t="s">
        <v>13</v>
      </c>
      <c r="B7" s="7">
        <f>A2*0.2</f>
        <v>0.1</v>
      </c>
      <c r="C7" s="1">
        <v>0.24</v>
      </c>
      <c r="D7" s="3">
        <f>B3/((A2*1.2)*C7)</f>
        <v>79.861111111111114</v>
      </c>
      <c r="G7" t="s">
        <v>26</v>
      </c>
      <c r="H7" s="14">
        <f>H6</f>
        <v>23.958333333333336</v>
      </c>
      <c r="I7" t="s">
        <v>29</v>
      </c>
      <c r="J7" s="14">
        <f>H7</f>
        <v>23.958333333333336</v>
      </c>
    </row>
    <row r="8" spans="1:10" x14ac:dyDescent="0.3">
      <c r="A8" s="8" t="s">
        <v>14</v>
      </c>
      <c r="B8" s="7">
        <f>A2*0.8</f>
        <v>0.4</v>
      </c>
      <c r="C8" s="1">
        <v>0.28000000000000003</v>
      </c>
      <c r="D8" s="3">
        <f>B3/((A2*1.2)*C8)</f>
        <v>68.452380952380949</v>
      </c>
      <c r="G8" t="s">
        <v>19</v>
      </c>
      <c r="H8" s="14">
        <f>H6*2</f>
        <v>47.916666666666671</v>
      </c>
      <c r="I8" t="s">
        <v>28</v>
      </c>
      <c r="J8" s="14">
        <f>H6*0.56</f>
        <v>13.41666666666667</v>
      </c>
    </row>
    <row r="9" spans="1:10" x14ac:dyDescent="0.3">
      <c r="C9" s="1">
        <v>0.32</v>
      </c>
      <c r="D9" s="3">
        <f>B3/((A2*1.2)*C9)</f>
        <v>59.895833333333329</v>
      </c>
      <c r="G9" t="s">
        <v>21</v>
      </c>
      <c r="H9" s="14">
        <f>H4/2</f>
        <v>23.958333333333336</v>
      </c>
      <c r="I9" t="s">
        <v>32</v>
      </c>
      <c r="J9" s="14">
        <f>H9</f>
        <v>23.958333333333336</v>
      </c>
    </row>
    <row r="10" spans="1:10" x14ac:dyDescent="0.3">
      <c r="C10" s="1">
        <v>0.36</v>
      </c>
      <c r="D10" s="3">
        <f>B3/((A2*1.2)*C10)</f>
        <v>53.24074074074074</v>
      </c>
      <c r="G10" t="s">
        <v>23</v>
      </c>
      <c r="H10" s="14">
        <f>H4</f>
        <v>47.916666666666671</v>
      </c>
      <c r="I10" t="s">
        <v>33</v>
      </c>
      <c r="J10" s="14">
        <f>H10</f>
        <v>47.916666666666671</v>
      </c>
    </row>
    <row r="11" spans="1:10" x14ac:dyDescent="0.3">
      <c r="C11" s="1">
        <v>0.4</v>
      </c>
      <c r="D11" s="3">
        <f>B3/((A2*1.2)*C11)</f>
        <v>47.916666666666671</v>
      </c>
      <c r="G11" t="s">
        <v>38</v>
      </c>
      <c r="H11" s="14">
        <f>H10/1.5</f>
        <v>31.944444444444446</v>
      </c>
      <c r="I11" t="s">
        <v>34</v>
      </c>
      <c r="J11" s="14">
        <f>H11</f>
        <v>31.944444444444446</v>
      </c>
    </row>
    <row r="12" spans="1:10" x14ac:dyDescent="0.3">
      <c r="C12" s="1">
        <v>0.44</v>
      </c>
      <c r="D12" s="3">
        <f>B3/((A2*1.2)*C12)</f>
        <v>43.560606060606055</v>
      </c>
      <c r="G12" t="s">
        <v>40</v>
      </c>
      <c r="H12" s="14">
        <f>MAX(H3, H7 / 2)</f>
        <v>15</v>
      </c>
      <c r="I12" t="s">
        <v>35</v>
      </c>
      <c r="J12" s="14">
        <f>H12</f>
        <v>15</v>
      </c>
    </row>
    <row r="13" spans="1:10" x14ac:dyDescent="0.3">
      <c r="C13" s="1">
        <v>0.48</v>
      </c>
      <c r="D13" s="3">
        <f>B3/((A2*1.2)*C13)</f>
        <v>39.930555555555557</v>
      </c>
      <c r="H13" s="14"/>
      <c r="I13" t="s">
        <v>36</v>
      </c>
      <c r="J13" s="14">
        <f>J8</f>
        <v>13.41666666666667</v>
      </c>
    </row>
    <row r="14" spans="1:10" x14ac:dyDescent="0.3">
      <c r="C14" s="1">
        <v>0.52</v>
      </c>
      <c r="D14" s="3">
        <f>B3/((A2*1.2)*C14)</f>
        <v>36.858974358974358</v>
      </c>
      <c r="G14" t="s">
        <v>22</v>
      </c>
      <c r="H14" s="14">
        <f>H4 * 30 / 60</f>
        <v>23.958333333333336</v>
      </c>
      <c r="I14" t="s">
        <v>37</v>
      </c>
      <c r="J14" s="14">
        <f>H14</f>
        <v>23.958333333333336</v>
      </c>
    </row>
    <row r="15" spans="1:10" x14ac:dyDescent="0.3">
      <c r="C15" s="1">
        <v>0.56000000000000005</v>
      </c>
      <c r="D15" s="3">
        <f>B3/((A2*1.2)*C15)</f>
        <v>34.226190476190474</v>
      </c>
    </row>
    <row r="16" spans="1:10" x14ac:dyDescent="0.3">
      <c r="C16" s="1">
        <v>0.6</v>
      </c>
      <c r="D16" s="3">
        <f>B3/((A2*1.2)*C16)</f>
        <v>31.944444444444446</v>
      </c>
    </row>
    <row r="17" spans="1:8" x14ac:dyDescent="0.3">
      <c r="C17" s="1">
        <v>0.64</v>
      </c>
      <c r="D17" s="3">
        <f>B3/((A2*1.2)*C17)</f>
        <v>29.947916666666664</v>
      </c>
      <c r="H17" s="14"/>
    </row>
    <row r="18" spans="1:8" x14ac:dyDescent="0.3">
      <c r="C18" s="1">
        <v>0.68</v>
      </c>
      <c r="D18" s="3">
        <f>B3/((A2*1.2)*C18)</f>
        <v>28.186274509803919</v>
      </c>
    </row>
    <row r="19" spans="1:8" x14ac:dyDescent="0.3">
      <c r="C19" s="1">
        <v>0.72</v>
      </c>
      <c r="D19" s="3">
        <f>B3/((A2*1.2)*C19)</f>
        <v>26.62037037037037</v>
      </c>
    </row>
    <row r="20" spans="1:8" x14ac:dyDescent="0.3">
      <c r="C20" s="1">
        <v>0.76</v>
      </c>
      <c r="D20" s="3">
        <f>B3/((A2*1.2)*C20)</f>
        <v>25.219298245614038</v>
      </c>
    </row>
    <row r="21" spans="1:8" x14ac:dyDescent="0.3">
      <c r="C21" s="1">
        <v>0.8</v>
      </c>
      <c r="D21" s="3">
        <f>B3/((A2*1.2)*C21)</f>
        <v>23.958333333333336</v>
      </c>
    </row>
    <row r="23" spans="1:8" x14ac:dyDescent="0.3">
      <c r="A23" s="9" t="s">
        <v>11</v>
      </c>
      <c r="B23" s="9"/>
      <c r="C23" s="9"/>
      <c r="D23" s="9"/>
    </row>
    <row r="24" spans="1:8" ht="43.2" x14ac:dyDescent="0.3">
      <c r="A24" s="4" t="s">
        <v>1</v>
      </c>
      <c r="B24" s="6" t="s">
        <v>2</v>
      </c>
      <c r="C24" s="4" t="s">
        <v>4</v>
      </c>
      <c r="D24" s="4" t="s">
        <v>12</v>
      </c>
    </row>
    <row r="25" spans="1:8" x14ac:dyDescent="0.3">
      <c r="A25" s="1" t="s">
        <v>6</v>
      </c>
      <c r="B25" s="1">
        <v>11.5</v>
      </c>
      <c r="C25" s="1">
        <v>60</v>
      </c>
      <c r="D25" s="1">
        <v>15</v>
      </c>
    </row>
    <row r="26" spans="1:8" x14ac:dyDescent="0.3">
      <c r="A26" s="1" t="s">
        <v>7</v>
      </c>
      <c r="B26" s="1">
        <v>8</v>
      </c>
      <c r="C26" s="1">
        <v>60</v>
      </c>
      <c r="D26" s="1">
        <v>15</v>
      </c>
    </row>
    <row r="27" spans="1:8" x14ac:dyDescent="0.3">
      <c r="A27" s="1" t="s">
        <v>8</v>
      </c>
      <c r="B27" s="1"/>
      <c r="C27" s="1">
        <v>60</v>
      </c>
      <c r="D27" s="1">
        <v>15</v>
      </c>
    </row>
    <row r="28" spans="1:8" x14ac:dyDescent="0.3">
      <c r="A28" s="1" t="s">
        <v>9</v>
      </c>
      <c r="B28" s="1"/>
      <c r="C28" s="1">
        <v>60</v>
      </c>
      <c r="D28" s="1">
        <v>15</v>
      </c>
    </row>
    <row r="29" spans="1:8" x14ac:dyDescent="0.3">
      <c r="A29" s="1" t="s">
        <v>10</v>
      </c>
      <c r="B29" s="1"/>
      <c r="C29" s="1">
        <v>60</v>
      </c>
      <c r="D29" s="1">
        <v>15</v>
      </c>
    </row>
    <row r="30" spans="1:8" x14ac:dyDescent="0.3">
      <c r="A30" s="1"/>
      <c r="B30" s="1"/>
      <c r="C30" s="1">
        <v>60</v>
      </c>
      <c r="D30" s="1">
        <v>15</v>
      </c>
    </row>
    <row r="31" spans="1:8" x14ac:dyDescent="0.3">
      <c r="A31" s="1"/>
      <c r="B31" s="1"/>
      <c r="C31" s="1">
        <v>60</v>
      </c>
      <c r="D31" s="1">
        <v>15</v>
      </c>
    </row>
    <row r="32" spans="1:8" x14ac:dyDescent="0.3">
      <c r="A32" s="1"/>
      <c r="B32" s="1"/>
      <c r="C32" s="1">
        <v>60</v>
      </c>
      <c r="D32" s="1">
        <v>15</v>
      </c>
    </row>
  </sheetData>
  <autoFilter ref="A1:D21" xr:uid="{C307C72A-B94A-4122-98B0-43E52096EC03}"/>
  <mergeCells count="3">
    <mergeCell ref="A23:D23"/>
    <mergeCell ref="I1:J1"/>
    <mergeCell ref="G1:H1"/>
  </mergeCells>
  <conditionalFormatting sqref="C2:D21">
    <cfRule type="expression" dxfId="4" priority="4">
      <formula>NOT(AND($C2 &gt;= $B$7, $C2 &lt;= $B$8))</formula>
    </cfRule>
    <cfRule type="expression" dxfId="3" priority="5">
      <formula>AND($C2 &gt;= $B$7, $C2 &lt;= $B$8)</formula>
    </cfRule>
  </conditionalFormatting>
  <conditionalFormatting sqref="F3">
    <cfRule type="cellIs" dxfId="2" priority="1" operator="lessThan">
      <formula>$B$7</formula>
    </cfRule>
    <cfRule type="cellIs" dxfId="1" priority="2" operator="greaterThan">
      <formula>$B$8</formula>
    </cfRule>
    <cfRule type="cellIs" dxfId="0" priority="3" operator="between">
      <formula>$B$7</formula>
      <formula>$B$8</formula>
    </cfRule>
  </conditionalFormatting>
  <dataValidations count="3">
    <dataValidation type="list" allowBlank="1" showInputMessage="1" showErrorMessage="1" sqref="A2" xr:uid="{5D867062-446A-46A2-9D13-B2D58704D675}">
      <formula1>"0.2,0.3,0.4,0.5,0.6,0.7,0.8,0.9,1.0"</formula1>
    </dataValidation>
    <dataValidation type="list" allowBlank="1" showInputMessage="1" showErrorMessage="1" sqref="B2" xr:uid="{8321BCAF-C775-4836-A5A0-EA64F1380EBE}">
      <formula1>OFFSET($A$25:$A$32,0,0,COUNTA($A$25:$A$32),1)</formula1>
    </dataValidation>
    <dataValidation type="list" allowBlank="1" showInputMessage="1" showErrorMessage="1" sqref="F3" xr:uid="{A0B5E031-61AD-4744-95BD-9324F2BA324F}">
      <formula1>$C$2:$C$21</formula1>
    </dataValidation>
  </dataValidations>
  <pageMargins left="0.7" right="0.7" top="0.75" bottom="0.75" header="0.3" footer="0.3"/>
  <pageSetup orientation="portrait" horizontalDpi="300" verticalDpi="300" r:id="rId1"/>
  <ignoredErrors>
    <ignoredError sqref="H6 J8 J13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Speed Estimation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2019-03-29T15:24:35Z</dcterms:created>
  <dcterms:modified xsi:type="dcterms:W3CDTF">2019-03-29T19:39:25Z</dcterms:modified>
</cp:coreProperties>
</file>