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C:\GitHub\3DPrint\calibration\"/>
    </mc:Choice>
  </mc:AlternateContent>
  <xr:revisionPtr revIDLastSave="0" documentId="13_ncr:1_{BD0E7E14-FD7C-4C9E-97D8-8076863D2AA7}" xr6:coauthVersionLast="45" xr6:coauthVersionMax="45" xr10:uidLastSave="{00000000-0000-0000-0000-000000000000}"/>
  <bookViews>
    <workbookView xWindow="-108" yWindow="-108" windowWidth="30936" windowHeight="16920" activeTab="1" xr2:uid="{00000000-000D-0000-FFFF-FFFF00000000}"/>
  </bookViews>
  <sheets>
    <sheet name="Manual Calibration Readme" sheetId="10" r:id="rId1"/>
    <sheet name="Manual_Calibration" sheetId="1" r:id="rId2"/>
    <sheet name="Beta_Calibration" sheetId="13" r:id="rId3"/>
    <sheet name="SteinhartHart_Calibration" sheetId="12" r:id="rId4"/>
    <sheet name="Comparison Temperature Chart" sheetId="15" r:id="rId5"/>
    <sheet name="Comparison Voltage Chart" sheetId="16" r:id="rId6"/>
  </sheets>
  <functionGroups builtInGroupCount="19"/>
  <definedNames>
    <definedName name="BETA_ADC_MAX_VALUE">Beta_Calibration!$B$13</definedName>
    <definedName name="BETA_ADC_RESOLUTION">Beta_Calibration!$B$12</definedName>
    <definedName name="BETA_BETA_VAL">Beta_Calibration!$B$4</definedName>
    <definedName name="BETA_OVERSAMPLENR">Beta_Calibration!$B$10</definedName>
    <definedName name="BETA_PULL_UP">Beta_Calibration!$B$8</definedName>
    <definedName name="BETA_R0">Beta_Calibration!$B$2</definedName>
    <definedName name="BETA_R25">Beta_Calibration!$B$11</definedName>
    <definedName name="BETA_T0">Beta_Calibration!$B$3</definedName>
    <definedName name="BETA_T0_IN_K">Beta_Calibration!$D$3</definedName>
    <definedName name="BETA_VIN">Beta_Calibration!$B$9</definedName>
    <definedName name="SH_ADC_MAX_VALUE">SteinhartHart_Calibration!$B$6</definedName>
    <definedName name="SH_ADC_RESOLUTION">SteinhartHart_Calibration!$B$5</definedName>
    <definedName name="SH_OVERSAMPLENR">SteinhartHart_Calibration!$B$3</definedName>
    <definedName name="SH_PULLUP">SteinhartHart_Calibration!$B$1</definedName>
    <definedName name="SH_R25">SteinhartHart_Calibration!$B$4</definedName>
    <definedName name="SH_VIN">SteinhartHart_Calibration!$B$2</definedName>
    <definedName name="USER_ADC_MAX_VALUE">Manual_Calibration!$B$9</definedName>
    <definedName name="USER_ADC_RESOLUTION">Manual_Calibration!$B$8</definedName>
    <definedName name="USER_BETA_VAL">Manual_Calibration!$B$7</definedName>
    <definedName name="USER_OVERSAMPLER">Manual_Calibration!$B$4</definedName>
    <definedName name="USER_PULLUP">Manual_Calibration!$B$2</definedName>
    <definedName name="USER_R0">Manual_Calibration!$B$5</definedName>
    <definedName name="USER_R25">Manual_Calibration!$B$5</definedName>
    <definedName name="USER_T0">Manual_Calibration!$B$6</definedName>
    <definedName name="USER_T0_IN_K">Manual_Calibration!$F$6</definedName>
    <definedName name="USER_VIN">Manual_Calibration!$B$3</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2" i="13" l="1"/>
  <c r="I2" i="13"/>
  <c r="D3" i="13"/>
  <c r="F6" i="1"/>
  <c r="L2" i="13" l="1"/>
  <c r="M2" i="13" s="1"/>
  <c r="K2" i="13"/>
  <c r="K3" i="13"/>
  <c r="L3" i="13" s="1"/>
  <c r="M3" i="13" s="1"/>
  <c r="J3" i="13"/>
  <c r="J4" i="13"/>
  <c r="K4" i="13" s="1"/>
  <c r="L4" i="13" s="1"/>
  <c r="M4" i="13" s="1"/>
  <c r="I3" i="13"/>
  <c r="I4" i="13"/>
  <c r="R2" i="12"/>
  <c r="R3" i="12"/>
  <c r="R4" i="12"/>
  <c r="Q2" i="12"/>
  <c r="Q3" i="12"/>
  <c r="Q4" i="12"/>
  <c r="P2" i="12"/>
  <c r="P3" i="12"/>
  <c r="P4" i="12"/>
  <c r="O2" i="12"/>
  <c r="O3" i="12"/>
  <c r="O4" i="12"/>
  <c r="N2" i="12"/>
  <c r="N3" i="12"/>
  <c r="N4" i="12"/>
  <c r="M2" i="12"/>
  <c r="M3" i="12"/>
  <c r="M4" i="12"/>
  <c r="L2" i="12"/>
  <c r="L3" i="12"/>
  <c r="L4" i="12"/>
  <c r="B13" i="13"/>
  <c r="B6" i="12"/>
  <c r="B9" i="1"/>
  <c r="C51" i="1" s="1"/>
  <c r="F19" i="1"/>
  <c r="G19" i="1" s="1"/>
  <c r="H19" i="1" s="1"/>
  <c r="I19" i="1" s="1"/>
  <c r="F18" i="1"/>
  <c r="G18" i="1" s="1"/>
  <c r="H18" i="1" s="1"/>
  <c r="I18" i="1" s="1"/>
  <c r="F20" i="1"/>
  <c r="G20" i="1" s="1"/>
  <c r="H20" i="1" s="1"/>
  <c r="I20" i="1" s="1"/>
  <c r="F21" i="1"/>
  <c r="G21" i="1" s="1"/>
  <c r="H21" i="1" s="1"/>
  <c r="I21" i="1" s="1"/>
  <c r="F22" i="1"/>
  <c r="G22" i="1" s="1"/>
  <c r="H22" i="1" s="1"/>
  <c r="I22" i="1" s="1"/>
  <c r="F23" i="1"/>
  <c r="G23" i="1" s="1"/>
  <c r="H23" i="1" s="1"/>
  <c r="I23" i="1" s="1"/>
  <c r="F24" i="1"/>
  <c r="G24" i="1" s="1"/>
  <c r="H24" i="1" s="1"/>
  <c r="I24" i="1" s="1"/>
  <c r="F25" i="1"/>
  <c r="G25" i="1" s="1"/>
  <c r="H25" i="1" s="1"/>
  <c r="I25" i="1" s="1"/>
  <c r="F26" i="1"/>
  <c r="G26" i="1" s="1"/>
  <c r="H26" i="1" s="1"/>
  <c r="I26" i="1" s="1"/>
  <c r="F27" i="1"/>
  <c r="G27" i="1" s="1"/>
  <c r="H27" i="1" s="1"/>
  <c r="I27" i="1" s="1"/>
  <c r="F28" i="1"/>
  <c r="G28" i="1" s="1"/>
  <c r="H28" i="1" s="1"/>
  <c r="I28" i="1" s="1"/>
  <c r="F29" i="1"/>
  <c r="G29" i="1" s="1"/>
  <c r="H29" i="1" s="1"/>
  <c r="I29" i="1" s="1"/>
  <c r="F30" i="1"/>
  <c r="G30" i="1" s="1"/>
  <c r="H30" i="1" s="1"/>
  <c r="I30" i="1" s="1"/>
  <c r="F31" i="1"/>
  <c r="G31" i="1" s="1"/>
  <c r="H31" i="1" s="1"/>
  <c r="I31" i="1" s="1"/>
  <c r="F32" i="1"/>
  <c r="G32" i="1" s="1"/>
  <c r="H32" i="1" s="1"/>
  <c r="I32" i="1" s="1"/>
  <c r="F33" i="1"/>
  <c r="G33" i="1" s="1"/>
  <c r="H33" i="1" s="1"/>
  <c r="I33" i="1" s="1"/>
  <c r="F34" i="1"/>
  <c r="G34" i="1" s="1"/>
  <c r="H34" i="1" s="1"/>
  <c r="I34" i="1" s="1"/>
  <c r="F35" i="1"/>
  <c r="G35" i="1" s="1"/>
  <c r="H35" i="1" s="1"/>
  <c r="I35" i="1" s="1"/>
  <c r="F36" i="1"/>
  <c r="G36" i="1" s="1"/>
  <c r="H36" i="1" s="1"/>
  <c r="I36" i="1" s="1"/>
  <c r="F37" i="1"/>
  <c r="G37" i="1" s="1"/>
  <c r="H37" i="1" s="1"/>
  <c r="I37" i="1" s="1"/>
  <c r="F38" i="1"/>
  <c r="G38" i="1" s="1"/>
  <c r="H38" i="1" s="1"/>
  <c r="I38" i="1" s="1"/>
  <c r="F39" i="1"/>
  <c r="G39" i="1" s="1"/>
  <c r="H39" i="1" s="1"/>
  <c r="I39" i="1" s="1"/>
  <c r="F40" i="1"/>
  <c r="G40" i="1" s="1"/>
  <c r="H40" i="1" s="1"/>
  <c r="I40" i="1" s="1"/>
  <c r="F41" i="1"/>
  <c r="G41" i="1" s="1"/>
  <c r="H41" i="1" s="1"/>
  <c r="I41" i="1" s="1"/>
  <c r="F42" i="1"/>
  <c r="G42" i="1" s="1"/>
  <c r="H42" i="1" s="1"/>
  <c r="I42" i="1" s="1"/>
  <c r="F43" i="1"/>
  <c r="G43" i="1" s="1"/>
  <c r="H43" i="1" s="1"/>
  <c r="I43" i="1" s="1"/>
  <c r="F44" i="1"/>
  <c r="G44" i="1" s="1"/>
  <c r="H44" i="1" s="1"/>
  <c r="I44" i="1" s="1"/>
  <c r="F45" i="1"/>
  <c r="G45" i="1" s="1"/>
  <c r="H45" i="1" s="1"/>
  <c r="I45" i="1" s="1"/>
  <c r="F46" i="1"/>
  <c r="G46" i="1" s="1"/>
  <c r="H46" i="1" s="1"/>
  <c r="I46" i="1" s="1"/>
  <c r="F47" i="1"/>
  <c r="G47" i="1" s="1"/>
  <c r="H47" i="1" s="1"/>
  <c r="I47" i="1" s="1"/>
  <c r="F48" i="1"/>
  <c r="G48" i="1" s="1"/>
  <c r="H48" i="1" s="1"/>
  <c r="I48" i="1" s="1"/>
  <c r="F49" i="1"/>
  <c r="G49" i="1" s="1"/>
  <c r="H49" i="1" s="1"/>
  <c r="I49" i="1" s="1"/>
  <c r="F50" i="1"/>
  <c r="G50" i="1" s="1"/>
  <c r="H50" i="1" s="1"/>
  <c r="I50" i="1" s="1"/>
  <c r="F51" i="1"/>
  <c r="G51" i="1" s="1"/>
  <c r="H51" i="1" s="1"/>
  <c r="I51" i="1" s="1"/>
  <c r="F52" i="1"/>
  <c r="G52" i="1" s="1"/>
  <c r="H52" i="1" s="1"/>
  <c r="I52" i="1" s="1"/>
  <c r="F53" i="1"/>
  <c r="G53" i="1" s="1"/>
  <c r="H53" i="1" s="1"/>
  <c r="I53" i="1" s="1"/>
  <c r="F54" i="1"/>
  <c r="G54" i="1" s="1"/>
  <c r="H54" i="1" s="1"/>
  <c r="I54" i="1" s="1"/>
  <c r="F55" i="1"/>
  <c r="G55" i="1" s="1"/>
  <c r="H55" i="1" s="1"/>
  <c r="I55" i="1" s="1"/>
  <c r="F56" i="1"/>
  <c r="G56" i="1" s="1"/>
  <c r="H56" i="1" s="1"/>
  <c r="I56" i="1" s="1"/>
  <c r="F57" i="1"/>
  <c r="G57" i="1" s="1"/>
  <c r="H57" i="1" s="1"/>
  <c r="I57" i="1" s="1"/>
  <c r="F58" i="1"/>
  <c r="G58" i="1" s="1"/>
  <c r="H58" i="1" s="1"/>
  <c r="I58" i="1" s="1"/>
  <c r="F59" i="1"/>
  <c r="G59" i="1" s="1"/>
  <c r="H59" i="1" s="1"/>
  <c r="I59" i="1" s="1"/>
  <c r="F60" i="1"/>
  <c r="G60" i="1" s="1"/>
  <c r="H60" i="1" s="1"/>
  <c r="I60" i="1" s="1"/>
  <c r="F61" i="1"/>
  <c r="G61" i="1" s="1"/>
  <c r="H61" i="1" s="1"/>
  <c r="I61" i="1" s="1"/>
  <c r="F62" i="1"/>
  <c r="G62" i="1" s="1"/>
  <c r="H62" i="1" s="1"/>
  <c r="I62" i="1" s="1"/>
  <c r="F63" i="1"/>
  <c r="G63" i="1" s="1"/>
  <c r="H63" i="1" s="1"/>
  <c r="I63" i="1" s="1"/>
  <c r="F64" i="1"/>
  <c r="G64" i="1" s="1"/>
  <c r="H64" i="1" s="1"/>
  <c r="I64" i="1" s="1"/>
  <c r="F65" i="1"/>
  <c r="G65" i="1" s="1"/>
  <c r="H65" i="1" s="1"/>
  <c r="I65" i="1" s="1"/>
  <c r="F66" i="1"/>
  <c r="G66" i="1" s="1"/>
  <c r="H66" i="1" s="1"/>
  <c r="I66" i="1" s="1"/>
  <c r="F67" i="1"/>
  <c r="G67" i="1" s="1"/>
  <c r="H67" i="1" s="1"/>
  <c r="I67" i="1" s="1"/>
  <c r="F68" i="1"/>
  <c r="G68" i="1" s="1"/>
  <c r="H68" i="1" s="1"/>
  <c r="I68" i="1" s="1"/>
  <c r="F69" i="1"/>
  <c r="G69" i="1" s="1"/>
  <c r="H69" i="1" s="1"/>
  <c r="I69" i="1" s="1"/>
  <c r="F70" i="1"/>
  <c r="G70" i="1" s="1"/>
  <c r="H70" i="1" s="1"/>
  <c r="I70" i="1" s="1"/>
  <c r="F71" i="1"/>
  <c r="G71" i="1" s="1"/>
  <c r="H71" i="1" s="1"/>
  <c r="I71" i="1" s="1"/>
  <c r="F72" i="1"/>
  <c r="G72" i="1" s="1"/>
  <c r="H72" i="1" s="1"/>
  <c r="I72" i="1" s="1"/>
  <c r="F73" i="1"/>
  <c r="G73" i="1" s="1"/>
  <c r="H73" i="1" s="1"/>
  <c r="I73" i="1" s="1"/>
  <c r="F74" i="1"/>
  <c r="G74" i="1" s="1"/>
  <c r="H74" i="1" s="1"/>
  <c r="I74" i="1" s="1"/>
  <c r="F75" i="1"/>
  <c r="G75" i="1" s="1"/>
  <c r="H75" i="1" s="1"/>
  <c r="I75" i="1" s="1"/>
  <c r="F76" i="1"/>
  <c r="G76" i="1" s="1"/>
  <c r="H76" i="1" s="1"/>
  <c r="I76" i="1" s="1"/>
  <c r="F77" i="1"/>
  <c r="G77" i="1" s="1"/>
  <c r="H77" i="1" s="1"/>
  <c r="I77" i="1" s="1"/>
  <c r="F78" i="1"/>
  <c r="G78" i="1" s="1"/>
  <c r="H78" i="1" s="1"/>
  <c r="I78" i="1" s="1"/>
  <c r="F79" i="1"/>
  <c r="G79" i="1" s="1"/>
  <c r="H79" i="1" s="1"/>
  <c r="I79" i="1" s="1"/>
  <c r="F80" i="1"/>
  <c r="G80" i="1" s="1"/>
  <c r="H80" i="1" s="1"/>
  <c r="I80" i="1" s="1"/>
  <c r="F17" i="1"/>
  <c r="G17" i="1" s="1"/>
  <c r="H17" i="1" s="1"/>
  <c r="I17" i="1" s="1"/>
  <c r="C79" i="1" l="1"/>
  <c r="C23" i="1"/>
  <c r="D30" i="1"/>
  <c r="D34" i="1"/>
  <c r="D38" i="1"/>
  <c r="D42" i="1"/>
  <c r="D46" i="1"/>
  <c r="D50" i="1"/>
  <c r="D54" i="1"/>
  <c r="D58" i="1"/>
  <c r="D62" i="1"/>
  <c r="D66" i="1"/>
  <c r="D70" i="1"/>
  <c r="D74" i="1"/>
  <c r="D78" i="1"/>
  <c r="D19" i="1"/>
  <c r="D23" i="1"/>
  <c r="D27" i="1"/>
  <c r="D41" i="1"/>
  <c r="D49" i="1"/>
  <c r="D61" i="1"/>
  <c r="D73" i="1"/>
  <c r="D26" i="1"/>
  <c r="D31" i="1"/>
  <c r="D35" i="1"/>
  <c r="D39" i="1"/>
  <c r="D43" i="1"/>
  <c r="D47" i="1"/>
  <c r="D51" i="1"/>
  <c r="D55" i="1"/>
  <c r="D59" i="1"/>
  <c r="D63" i="1"/>
  <c r="D67" i="1"/>
  <c r="D71" i="1"/>
  <c r="D75" i="1"/>
  <c r="D79" i="1"/>
  <c r="D20" i="1"/>
  <c r="D24" i="1"/>
  <c r="D28" i="1"/>
  <c r="D37" i="1"/>
  <c r="D53" i="1"/>
  <c r="D65" i="1"/>
  <c r="D77" i="1"/>
  <c r="D17" i="1"/>
  <c r="D32" i="1"/>
  <c r="D36" i="1"/>
  <c r="D40" i="1"/>
  <c r="D44" i="1"/>
  <c r="D48" i="1"/>
  <c r="D52" i="1"/>
  <c r="D56" i="1"/>
  <c r="D60" i="1"/>
  <c r="D64" i="1"/>
  <c r="D68" i="1"/>
  <c r="D72" i="1"/>
  <c r="D76" i="1"/>
  <c r="D80" i="1"/>
  <c r="D21" i="1"/>
  <c r="D25" i="1"/>
  <c r="D29" i="1"/>
  <c r="D33" i="1"/>
  <c r="D45" i="1"/>
  <c r="D57" i="1"/>
  <c r="D69" i="1"/>
  <c r="D18" i="1"/>
  <c r="D22" i="1"/>
  <c r="C58" i="1"/>
  <c r="C24" i="1"/>
  <c r="C73" i="1"/>
  <c r="C44" i="1"/>
  <c r="C66" i="1"/>
  <c r="C33" i="1"/>
  <c r="C22" i="1"/>
  <c r="C78" i="1"/>
  <c r="C71" i="1"/>
  <c r="C63" i="1"/>
  <c r="C57" i="1"/>
  <c r="C50" i="1"/>
  <c r="C40" i="1"/>
  <c r="C30" i="1"/>
  <c r="J79" i="1"/>
  <c r="J71" i="1"/>
  <c r="J63" i="1"/>
  <c r="J55" i="1"/>
  <c r="J47" i="1"/>
  <c r="J39" i="1"/>
  <c r="J31" i="1"/>
  <c r="J27" i="1"/>
  <c r="J23" i="1"/>
  <c r="C20" i="1"/>
  <c r="C77" i="1"/>
  <c r="C69" i="1"/>
  <c r="C62" i="1"/>
  <c r="C55" i="1"/>
  <c r="C46" i="1"/>
  <c r="C38" i="1"/>
  <c r="C29" i="1"/>
  <c r="J75" i="1"/>
  <c r="J67" i="1"/>
  <c r="J59" i="1"/>
  <c r="J51" i="1"/>
  <c r="J43" i="1"/>
  <c r="J35" i="1"/>
  <c r="C19" i="1"/>
  <c r="C74" i="1"/>
  <c r="C67" i="1"/>
  <c r="C61" i="1"/>
  <c r="C53" i="1"/>
  <c r="C45" i="1"/>
  <c r="C36" i="1"/>
  <c r="C25" i="1"/>
  <c r="C17" i="1"/>
  <c r="C18" i="1"/>
  <c r="C75" i="1"/>
  <c r="C70" i="1"/>
  <c r="C65" i="1"/>
  <c r="C59" i="1"/>
  <c r="C54" i="1"/>
  <c r="C49" i="1"/>
  <c r="C41" i="1"/>
  <c r="C34" i="1"/>
  <c r="C28" i="1"/>
  <c r="J19" i="1"/>
  <c r="C21" i="1"/>
  <c r="C80" i="1"/>
  <c r="C76" i="1"/>
  <c r="C72" i="1"/>
  <c r="C68" i="1"/>
  <c r="C64" i="1"/>
  <c r="C60" i="1"/>
  <c r="C56" i="1"/>
  <c r="C52" i="1"/>
  <c r="C48" i="1"/>
  <c r="C42" i="1"/>
  <c r="C37" i="1"/>
  <c r="C32" i="1"/>
  <c r="C26" i="1"/>
  <c r="C47" i="1"/>
  <c r="C43" i="1"/>
  <c r="C39" i="1"/>
  <c r="C35" i="1"/>
  <c r="C31" i="1"/>
  <c r="C27" i="1"/>
  <c r="J78" i="1"/>
  <c r="J17" i="1"/>
  <c r="J77" i="1"/>
  <c r="J69" i="1"/>
  <c r="J65" i="1"/>
  <c r="J61" i="1"/>
  <c r="J57" i="1"/>
  <c r="J53" i="1"/>
  <c r="J49" i="1"/>
  <c r="J45" i="1"/>
  <c r="J41" i="1"/>
  <c r="J37" i="1"/>
  <c r="J33" i="1"/>
  <c r="J29" i="1"/>
  <c r="J25" i="1"/>
  <c r="J21" i="1"/>
  <c r="J20" i="1"/>
  <c r="J73" i="1"/>
  <c r="J80" i="1"/>
  <c r="J76" i="1"/>
  <c r="J72" i="1"/>
  <c r="J68" i="1"/>
  <c r="J64" i="1"/>
  <c r="J60" i="1"/>
  <c r="J56" i="1"/>
  <c r="J52" i="1"/>
  <c r="J48" i="1"/>
  <c r="J44" i="1"/>
  <c r="J40" i="1"/>
  <c r="J36" i="1"/>
  <c r="J32" i="1"/>
  <c r="J28" i="1"/>
  <c r="J24" i="1"/>
  <c r="J74" i="1"/>
  <c r="J70" i="1"/>
  <c r="J66" i="1"/>
  <c r="J62" i="1"/>
  <c r="J58" i="1"/>
  <c r="J54" i="1"/>
  <c r="J50" i="1"/>
  <c r="J46" i="1"/>
  <c r="J42" i="1"/>
  <c r="J38" i="1"/>
  <c r="J34" i="1"/>
  <c r="J30" i="1"/>
  <c r="J26" i="1"/>
  <c r="J22" i="1"/>
  <c r="J18" i="1"/>
  <c r="E11" i="12"/>
  <c r="E10" i="12"/>
  <c r="E12" i="12"/>
  <c r="L6"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5" i="12"/>
  <c r="D12" i="12"/>
  <c r="D11" i="12"/>
  <c r="D10" i="12"/>
  <c r="B19" i="12" l="1"/>
  <c r="B16" i="12"/>
  <c r="B18" i="12"/>
  <c r="B20" i="12"/>
  <c r="B15" i="12"/>
  <c r="B17" i="12"/>
  <c r="I6" i="13"/>
  <c r="J6" i="13" s="1"/>
  <c r="K6" i="13" s="1"/>
  <c r="L6" i="13" s="1"/>
  <c r="M6" i="13" s="1"/>
  <c r="I7" i="13"/>
  <c r="J7" i="13" s="1"/>
  <c r="K7" i="13" s="1"/>
  <c r="L7" i="13" s="1"/>
  <c r="M7" i="13" s="1"/>
  <c r="I8" i="13"/>
  <c r="J8" i="13" s="1"/>
  <c r="K8" i="13" s="1"/>
  <c r="L8" i="13" s="1"/>
  <c r="M8" i="13" s="1"/>
  <c r="I9" i="13"/>
  <c r="J9" i="13" s="1"/>
  <c r="K9" i="13" s="1"/>
  <c r="L9" i="13" s="1"/>
  <c r="M9" i="13" s="1"/>
  <c r="I10" i="13"/>
  <c r="J10" i="13" s="1"/>
  <c r="K10" i="13" s="1"/>
  <c r="L10" i="13" s="1"/>
  <c r="M10" i="13" s="1"/>
  <c r="I11" i="13"/>
  <c r="J11" i="13" s="1"/>
  <c r="K11" i="13" s="1"/>
  <c r="L11" i="13" s="1"/>
  <c r="M11" i="13" s="1"/>
  <c r="I12" i="13"/>
  <c r="J12" i="13" s="1"/>
  <c r="K12" i="13" s="1"/>
  <c r="L12" i="13" s="1"/>
  <c r="M12" i="13" s="1"/>
  <c r="I13" i="13"/>
  <c r="J13" i="13" s="1"/>
  <c r="K13" i="13" s="1"/>
  <c r="L13" i="13" s="1"/>
  <c r="M13" i="13" s="1"/>
  <c r="I14" i="13"/>
  <c r="J14" i="13" s="1"/>
  <c r="K14" i="13" s="1"/>
  <c r="L14" i="13" s="1"/>
  <c r="M14" i="13" s="1"/>
  <c r="I15" i="13"/>
  <c r="J15" i="13" s="1"/>
  <c r="K15" i="13" s="1"/>
  <c r="L15" i="13" s="1"/>
  <c r="M15" i="13" s="1"/>
  <c r="I16" i="13"/>
  <c r="J16" i="13" s="1"/>
  <c r="K16" i="13" s="1"/>
  <c r="L16" i="13" s="1"/>
  <c r="M16" i="13" s="1"/>
  <c r="I17" i="13"/>
  <c r="J17" i="13" s="1"/>
  <c r="K17" i="13" s="1"/>
  <c r="L17" i="13" s="1"/>
  <c r="M17" i="13" s="1"/>
  <c r="I18" i="13"/>
  <c r="J18" i="13" s="1"/>
  <c r="K18" i="13" s="1"/>
  <c r="L18" i="13" s="1"/>
  <c r="M18" i="13" s="1"/>
  <c r="I19" i="13"/>
  <c r="J19" i="13" s="1"/>
  <c r="K19" i="13" s="1"/>
  <c r="L19" i="13" s="1"/>
  <c r="M19" i="13" s="1"/>
  <c r="I20" i="13"/>
  <c r="J20" i="13" s="1"/>
  <c r="K20" i="13" s="1"/>
  <c r="L20" i="13" s="1"/>
  <c r="M20" i="13" s="1"/>
  <c r="I21" i="13"/>
  <c r="J21" i="13" s="1"/>
  <c r="K21" i="13" s="1"/>
  <c r="L21" i="13" s="1"/>
  <c r="M21" i="13" s="1"/>
  <c r="I22" i="13"/>
  <c r="J22" i="13" s="1"/>
  <c r="K22" i="13" s="1"/>
  <c r="L22" i="13" s="1"/>
  <c r="M22" i="13" s="1"/>
  <c r="I23" i="13"/>
  <c r="J23" i="13" s="1"/>
  <c r="K23" i="13" s="1"/>
  <c r="L23" i="13" s="1"/>
  <c r="M23" i="13" s="1"/>
  <c r="I24" i="13"/>
  <c r="J24" i="13" s="1"/>
  <c r="K24" i="13" s="1"/>
  <c r="L24" i="13" s="1"/>
  <c r="M24" i="13" s="1"/>
  <c r="I25" i="13"/>
  <c r="J25" i="13" s="1"/>
  <c r="K25" i="13" s="1"/>
  <c r="L25" i="13" s="1"/>
  <c r="M25" i="13" s="1"/>
  <c r="I26" i="13"/>
  <c r="J26" i="13" s="1"/>
  <c r="K26" i="13" s="1"/>
  <c r="L26" i="13" s="1"/>
  <c r="M26" i="13" s="1"/>
  <c r="I27" i="13"/>
  <c r="J27" i="13" s="1"/>
  <c r="K27" i="13" s="1"/>
  <c r="L27" i="13" s="1"/>
  <c r="M27" i="13" s="1"/>
  <c r="I28" i="13"/>
  <c r="J28" i="13" s="1"/>
  <c r="K28" i="13" s="1"/>
  <c r="L28" i="13" s="1"/>
  <c r="M28" i="13" s="1"/>
  <c r="I29" i="13"/>
  <c r="J29" i="13" s="1"/>
  <c r="K29" i="13" s="1"/>
  <c r="L29" i="13" s="1"/>
  <c r="M29" i="13" s="1"/>
  <c r="I30" i="13"/>
  <c r="J30" i="13" s="1"/>
  <c r="K30" i="13" s="1"/>
  <c r="L30" i="13" s="1"/>
  <c r="M30" i="13" s="1"/>
  <c r="I31" i="13"/>
  <c r="J31" i="13" s="1"/>
  <c r="K31" i="13" s="1"/>
  <c r="L31" i="13" s="1"/>
  <c r="M31" i="13" s="1"/>
  <c r="I32" i="13"/>
  <c r="J32" i="13" s="1"/>
  <c r="K32" i="13" s="1"/>
  <c r="L32" i="13" s="1"/>
  <c r="M32" i="13" s="1"/>
  <c r="I33" i="13"/>
  <c r="J33" i="13" s="1"/>
  <c r="K33" i="13" s="1"/>
  <c r="L33" i="13" s="1"/>
  <c r="M33" i="13" s="1"/>
  <c r="I34" i="13"/>
  <c r="J34" i="13" s="1"/>
  <c r="K34" i="13" s="1"/>
  <c r="L34" i="13" s="1"/>
  <c r="M34" i="13" s="1"/>
  <c r="I35" i="13"/>
  <c r="J35" i="13" s="1"/>
  <c r="K35" i="13" s="1"/>
  <c r="L35" i="13" s="1"/>
  <c r="M35" i="13" s="1"/>
  <c r="I36" i="13"/>
  <c r="J36" i="13" s="1"/>
  <c r="K36" i="13" s="1"/>
  <c r="L36" i="13" s="1"/>
  <c r="M36" i="13" s="1"/>
  <c r="I37" i="13"/>
  <c r="J37" i="13" s="1"/>
  <c r="K37" i="13" s="1"/>
  <c r="L37" i="13" s="1"/>
  <c r="M37" i="13" s="1"/>
  <c r="I38" i="13"/>
  <c r="J38" i="13" s="1"/>
  <c r="K38" i="13" s="1"/>
  <c r="L38" i="13" s="1"/>
  <c r="M38" i="13" s="1"/>
  <c r="I39" i="13"/>
  <c r="J39" i="13" s="1"/>
  <c r="K39" i="13" s="1"/>
  <c r="L39" i="13" s="1"/>
  <c r="M39" i="13" s="1"/>
  <c r="I40" i="13"/>
  <c r="J40" i="13" s="1"/>
  <c r="K40" i="13" s="1"/>
  <c r="L40" i="13" s="1"/>
  <c r="M40" i="13" s="1"/>
  <c r="I41" i="13"/>
  <c r="J41" i="13" s="1"/>
  <c r="K41" i="13" s="1"/>
  <c r="L41" i="13" s="1"/>
  <c r="M41" i="13" s="1"/>
  <c r="I42" i="13"/>
  <c r="J42" i="13" s="1"/>
  <c r="K42" i="13" s="1"/>
  <c r="L42" i="13" s="1"/>
  <c r="M42" i="13" s="1"/>
  <c r="I43" i="13"/>
  <c r="J43" i="13" s="1"/>
  <c r="K43" i="13" s="1"/>
  <c r="L43" i="13" s="1"/>
  <c r="M43" i="13" s="1"/>
  <c r="I44" i="13"/>
  <c r="J44" i="13" s="1"/>
  <c r="K44" i="13" s="1"/>
  <c r="L44" i="13" s="1"/>
  <c r="M44" i="13" s="1"/>
  <c r="I45" i="13"/>
  <c r="J45" i="13" s="1"/>
  <c r="K45" i="13" s="1"/>
  <c r="L45" i="13" s="1"/>
  <c r="M45" i="13" s="1"/>
  <c r="I46" i="13"/>
  <c r="J46" i="13" s="1"/>
  <c r="K46" i="13" s="1"/>
  <c r="L46" i="13" s="1"/>
  <c r="M46" i="13" s="1"/>
  <c r="I47" i="13"/>
  <c r="J47" i="13" s="1"/>
  <c r="K47" i="13" s="1"/>
  <c r="L47" i="13" s="1"/>
  <c r="M47" i="13" s="1"/>
  <c r="I48" i="13"/>
  <c r="J48" i="13" s="1"/>
  <c r="K48" i="13" s="1"/>
  <c r="L48" i="13" s="1"/>
  <c r="M48" i="13" s="1"/>
  <c r="I49" i="13"/>
  <c r="J49" i="13" s="1"/>
  <c r="K49" i="13" s="1"/>
  <c r="L49" i="13" s="1"/>
  <c r="M49" i="13" s="1"/>
  <c r="I50" i="13"/>
  <c r="J50" i="13" s="1"/>
  <c r="K50" i="13" s="1"/>
  <c r="L50" i="13" s="1"/>
  <c r="M50" i="13" s="1"/>
  <c r="I51" i="13"/>
  <c r="J51" i="13" s="1"/>
  <c r="K51" i="13" s="1"/>
  <c r="L51" i="13" s="1"/>
  <c r="M51" i="13" s="1"/>
  <c r="I52" i="13"/>
  <c r="J52" i="13" s="1"/>
  <c r="K52" i="13" s="1"/>
  <c r="L52" i="13" s="1"/>
  <c r="M52" i="13" s="1"/>
  <c r="I53" i="13"/>
  <c r="J53" i="13" s="1"/>
  <c r="K53" i="13" s="1"/>
  <c r="L53" i="13" s="1"/>
  <c r="M53" i="13" s="1"/>
  <c r="I54" i="13"/>
  <c r="J54" i="13" s="1"/>
  <c r="K54" i="13" s="1"/>
  <c r="L54" i="13" s="1"/>
  <c r="M54" i="13" s="1"/>
  <c r="I55" i="13"/>
  <c r="J55" i="13" s="1"/>
  <c r="K55" i="13" s="1"/>
  <c r="L55" i="13" s="1"/>
  <c r="M55" i="13" s="1"/>
  <c r="I56" i="13"/>
  <c r="J56" i="13" s="1"/>
  <c r="K56" i="13" s="1"/>
  <c r="L56" i="13" s="1"/>
  <c r="M56" i="13" s="1"/>
  <c r="I57" i="13"/>
  <c r="J57" i="13" s="1"/>
  <c r="K57" i="13" s="1"/>
  <c r="L57" i="13" s="1"/>
  <c r="M57" i="13" s="1"/>
  <c r="I58" i="13"/>
  <c r="J58" i="13" s="1"/>
  <c r="K58" i="13" s="1"/>
  <c r="L58" i="13" s="1"/>
  <c r="M58" i="13" s="1"/>
  <c r="I59" i="13"/>
  <c r="J59" i="13" s="1"/>
  <c r="K59" i="13" s="1"/>
  <c r="L59" i="13" s="1"/>
  <c r="M59" i="13" s="1"/>
  <c r="I60" i="13"/>
  <c r="J60" i="13" s="1"/>
  <c r="K60" i="13" s="1"/>
  <c r="L60" i="13" s="1"/>
  <c r="M60" i="13" s="1"/>
  <c r="I61" i="13"/>
  <c r="J61" i="13" s="1"/>
  <c r="K61" i="13" s="1"/>
  <c r="L61" i="13" s="1"/>
  <c r="M61" i="13" s="1"/>
  <c r="I62" i="13"/>
  <c r="J62" i="13" s="1"/>
  <c r="K62" i="13" s="1"/>
  <c r="L62" i="13" s="1"/>
  <c r="M62" i="13" s="1"/>
  <c r="I63" i="13"/>
  <c r="J63" i="13" s="1"/>
  <c r="K63" i="13" s="1"/>
  <c r="L63" i="13" s="1"/>
  <c r="M63" i="13" s="1"/>
  <c r="I64" i="13"/>
  <c r="J64" i="13" s="1"/>
  <c r="K64" i="13" s="1"/>
  <c r="L64" i="13" s="1"/>
  <c r="M64" i="13" s="1"/>
  <c r="I65" i="13"/>
  <c r="J65" i="13" s="1"/>
  <c r="K65" i="13" s="1"/>
  <c r="L65" i="13" s="1"/>
  <c r="M65" i="13" s="1"/>
  <c r="I5" i="13"/>
  <c r="J5" i="13" s="1"/>
  <c r="K5" i="13" s="1"/>
  <c r="L5" i="13" s="1"/>
  <c r="M5" i="13" s="1"/>
  <c r="D5" i="13"/>
  <c r="B23" i="12" l="1"/>
  <c r="B24" i="12" l="1"/>
  <c r="B25" i="12" l="1"/>
  <c r="M5" i="12" s="1"/>
  <c r="N5" i="12" s="1"/>
  <c r="M40" i="12"/>
  <c r="N40" i="12" s="1"/>
  <c r="M7" i="12"/>
  <c r="N7" i="12" s="1"/>
  <c r="M21" i="12"/>
  <c r="N21" i="12" s="1"/>
  <c r="M37" i="12"/>
  <c r="N37" i="12" s="1"/>
  <c r="M49" i="12"/>
  <c r="N49" i="12" s="1"/>
  <c r="M62" i="12"/>
  <c r="N62" i="12" s="1"/>
  <c r="M65" i="12"/>
  <c r="N65" i="12" s="1"/>
  <c r="M61" i="12" l="1"/>
  <c r="N61" i="12" s="1"/>
  <c r="O61" i="12" s="1"/>
  <c r="P61" i="12" s="1"/>
  <c r="Q61" i="12" s="1"/>
  <c r="R61" i="12" s="1"/>
  <c r="M60" i="12"/>
  <c r="N60" i="12" s="1"/>
  <c r="O60" i="12" s="1"/>
  <c r="P60" i="12" s="1"/>
  <c r="Q60" i="12" s="1"/>
  <c r="R60" i="12" s="1"/>
  <c r="M47" i="12"/>
  <c r="N47" i="12" s="1"/>
  <c r="O47" i="12" s="1"/>
  <c r="P47" i="12" s="1"/>
  <c r="Q47" i="12" s="1"/>
  <c r="R47" i="12" s="1"/>
  <c r="M31" i="12"/>
  <c r="N31" i="12" s="1"/>
  <c r="O31" i="12" s="1"/>
  <c r="P31" i="12" s="1"/>
  <c r="Q31" i="12" s="1"/>
  <c r="R31" i="12" s="1"/>
  <c r="M17" i="12"/>
  <c r="N17" i="12" s="1"/>
  <c r="O17" i="12" s="1"/>
  <c r="P17" i="12" s="1"/>
  <c r="Q17" i="12" s="1"/>
  <c r="R17" i="12" s="1"/>
  <c r="M52" i="12"/>
  <c r="N52" i="12" s="1"/>
  <c r="M32" i="12"/>
  <c r="N32" i="12" s="1"/>
  <c r="O32" i="12" s="1"/>
  <c r="P32" i="12" s="1"/>
  <c r="Q32" i="12" s="1"/>
  <c r="R32" i="12" s="1"/>
  <c r="M59" i="12"/>
  <c r="N59" i="12" s="1"/>
  <c r="O59" i="12" s="1"/>
  <c r="P59" i="12" s="1"/>
  <c r="Q59" i="12" s="1"/>
  <c r="R59" i="12" s="1"/>
  <c r="M56" i="12"/>
  <c r="N56" i="12" s="1"/>
  <c r="O56" i="12" s="1"/>
  <c r="P56" i="12" s="1"/>
  <c r="Q56" i="12" s="1"/>
  <c r="R56" i="12" s="1"/>
  <c r="M41" i="12"/>
  <c r="N41" i="12" s="1"/>
  <c r="O41" i="12" s="1"/>
  <c r="P41" i="12" s="1"/>
  <c r="Q41" i="12" s="1"/>
  <c r="R41" i="12" s="1"/>
  <c r="M29" i="12"/>
  <c r="N29" i="12" s="1"/>
  <c r="O29" i="12" s="1"/>
  <c r="P29" i="12" s="1"/>
  <c r="Q29" i="12" s="1"/>
  <c r="R29" i="12" s="1"/>
  <c r="M15" i="12"/>
  <c r="N15" i="12" s="1"/>
  <c r="O15" i="12" s="1"/>
  <c r="P15" i="12" s="1"/>
  <c r="Q15" i="12" s="1"/>
  <c r="R15" i="12" s="1"/>
  <c r="M46" i="12"/>
  <c r="N46" i="12" s="1"/>
  <c r="O46" i="12" s="1"/>
  <c r="P46" i="12" s="1"/>
  <c r="Q46" i="12" s="1"/>
  <c r="R46" i="12" s="1"/>
  <c r="M24" i="12"/>
  <c r="M57" i="12"/>
  <c r="N57" i="12" s="1"/>
  <c r="M53" i="12"/>
  <c r="N53" i="12" s="1"/>
  <c r="O53" i="12" s="1"/>
  <c r="P53" i="12" s="1"/>
  <c r="Q53" i="12" s="1"/>
  <c r="R53" i="12" s="1"/>
  <c r="M39" i="12"/>
  <c r="N39" i="12" s="1"/>
  <c r="O39" i="12" s="1"/>
  <c r="P39" i="12" s="1"/>
  <c r="Q39" i="12" s="1"/>
  <c r="R39" i="12" s="1"/>
  <c r="M25" i="12"/>
  <c r="N25" i="12" s="1"/>
  <c r="M9" i="12"/>
  <c r="N9" i="12" s="1"/>
  <c r="M44" i="12"/>
  <c r="N44" i="12" s="1"/>
  <c r="O44" i="12" s="1"/>
  <c r="P44" i="12" s="1"/>
  <c r="Q44" i="12" s="1"/>
  <c r="R44" i="12" s="1"/>
  <c r="M20" i="12"/>
  <c r="N20" i="12" s="1"/>
  <c r="O20" i="12" s="1"/>
  <c r="P20" i="12" s="1"/>
  <c r="Q20" i="12" s="1"/>
  <c r="R20" i="12" s="1"/>
  <c r="M63" i="12"/>
  <c r="N63" i="12" s="1"/>
  <c r="M64" i="12"/>
  <c r="M54" i="12"/>
  <c r="N54" i="12" s="1"/>
  <c r="O54" i="12" s="1"/>
  <c r="P54" i="12" s="1"/>
  <c r="Q54" i="12" s="1"/>
  <c r="R54" i="12" s="1"/>
  <c r="M45" i="12"/>
  <c r="N45" i="12" s="1"/>
  <c r="O45" i="12" s="1"/>
  <c r="P45" i="12" s="1"/>
  <c r="Q45" i="12" s="1"/>
  <c r="R45" i="12" s="1"/>
  <c r="M33" i="12"/>
  <c r="N33" i="12" s="1"/>
  <c r="O33" i="12" s="1"/>
  <c r="P33" i="12" s="1"/>
  <c r="Q33" i="12" s="1"/>
  <c r="R33" i="12" s="1"/>
  <c r="M23" i="12"/>
  <c r="N23" i="12" s="1"/>
  <c r="O23" i="12" s="1"/>
  <c r="P23" i="12" s="1"/>
  <c r="Q23" i="12" s="1"/>
  <c r="R23" i="12" s="1"/>
  <c r="M13" i="12"/>
  <c r="N13" i="12" s="1"/>
  <c r="O13" i="12" s="1"/>
  <c r="P13" i="12" s="1"/>
  <c r="Q13" i="12" s="1"/>
  <c r="R13" i="12" s="1"/>
  <c r="M48" i="12"/>
  <c r="N48" i="12" s="1"/>
  <c r="O48" i="12" s="1"/>
  <c r="P48" i="12" s="1"/>
  <c r="Q48" i="12" s="1"/>
  <c r="R48" i="12" s="1"/>
  <c r="M36" i="12"/>
  <c r="N36" i="12" s="1"/>
  <c r="O36" i="12" s="1"/>
  <c r="P36" i="12" s="1"/>
  <c r="Q36" i="12" s="1"/>
  <c r="R36" i="12" s="1"/>
  <c r="M16" i="12"/>
  <c r="N16" i="12" s="1"/>
  <c r="O16" i="12" s="1"/>
  <c r="P16" i="12" s="1"/>
  <c r="Q16" i="12" s="1"/>
  <c r="R16" i="12" s="1"/>
  <c r="M55" i="12"/>
  <c r="N55" i="12" s="1"/>
  <c r="O55" i="12" s="1"/>
  <c r="P55" i="12" s="1"/>
  <c r="Q55" i="12" s="1"/>
  <c r="R55" i="12" s="1"/>
  <c r="M58" i="12"/>
  <c r="N58" i="12" s="1"/>
  <c r="O58" i="12" s="1"/>
  <c r="P58" i="12" s="1"/>
  <c r="Q58" i="12" s="1"/>
  <c r="R58" i="12" s="1"/>
  <c r="M51" i="12"/>
  <c r="N51" i="12" s="1"/>
  <c r="O51" i="12" s="1"/>
  <c r="P51" i="12" s="1"/>
  <c r="Q51" i="12" s="1"/>
  <c r="R51" i="12" s="1"/>
  <c r="M43" i="12"/>
  <c r="N43" i="12" s="1"/>
  <c r="O43" i="12" s="1"/>
  <c r="P43" i="12" s="1"/>
  <c r="Q43" i="12" s="1"/>
  <c r="R43" i="12" s="1"/>
  <c r="M35" i="12"/>
  <c r="N35" i="12" s="1"/>
  <c r="O35" i="12" s="1"/>
  <c r="P35" i="12" s="1"/>
  <c r="Q35" i="12" s="1"/>
  <c r="R35" i="12" s="1"/>
  <c r="M27" i="12"/>
  <c r="N27" i="12" s="1"/>
  <c r="O27" i="12" s="1"/>
  <c r="P27" i="12" s="1"/>
  <c r="Q27" i="12" s="1"/>
  <c r="R27" i="12" s="1"/>
  <c r="M19" i="12"/>
  <c r="N19" i="12" s="1"/>
  <c r="M11" i="12"/>
  <c r="N11" i="12" s="1"/>
  <c r="O11" i="12" s="1"/>
  <c r="P11" i="12" s="1"/>
  <c r="Q11" i="12" s="1"/>
  <c r="R11" i="12" s="1"/>
  <c r="M50" i="12"/>
  <c r="N50" i="12" s="1"/>
  <c r="O50" i="12" s="1"/>
  <c r="P50" i="12" s="1"/>
  <c r="Q50" i="12" s="1"/>
  <c r="R50" i="12" s="1"/>
  <c r="M42" i="12"/>
  <c r="N42" i="12" s="1"/>
  <c r="O42" i="12" s="1"/>
  <c r="P42" i="12" s="1"/>
  <c r="Q42" i="12" s="1"/>
  <c r="R42" i="12" s="1"/>
  <c r="M28" i="12"/>
  <c r="N28" i="12" s="1"/>
  <c r="O28" i="12" s="1"/>
  <c r="P28" i="12" s="1"/>
  <c r="Q28" i="12" s="1"/>
  <c r="R28" i="12" s="1"/>
  <c r="M12" i="12"/>
  <c r="N12" i="12" s="1"/>
  <c r="O12" i="12" s="1"/>
  <c r="P12" i="12" s="1"/>
  <c r="Q12" i="12" s="1"/>
  <c r="R12" i="12" s="1"/>
  <c r="M38" i="12"/>
  <c r="N38" i="12" s="1"/>
  <c r="O38" i="12" s="1"/>
  <c r="P38" i="12" s="1"/>
  <c r="Q38" i="12" s="1"/>
  <c r="R38" i="12" s="1"/>
  <c r="M34" i="12"/>
  <c r="N34" i="12" s="1"/>
  <c r="O34" i="12" s="1"/>
  <c r="P34" i="12" s="1"/>
  <c r="Q34" i="12" s="1"/>
  <c r="R34" i="12" s="1"/>
  <c r="M30" i="12"/>
  <c r="N30" i="12" s="1"/>
  <c r="M26" i="12"/>
  <c r="N26" i="12" s="1"/>
  <c r="O26" i="12" s="1"/>
  <c r="P26" i="12" s="1"/>
  <c r="Q26" i="12" s="1"/>
  <c r="R26" i="12" s="1"/>
  <c r="M22" i="12"/>
  <c r="N22" i="12" s="1"/>
  <c r="O22" i="12" s="1"/>
  <c r="P22" i="12" s="1"/>
  <c r="Q22" i="12" s="1"/>
  <c r="R22" i="12" s="1"/>
  <c r="M18" i="12"/>
  <c r="N18" i="12" s="1"/>
  <c r="O18" i="12" s="1"/>
  <c r="P18" i="12" s="1"/>
  <c r="Q18" i="12" s="1"/>
  <c r="R18" i="12" s="1"/>
  <c r="M14" i="12"/>
  <c r="N14" i="12" s="1"/>
  <c r="O14" i="12" s="1"/>
  <c r="P14" i="12" s="1"/>
  <c r="Q14" i="12" s="1"/>
  <c r="R14" i="12" s="1"/>
  <c r="M10" i="12"/>
  <c r="N10" i="12" s="1"/>
  <c r="O10" i="12" s="1"/>
  <c r="P10" i="12" s="1"/>
  <c r="Q10" i="12" s="1"/>
  <c r="R10" i="12" s="1"/>
  <c r="M8" i="12"/>
  <c r="N8" i="12" s="1"/>
  <c r="O8" i="12" s="1"/>
  <c r="P8" i="12" s="1"/>
  <c r="Q8" i="12" s="1"/>
  <c r="R8" i="12" s="1"/>
  <c r="M6" i="12"/>
  <c r="N6" i="12" s="1"/>
  <c r="O6" i="12" s="1"/>
  <c r="P6" i="12" s="1"/>
  <c r="Q6" i="12" s="1"/>
  <c r="R6" i="12" s="1"/>
  <c r="O5" i="12"/>
  <c r="P5" i="12" s="1"/>
  <c r="Q5" i="12" s="1"/>
  <c r="R5" i="12" s="1"/>
  <c r="N64" i="12"/>
  <c r="O64" i="12" s="1"/>
  <c r="P64" i="12" s="1"/>
  <c r="Q64" i="12" s="1"/>
  <c r="R64" i="12" s="1"/>
  <c r="N24" i="12"/>
  <c r="O24" i="12" s="1"/>
  <c r="P24" i="12" s="1"/>
  <c r="Q24" i="12" s="1"/>
  <c r="R24" i="12" s="1"/>
  <c r="O21" i="12"/>
  <c r="P21" i="12" s="1"/>
  <c r="Q21" i="12" s="1"/>
  <c r="R21" i="12" s="1"/>
  <c r="O37" i="12"/>
  <c r="P37" i="12" s="1"/>
  <c r="Q37" i="12" s="1"/>
  <c r="R37" i="12" s="1"/>
  <c r="O40" i="12"/>
  <c r="P40" i="12" s="1"/>
  <c r="Q40" i="12" s="1"/>
  <c r="R40" i="12" s="1"/>
  <c r="O62" i="12"/>
  <c r="P62" i="12" s="1"/>
  <c r="Q62" i="12" s="1"/>
  <c r="R62" i="12" s="1"/>
  <c r="O19" i="12"/>
  <c r="P19" i="12" s="1"/>
  <c r="Q19" i="12" s="1"/>
  <c r="R19" i="12" s="1"/>
  <c r="O30" i="12"/>
  <c r="P30" i="12" s="1"/>
  <c r="Q30" i="12" s="1"/>
  <c r="R30" i="12" s="1"/>
  <c r="O7" i="12"/>
  <c r="P7" i="12" s="1"/>
  <c r="Q7" i="12" s="1"/>
  <c r="R7" i="12" s="1"/>
  <c r="O63" i="12"/>
  <c r="P63" i="12" s="1"/>
  <c r="Q63" i="12" s="1"/>
  <c r="R63" i="12" s="1"/>
  <c r="O9" i="12"/>
  <c r="P9" i="12" s="1"/>
  <c r="Q9" i="12" s="1"/>
  <c r="R9" i="12" s="1"/>
  <c r="O25" i="12"/>
  <c r="P25" i="12" s="1"/>
  <c r="Q25" i="12" s="1"/>
  <c r="R25" i="12" s="1"/>
  <c r="O49" i="12"/>
  <c r="P49" i="12" s="1"/>
  <c r="Q49" i="12" s="1"/>
  <c r="R49" i="12" s="1"/>
  <c r="O57" i="12"/>
  <c r="P57" i="12" s="1"/>
  <c r="Q57" i="12" s="1"/>
  <c r="R57" i="12" s="1"/>
  <c r="O65" i="12"/>
  <c r="P65" i="12" s="1"/>
  <c r="Q65" i="12" s="1"/>
  <c r="R65" i="12" s="1"/>
  <c r="O52" i="12"/>
  <c r="P52" i="12" s="1"/>
  <c r="Q52" i="12" s="1"/>
  <c r="R52" i="12" s="1"/>
</calcChain>
</file>

<file path=xl/sharedStrings.xml><?xml version="1.0" encoding="utf-8"?>
<sst xmlns="http://schemas.openxmlformats.org/spreadsheetml/2006/main" count="127" uniqueCount="89">
  <si>
    <t>V DC</t>
  </si>
  <si>
    <t>R (kOhm)</t>
  </si>
  <si>
    <t>pullup R:</t>
  </si>
  <si>
    <t>kOhm</t>
  </si>
  <si>
    <t>V_in</t>
  </si>
  <si>
    <t>V</t>
  </si>
  <si>
    <t>oversampler</t>
  </si>
  <si>
    <t>Reading</t>
  </si>
  <si>
    <t>T (°C)</t>
  </si>
  <si>
    <t>R/T characteristics: 8304</t>
  </si>
  <si>
    <t>nickel plated wires</t>
  </si>
  <si>
    <t>R25</t>
  </si>
  <si>
    <t>kOhm (at 25°C)</t>
  </si>
  <si>
    <t>Reading - oversampled</t>
  </si>
  <si>
    <t>scale</t>
  </si>
  <si>
    <r>
      <rPr>
        <b/>
        <u/>
        <sz val="11"/>
        <color theme="1"/>
        <rFont val="Calibri"/>
        <family val="2"/>
        <scheme val="minor"/>
      </rPr>
      <t>1.)</t>
    </r>
    <r>
      <rPr>
        <sz val="11"/>
        <color theme="1"/>
        <rFont val="Calibri"/>
        <family val="2"/>
        <scheme val="minor"/>
      </rPr>
      <t xml:space="preserve"> Get your thermistor R/T datasheets from the manufacturer. These should be fairly easy to find on the supplier's website. See example below of how to get your R/T tables (example is from the Epcos 100k thermistor [B57560G104F] that I use for my hot end, very similar to the one originally provided by makergear) - pages below are extracts from the datasheets only.</t>
    </r>
  </si>
  <si>
    <r>
      <rPr>
        <b/>
        <u/>
        <sz val="11"/>
        <color theme="1"/>
        <rFont val="Calibri"/>
        <family val="2"/>
        <scheme val="minor"/>
      </rPr>
      <t>2.)</t>
    </r>
    <r>
      <rPr>
        <sz val="11"/>
        <color theme="1"/>
        <rFont val="Calibri"/>
        <family val="2"/>
        <scheme val="minor"/>
      </rPr>
      <t xml:space="preserve"> Copy the </t>
    </r>
    <r>
      <rPr>
        <b/>
        <sz val="11"/>
        <color theme="1"/>
        <rFont val="Calibri"/>
        <family val="2"/>
        <scheme val="minor"/>
      </rPr>
      <t>R and T</t>
    </r>
    <r>
      <rPr>
        <sz val="11"/>
        <color theme="1"/>
        <rFont val="Calibri"/>
        <family val="2"/>
        <scheme val="minor"/>
      </rPr>
      <t xml:space="preserve"> values into the main sheet, in the red cells (note: the Alpha [%/k] values aren't required)</t>
    </r>
  </si>
  <si>
    <r>
      <rPr>
        <b/>
        <u/>
        <sz val="11"/>
        <color theme="1"/>
        <rFont val="Calibri"/>
        <family val="2"/>
        <scheme val="minor"/>
      </rPr>
      <t>4.)</t>
    </r>
    <r>
      <rPr>
        <sz val="11"/>
        <color theme="1"/>
        <rFont val="Calibri"/>
        <family val="2"/>
        <scheme val="minor"/>
      </rPr>
      <t xml:space="preserve"> Enter the voltage into the voltage divider, </t>
    </r>
    <r>
      <rPr>
        <b/>
        <sz val="11"/>
        <color theme="1"/>
        <rFont val="Calibri"/>
        <family val="2"/>
        <scheme val="minor"/>
      </rPr>
      <t>Vin</t>
    </r>
    <r>
      <rPr>
        <sz val="11"/>
        <color theme="1"/>
        <rFont val="Calibri"/>
        <family val="2"/>
        <scheme val="minor"/>
      </rPr>
      <t xml:space="preserve"> (typically </t>
    </r>
    <r>
      <rPr>
        <b/>
        <sz val="11"/>
        <color theme="1"/>
        <rFont val="Calibri"/>
        <family val="2"/>
        <scheme val="minor"/>
      </rPr>
      <t>5V</t>
    </r>
    <r>
      <rPr>
        <sz val="11"/>
        <color theme="1"/>
        <rFont val="Calibri"/>
        <family val="2"/>
        <scheme val="minor"/>
      </rPr>
      <t>, as this is standard logic voltage)</t>
    </r>
  </si>
  <si>
    <r>
      <rPr>
        <b/>
        <u/>
        <sz val="11"/>
        <color theme="1"/>
        <rFont val="Calibri"/>
        <family val="2"/>
        <scheme val="minor"/>
      </rPr>
      <t>5.)</t>
    </r>
    <r>
      <rPr>
        <sz val="11"/>
        <color theme="1"/>
        <rFont val="Calibri"/>
        <family val="2"/>
        <scheme val="minor"/>
      </rPr>
      <t xml:space="preserve"> Enter the </t>
    </r>
    <r>
      <rPr>
        <b/>
        <sz val="11"/>
        <color theme="1"/>
        <rFont val="Calibri"/>
        <family val="2"/>
        <scheme val="minor"/>
      </rPr>
      <t>Oversampling</t>
    </r>
    <r>
      <rPr>
        <sz val="11"/>
        <color theme="1"/>
        <rFont val="Calibri"/>
        <family val="2"/>
        <scheme val="minor"/>
      </rPr>
      <t xml:space="preserve"> number. For marlin, this is </t>
    </r>
    <r>
      <rPr>
        <b/>
        <sz val="11"/>
        <color theme="1"/>
        <rFont val="Calibri"/>
        <family val="2"/>
        <scheme val="minor"/>
      </rPr>
      <t>16</t>
    </r>
    <r>
      <rPr>
        <sz val="11"/>
        <color theme="1"/>
        <rFont val="Calibri"/>
        <family val="2"/>
        <scheme val="minor"/>
      </rPr>
      <t xml:space="preserve"> (the thermistor tables in marlin show a measurement value of X * OVERSMAPLENR, but since we include the oversampling here, you just copy the values straight in, as shown on the marlin_table sheet that is generated later). oversampling is used to get greater precision of measurements.</t>
    </r>
  </si>
  <si>
    <r>
      <rPr>
        <b/>
        <u/>
        <sz val="11"/>
        <color theme="1"/>
        <rFont val="Calibri"/>
        <family val="2"/>
        <scheme val="minor"/>
      </rPr>
      <t>7.)</t>
    </r>
    <r>
      <rPr>
        <sz val="11"/>
        <color theme="1"/>
        <rFont val="Calibri"/>
        <family val="2"/>
        <scheme val="minor"/>
      </rPr>
      <t xml:space="preserve"> Enter the precision of the voltage measurement </t>
    </r>
    <r>
      <rPr>
        <b/>
        <sz val="11"/>
        <color theme="1"/>
        <rFont val="Calibri"/>
        <family val="2"/>
        <scheme val="minor"/>
      </rPr>
      <t>scale.</t>
    </r>
    <r>
      <rPr>
        <sz val="11"/>
        <color theme="1"/>
        <rFont val="Calibri"/>
        <family val="2"/>
        <scheme val="minor"/>
      </rPr>
      <t xml:space="preserve"> For arduino boards, so for normal reprap applications, this is </t>
    </r>
    <r>
      <rPr>
        <b/>
        <sz val="11"/>
        <color theme="1"/>
        <rFont val="Calibri"/>
        <family val="2"/>
        <scheme val="minor"/>
      </rPr>
      <t>1023</t>
    </r>
    <r>
      <rPr>
        <sz val="11"/>
        <color theme="1"/>
        <rFont val="Calibri"/>
        <family val="2"/>
        <scheme val="minor"/>
      </rPr>
      <t xml:space="preserve"> (i.e. the analogue measurement splits a voltage of 5V into 1024 increments)</t>
    </r>
  </si>
  <si>
    <r>
      <rPr>
        <b/>
        <u/>
        <sz val="11"/>
        <color theme="1"/>
        <rFont val="Calibri"/>
        <family val="2"/>
        <scheme val="minor"/>
      </rPr>
      <t>9.)</t>
    </r>
    <r>
      <rPr>
        <sz val="11"/>
        <color theme="1"/>
        <rFont val="Calibri"/>
        <family val="2"/>
        <scheme val="minor"/>
      </rPr>
      <t xml:space="preserve"> to get a table that you can just copy and paste into your custom Thermistor Table in Marlin, click on the </t>
    </r>
    <r>
      <rPr>
        <b/>
        <sz val="11"/>
        <color theme="1"/>
        <rFont val="Calibri"/>
        <family val="2"/>
        <scheme val="minor"/>
      </rPr>
      <t>"Create Table" button</t>
    </r>
    <r>
      <rPr>
        <sz val="11"/>
        <color theme="1"/>
        <rFont val="Calibri"/>
        <family val="2"/>
        <scheme val="minor"/>
      </rPr>
      <t>. This will just create a new sheet with correctly syntaxed data for the table, running from high temp to low temp (as per marlin standard). You can copy and paste these cells directly into the Marlin code.</t>
    </r>
  </si>
  <si>
    <t xml:space="preserve">From thermistor datasheet: </t>
  </si>
  <si>
    <t>B57560G104F</t>
  </si>
  <si>
    <t>Output Marlin Thermistor Table (note: don't add *OVERSAMPLENR)</t>
  </si>
  <si>
    <r>
      <rPr>
        <b/>
        <u/>
        <sz val="11"/>
        <color theme="1"/>
        <rFont val="Calibri"/>
        <family val="2"/>
        <scheme val="minor"/>
      </rPr>
      <t>3.)</t>
    </r>
    <r>
      <rPr>
        <sz val="11"/>
        <color theme="1"/>
        <rFont val="Calibri"/>
        <family val="2"/>
        <scheme val="minor"/>
      </rPr>
      <t xml:space="preserve"> enter the value of your </t>
    </r>
    <r>
      <rPr>
        <b/>
        <sz val="11"/>
        <color theme="1"/>
        <rFont val="Calibri"/>
        <family val="2"/>
        <scheme val="minor"/>
      </rPr>
      <t>pull-up resistor</t>
    </r>
    <r>
      <rPr>
        <sz val="11"/>
        <color theme="1"/>
        <rFont val="Calibri"/>
        <family val="2"/>
        <scheme val="minor"/>
      </rPr>
      <t xml:space="preserve"> (the resistor used in your voltage divider, which allows you to measure the relative resistance of the thermistor). This is typically </t>
    </r>
    <r>
      <rPr>
        <b/>
        <sz val="11"/>
        <color theme="1"/>
        <rFont val="Calibri"/>
        <family val="2"/>
        <scheme val="minor"/>
      </rPr>
      <t>4.7 kOhm</t>
    </r>
    <r>
      <rPr>
        <sz val="11"/>
        <color theme="1"/>
        <rFont val="Calibri"/>
        <family val="2"/>
        <scheme val="minor"/>
      </rPr>
      <t>. Check the design of your control board (RUMBA, RAMPS, etc), or ask the supplier what the value of this Pullup Resistor is.</t>
    </r>
  </si>
  <si>
    <r>
      <rPr>
        <b/>
        <u/>
        <sz val="11"/>
        <color theme="1"/>
        <rFont val="Calibri"/>
        <family val="2"/>
        <scheme val="minor"/>
      </rPr>
      <t>6.)</t>
    </r>
    <r>
      <rPr>
        <sz val="11"/>
        <color theme="1"/>
        <rFont val="Calibri"/>
        <family val="2"/>
        <scheme val="minor"/>
      </rPr>
      <t xml:space="preserve"> Enter the Thermistor resistance at 25°C, </t>
    </r>
    <r>
      <rPr>
        <b/>
        <sz val="11"/>
        <color theme="1"/>
        <rFont val="Calibri"/>
        <family val="2"/>
        <scheme val="minor"/>
      </rPr>
      <t>R25.</t>
    </r>
    <r>
      <rPr>
        <sz val="11"/>
        <color theme="1"/>
        <rFont val="Calibri"/>
        <family val="2"/>
        <scheme val="minor"/>
      </rPr>
      <t xml:space="preserve"> This is the standard value used to specify a thermistor. The resistance of the thermistor at other temperatures is given in the tables relative to R25 (i.e. as a fraction or multiple of R25), so all values in that table get multiplied by this to give the actual resistance, from which the measured voltage is derived. Normally </t>
    </r>
    <r>
      <rPr>
        <b/>
        <sz val="11"/>
        <color theme="1"/>
        <rFont val="Calibri"/>
        <family val="2"/>
        <scheme val="minor"/>
      </rPr>
      <t>100kOhm</t>
    </r>
    <r>
      <rPr>
        <sz val="11"/>
        <color theme="1"/>
        <rFont val="Calibri"/>
        <family val="2"/>
        <scheme val="minor"/>
      </rPr>
      <t xml:space="preserve"> thermistors are used for reprap controls. If you're unsure, just measure the resistance of your thermistor at room temperature, and this will give you a pretty good idea of the nominal resistance.</t>
    </r>
  </si>
  <si>
    <r>
      <rPr>
        <b/>
        <sz val="11"/>
        <color theme="1"/>
        <rFont val="Calibri"/>
        <family val="2"/>
        <scheme val="minor"/>
      </rPr>
      <t>10.)</t>
    </r>
    <r>
      <rPr>
        <sz val="11"/>
        <color theme="1"/>
        <rFont val="Calibri"/>
        <family val="2"/>
        <scheme val="minor"/>
      </rPr>
      <t xml:space="preserve"> Remember, at the end of the day, the R25 temp is the most important value, and is easy to measure with a Digital Multimeter. If you don't actually have any technical data about your thermistor, you just need to do the following:
    a. Measure your thermistor's resistance at room temperature
    b. Select a thermistor table in your firmware with an appropriate R25 value
    c. Slowly increase the temperature (using printer control software like Pronterface, etc) until you are able to manually push filament through the hot end and have it melt, extruding out the nozzle.
    d. This temperature set point can be compared to the theoretical melting point of the filament. If it's close enough, leave the thermistor table as is. If not, select a different table and repeat, or adjust the values in the table so that the Room Temp reading and Melting Point temp line up (i.e. the temperature readings from your printer are roughly what's expected based on the approximate room temperature and melting point of the plastic).
    e. Now just fine tune your Nozzle Temperature set point (for printing, in your slicer software), as you would normally do regardless of the uncertainty of your thermistor.
    f. It doesn't matter if you have a bit of an error between your Measured versus Actual temperatures, as long as it is a consistent error, you can still calibrate the printer to run at a set point suitable for that particular filament. You only need to be accurate enough that you can still set reasonable safety limits on your temperature, to prevent damaging the hot end by overtemperature.</t>
    </r>
  </si>
  <si>
    <t>T0</t>
  </si>
  <si>
    <t>R0</t>
  </si>
  <si>
    <t>°C</t>
  </si>
  <si>
    <t>B (Beta, B25/100)</t>
  </si>
  <si>
    <t>T_B</t>
  </si>
  <si>
    <t>K</t>
  </si>
  <si>
    <t>T (K)</t>
  </si>
  <si>
    <t>LN R</t>
  </si>
  <si>
    <t>Calculation Values</t>
  </si>
  <si>
    <t>Z</t>
  </si>
  <si>
    <t>Y</t>
  </si>
  <si>
    <t>X</t>
  </si>
  <si>
    <t>W</t>
  </si>
  <si>
    <t>U</t>
  </si>
  <si>
    <t>Steinhart-Hart Equation Coefficients</t>
  </si>
  <si>
    <t>C3</t>
  </si>
  <si>
    <t>C2</t>
  </si>
  <si>
    <t>C1</t>
  </si>
  <si>
    <t>T(°C)</t>
  </si>
  <si>
    <t>T (k)</t>
  </si>
  <si>
    <t>y</t>
  </si>
  <si>
    <t>x</t>
  </si>
  <si>
    <t>R (Ohm)</t>
  </si>
  <si>
    <t>R (Ohms)</t>
  </si>
  <si>
    <t>http://en.wikipedia.org/wiki/Thermistor</t>
  </si>
  <si>
    <t>http://assets.newport.com/webDocuments-EN/images/AN04_Thermistor_Calibration_IX.PDF</t>
  </si>
  <si>
    <t>References:</t>
  </si>
  <si>
    <t>2.) Input the values for R Pullup, Vin, Oversampling number, and scale, as discussed in method 1.</t>
  </si>
  <si>
    <r>
      <t xml:space="preserve">1.) Using the Beta &amp; R25 values supplied by whoever sold you the thermistor (or looking up the datasheets online) complete the calculation inputs (in </t>
    </r>
    <r>
      <rPr>
        <sz val="11"/>
        <color rgb="FFFF0000"/>
        <rFont val="Calibri"/>
        <family val="2"/>
        <scheme val="minor"/>
      </rPr>
      <t>RED BORDERS</t>
    </r>
    <r>
      <rPr>
        <sz val="11"/>
        <color theme="1"/>
        <rFont val="Calibri"/>
        <family val="2"/>
        <scheme val="minor"/>
      </rPr>
      <t>)</t>
    </r>
  </si>
  <si>
    <t>3.) see example below, for my thermistor.</t>
  </si>
  <si>
    <t>NOTE: this method has greater error than using the R/T tables or manual calibrations, but is useful if all you know is the beta value. Note the comments in Method 1, regarding accuracy of your values.</t>
  </si>
  <si>
    <t>1. measure your thermistor resistance at room temperature (take multiple measurements and average the results), and record the temperature of your thermistor using a digital thermometer</t>
  </si>
  <si>
    <t>3.  Raise the temperature of your thermistor to a value above what you expect to print at (being careful not to OVER heat it). Measure temperature and resistance again</t>
  </si>
  <si>
    <t>2. Raise the temperature of your thermistor to a value somewhere just below the temperature that you expect to print at. Measure &amp; record the temperature and resistance</t>
  </si>
  <si>
    <t>4. Input these three pairs of values on the calculation sheet. These will be used to calculate the coefficients for the Steinhart-Hart equation.</t>
  </si>
  <si>
    <t>5. Input the remaining values on the calc sheet (Vin, R pullup, scale, oversampling)</t>
  </si>
  <si>
    <t>4.) click the button to generate the thermistor table for use in marlin</t>
  </si>
  <si>
    <t>NOTE: this method is extremely accurate, if the measurements are taken accurately.</t>
  </si>
  <si>
    <t>6. click the button to generate the new table for use in Marlin</t>
  </si>
  <si>
    <t>ADC Resolution</t>
  </si>
  <si>
    <t>Expected ADC Reading</t>
  </si>
  <si>
    <t>Expected Voltage</t>
  </si>
  <si>
    <t>Temperature</t>
  </si>
  <si>
    <t>Max ADC Value</t>
  </si>
  <si>
    <t>Measured ADC Reading</t>
  </si>
  <si>
    <t>bit</t>
  </si>
  <si>
    <t>Pullup Resistor Value</t>
  </si>
  <si>
    <t>OVERSAMPLENR</t>
  </si>
  <si>
    <t>In Marlin firmware, uncomment the line "//#define SHOW_TEMP_ADC_VALUES" in file "CONFIGURATION_ADV_H" will returns the thermistor ADC raw value to the connected computer console when issuing command M105 to Marlin.
You can connect a known accurate Type-K thermocouple sensor next to the thermistor on the hotend and increase the temperature of the hotend gradually until the value displays on the thermocouple thermometer reach the desire temperature. Then issuing command M105 and check the returned "C" value for the actual ADC thermistor value measured by the firmware. For accurate measurement, wait 30 seconds for the hot end temperature getting stable.
e.g.
  &gt;&gt;&gt; M105
  Sending:M105
  ok T:18.5 /0.0 B:0.0 /0.0 T0:18.5 /0.0 @:0 B@:0    ADC B:0.0C-&gt;1023  T0:18.5C-&gt;969
In above example, information following "ADC" are the actual ADC reading from the controller - "B" refers to Hot bed (i.e. 1023), "T0" refers to the first extruder (i.e. 969). The numeric value after "-&gt;" are the actual ADC value.</t>
  </si>
  <si>
    <t>Measured Values</t>
  </si>
  <si>
    <t>Measured Resistance</t>
  </si>
  <si>
    <t>Measured Voltage</t>
  </si>
  <si>
    <t>Thermistor Info</t>
  </si>
  <si>
    <t>PullUp R:</t>
  </si>
  <si>
    <t>ADC Volt</t>
  </si>
  <si>
    <t>Readme</t>
  </si>
  <si>
    <t>Measured Data point #</t>
  </si>
  <si>
    <r>
      <rPr>
        <b/>
        <u/>
        <sz val="11"/>
        <color theme="1"/>
        <rFont val="Calibri"/>
        <family val="2"/>
        <scheme val="minor"/>
      </rPr>
      <t>8.)</t>
    </r>
    <r>
      <rPr>
        <sz val="11"/>
        <color theme="1"/>
        <rFont val="Calibri"/>
        <family val="2"/>
        <scheme val="minor"/>
      </rPr>
      <t xml:space="preserve"> Once you are happy with all of the values in </t>
    </r>
    <r>
      <rPr>
        <sz val="11"/>
        <color rgb="FFFF0000"/>
        <rFont val="Calibri"/>
        <family val="2"/>
        <scheme val="minor"/>
      </rPr>
      <t>RED BORDERED</t>
    </r>
    <r>
      <rPr>
        <sz val="11"/>
        <color theme="1"/>
        <rFont val="Calibri"/>
        <family val="2"/>
        <scheme val="minor"/>
      </rPr>
      <t xml:space="preserve"> cells, you can check your READING values at various temperatures, compare them to other tables in Marlin. If the values line up with another thermistor table already in Marlin, great, use that table (note: compare the values in the READING column, column D, since These are the values before the oversampling factor is applied, and the tables in Marlin include an oversampling Multiplier).
       Otherwise, add your own table by copying the format of the other tables, and specify the new number that you give it as your thermistor number (in the "configure" code) (or just paste your data over the top of a thermistor table that you aren't using! and comment it accordingly in the code!).</t>
    </r>
  </si>
  <si>
    <t>T0 In K</t>
  </si>
  <si>
    <t>Estimated Values, This is for Reference Only</t>
  </si>
  <si>
    <t>precision of voltage measurement</t>
  </si>
  <si>
    <t>Measured T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</si>
</sst>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u/>
      <sz val="11"/>
      <color theme="1"/>
      <name val="Calibri"/>
      <family val="2"/>
      <scheme val="minor"/>
    </font>
    <font>
      <sz val="11"/>
      <color rgb="FF000000"/>
      <name val="Calibri"/>
      <family val="2"/>
    </font>
    <font>
      <sz val="11"/>
      <color rgb="FFFF0000"/>
      <name val="Calibri"/>
      <family val="2"/>
      <scheme val="minor"/>
    </font>
    <font>
      <b/>
      <sz val="11"/>
      <color theme="1"/>
      <name val="Calibri"/>
      <family val="2"/>
      <scheme val="minor"/>
    </font>
    <font>
      <b/>
      <u/>
      <sz val="11"/>
      <color theme="1"/>
      <name val="Calibri"/>
      <family val="2"/>
      <scheme val="minor"/>
    </font>
    <font>
      <sz val="11"/>
      <color rgb="FF0070C0"/>
      <name val="Calibri"/>
      <family val="2"/>
      <scheme val="minor"/>
    </font>
    <font>
      <sz val="11"/>
      <color rgb="FFFFC000"/>
      <name val="Calibri"/>
      <family val="2"/>
      <scheme val="minor"/>
    </font>
    <font>
      <u/>
      <sz val="11"/>
      <color theme="1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3" tint="0.59999389629810485"/>
        <bgColor indexed="64"/>
      </patternFill>
    </fill>
    <fill>
      <patternFill patternType="solid">
        <fgColor theme="6"/>
        <bgColor indexed="64"/>
      </patternFill>
    </fill>
  </fills>
  <borders count="7">
    <border>
      <left/>
      <right/>
      <top/>
      <bottom/>
      <diagonal/>
    </border>
    <border>
      <left style="thin">
        <color rgb="FFFF0000"/>
      </left>
      <right style="thin">
        <color rgb="FFFF0000"/>
      </right>
      <top style="thin">
        <color rgb="FFFF0000"/>
      </top>
      <bottom style="thin">
        <color rgb="FFFF0000"/>
      </bottom>
      <diagonal/>
    </border>
    <border>
      <left style="thin">
        <color indexed="64"/>
      </left>
      <right style="thin">
        <color indexed="64"/>
      </right>
      <top style="thin">
        <color indexed="64"/>
      </top>
      <bottom style="thin">
        <color indexed="64"/>
      </bottom>
      <diagonal/>
    </border>
    <border>
      <left style="thin">
        <color rgb="FFFF0000"/>
      </left>
      <right style="thin">
        <color rgb="FFFF0000"/>
      </right>
      <top style="thin">
        <color rgb="FFFF0000"/>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8" fillId="0" borderId="0" applyNumberFormat="0" applyFill="0" applyBorder="0" applyAlignment="0" applyProtection="0"/>
  </cellStyleXfs>
  <cellXfs count="27">
    <xf numFmtId="0" fontId="0" fillId="0" borderId="0" xfId="0"/>
    <xf numFmtId="0" fontId="1" fillId="0" borderId="0" xfId="0" applyFont="1"/>
    <xf numFmtId="0" fontId="0" fillId="0" borderId="1" xfId="0" applyBorder="1"/>
    <xf numFmtId="0" fontId="0" fillId="0" borderId="0" xfId="0" applyAlignment="1">
      <alignment wrapText="1"/>
    </xf>
    <xf numFmtId="0" fontId="6" fillId="0" borderId="0" xfId="0" applyFont="1"/>
    <xf numFmtId="0" fontId="7" fillId="0" borderId="0" xfId="0" applyFont="1"/>
    <xf numFmtId="0" fontId="5" fillId="0" borderId="0" xfId="0" applyFont="1"/>
    <xf numFmtId="0" fontId="0" fillId="0" borderId="2" xfId="0" applyBorder="1"/>
    <xf numFmtId="0" fontId="0" fillId="4" borderId="2" xfId="0" applyFill="1" applyBorder="1" applyAlignment="1">
      <alignment wrapText="1"/>
    </xf>
    <xf numFmtId="0" fontId="6" fillId="0" borderId="2" xfId="0" applyFont="1" applyBorder="1"/>
    <xf numFmtId="0" fontId="7" fillId="0" borderId="2" xfId="0" applyFont="1" applyBorder="1"/>
    <xf numFmtId="1" fontId="6" fillId="0" borderId="2" xfId="0" applyNumberFormat="1" applyFont="1" applyBorder="1"/>
    <xf numFmtId="1" fontId="0" fillId="0" borderId="0" xfId="0" applyNumberFormat="1"/>
    <xf numFmtId="1" fontId="0" fillId="0" borderId="2" xfId="0" applyNumberFormat="1" applyBorder="1"/>
    <xf numFmtId="2" fontId="0" fillId="0" borderId="2" xfId="0" applyNumberFormat="1" applyBorder="1"/>
    <xf numFmtId="0" fontId="0" fillId="3" borderId="2" xfId="0" applyFill="1" applyBorder="1" applyAlignment="1">
      <alignment horizontal="center"/>
    </xf>
    <xf numFmtId="2" fontId="0" fillId="0" borderId="0" xfId="0" applyNumberFormat="1"/>
    <xf numFmtId="0" fontId="0" fillId="0" borderId="1" xfId="0" applyFill="1" applyBorder="1"/>
    <xf numFmtId="0" fontId="0" fillId="0" borderId="0" xfId="0" applyFill="1" applyBorder="1"/>
    <xf numFmtId="0" fontId="0" fillId="0" borderId="3" xfId="0" applyBorder="1"/>
    <xf numFmtId="0" fontId="0" fillId="0" borderId="0" xfId="0" applyBorder="1"/>
    <xf numFmtId="0" fontId="0" fillId="2" borderId="0" xfId="0" applyFill="1" applyAlignment="1">
      <alignment horizontal="left" wrapText="1"/>
    </xf>
    <xf numFmtId="0" fontId="0" fillId="3" borderId="2" xfId="0" applyFill="1" applyBorder="1" applyAlignment="1">
      <alignment horizontal="center"/>
    </xf>
    <xf numFmtId="0" fontId="8" fillId="0" borderId="0" xfId="1"/>
    <xf numFmtId="1" fontId="6" fillId="0" borderId="4" xfId="0" applyNumberFormat="1" applyFont="1" applyBorder="1"/>
    <xf numFmtId="2" fontId="6" fillId="0" borderId="5" xfId="0" applyNumberFormat="1" applyFont="1" applyBorder="1"/>
    <xf numFmtId="0" fontId="0" fillId="4" borderId="6" xfId="0" applyFill="1" applyBorder="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2.xml"/><Relationship Id="rId11" Type="http://schemas.microsoft.com/office/2006/relationships/vbaProject" Target="vbaProject.bin"/><Relationship Id="rId5" Type="http://schemas.openxmlformats.org/officeDocument/2006/relationships/chartsheet" Target="chartsheets/sheet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R/T</a:t>
            </a:r>
          </a:p>
        </c:rich>
      </c:tx>
      <c:overlay val="0"/>
    </c:title>
    <c:autoTitleDeleted val="0"/>
    <c:plotArea>
      <c:layout/>
      <c:scatterChart>
        <c:scatterStyle val="smoothMarker"/>
        <c:varyColors val="0"/>
        <c:ser>
          <c:idx val="0"/>
          <c:order val="0"/>
          <c:tx>
            <c:strRef>
              <c:f>Manual_Calibration!$H$16</c:f>
              <c:strCache>
                <c:ptCount val="1"/>
                <c:pt idx="0">
                  <c:v>R (kOhm)</c:v>
                </c:pt>
              </c:strCache>
            </c:strRef>
          </c:tx>
          <c:xVal>
            <c:numRef>
              <c:f>Manual_Calibration!$A$17:$A$80</c:f>
              <c:numCache>
                <c:formatCode>0</c:formatCode>
                <c:ptCount val="64"/>
                <c:pt idx="0">
                  <c:v>-15</c:v>
                </c:pt>
                <c:pt idx="1">
                  <c:v>-10</c:v>
                </c:pt>
                <c:pt idx="2">
                  <c:v>-5</c:v>
                </c:pt>
                <c:pt idx="3">
                  <c:v>0</c:v>
                </c:pt>
                <c:pt idx="4">
                  <c:v>5</c:v>
                </c:pt>
                <c:pt idx="5">
                  <c:v>10</c:v>
                </c:pt>
                <c:pt idx="6">
                  <c:v>15</c:v>
                </c:pt>
                <c:pt idx="7">
                  <c:v>20</c:v>
                </c:pt>
                <c:pt idx="8">
                  <c:v>25</c:v>
                </c:pt>
                <c:pt idx="9">
                  <c:v>30</c:v>
                </c:pt>
                <c:pt idx="10">
                  <c:v>35</c:v>
                </c:pt>
                <c:pt idx="11">
                  <c:v>40</c:v>
                </c:pt>
                <c:pt idx="12">
                  <c:v>45</c:v>
                </c:pt>
                <c:pt idx="13">
                  <c:v>50</c:v>
                </c:pt>
                <c:pt idx="14">
                  <c:v>55</c:v>
                </c:pt>
                <c:pt idx="15">
                  <c:v>60</c:v>
                </c:pt>
                <c:pt idx="16">
                  <c:v>65</c:v>
                </c:pt>
                <c:pt idx="17">
                  <c:v>70</c:v>
                </c:pt>
                <c:pt idx="18">
                  <c:v>75</c:v>
                </c:pt>
                <c:pt idx="19">
                  <c:v>80</c:v>
                </c:pt>
                <c:pt idx="20">
                  <c:v>85</c:v>
                </c:pt>
                <c:pt idx="21">
                  <c:v>90</c:v>
                </c:pt>
                <c:pt idx="22">
                  <c:v>95</c:v>
                </c:pt>
                <c:pt idx="23">
                  <c:v>100</c:v>
                </c:pt>
                <c:pt idx="24">
                  <c:v>105</c:v>
                </c:pt>
                <c:pt idx="25">
                  <c:v>110</c:v>
                </c:pt>
                <c:pt idx="26">
                  <c:v>115</c:v>
                </c:pt>
                <c:pt idx="27">
                  <c:v>120</c:v>
                </c:pt>
                <c:pt idx="28">
                  <c:v>125</c:v>
                </c:pt>
                <c:pt idx="29">
                  <c:v>130</c:v>
                </c:pt>
                <c:pt idx="30">
                  <c:v>135</c:v>
                </c:pt>
                <c:pt idx="31">
                  <c:v>140</c:v>
                </c:pt>
                <c:pt idx="32">
                  <c:v>145</c:v>
                </c:pt>
                <c:pt idx="33">
                  <c:v>150</c:v>
                </c:pt>
                <c:pt idx="34">
                  <c:v>155</c:v>
                </c:pt>
                <c:pt idx="35">
                  <c:v>160</c:v>
                </c:pt>
                <c:pt idx="36">
                  <c:v>165</c:v>
                </c:pt>
                <c:pt idx="37">
                  <c:v>170</c:v>
                </c:pt>
                <c:pt idx="38">
                  <c:v>175</c:v>
                </c:pt>
                <c:pt idx="39">
                  <c:v>180</c:v>
                </c:pt>
                <c:pt idx="40">
                  <c:v>185</c:v>
                </c:pt>
                <c:pt idx="41">
                  <c:v>190</c:v>
                </c:pt>
                <c:pt idx="42">
                  <c:v>195</c:v>
                </c:pt>
                <c:pt idx="43">
                  <c:v>200</c:v>
                </c:pt>
                <c:pt idx="44">
                  <c:v>205</c:v>
                </c:pt>
                <c:pt idx="45">
                  <c:v>210</c:v>
                </c:pt>
                <c:pt idx="46">
                  <c:v>215</c:v>
                </c:pt>
                <c:pt idx="47">
                  <c:v>220</c:v>
                </c:pt>
                <c:pt idx="48">
                  <c:v>225</c:v>
                </c:pt>
                <c:pt idx="49">
                  <c:v>230</c:v>
                </c:pt>
                <c:pt idx="50">
                  <c:v>235</c:v>
                </c:pt>
                <c:pt idx="51">
                  <c:v>240</c:v>
                </c:pt>
                <c:pt idx="52">
                  <c:v>245</c:v>
                </c:pt>
                <c:pt idx="53">
                  <c:v>250</c:v>
                </c:pt>
                <c:pt idx="54">
                  <c:v>255</c:v>
                </c:pt>
                <c:pt idx="55">
                  <c:v>260</c:v>
                </c:pt>
                <c:pt idx="56">
                  <c:v>265</c:v>
                </c:pt>
                <c:pt idx="57">
                  <c:v>270</c:v>
                </c:pt>
                <c:pt idx="58">
                  <c:v>275</c:v>
                </c:pt>
                <c:pt idx="59">
                  <c:v>280</c:v>
                </c:pt>
                <c:pt idx="60">
                  <c:v>285</c:v>
                </c:pt>
                <c:pt idx="61">
                  <c:v>290</c:v>
                </c:pt>
                <c:pt idx="62">
                  <c:v>295</c:v>
                </c:pt>
                <c:pt idx="63">
                  <c:v>300</c:v>
                </c:pt>
              </c:numCache>
            </c:numRef>
          </c:xVal>
          <c:yVal>
            <c:numRef>
              <c:f>Manual_Calibration!$H$17:$H$80</c:f>
              <c:numCache>
                <c:formatCode>General</c:formatCode>
                <c:ptCount val="64"/>
                <c:pt idx="0">
                  <c:v>778.98107579808368</c:v>
                </c:pt>
                <c:pt idx="1">
                  <c:v>582.4571278707881</c:v>
                </c:pt>
                <c:pt idx="2">
                  <c:v>440.26046691571565</c:v>
                </c:pt>
                <c:pt idx="3">
                  <c:v>336.20603721435742</c:v>
                </c:pt>
                <c:pt idx="4">
                  <c:v>259.24562419593519</c:v>
                </c:pt>
                <c:pt idx="5">
                  <c:v>201.7457702398485</c:v>
                </c:pt>
                <c:pt idx="6">
                  <c:v>158.37147664908136</c:v>
                </c:pt>
                <c:pt idx="7">
                  <c:v>125.35325812662809</c:v>
                </c:pt>
                <c:pt idx="8">
                  <c:v>100</c:v>
                </c:pt>
                <c:pt idx="9">
                  <c:v>80.371406869731373</c:v>
                </c:pt>
                <c:pt idx="10">
                  <c:v>65.055311261565663</c:v>
                </c:pt>
                <c:pt idx="11">
                  <c:v>53.014668594096683</c:v>
                </c:pt>
                <c:pt idx="12">
                  <c:v>43.481368500594712</c:v>
                </c:pt>
                <c:pt idx="13">
                  <c:v>35.881825819290832</c:v>
                </c:pt>
                <c:pt idx="14">
                  <c:v>29.78435896464627</c:v>
                </c:pt>
                <c:pt idx="15">
                  <c:v>24.861647514733818</c:v>
                </c:pt>
                <c:pt idx="16">
                  <c:v>20.86372143385967</c:v>
                </c:pt>
                <c:pt idx="17">
                  <c:v>17.598370085233807</c:v>
                </c:pt>
                <c:pt idx="18">
                  <c:v>14.916822463315951</c:v>
                </c:pt>
                <c:pt idx="19">
                  <c:v>12.703202348436204</c:v>
                </c:pt>
                <c:pt idx="20">
                  <c:v>10.866707693930254</c:v>
                </c:pt>
                <c:pt idx="21">
                  <c:v>9.3357705779475566</c:v>
                </c:pt>
                <c:pt idx="22">
                  <c:v>8.0536673257853817</c:v>
                </c:pt>
                <c:pt idx="23">
                  <c:v>6.9751977298618799</c:v>
                </c:pt>
                <c:pt idx="24">
                  <c:v>6.0641576348196216</c:v>
                </c:pt>
                <c:pt idx="25">
                  <c:v>5.2914040128691564</c:v>
                </c:pt>
                <c:pt idx="26">
                  <c:v>4.633365225552442</c:v>
                </c:pt>
                <c:pt idx="27">
                  <c:v>4.0708877664662779</c:v>
                </c:pt>
                <c:pt idx="28">
                  <c:v>3.5883387724003382</c:v>
                </c:pt>
                <c:pt idx="29">
                  <c:v>3.1729040204033039</c:v>
                </c:pt>
                <c:pt idx="30">
                  <c:v>2.8140361299658347</c:v>
                </c:pt>
                <c:pt idx="31">
                  <c:v>2.503018770260832</c:v>
                </c:pt>
                <c:pt idx="32">
                  <c:v>2.2326209037708868</c:v>
                </c:pt>
                <c:pt idx="33">
                  <c:v>1.9968212461492274</c:v>
                </c:pt>
                <c:pt idx="34">
                  <c:v>1.7905877394116823</c:v>
                </c:pt>
                <c:pt idx="35">
                  <c:v>1.6097003208467224</c:v>
                </c:pt>
                <c:pt idx="36">
                  <c:v>1.4506079140564965</c:v>
                </c:pt>
                <c:pt idx="37">
                  <c:v>1.3103125841064442</c:v>
                </c:pt>
                <c:pt idx="38">
                  <c:v>1.1862753424768433</c:v>
                </c:pt>
                <c:pt idx="39">
                  <c:v>1.0763392752345307</c:v>
                </c:pt>
                <c:pt idx="40">
                  <c:v>0.97866658571704335</c:v>
                </c:pt>
                <c:pt idx="41">
                  <c:v>0.89168685540259052</c:v>
                </c:pt>
                <c:pt idx="42">
                  <c:v>0.81405438183937162</c:v>
                </c:pt>
                <c:pt idx="43">
                  <c:v>0.74461288696039485</c:v>
                </c:pt>
                <c:pt idx="44">
                  <c:v>0.68236623041363964</c:v>
                </c:pt>
                <c:pt idx="45">
                  <c:v>0.62645403168924474</c:v>
                </c:pt>
                <c:pt idx="46">
                  <c:v>0.5761313178675076</c:v>
                </c:pt>
                <c:pt idx="47">
                  <c:v>0.53075148305059894</c:v>
                </c:pt>
                <c:pt idx="48">
                  <c:v>0.48975198045616591</c:v>
                </c:pt>
                <c:pt idx="49">
                  <c:v>0.45264227607179064</c:v>
                </c:pt>
                <c:pt idx="50">
                  <c:v>0.4189936793843852</c:v>
                </c:pt>
                <c:pt idx="51">
                  <c:v>0.38843073643971843</c:v>
                </c:pt>
                <c:pt idx="52">
                  <c:v>0.36062392681907496</c:v>
                </c:pt>
                <c:pt idx="53">
                  <c:v>0.33528345176091573</c:v>
                </c:pt>
                <c:pt idx="54">
                  <c:v>0.31215393774519157</c:v>
                </c:pt>
                <c:pt idx="55">
                  <c:v>0.29100991008692634</c:v>
                </c:pt>
                <c:pt idx="56">
                  <c:v>0.27165191579318604</c:v>
                </c:pt>
                <c:pt idx="57">
                  <c:v>0.25390319518825888</c:v>
                </c:pt>
                <c:pt idx="58">
                  <c:v>0.23760681845477008</c:v>
                </c:pt>
                <c:pt idx="59">
                  <c:v>0.22262321695247939</c:v>
                </c:pt>
                <c:pt idx="60">
                  <c:v>0.20882805050634543</c:v>
                </c:pt>
                <c:pt idx="61">
                  <c:v>0.19611036123915862</c:v>
                </c:pt>
                <c:pt idx="62">
                  <c:v>0.18437097231509883</c:v>
                </c:pt>
                <c:pt idx="63">
                  <c:v>0.17352109644484739</c:v>
                </c:pt>
              </c:numCache>
            </c:numRef>
          </c:yVal>
          <c:smooth val="1"/>
          <c:extLst>
            <c:ext xmlns:c16="http://schemas.microsoft.com/office/drawing/2014/chart" uri="{C3380CC4-5D6E-409C-BE32-E72D297353CC}">
              <c16:uniqueId val="{00000000-9217-4770-96CC-F02F53A38D10}"/>
            </c:ext>
          </c:extLst>
        </c:ser>
        <c:dLbls>
          <c:showLegendKey val="0"/>
          <c:showVal val="0"/>
          <c:showCatName val="0"/>
          <c:showSerName val="0"/>
          <c:showPercent val="0"/>
          <c:showBubbleSize val="0"/>
        </c:dLbls>
        <c:axId val="38496896"/>
        <c:axId val="38988800"/>
      </c:scatterChart>
      <c:valAx>
        <c:axId val="38496896"/>
        <c:scaling>
          <c:orientation val="minMax"/>
        </c:scaling>
        <c:delete val="0"/>
        <c:axPos val="b"/>
        <c:title>
          <c:tx>
            <c:rich>
              <a:bodyPr/>
              <a:lstStyle/>
              <a:p>
                <a:pPr>
                  <a:defRPr/>
                </a:pPr>
                <a:r>
                  <a:rPr lang="en-AU"/>
                  <a:t>T (°C)</a:t>
                </a:r>
              </a:p>
            </c:rich>
          </c:tx>
          <c:overlay val="0"/>
        </c:title>
        <c:numFmt formatCode="0" sourceLinked="1"/>
        <c:majorTickMark val="none"/>
        <c:minorTickMark val="none"/>
        <c:tickLblPos val="nextTo"/>
        <c:crossAx val="38988800"/>
        <c:crosses val="autoZero"/>
        <c:crossBetween val="midCat"/>
      </c:valAx>
      <c:valAx>
        <c:axId val="38988800"/>
        <c:scaling>
          <c:logBase val="10"/>
          <c:orientation val="minMax"/>
        </c:scaling>
        <c:delete val="0"/>
        <c:axPos val="l"/>
        <c:majorGridlines/>
        <c:title>
          <c:tx>
            <c:rich>
              <a:bodyPr/>
              <a:lstStyle/>
              <a:p>
                <a:pPr>
                  <a:defRPr/>
                </a:pPr>
                <a:r>
                  <a:rPr lang="en-AU"/>
                  <a:t>R (Ohms)</a:t>
                </a:r>
              </a:p>
            </c:rich>
          </c:tx>
          <c:overlay val="0"/>
        </c:title>
        <c:numFmt formatCode="General" sourceLinked="1"/>
        <c:majorTickMark val="none"/>
        <c:minorTickMark val="none"/>
        <c:tickLblPos val="nextTo"/>
        <c:crossAx val="3849689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V/T</a:t>
            </a:r>
          </a:p>
        </c:rich>
      </c:tx>
      <c:overlay val="0"/>
    </c:title>
    <c:autoTitleDeleted val="0"/>
    <c:plotArea>
      <c:layout/>
      <c:scatterChart>
        <c:scatterStyle val="smoothMarker"/>
        <c:varyColors val="0"/>
        <c:ser>
          <c:idx val="0"/>
          <c:order val="0"/>
          <c:tx>
            <c:strRef>
              <c:f>Manual_Calibration!$I$16</c:f>
              <c:strCache>
                <c:ptCount val="1"/>
                <c:pt idx="0">
                  <c:v>Expected Voltage</c:v>
                </c:pt>
              </c:strCache>
            </c:strRef>
          </c:tx>
          <c:xVal>
            <c:numRef>
              <c:f>Manual_Calibration!$A$17:$A$80</c:f>
              <c:numCache>
                <c:formatCode>0</c:formatCode>
                <c:ptCount val="64"/>
                <c:pt idx="0">
                  <c:v>-15</c:v>
                </c:pt>
                <c:pt idx="1">
                  <c:v>-10</c:v>
                </c:pt>
                <c:pt idx="2">
                  <c:v>-5</c:v>
                </c:pt>
                <c:pt idx="3">
                  <c:v>0</c:v>
                </c:pt>
                <c:pt idx="4">
                  <c:v>5</c:v>
                </c:pt>
                <c:pt idx="5">
                  <c:v>10</c:v>
                </c:pt>
                <c:pt idx="6">
                  <c:v>15</c:v>
                </c:pt>
                <c:pt idx="7">
                  <c:v>20</c:v>
                </c:pt>
                <c:pt idx="8">
                  <c:v>25</c:v>
                </c:pt>
                <c:pt idx="9">
                  <c:v>30</c:v>
                </c:pt>
                <c:pt idx="10">
                  <c:v>35</c:v>
                </c:pt>
                <c:pt idx="11">
                  <c:v>40</c:v>
                </c:pt>
                <c:pt idx="12">
                  <c:v>45</c:v>
                </c:pt>
                <c:pt idx="13">
                  <c:v>50</c:v>
                </c:pt>
                <c:pt idx="14">
                  <c:v>55</c:v>
                </c:pt>
                <c:pt idx="15">
                  <c:v>60</c:v>
                </c:pt>
                <c:pt idx="16">
                  <c:v>65</c:v>
                </c:pt>
                <c:pt idx="17">
                  <c:v>70</c:v>
                </c:pt>
                <c:pt idx="18">
                  <c:v>75</c:v>
                </c:pt>
                <c:pt idx="19">
                  <c:v>80</c:v>
                </c:pt>
                <c:pt idx="20">
                  <c:v>85</c:v>
                </c:pt>
                <c:pt idx="21">
                  <c:v>90</c:v>
                </c:pt>
                <c:pt idx="22">
                  <c:v>95</c:v>
                </c:pt>
                <c:pt idx="23">
                  <c:v>100</c:v>
                </c:pt>
                <c:pt idx="24">
                  <c:v>105</c:v>
                </c:pt>
                <c:pt idx="25">
                  <c:v>110</c:v>
                </c:pt>
                <c:pt idx="26">
                  <c:v>115</c:v>
                </c:pt>
                <c:pt idx="27">
                  <c:v>120</c:v>
                </c:pt>
                <c:pt idx="28">
                  <c:v>125</c:v>
                </c:pt>
                <c:pt idx="29">
                  <c:v>130</c:v>
                </c:pt>
                <c:pt idx="30">
                  <c:v>135</c:v>
                </c:pt>
                <c:pt idx="31">
                  <c:v>140</c:v>
                </c:pt>
                <c:pt idx="32">
                  <c:v>145</c:v>
                </c:pt>
                <c:pt idx="33">
                  <c:v>150</c:v>
                </c:pt>
                <c:pt idx="34">
                  <c:v>155</c:v>
                </c:pt>
                <c:pt idx="35">
                  <c:v>160</c:v>
                </c:pt>
                <c:pt idx="36">
                  <c:v>165</c:v>
                </c:pt>
                <c:pt idx="37">
                  <c:v>170</c:v>
                </c:pt>
                <c:pt idx="38">
                  <c:v>175</c:v>
                </c:pt>
                <c:pt idx="39">
                  <c:v>180</c:v>
                </c:pt>
                <c:pt idx="40">
                  <c:v>185</c:v>
                </c:pt>
                <c:pt idx="41">
                  <c:v>190</c:v>
                </c:pt>
                <c:pt idx="42">
                  <c:v>195</c:v>
                </c:pt>
                <c:pt idx="43">
                  <c:v>200</c:v>
                </c:pt>
                <c:pt idx="44">
                  <c:v>205</c:v>
                </c:pt>
                <c:pt idx="45">
                  <c:v>210</c:v>
                </c:pt>
                <c:pt idx="46">
                  <c:v>215</c:v>
                </c:pt>
                <c:pt idx="47">
                  <c:v>220</c:v>
                </c:pt>
                <c:pt idx="48">
                  <c:v>225</c:v>
                </c:pt>
                <c:pt idx="49">
                  <c:v>230</c:v>
                </c:pt>
                <c:pt idx="50">
                  <c:v>235</c:v>
                </c:pt>
                <c:pt idx="51">
                  <c:v>240</c:v>
                </c:pt>
                <c:pt idx="52">
                  <c:v>245</c:v>
                </c:pt>
                <c:pt idx="53">
                  <c:v>250</c:v>
                </c:pt>
                <c:pt idx="54">
                  <c:v>255</c:v>
                </c:pt>
                <c:pt idx="55">
                  <c:v>260</c:v>
                </c:pt>
                <c:pt idx="56">
                  <c:v>265</c:v>
                </c:pt>
                <c:pt idx="57">
                  <c:v>270</c:v>
                </c:pt>
                <c:pt idx="58">
                  <c:v>275</c:v>
                </c:pt>
                <c:pt idx="59">
                  <c:v>280</c:v>
                </c:pt>
                <c:pt idx="60">
                  <c:v>285</c:v>
                </c:pt>
                <c:pt idx="61">
                  <c:v>290</c:v>
                </c:pt>
                <c:pt idx="62">
                  <c:v>295</c:v>
                </c:pt>
                <c:pt idx="63">
                  <c:v>300</c:v>
                </c:pt>
              </c:numCache>
            </c:numRef>
          </c:xVal>
          <c:yVal>
            <c:numRef>
              <c:f>Manual_Calibration!$I$17:$I$80</c:f>
              <c:numCache>
                <c:formatCode>0.00</c:formatCode>
                <c:ptCount val="64"/>
                <c:pt idx="0">
                  <c:v>4.9700133118870218</c:v>
                </c:pt>
                <c:pt idx="1">
                  <c:v>4.959976641882526</c:v>
                </c:pt>
                <c:pt idx="2">
                  <c:v>4.9471863193535093</c:v>
                </c:pt>
                <c:pt idx="3">
                  <c:v>4.9310660491904894</c:v>
                </c:pt>
                <c:pt idx="4">
                  <c:v>4.9109665103500442</c:v>
                </c:pt>
                <c:pt idx="5">
                  <c:v>4.886168653527279</c:v>
                </c:pt>
                <c:pt idx="6">
                  <c:v>4.8558914134899851</c:v>
                </c:pt>
                <c:pt idx="7">
                  <c:v>4.8193047960619415</c:v>
                </c:pt>
                <c:pt idx="8">
                  <c:v>4.7755491881566385</c:v>
                </c:pt>
                <c:pt idx="9">
                  <c:v>4.7237614744518659</c:v>
                </c:pt>
                <c:pt idx="10">
                  <c:v>4.6631080906243731</c:v>
                </c:pt>
                <c:pt idx="11">
                  <c:v>4.59282448340345</c:v>
                </c:pt>
                <c:pt idx="12">
                  <c:v>4.5122595988590497</c:v>
                </c:pt>
                <c:pt idx="13">
                  <c:v>4.4209230480500183</c:v>
                </c:pt>
                <c:pt idx="14">
                  <c:v>4.3185316269299818</c:v>
                </c:pt>
                <c:pt idx="15">
                  <c:v>4.2050510720592493</c:v>
                </c:pt>
                <c:pt idx="16">
                  <c:v>4.0807285214400055</c:v>
                </c:pt>
                <c:pt idx="17">
                  <c:v>3.9461113117159212</c:v>
                </c:pt>
                <c:pt idx="18">
                  <c:v>3.8020485966090729</c:v>
                </c:pt>
                <c:pt idx="19">
                  <c:v>3.6496738054584741</c:v>
                </c:pt>
                <c:pt idx="20">
                  <c:v>3.4903680044584453</c:v>
                </c:pt>
                <c:pt idx="21">
                  <c:v>3.3257064605400251</c:v>
                </c:pt>
                <c:pt idx="22">
                  <c:v>3.1573927404796209</c:v>
                </c:pt>
                <c:pt idx="23">
                  <c:v>2.9871861236325281</c:v>
                </c:pt>
                <c:pt idx="24">
                  <c:v>2.816828701580623</c:v>
                </c:pt>
                <c:pt idx="25">
                  <c:v>2.6479782050919503</c:v>
                </c:pt>
                <c:pt idx="26">
                  <c:v>2.4821514606904249</c:v>
                </c:pt>
                <c:pt idx="27">
                  <c:v>2.3206817113944251</c:v>
                </c:pt>
                <c:pt idx="28">
                  <c:v>2.1646911829601407</c:v>
                </c:pt>
                <c:pt idx="29">
                  <c:v>2.0150785607067299</c:v>
                </c:pt>
                <c:pt idx="30">
                  <c:v>1.8725196960016679</c:v>
                </c:pt>
                <c:pt idx="31">
                  <c:v>1.7374790001902174</c:v>
                </c:pt>
                <c:pt idx="32">
                  <c:v>1.6102286096132046</c:v>
                </c:pt>
                <c:pt idx="33">
                  <c:v>1.4908724398888724</c:v>
                </c:pt>
                <c:pt idx="34">
                  <c:v>1.3793725709453117</c:v>
                </c:pt>
                <c:pt idx="35">
                  <c:v>1.275575890291023</c:v>
                </c:pt>
                <c:pt idx="36">
                  <c:v>1.1792394624450873</c:v>
                </c:pt>
                <c:pt idx="37">
                  <c:v>1.0900536085023347</c:v>
                </c:pt>
                <c:pt idx="38">
                  <c:v>1.0076621237171679</c:v>
                </c:pt>
                <c:pt idx="39">
                  <c:v>0.93167941143037281</c:v>
                </c:pt>
                <c:pt idx="40">
                  <c:v>0.86170456650737437</c:v>
                </c:pt>
                <c:pt idx="41">
                  <c:v>0.79733261040991432</c:v>
                </c:pt>
                <c:pt idx="42">
                  <c:v>0.73816317855013647</c:v>
                </c:pt>
                <c:pt idx="43">
                  <c:v>0.6838070055850155</c:v>
                </c:pt>
                <c:pt idx="44">
                  <c:v>0.63389056151349921</c:v>
                </c:pt>
                <c:pt idx="45">
                  <c:v>0.58805917404169306</c:v>
                </c:pt>
                <c:pt idx="46">
                  <c:v>0.54597894096802613</c:v>
                </c:pt>
                <c:pt idx="47">
                  <c:v>0.50733769781494398</c:v>
                </c:pt>
                <c:pt idx="48">
                  <c:v>0.47184526572801455</c:v>
                </c:pt>
                <c:pt idx="49">
                  <c:v>0.43923316603386503</c:v>
                </c:pt>
                <c:pt idx="50">
                  <c:v>0.40925395265849762</c:v>
                </c:pt>
                <c:pt idx="51">
                  <c:v>0.38168028274223526</c:v>
                </c:pt>
                <c:pt idx="52">
                  <c:v>0.35630381948352968</c:v>
                </c:pt>
                <c:pt idx="53">
                  <c:v>0.33293403933760868</c:v>
                </c:pt>
                <c:pt idx="54">
                  <c:v>0.31139699780013108</c:v>
                </c:pt>
                <c:pt idx="55">
                  <c:v>0.29153409362981803</c:v>
                </c:pt>
                <c:pt idx="56">
                  <c:v>0.27320085999006044</c:v>
                </c:pt>
                <c:pt idx="57">
                  <c:v>0.25626580212031175</c:v>
                </c:pt>
                <c:pt idx="58">
                  <c:v>0.24060929433130665</c:v>
                </c:pt>
                <c:pt idx="59">
                  <c:v>0.22612254395767262</c:v>
                </c:pt>
                <c:pt idx="60">
                  <c:v>0.2127066260599664</c:v>
                </c:pt>
                <c:pt idx="61">
                  <c:v>0.20027158986416815</c:v>
                </c:pt>
                <c:pt idx="62">
                  <c:v>0.18873563592950279</c:v>
                </c:pt>
                <c:pt idx="63">
                  <c:v>0.17802436165858412</c:v>
                </c:pt>
              </c:numCache>
            </c:numRef>
          </c:yVal>
          <c:smooth val="1"/>
          <c:extLst>
            <c:ext xmlns:c16="http://schemas.microsoft.com/office/drawing/2014/chart" uri="{C3380CC4-5D6E-409C-BE32-E72D297353CC}">
              <c16:uniqueId val="{00000000-E55E-4D52-ABE2-AEDF1CC9C360}"/>
            </c:ext>
          </c:extLst>
        </c:ser>
        <c:dLbls>
          <c:showLegendKey val="0"/>
          <c:showVal val="0"/>
          <c:showCatName val="0"/>
          <c:showSerName val="0"/>
          <c:showPercent val="0"/>
          <c:showBubbleSize val="0"/>
        </c:dLbls>
        <c:axId val="108227584"/>
        <c:axId val="108312448"/>
      </c:scatterChart>
      <c:valAx>
        <c:axId val="108227584"/>
        <c:scaling>
          <c:orientation val="minMax"/>
        </c:scaling>
        <c:delete val="0"/>
        <c:axPos val="b"/>
        <c:title>
          <c:tx>
            <c:rich>
              <a:bodyPr/>
              <a:lstStyle/>
              <a:p>
                <a:pPr>
                  <a:defRPr/>
                </a:pPr>
                <a:r>
                  <a:rPr lang="en-AU"/>
                  <a:t>T (°C)</a:t>
                </a:r>
              </a:p>
            </c:rich>
          </c:tx>
          <c:overlay val="0"/>
        </c:title>
        <c:numFmt formatCode="0" sourceLinked="1"/>
        <c:majorTickMark val="none"/>
        <c:minorTickMark val="none"/>
        <c:tickLblPos val="nextTo"/>
        <c:crossAx val="108312448"/>
        <c:crosses val="autoZero"/>
        <c:crossBetween val="midCat"/>
      </c:valAx>
      <c:valAx>
        <c:axId val="108312448"/>
        <c:scaling>
          <c:orientation val="minMax"/>
        </c:scaling>
        <c:delete val="0"/>
        <c:axPos val="l"/>
        <c:majorGridlines/>
        <c:title>
          <c:tx>
            <c:rich>
              <a:bodyPr/>
              <a:lstStyle/>
              <a:p>
                <a:pPr>
                  <a:defRPr/>
                </a:pPr>
                <a:r>
                  <a:rPr lang="en-AU"/>
                  <a:t>V_measured (V)</a:t>
                </a:r>
              </a:p>
            </c:rich>
          </c:tx>
          <c:overlay val="0"/>
        </c:title>
        <c:numFmt formatCode="0.00" sourceLinked="1"/>
        <c:majorTickMark val="none"/>
        <c:minorTickMark val="none"/>
        <c:tickLblPos val="nextTo"/>
        <c:crossAx val="10822758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Comparison of Methods</a:t>
            </a:r>
          </a:p>
        </c:rich>
      </c:tx>
      <c:overlay val="0"/>
    </c:title>
    <c:autoTitleDeleted val="0"/>
    <c:plotArea>
      <c:layout/>
      <c:scatterChart>
        <c:scatterStyle val="smoothMarker"/>
        <c:varyColors val="0"/>
        <c:ser>
          <c:idx val="0"/>
          <c:order val="0"/>
          <c:tx>
            <c:v>Thermistor Table</c:v>
          </c:tx>
          <c:marker>
            <c:symbol val="none"/>
          </c:marker>
          <c:xVal>
            <c:numRef>
              <c:f>Manual_Calibration!$A$17:$A$80</c:f>
              <c:numCache>
                <c:formatCode>0</c:formatCode>
                <c:ptCount val="64"/>
                <c:pt idx="0">
                  <c:v>-15</c:v>
                </c:pt>
                <c:pt idx="1">
                  <c:v>-10</c:v>
                </c:pt>
                <c:pt idx="2">
                  <c:v>-5</c:v>
                </c:pt>
                <c:pt idx="3">
                  <c:v>0</c:v>
                </c:pt>
                <c:pt idx="4">
                  <c:v>5</c:v>
                </c:pt>
                <c:pt idx="5">
                  <c:v>10</c:v>
                </c:pt>
                <c:pt idx="6">
                  <c:v>15</c:v>
                </c:pt>
                <c:pt idx="7">
                  <c:v>20</c:v>
                </c:pt>
                <c:pt idx="8">
                  <c:v>25</c:v>
                </c:pt>
                <c:pt idx="9">
                  <c:v>30</c:v>
                </c:pt>
                <c:pt idx="10">
                  <c:v>35</c:v>
                </c:pt>
                <c:pt idx="11">
                  <c:v>40</c:v>
                </c:pt>
                <c:pt idx="12">
                  <c:v>45</c:v>
                </c:pt>
                <c:pt idx="13">
                  <c:v>50</c:v>
                </c:pt>
                <c:pt idx="14">
                  <c:v>55</c:v>
                </c:pt>
                <c:pt idx="15">
                  <c:v>60</c:v>
                </c:pt>
                <c:pt idx="16">
                  <c:v>65</c:v>
                </c:pt>
                <c:pt idx="17">
                  <c:v>70</c:v>
                </c:pt>
                <c:pt idx="18">
                  <c:v>75</c:v>
                </c:pt>
                <c:pt idx="19">
                  <c:v>80</c:v>
                </c:pt>
                <c:pt idx="20">
                  <c:v>85</c:v>
                </c:pt>
                <c:pt idx="21">
                  <c:v>90</c:v>
                </c:pt>
                <c:pt idx="22">
                  <c:v>95</c:v>
                </c:pt>
                <c:pt idx="23">
                  <c:v>100</c:v>
                </c:pt>
                <c:pt idx="24">
                  <c:v>105</c:v>
                </c:pt>
                <c:pt idx="25">
                  <c:v>110</c:v>
                </c:pt>
                <c:pt idx="26">
                  <c:v>115</c:v>
                </c:pt>
                <c:pt idx="27">
                  <c:v>120</c:v>
                </c:pt>
                <c:pt idx="28">
                  <c:v>125</c:v>
                </c:pt>
                <c:pt idx="29">
                  <c:v>130</c:v>
                </c:pt>
                <c:pt idx="30">
                  <c:v>135</c:v>
                </c:pt>
                <c:pt idx="31">
                  <c:v>140</c:v>
                </c:pt>
                <c:pt idx="32">
                  <c:v>145</c:v>
                </c:pt>
                <c:pt idx="33">
                  <c:v>150</c:v>
                </c:pt>
                <c:pt idx="34">
                  <c:v>155</c:v>
                </c:pt>
                <c:pt idx="35">
                  <c:v>160</c:v>
                </c:pt>
                <c:pt idx="36">
                  <c:v>165</c:v>
                </c:pt>
                <c:pt idx="37">
                  <c:v>170</c:v>
                </c:pt>
                <c:pt idx="38">
                  <c:v>175</c:v>
                </c:pt>
                <c:pt idx="39">
                  <c:v>180</c:v>
                </c:pt>
                <c:pt idx="40">
                  <c:v>185</c:v>
                </c:pt>
                <c:pt idx="41">
                  <c:v>190</c:v>
                </c:pt>
                <c:pt idx="42">
                  <c:v>195</c:v>
                </c:pt>
                <c:pt idx="43">
                  <c:v>200</c:v>
                </c:pt>
                <c:pt idx="44">
                  <c:v>205</c:v>
                </c:pt>
                <c:pt idx="45">
                  <c:v>210</c:v>
                </c:pt>
                <c:pt idx="46">
                  <c:v>215</c:v>
                </c:pt>
                <c:pt idx="47">
                  <c:v>220</c:v>
                </c:pt>
                <c:pt idx="48">
                  <c:v>225</c:v>
                </c:pt>
                <c:pt idx="49">
                  <c:v>230</c:v>
                </c:pt>
                <c:pt idx="50">
                  <c:v>235</c:v>
                </c:pt>
                <c:pt idx="51">
                  <c:v>240</c:v>
                </c:pt>
                <c:pt idx="52">
                  <c:v>245</c:v>
                </c:pt>
                <c:pt idx="53">
                  <c:v>250</c:v>
                </c:pt>
                <c:pt idx="54">
                  <c:v>255</c:v>
                </c:pt>
                <c:pt idx="55">
                  <c:v>260</c:v>
                </c:pt>
                <c:pt idx="56">
                  <c:v>265</c:v>
                </c:pt>
                <c:pt idx="57">
                  <c:v>270</c:v>
                </c:pt>
                <c:pt idx="58">
                  <c:v>275</c:v>
                </c:pt>
                <c:pt idx="59">
                  <c:v>280</c:v>
                </c:pt>
                <c:pt idx="60">
                  <c:v>285</c:v>
                </c:pt>
                <c:pt idx="61">
                  <c:v>290</c:v>
                </c:pt>
                <c:pt idx="62">
                  <c:v>295</c:v>
                </c:pt>
                <c:pt idx="63">
                  <c:v>300</c:v>
                </c:pt>
              </c:numCache>
            </c:numRef>
          </c:xVal>
          <c:yVal>
            <c:numRef>
              <c:f>Manual_Calibration!$H$17:$H$80</c:f>
              <c:numCache>
                <c:formatCode>General</c:formatCode>
                <c:ptCount val="64"/>
                <c:pt idx="0">
                  <c:v>778.98107579808368</c:v>
                </c:pt>
                <c:pt idx="1">
                  <c:v>582.4571278707881</c:v>
                </c:pt>
                <c:pt idx="2">
                  <c:v>440.26046691571565</c:v>
                </c:pt>
                <c:pt idx="3">
                  <c:v>336.20603721435742</c:v>
                </c:pt>
                <c:pt idx="4">
                  <c:v>259.24562419593519</c:v>
                </c:pt>
                <c:pt idx="5">
                  <c:v>201.7457702398485</c:v>
                </c:pt>
                <c:pt idx="6">
                  <c:v>158.37147664908136</c:v>
                </c:pt>
                <c:pt idx="7">
                  <c:v>125.35325812662809</c:v>
                </c:pt>
                <c:pt idx="8">
                  <c:v>100</c:v>
                </c:pt>
                <c:pt idx="9">
                  <c:v>80.371406869731373</c:v>
                </c:pt>
                <c:pt idx="10">
                  <c:v>65.055311261565663</c:v>
                </c:pt>
                <c:pt idx="11">
                  <c:v>53.014668594096683</c:v>
                </c:pt>
                <c:pt idx="12">
                  <c:v>43.481368500594712</c:v>
                </c:pt>
                <c:pt idx="13">
                  <c:v>35.881825819290832</c:v>
                </c:pt>
                <c:pt idx="14">
                  <c:v>29.78435896464627</c:v>
                </c:pt>
                <c:pt idx="15">
                  <c:v>24.861647514733818</c:v>
                </c:pt>
                <c:pt idx="16">
                  <c:v>20.86372143385967</c:v>
                </c:pt>
                <c:pt idx="17">
                  <c:v>17.598370085233807</c:v>
                </c:pt>
                <c:pt idx="18">
                  <c:v>14.916822463315951</c:v>
                </c:pt>
                <c:pt idx="19">
                  <c:v>12.703202348436204</c:v>
                </c:pt>
                <c:pt idx="20">
                  <c:v>10.866707693930254</c:v>
                </c:pt>
                <c:pt idx="21">
                  <c:v>9.3357705779475566</c:v>
                </c:pt>
                <c:pt idx="22">
                  <c:v>8.0536673257853817</c:v>
                </c:pt>
                <c:pt idx="23">
                  <c:v>6.9751977298618799</c:v>
                </c:pt>
                <c:pt idx="24">
                  <c:v>6.0641576348196216</c:v>
                </c:pt>
                <c:pt idx="25">
                  <c:v>5.2914040128691564</c:v>
                </c:pt>
                <c:pt idx="26">
                  <c:v>4.633365225552442</c:v>
                </c:pt>
                <c:pt idx="27">
                  <c:v>4.0708877664662779</c:v>
                </c:pt>
                <c:pt idx="28">
                  <c:v>3.5883387724003382</c:v>
                </c:pt>
                <c:pt idx="29">
                  <c:v>3.1729040204033039</c:v>
                </c:pt>
                <c:pt idx="30">
                  <c:v>2.8140361299658347</c:v>
                </c:pt>
                <c:pt idx="31">
                  <c:v>2.503018770260832</c:v>
                </c:pt>
                <c:pt idx="32">
                  <c:v>2.2326209037708868</c:v>
                </c:pt>
                <c:pt idx="33">
                  <c:v>1.9968212461492274</c:v>
                </c:pt>
                <c:pt idx="34">
                  <c:v>1.7905877394116823</c:v>
                </c:pt>
                <c:pt idx="35">
                  <c:v>1.6097003208467224</c:v>
                </c:pt>
                <c:pt idx="36">
                  <c:v>1.4506079140564965</c:v>
                </c:pt>
                <c:pt idx="37">
                  <c:v>1.3103125841064442</c:v>
                </c:pt>
                <c:pt idx="38">
                  <c:v>1.1862753424768433</c:v>
                </c:pt>
                <c:pt idx="39">
                  <c:v>1.0763392752345307</c:v>
                </c:pt>
                <c:pt idx="40">
                  <c:v>0.97866658571704335</c:v>
                </c:pt>
                <c:pt idx="41">
                  <c:v>0.89168685540259052</c:v>
                </c:pt>
                <c:pt idx="42">
                  <c:v>0.81405438183937162</c:v>
                </c:pt>
                <c:pt idx="43">
                  <c:v>0.74461288696039485</c:v>
                </c:pt>
                <c:pt idx="44">
                  <c:v>0.68236623041363964</c:v>
                </c:pt>
                <c:pt idx="45">
                  <c:v>0.62645403168924474</c:v>
                </c:pt>
                <c:pt idx="46">
                  <c:v>0.5761313178675076</c:v>
                </c:pt>
                <c:pt idx="47">
                  <c:v>0.53075148305059894</c:v>
                </c:pt>
                <c:pt idx="48">
                  <c:v>0.48975198045616591</c:v>
                </c:pt>
                <c:pt idx="49">
                  <c:v>0.45264227607179064</c:v>
                </c:pt>
                <c:pt idx="50">
                  <c:v>0.4189936793843852</c:v>
                </c:pt>
                <c:pt idx="51">
                  <c:v>0.38843073643971843</c:v>
                </c:pt>
                <c:pt idx="52">
                  <c:v>0.36062392681907496</c:v>
                </c:pt>
                <c:pt idx="53">
                  <c:v>0.33528345176091573</c:v>
                </c:pt>
                <c:pt idx="54">
                  <c:v>0.31215393774519157</c:v>
                </c:pt>
                <c:pt idx="55">
                  <c:v>0.29100991008692634</c:v>
                </c:pt>
                <c:pt idx="56">
                  <c:v>0.27165191579318604</c:v>
                </c:pt>
                <c:pt idx="57">
                  <c:v>0.25390319518825888</c:v>
                </c:pt>
                <c:pt idx="58">
                  <c:v>0.23760681845477008</c:v>
                </c:pt>
                <c:pt idx="59">
                  <c:v>0.22262321695247939</c:v>
                </c:pt>
                <c:pt idx="60">
                  <c:v>0.20882805050634543</c:v>
                </c:pt>
                <c:pt idx="61">
                  <c:v>0.19611036123915862</c:v>
                </c:pt>
                <c:pt idx="62">
                  <c:v>0.18437097231509883</c:v>
                </c:pt>
                <c:pt idx="63">
                  <c:v>0.17352109644484739</c:v>
                </c:pt>
              </c:numCache>
            </c:numRef>
          </c:yVal>
          <c:smooth val="1"/>
          <c:extLst>
            <c:ext xmlns:c16="http://schemas.microsoft.com/office/drawing/2014/chart" uri="{C3380CC4-5D6E-409C-BE32-E72D297353CC}">
              <c16:uniqueId val="{00000000-46E6-454B-AE64-B872E25576DB}"/>
            </c:ext>
          </c:extLst>
        </c:ser>
        <c:ser>
          <c:idx val="1"/>
          <c:order val="1"/>
          <c:tx>
            <c:v>Steinhart-Hart</c:v>
          </c:tx>
          <c:marker>
            <c:symbol val="none"/>
          </c:marker>
          <c:xVal>
            <c:numRef>
              <c:f>SteinhartHart_Calibration!$K$2:$K$65</c:f>
              <c:numCache>
                <c:formatCode>General</c:formatCode>
                <c:ptCount val="64"/>
                <c:pt idx="0">
                  <c:v>-15</c:v>
                </c:pt>
                <c:pt idx="1">
                  <c:v>-10</c:v>
                </c:pt>
                <c:pt idx="2">
                  <c:v>-5</c:v>
                </c:pt>
                <c:pt idx="3">
                  <c:v>0</c:v>
                </c:pt>
                <c:pt idx="4">
                  <c:v>5</c:v>
                </c:pt>
                <c:pt idx="5">
                  <c:v>10</c:v>
                </c:pt>
                <c:pt idx="6">
                  <c:v>15</c:v>
                </c:pt>
                <c:pt idx="7">
                  <c:v>20</c:v>
                </c:pt>
                <c:pt idx="8">
                  <c:v>25</c:v>
                </c:pt>
                <c:pt idx="9">
                  <c:v>30</c:v>
                </c:pt>
                <c:pt idx="10">
                  <c:v>35</c:v>
                </c:pt>
                <c:pt idx="11">
                  <c:v>40</c:v>
                </c:pt>
                <c:pt idx="12">
                  <c:v>45</c:v>
                </c:pt>
                <c:pt idx="13">
                  <c:v>50</c:v>
                </c:pt>
                <c:pt idx="14">
                  <c:v>55</c:v>
                </c:pt>
                <c:pt idx="15">
                  <c:v>60</c:v>
                </c:pt>
                <c:pt idx="16">
                  <c:v>65</c:v>
                </c:pt>
                <c:pt idx="17">
                  <c:v>70</c:v>
                </c:pt>
                <c:pt idx="18">
                  <c:v>75</c:v>
                </c:pt>
                <c:pt idx="19">
                  <c:v>80</c:v>
                </c:pt>
                <c:pt idx="20">
                  <c:v>85</c:v>
                </c:pt>
                <c:pt idx="21">
                  <c:v>90</c:v>
                </c:pt>
                <c:pt idx="22">
                  <c:v>95</c:v>
                </c:pt>
                <c:pt idx="23">
                  <c:v>100</c:v>
                </c:pt>
                <c:pt idx="24">
                  <c:v>105</c:v>
                </c:pt>
                <c:pt idx="25">
                  <c:v>110</c:v>
                </c:pt>
                <c:pt idx="26">
                  <c:v>115</c:v>
                </c:pt>
                <c:pt idx="27">
                  <c:v>120</c:v>
                </c:pt>
                <c:pt idx="28">
                  <c:v>125</c:v>
                </c:pt>
                <c:pt idx="29">
                  <c:v>130</c:v>
                </c:pt>
                <c:pt idx="30">
                  <c:v>135</c:v>
                </c:pt>
                <c:pt idx="31">
                  <c:v>140</c:v>
                </c:pt>
                <c:pt idx="32">
                  <c:v>145</c:v>
                </c:pt>
                <c:pt idx="33">
                  <c:v>150</c:v>
                </c:pt>
                <c:pt idx="34">
                  <c:v>155</c:v>
                </c:pt>
                <c:pt idx="35">
                  <c:v>160</c:v>
                </c:pt>
                <c:pt idx="36">
                  <c:v>165</c:v>
                </c:pt>
                <c:pt idx="37">
                  <c:v>170</c:v>
                </c:pt>
                <c:pt idx="38">
                  <c:v>175</c:v>
                </c:pt>
                <c:pt idx="39">
                  <c:v>180</c:v>
                </c:pt>
                <c:pt idx="40">
                  <c:v>185</c:v>
                </c:pt>
                <c:pt idx="41">
                  <c:v>190</c:v>
                </c:pt>
                <c:pt idx="42">
                  <c:v>195</c:v>
                </c:pt>
                <c:pt idx="43">
                  <c:v>200</c:v>
                </c:pt>
                <c:pt idx="44">
                  <c:v>205</c:v>
                </c:pt>
                <c:pt idx="45">
                  <c:v>210</c:v>
                </c:pt>
                <c:pt idx="46">
                  <c:v>215</c:v>
                </c:pt>
                <c:pt idx="47">
                  <c:v>220</c:v>
                </c:pt>
                <c:pt idx="48">
                  <c:v>225</c:v>
                </c:pt>
                <c:pt idx="49">
                  <c:v>230</c:v>
                </c:pt>
                <c:pt idx="50">
                  <c:v>235</c:v>
                </c:pt>
                <c:pt idx="51">
                  <c:v>240</c:v>
                </c:pt>
                <c:pt idx="52">
                  <c:v>245</c:v>
                </c:pt>
                <c:pt idx="53">
                  <c:v>250</c:v>
                </c:pt>
                <c:pt idx="54">
                  <c:v>255</c:v>
                </c:pt>
                <c:pt idx="55">
                  <c:v>260</c:v>
                </c:pt>
                <c:pt idx="56">
                  <c:v>265</c:v>
                </c:pt>
                <c:pt idx="57">
                  <c:v>270</c:v>
                </c:pt>
                <c:pt idx="58">
                  <c:v>275</c:v>
                </c:pt>
                <c:pt idx="59">
                  <c:v>280</c:v>
                </c:pt>
                <c:pt idx="60">
                  <c:v>285</c:v>
                </c:pt>
                <c:pt idx="61">
                  <c:v>290</c:v>
                </c:pt>
                <c:pt idx="62">
                  <c:v>295</c:v>
                </c:pt>
                <c:pt idx="63">
                  <c:v>300</c:v>
                </c:pt>
              </c:numCache>
            </c:numRef>
          </c:xVal>
          <c:yVal>
            <c:numRef>
              <c:f>SteinhartHart_Calibration!$O$2:$O$65</c:f>
              <c:numCache>
                <c:formatCode>General</c:formatCode>
                <c:ptCount val="64"/>
                <c:pt idx="0">
                  <c:v>639.29294374244751</c:v>
                </c:pt>
                <c:pt idx="1">
                  <c:v>498.45378201325985</c:v>
                </c:pt>
                <c:pt idx="2">
                  <c:v>390.59590768502352</c:v>
                </c:pt>
                <c:pt idx="3">
                  <c:v>307.58714114316274</c:v>
                </c:pt>
                <c:pt idx="4">
                  <c:v>243.39349551719661</c:v>
                </c:pt>
                <c:pt idx="5">
                  <c:v>193.51515302672064</c:v>
                </c:pt>
                <c:pt idx="6">
                  <c:v>154.57990181492349</c:v>
                </c:pt>
                <c:pt idx="7">
                  <c:v>124.04849371419556</c:v>
                </c:pt>
                <c:pt idx="8">
                  <c:v>100.00000000000023</c:v>
                </c:pt>
                <c:pt idx="9">
                  <c:v>80.97465674689542</c:v>
                </c:pt>
                <c:pt idx="10">
                  <c:v>65.85824019503869</c:v>
                </c:pt>
                <c:pt idx="11">
                  <c:v>53.796594556647754</c:v>
                </c:pt>
                <c:pt idx="12">
                  <c:v>44.132158703152072</c:v>
                </c:pt>
                <c:pt idx="13">
                  <c:v>36.356619011908293</c:v>
                </c:pt>
                <c:pt idx="14">
                  <c:v>30.075437724878295</c:v>
                </c:pt>
                <c:pt idx="15">
                  <c:v>24.98116561388396</c:v>
                </c:pt>
                <c:pt idx="16">
                  <c:v>20.83328058197959</c:v>
                </c:pt>
                <c:pt idx="17">
                  <c:v>17.442894911246515</c:v>
                </c:pt>
                <c:pt idx="18">
                  <c:v>14.661109687763208</c:v>
                </c:pt>
                <c:pt idx="19">
                  <c:v>12.370112346678011</c:v>
                </c:pt>
                <c:pt idx="20">
                  <c:v>10.476345460252929</c:v>
                </c:pt>
                <c:pt idx="21">
                  <c:v>8.9052454442202311</c:v>
                </c:pt>
                <c:pt idx="22">
                  <c:v>7.5971756558171641</c:v>
                </c:pt>
                <c:pt idx="23">
                  <c:v>6.5042715159363089</c:v>
                </c:pt>
                <c:pt idx="24">
                  <c:v>5.5879845455137325</c:v>
                </c:pt>
                <c:pt idx="25">
                  <c:v>4.8171638908203125</c:v>
                </c:pt>
                <c:pt idx="26">
                  <c:v>4.1665526259767702</c:v>
                </c:pt>
                <c:pt idx="27">
                  <c:v>3.615605224284435</c:v>
                </c:pt>
                <c:pt idx="28">
                  <c:v>3.1475545462369756</c:v>
                </c:pt>
                <c:pt idx="29">
                  <c:v>2.7486733140448525</c:v>
                </c:pt>
                <c:pt idx="30">
                  <c:v>2.407687668976028</c:v>
                </c:pt>
                <c:pt idx="31">
                  <c:v>2.115310031218554</c:v>
                </c:pt>
                <c:pt idx="32">
                  <c:v>1.8638658405662394</c:v>
                </c:pt>
                <c:pt idx="33">
                  <c:v>1.6469944011096846</c:v>
                </c:pt>
                <c:pt idx="34">
                  <c:v>1.4594083970564509</c:v>
                </c:pt>
                <c:pt idx="35">
                  <c:v>1.2966999999999962</c:v>
                </c:pt>
                <c:pt idx="36">
                  <c:v>1.1551840842751822</c:v>
                </c:pt>
                <c:pt idx="37">
                  <c:v>1.0317710833570697</c:v>
                </c:pt>
                <c:pt idx="38">
                  <c:v>0.92386359078067604</c:v>
                </c:pt>
                <c:pt idx="39">
                  <c:v>0.82927203590801868</c:v>
                </c:pt>
                <c:pt idx="40">
                  <c:v>0.74614572600155726</c:v>
                </c:pt>
                <c:pt idx="41">
                  <c:v>0.67291630116029011</c:v>
                </c:pt>
                <c:pt idx="42">
                  <c:v>0.60825124355793303</c:v>
                </c:pt>
                <c:pt idx="43">
                  <c:v>0.55101555237506017</c:v>
                </c:pt>
                <c:pt idx="44">
                  <c:v>0.50024006808256871</c:v>
                </c:pt>
                <c:pt idx="45">
                  <c:v>0.45509522540745828</c:v>
                </c:pt>
                <c:pt idx="46">
                  <c:v>0.41486924977255363</c:v>
                </c:pt>
                <c:pt idx="47">
                  <c:v>0.37894999999999973</c:v>
                </c:pt>
                <c:pt idx="48">
                  <c:v>0.34680981055765114</c:v>
                </c:pt>
                <c:pt idx="49">
                  <c:v>0.31799280739708957</c:v>
                </c:pt>
                <c:pt idx="50">
                  <c:v>0.29210426859402561</c:v>
                </c:pt>
                <c:pt idx="51">
                  <c:v>0.26880167936426608</c:v>
                </c:pt>
                <c:pt idx="52">
                  <c:v>0.24778719438292601</c:v>
                </c:pt>
                <c:pt idx="53">
                  <c:v>0.22880127167870812</c:v>
                </c:pt>
                <c:pt idx="54">
                  <c:v>0.21161728408469263</c:v>
                </c:pt>
                <c:pt idx="55">
                  <c:v>0.19603694818931938</c:v>
                </c:pt>
                <c:pt idx="56">
                  <c:v>0.18188643844932528</c:v>
                </c:pt>
                <c:pt idx="57">
                  <c:v>0.16901307679973449</c:v>
                </c:pt>
                <c:pt idx="58">
                  <c:v>0.15728250668476457</c:v>
                </c:pt>
                <c:pt idx="59">
                  <c:v>0.1465762757070736</c:v>
                </c:pt>
                <c:pt idx="60">
                  <c:v>0.13678976367020568</c:v>
                </c:pt>
                <c:pt idx="61">
                  <c:v>0.12783040316838468</c:v>
                </c:pt>
                <c:pt idx="62">
                  <c:v>0.1196161484616107</c:v>
                </c:pt>
                <c:pt idx="63">
                  <c:v>0.11207415548770615</c:v>
                </c:pt>
              </c:numCache>
            </c:numRef>
          </c:yVal>
          <c:smooth val="1"/>
          <c:extLst>
            <c:ext xmlns:c16="http://schemas.microsoft.com/office/drawing/2014/chart" uri="{C3380CC4-5D6E-409C-BE32-E72D297353CC}">
              <c16:uniqueId val="{00000001-46E6-454B-AE64-B872E25576DB}"/>
            </c:ext>
          </c:extLst>
        </c:ser>
        <c:ser>
          <c:idx val="2"/>
          <c:order val="2"/>
          <c:tx>
            <c:v>Beta</c:v>
          </c:tx>
          <c:marker>
            <c:symbol val="none"/>
          </c:marker>
          <c:xVal>
            <c:numRef>
              <c:f>Beta_Calibration!$H$2:$H$65</c:f>
              <c:numCache>
                <c:formatCode>General</c:formatCode>
                <c:ptCount val="64"/>
                <c:pt idx="0">
                  <c:v>-15</c:v>
                </c:pt>
                <c:pt idx="1">
                  <c:v>-10</c:v>
                </c:pt>
                <c:pt idx="2">
                  <c:v>-5</c:v>
                </c:pt>
                <c:pt idx="3">
                  <c:v>0</c:v>
                </c:pt>
                <c:pt idx="4">
                  <c:v>5</c:v>
                </c:pt>
                <c:pt idx="5">
                  <c:v>10</c:v>
                </c:pt>
                <c:pt idx="6">
                  <c:v>15</c:v>
                </c:pt>
                <c:pt idx="7">
                  <c:v>20</c:v>
                </c:pt>
                <c:pt idx="8">
                  <c:v>25</c:v>
                </c:pt>
                <c:pt idx="9">
                  <c:v>30</c:v>
                </c:pt>
                <c:pt idx="10">
                  <c:v>35</c:v>
                </c:pt>
                <c:pt idx="11">
                  <c:v>40</c:v>
                </c:pt>
                <c:pt idx="12">
                  <c:v>45</c:v>
                </c:pt>
                <c:pt idx="13">
                  <c:v>50</c:v>
                </c:pt>
                <c:pt idx="14">
                  <c:v>55</c:v>
                </c:pt>
                <c:pt idx="15">
                  <c:v>60</c:v>
                </c:pt>
                <c:pt idx="16">
                  <c:v>65</c:v>
                </c:pt>
                <c:pt idx="17">
                  <c:v>70</c:v>
                </c:pt>
                <c:pt idx="18">
                  <c:v>75</c:v>
                </c:pt>
                <c:pt idx="19">
                  <c:v>80</c:v>
                </c:pt>
                <c:pt idx="20">
                  <c:v>85</c:v>
                </c:pt>
                <c:pt idx="21">
                  <c:v>90</c:v>
                </c:pt>
                <c:pt idx="22">
                  <c:v>95</c:v>
                </c:pt>
                <c:pt idx="23">
                  <c:v>100</c:v>
                </c:pt>
                <c:pt idx="24">
                  <c:v>105</c:v>
                </c:pt>
                <c:pt idx="25">
                  <c:v>110</c:v>
                </c:pt>
                <c:pt idx="26">
                  <c:v>115</c:v>
                </c:pt>
                <c:pt idx="27">
                  <c:v>120</c:v>
                </c:pt>
                <c:pt idx="28">
                  <c:v>125</c:v>
                </c:pt>
                <c:pt idx="29">
                  <c:v>130</c:v>
                </c:pt>
                <c:pt idx="30">
                  <c:v>135</c:v>
                </c:pt>
                <c:pt idx="31">
                  <c:v>140</c:v>
                </c:pt>
                <c:pt idx="32">
                  <c:v>145</c:v>
                </c:pt>
                <c:pt idx="33">
                  <c:v>150</c:v>
                </c:pt>
                <c:pt idx="34">
                  <c:v>155</c:v>
                </c:pt>
                <c:pt idx="35">
                  <c:v>160</c:v>
                </c:pt>
                <c:pt idx="36">
                  <c:v>165</c:v>
                </c:pt>
                <c:pt idx="37">
                  <c:v>170</c:v>
                </c:pt>
                <c:pt idx="38">
                  <c:v>175</c:v>
                </c:pt>
                <c:pt idx="39">
                  <c:v>180</c:v>
                </c:pt>
                <c:pt idx="40">
                  <c:v>185</c:v>
                </c:pt>
                <c:pt idx="41">
                  <c:v>190</c:v>
                </c:pt>
                <c:pt idx="42">
                  <c:v>195</c:v>
                </c:pt>
                <c:pt idx="43">
                  <c:v>200</c:v>
                </c:pt>
                <c:pt idx="44">
                  <c:v>205</c:v>
                </c:pt>
                <c:pt idx="45">
                  <c:v>210</c:v>
                </c:pt>
                <c:pt idx="46">
                  <c:v>215</c:v>
                </c:pt>
                <c:pt idx="47">
                  <c:v>220</c:v>
                </c:pt>
                <c:pt idx="48">
                  <c:v>225</c:v>
                </c:pt>
                <c:pt idx="49">
                  <c:v>230</c:v>
                </c:pt>
                <c:pt idx="50">
                  <c:v>235</c:v>
                </c:pt>
                <c:pt idx="51">
                  <c:v>240</c:v>
                </c:pt>
                <c:pt idx="52">
                  <c:v>245</c:v>
                </c:pt>
                <c:pt idx="53">
                  <c:v>250</c:v>
                </c:pt>
                <c:pt idx="54">
                  <c:v>255</c:v>
                </c:pt>
                <c:pt idx="55">
                  <c:v>260</c:v>
                </c:pt>
                <c:pt idx="56">
                  <c:v>265</c:v>
                </c:pt>
                <c:pt idx="57">
                  <c:v>270</c:v>
                </c:pt>
                <c:pt idx="58">
                  <c:v>275</c:v>
                </c:pt>
                <c:pt idx="59">
                  <c:v>280</c:v>
                </c:pt>
                <c:pt idx="60">
                  <c:v>285</c:v>
                </c:pt>
                <c:pt idx="61">
                  <c:v>290</c:v>
                </c:pt>
                <c:pt idx="62">
                  <c:v>295</c:v>
                </c:pt>
                <c:pt idx="63">
                  <c:v>300</c:v>
                </c:pt>
              </c:numCache>
            </c:numRef>
          </c:xVal>
          <c:yVal>
            <c:numRef>
              <c:f>Beta_Calibration!$J$2:$J$65</c:f>
              <c:numCache>
                <c:formatCode>General</c:formatCode>
                <c:ptCount val="64"/>
                <c:pt idx="0">
                  <c:v>838.64224488222078</c:v>
                </c:pt>
                <c:pt idx="1">
                  <c:v>620.54705592844937</c:v>
                </c:pt>
                <c:pt idx="2">
                  <c:v>464.35555551187849</c:v>
                </c:pt>
                <c:pt idx="3">
                  <c:v>351.18555362818176</c:v>
                </c:pt>
                <c:pt idx="4">
                  <c:v>268.27740627859532</c:v>
                </c:pt>
                <c:pt idx="5">
                  <c:v>206.90070228536021</c:v>
                </c:pt>
                <c:pt idx="6">
                  <c:v>161.01088111215768</c:v>
                </c:pt>
                <c:pt idx="7">
                  <c:v>126.37569008032715</c:v>
                </c:pt>
                <c:pt idx="8">
                  <c:v>100</c:v>
                </c:pt>
                <c:pt idx="9">
                  <c:v>79.742533969295764</c:v>
                </c:pt>
                <c:pt idx="10">
                  <c:v>64.057560065350927</c:v>
                </c:pt>
                <c:pt idx="11">
                  <c:v>51.818908794365214</c:v>
                </c:pt>
                <c:pt idx="12">
                  <c:v>42.198832281652379</c:v>
                </c:pt>
                <c:pt idx="13">
                  <c:v>34.583787569716833</c:v>
                </c:pt>
                <c:pt idx="14">
                  <c:v>28.515334350813141</c:v>
                </c:pt>
                <c:pt idx="15">
                  <c:v>23.648281555783672</c:v>
                </c:pt>
                <c:pt idx="16">
                  <c:v>19.720791459989798</c:v>
                </c:pt>
                <c:pt idx="17">
                  <c:v>16.532847448930958</c:v>
                </c:pt>
                <c:pt idx="18">
                  <c:v>13.9306219863424</c:v>
                </c:pt>
                <c:pt idx="19">
                  <c:v>11.795041228168191</c:v>
                </c:pt>
                <c:pt idx="20">
                  <c:v>10.033358209849821</c:v>
                </c:pt>
                <c:pt idx="21">
                  <c:v>8.5728992729980682</c:v>
                </c:pt>
                <c:pt idx="22">
                  <c:v>7.3563917994962607</c:v>
                </c:pt>
                <c:pt idx="23">
                  <c:v>6.3384506340711759</c:v>
                </c:pt>
                <c:pt idx="24">
                  <c:v>5.4829192681488497</c:v>
                </c:pt>
                <c:pt idx="25">
                  <c:v>4.7608456862063431</c:v>
                </c:pt>
                <c:pt idx="26">
                  <c:v>4.1489324084806993</c:v>
                </c:pt>
                <c:pt idx="27">
                  <c:v>3.6283429796219324</c:v>
                </c:pt>
                <c:pt idx="28">
                  <c:v>3.1837779560929347</c:v>
                </c:pt>
                <c:pt idx="29">
                  <c:v>2.8027558018324976</c:v>
                </c:pt>
                <c:pt idx="30">
                  <c:v>2.4750504294910991</c:v>
                </c:pt>
                <c:pt idx="31">
                  <c:v>2.1922491212866708</c:v>
                </c:pt>
                <c:pt idx="32">
                  <c:v>1.9474034295312521</c:v>
                </c:pt>
                <c:pt idx="33">
                  <c:v>1.7347522461687823</c:v>
                </c:pt>
                <c:pt idx="34">
                  <c:v>1.5495011546403632</c:v>
                </c:pt>
                <c:pt idx="35">
                  <c:v>1.3876458763936212</c:v>
                </c:pt>
                <c:pt idx="36">
                  <c:v>1.2458304173561769</c:v>
                </c:pt>
                <c:pt idx="37">
                  <c:v>1.121232639070237</c:v>
                </c:pt>
                <c:pt idx="38">
                  <c:v>1.0114715951376221</c:v>
                </c:pt>
                <c:pt idx="39">
                  <c:v>0.91453221147759745</c:v>
                </c:pt>
                <c:pt idx="40">
                  <c:v>0.82870384140973463</c:v>
                </c:pt>
                <c:pt idx="41">
                  <c:v>0.75252996273279338</c:v>
                </c:pt>
                <c:pt idx="42">
                  <c:v>0.68476685534356441</c:v>
                </c:pt>
                <c:pt idx="43">
                  <c:v>0.62434954324782965</c:v>
                </c:pt>
                <c:pt idx="44">
                  <c:v>0.57036363326776374</c:v>
                </c:pt>
                <c:pt idx="45">
                  <c:v>0.52202195647755467</c:v>
                </c:pt>
                <c:pt idx="46">
                  <c:v>0.47864513424240307</c:v>
                </c:pt>
                <c:pt idx="47">
                  <c:v>0.43964536156405748</c:v>
                </c:pt>
                <c:pt idx="48">
                  <c:v>0.40451283612231947</c:v>
                </c:pt>
                <c:pt idx="49">
                  <c:v>0.37280436955212215</c:v>
                </c:pt>
                <c:pt idx="50">
                  <c:v>0.34413380399108839</c:v>
                </c:pt>
                <c:pt idx="51">
                  <c:v>0.31816392633791962</c:v>
                </c:pt>
                <c:pt idx="52">
                  <c:v>0.29459962853367899</c:v>
                </c:pt>
                <c:pt idx="53">
                  <c:v>0.27318210729636744</c:v>
                </c:pt>
                <c:pt idx="54">
                  <c:v>0.25368393328525279</c:v>
                </c:pt>
                <c:pt idx="55">
                  <c:v>0.23590484936225575</c:v>
                </c:pt>
                <c:pt idx="56">
                  <c:v>0.21966818180936404</c:v>
                </c:pt>
                <c:pt idx="57">
                  <c:v>0.20481776812796412</c:v>
                </c:pt>
                <c:pt idx="58">
                  <c:v>0.19121532124218626</c:v>
                </c:pt>
                <c:pt idx="59">
                  <c:v>0.1787381632346727</c:v>
                </c:pt>
                <c:pt idx="60">
                  <c:v>0.16727727270409323</c:v>
                </c:pt>
                <c:pt idx="61">
                  <c:v>0.1567355988858524</c:v>
                </c:pt>
                <c:pt idx="62">
                  <c:v>0.14702660317198177</c:v>
                </c:pt>
                <c:pt idx="63">
                  <c:v>0.13807299488640329</c:v>
                </c:pt>
              </c:numCache>
            </c:numRef>
          </c:yVal>
          <c:smooth val="1"/>
          <c:extLst>
            <c:ext xmlns:c16="http://schemas.microsoft.com/office/drawing/2014/chart" uri="{C3380CC4-5D6E-409C-BE32-E72D297353CC}">
              <c16:uniqueId val="{00000002-46E6-454B-AE64-B872E25576DB}"/>
            </c:ext>
          </c:extLst>
        </c:ser>
        <c:dLbls>
          <c:showLegendKey val="0"/>
          <c:showVal val="0"/>
          <c:showCatName val="0"/>
          <c:showSerName val="0"/>
          <c:showPercent val="0"/>
          <c:showBubbleSize val="0"/>
        </c:dLbls>
        <c:axId val="87072768"/>
        <c:axId val="87074688"/>
      </c:scatterChart>
      <c:valAx>
        <c:axId val="87072768"/>
        <c:scaling>
          <c:orientation val="minMax"/>
        </c:scaling>
        <c:delete val="0"/>
        <c:axPos val="b"/>
        <c:title>
          <c:tx>
            <c:rich>
              <a:bodyPr/>
              <a:lstStyle/>
              <a:p>
                <a:pPr>
                  <a:defRPr/>
                </a:pPr>
                <a:r>
                  <a:rPr lang="en-AU"/>
                  <a:t>T</a:t>
                </a:r>
                <a:r>
                  <a:rPr lang="en-AU" baseline="0"/>
                  <a:t> (°C)</a:t>
                </a:r>
                <a:endParaRPr lang="en-AU"/>
              </a:p>
            </c:rich>
          </c:tx>
          <c:overlay val="0"/>
        </c:title>
        <c:numFmt formatCode="0" sourceLinked="1"/>
        <c:majorTickMark val="none"/>
        <c:minorTickMark val="none"/>
        <c:tickLblPos val="nextTo"/>
        <c:crossAx val="87074688"/>
        <c:crosses val="autoZero"/>
        <c:crossBetween val="midCat"/>
      </c:valAx>
      <c:valAx>
        <c:axId val="87074688"/>
        <c:scaling>
          <c:logBase val="10"/>
          <c:orientation val="minMax"/>
        </c:scaling>
        <c:delete val="0"/>
        <c:axPos val="l"/>
        <c:majorGridlines/>
        <c:title>
          <c:tx>
            <c:rich>
              <a:bodyPr/>
              <a:lstStyle/>
              <a:p>
                <a:pPr>
                  <a:defRPr/>
                </a:pPr>
                <a:r>
                  <a:rPr lang="en-AU"/>
                  <a:t>R (kOhm)</a:t>
                </a:r>
              </a:p>
            </c:rich>
          </c:tx>
          <c:overlay val="0"/>
        </c:title>
        <c:numFmt formatCode="General" sourceLinked="1"/>
        <c:majorTickMark val="none"/>
        <c:minorTickMark val="none"/>
        <c:tickLblPos val="nextTo"/>
        <c:crossAx val="87072768"/>
        <c:crosses val="autoZero"/>
        <c:crossBetween val="midCat"/>
      </c:valAx>
    </c:plotArea>
    <c:legend>
      <c:legendPos val="r"/>
      <c:overlay val="0"/>
    </c:legend>
    <c:plotVisOnly val="1"/>
    <c:dispBlanksAs val="gap"/>
    <c:showDLblsOverMax val="0"/>
  </c:char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Comparison of Methods</a:t>
            </a:r>
          </a:p>
        </c:rich>
      </c:tx>
      <c:overlay val="0"/>
    </c:title>
    <c:autoTitleDeleted val="0"/>
    <c:plotArea>
      <c:layout/>
      <c:scatterChart>
        <c:scatterStyle val="smoothMarker"/>
        <c:varyColors val="0"/>
        <c:ser>
          <c:idx val="0"/>
          <c:order val="0"/>
          <c:tx>
            <c:v>Thermistor Table</c:v>
          </c:tx>
          <c:marker>
            <c:symbol val="none"/>
          </c:marker>
          <c:xVal>
            <c:numRef>
              <c:f>Manual_Calibration!$C$17:$C$80</c:f>
              <c:numCache>
                <c:formatCode>0.00</c:formatCode>
                <c:ptCount val="64"/>
                <c:pt idx="0">
                  <c:v>4.9853372434017595</c:v>
                </c:pt>
                <c:pt idx="1">
                  <c:v>4.9657869012707723</c:v>
                </c:pt>
                <c:pt idx="2">
                  <c:v>4.946236559139785</c:v>
                </c:pt>
                <c:pt idx="3">
                  <c:v>4.9266862170087977</c:v>
                </c:pt>
                <c:pt idx="4">
                  <c:v>4.9071358748778104</c:v>
                </c:pt>
                <c:pt idx="5">
                  <c:v>4.8826979472140764</c:v>
                </c:pt>
                <c:pt idx="6">
                  <c:v>4.8533724340175954</c:v>
                </c:pt>
                <c:pt idx="7">
                  <c:v>4.8142717497556209</c:v>
                </c:pt>
                <c:pt idx="8">
                  <c:v>4.7751710654936463</c:v>
                </c:pt>
                <c:pt idx="9">
                  <c:v>4.7214076246334313</c:v>
                </c:pt>
                <c:pt idx="10">
                  <c:v>4.6627565982404695</c:v>
                </c:pt>
                <c:pt idx="11">
                  <c:v>4.5894428152492672</c:v>
                </c:pt>
                <c:pt idx="12">
                  <c:v>4.5063538611925713</c:v>
                </c:pt>
                <c:pt idx="13">
                  <c:v>4.4134897360703809</c:v>
                </c:pt>
                <c:pt idx="14">
                  <c:v>4.3059628543499509</c:v>
                </c:pt>
                <c:pt idx="15">
                  <c:v>4.1886608015640272</c:v>
                </c:pt>
                <c:pt idx="16">
                  <c:v>4.0566959921798631</c:v>
                </c:pt>
                <c:pt idx="17">
                  <c:v>3.9149560117302054</c:v>
                </c:pt>
                <c:pt idx="18">
                  <c:v>3.763440860215054</c:v>
                </c:pt>
                <c:pt idx="19">
                  <c:v>3.6021505376344085</c:v>
                </c:pt>
                <c:pt idx="20">
                  <c:v>3.4310850439882699</c:v>
                </c:pt>
                <c:pt idx="21">
                  <c:v>3.2502443792766376</c:v>
                </c:pt>
                <c:pt idx="22">
                  <c:v>3.0694037145650048</c:v>
                </c:pt>
                <c:pt idx="23">
                  <c:v>2.8885630498533725</c:v>
                </c:pt>
                <c:pt idx="24">
                  <c:v>2.702834799608993</c:v>
                </c:pt>
                <c:pt idx="25">
                  <c:v>2.5219941348973607</c:v>
                </c:pt>
                <c:pt idx="26">
                  <c:v>2.3460410557184752</c:v>
                </c:pt>
                <c:pt idx="27">
                  <c:v>2.1749755620723361</c:v>
                </c:pt>
                <c:pt idx="28">
                  <c:v>2.0087976539589443</c:v>
                </c:pt>
                <c:pt idx="29">
                  <c:v>1.8523949169110459</c:v>
                </c:pt>
                <c:pt idx="30">
                  <c:v>1.7008797653958945</c:v>
                </c:pt>
                <c:pt idx="31">
                  <c:v>1.5640273704789833</c:v>
                </c:pt>
                <c:pt idx="32">
                  <c:v>1.4320625610948192</c:v>
                </c:pt>
                <c:pt idx="33">
                  <c:v>1.3098729227761485</c:v>
                </c:pt>
                <c:pt idx="34">
                  <c:v>1.1974584555229717</c:v>
                </c:pt>
                <c:pt idx="35">
                  <c:v>1.0948191593352883</c:v>
                </c:pt>
                <c:pt idx="36">
                  <c:v>1.0019550342130987</c:v>
                </c:pt>
                <c:pt idx="37">
                  <c:v>0.91397849462365588</c:v>
                </c:pt>
                <c:pt idx="38">
                  <c:v>0.83577712609970678</c:v>
                </c:pt>
                <c:pt idx="39">
                  <c:v>0.76246334310850439</c:v>
                </c:pt>
                <c:pt idx="40">
                  <c:v>0.69892473118279574</c:v>
                </c:pt>
                <c:pt idx="41">
                  <c:v>0.64027370478983381</c:v>
                </c:pt>
                <c:pt idx="42">
                  <c:v>0.5865102639296188</c:v>
                </c:pt>
                <c:pt idx="43">
                  <c:v>0.53274682306940369</c:v>
                </c:pt>
                <c:pt idx="44">
                  <c:v>0.48875855327468232</c:v>
                </c:pt>
                <c:pt idx="45">
                  <c:v>0.44965786901270771</c:v>
                </c:pt>
                <c:pt idx="46">
                  <c:v>0.41055718475073316</c:v>
                </c:pt>
                <c:pt idx="47">
                  <c:v>0.38123167155425219</c:v>
                </c:pt>
                <c:pt idx="48">
                  <c:v>0.34701857282502446</c:v>
                </c:pt>
                <c:pt idx="49">
                  <c:v>0.32258064516129031</c:v>
                </c:pt>
                <c:pt idx="50">
                  <c:v>0.29814271749755622</c:v>
                </c:pt>
                <c:pt idx="51">
                  <c:v>0.27370478983382207</c:v>
                </c:pt>
                <c:pt idx="52">
                  <c:v>0.2541544477028348</c:v>
                </c:pt>
                <c:pt idx="53">
                  <c:v>0.23460410557184752</c:v>
                </c:pt>
                <c:pt idx="54">
                  <c:v>0.21505376344086022</c:v>
                </c:pt>
                <c:pt idx="55">
                  <c:v>0.20039100684261973</c:v>
                </c:pt>
                <c:pt idx="56">
                  <c:v>0.18572825024437928</c:v>
                </c:pt>
                <c:pt idx="57">
                  <c:v>0.17106549364613879</c:v>
                </c:pt>
                <c:pt idx="58">
                  <c:v>0.16129032258064516</c:v>
                </c:pt>
                <c:pt idx="59">
                  <c:v>0.15151515151515152</c:v>
                </c:pt>
                <c:pt idx="60">
                  <c:v>0.13685239491691104</c:v>
                </c:pt>
                <c:pt idx="61">
                  <c:v>0.13196480938416422</c:v>
                </c:pt>
                <c:pt idx="62">
                  <c:v>0.12218963831867058</c:v>
                </c:pt>
                <c:pt idx="63">
                  <c:v>0.11241446725317693</c:v>
                </c:pt>
              </c:numCache>
            </c:numRef>
          </c:xVal>
          <c:yVal>
            <c:numRef>
              <c:f>Manual_Calibration!$A$17:$A$80</c:f>
              <c:numCache>
                <c:formatCode>0</c:formatCode>
                <c:ptCount val="64"/>
                <c:pt idx="0">
                  <c:v>-15</c:v>
                </c:pt>
                <c:pt idx="1">
                  <c:v>-10</c:v>
                </c:pt>
                <c:pt idx="2">
                  <c:v>-5</c:v>
                </c:pt>
                <c:pt idx="3">
                  <c:v>0</c:v>
                </c:pt>
                <c:pt idx="4">
                  <c:v>5</c:v>
                </c:pt>
                <c:pt idx="5">
                  <c:v>10</c:v>
                </c:pt>
                <c:pt idx="6">
                  <c:v>15</c:v>
                </c:pt>
                <c:pt idx="7">
                  <c:v>20</c:v>
                </c:pt>
                <c:pt idx="8">
                  <c:v>25</c:v>
                </c:pt>
                <c:pt idx="9">
                  <c:v>30</c:v>
                </c:pt>
                <c:pt idx="10">
                  <c:v>35</c:v>
                </c:pt>
                <c:pt idx="11">
                  <c:v>40</c:v>
                </c:pt>
                <c:pt idx="12">
                  <c:v>45</c:v>
                </c:pt>
                <c:pt idx="13">
                  <c:v>50</c:v>
                </c:pt>
                <c:pt idx="14">
                  <c:v>55</c:v>
                </c:pt>
                <c:pt idx="15">
                  <c:v>60</c:v>
                </c:pt>
                <c:pt idx="16">
                  <c:v>65</c:v>
                </c:pt>
                <c:pt idx="17">
                  <c:v>70</c:v>
                </c:pt>
                <c:pt idx="18">
                  <c:v>75</c:v>
                </c:pt>
                <c:pt idx="19">
                  <c:v>80</c:v>
                </c:pt>
                <c:pt idx="20">
                  <c:v>85</c:v>
                </c:pt>
                <c:pt idx="21">
                  <c:v>90</c:v>
                </c:pt>
                <c:pt idx="22">
                  <c:v>95</c:v>
                </c:pt>
                <c:pt idx="23">
                  <c:v>100</c:v>
                </c:pt>
                <c:pt idx="24">
                  <c:v>105</c:v>
                </c:pt>
                <c:pt idx="25">
                  <c:v>110</c:v>
                </c:pt>
                <c:pt idx="26">
                  <c:v>115</c:v>
                </c:pt>
                <c:pt idx="27">
                  <c:v>120</c:v>
                </c:pt>
                <c:pt idx="28">
                  <c:v>125</c:v>
                </c:pt>
                <c:pt idx="29">
                  <c:v>130</c:v>
                </c:pt>
                <c:pt idx="30">
                  <c:v>135</c:v>
                </c:pt>
                <c:pt idx="31">
                  <c:v>140</c:v>
                </c:pt>
                <c:pt idx="32">
                  <c:v>145</c:v>
                </c:pt>
                <c:pt idx="33">
                  <c:v>150</c:v>
                </c:pt>
                <c:pt idx="34">
                  <c:v>155</c:v>
                </c:pt>
                <c:pt idx="35">
                  <c:v>160</c:v>
                </c:pt>
                <c:pt idx="36">
                  <c:v>165</c:v>
                </c:pt>
                <c:pt idx="37">
                  <c:v>170</c:v>
                </c:pt>
                <c:pt idx="38">
                  <c:v>175</c:v>
                </c:pt>
                <c:pt idx="39">
                  <c:v>180</c:v>
                </c:pt>
                <c:pt idx="40">
                  <c:v>185</c:v>
                </c:pt>
                <c:pt idx="41">
                  <c:v>190</c:v>
                </c:pt>
                <c:pt idx="42">
                  <c:v>195</c:v>
                </c:pt>
                <c:pt idx="43">
                  <c:v>200</c:v>
                </c:pt>
                <c:pt idx="44">
                  <c:v>205</c:v>
                </c:pt>
                <c:pt idx="45">
                  <c:v>210</c:v>
                </c:pt>
                <c:pt idx="46">
                  <c:v>215</c:v>
                </c:pt>
                <c:pt idx="47">
                  <c:v>220</c:v>
                </c:pt>
                <c:pt idx="48">
                  <c:v>225</c:v>
                </c:pt>
                <c:pt idx="49">
                  <c:v>230</c:v>
                </c:pt>
                <c:pt idx="50">
                  <c:v>235</c:v>
                </c:pt>
                <c:pt idx="51">
                  <c:v>240</c:v>
                </c:pt>
                <c:pt idx="52">
                  <c:v>245</c:v>
                </c:pt>
                <c:pt idx="53">
                  <c:v>250</c:v>
                </c:pt>
                <c:pt idx="54">
                  <c:v>255</c:v>
                </c:pt>
                <c:pt idx="55">
                  <c:v>260</c:v>
                </c:pt>
                <c:pt idx="56">
                  <c:v>265</c:v>
                </c:pt>
                <c:pt idx="57">
                  <c:v>270</c:v>
                </c:pt>
                <c:pt idx="58">
                  <c:v>275</c:v>
                </c:pt>
                <c:pt idx="59">
                  <c:v>280</c:v>
                </c:pt>
                <c:pt idx="60">
                  <c:v>285</c:v>
                </c:pt>
                <c:pt idx="61">
                  <c:v>290</c:v>
                </c:pt>
                <c:pt idx="62">
                  <c:v>295</c:v>
                </c:pt>
                <c:pt idx="63">
                  <c:v>300</c:v>
                </c:pt>
              </c:numCache>
            </c:numRef>
          </c:yVal>
          <c:smooth val="1"/>
          <c:extLst>
            <c:ext xmlns:c16="http://schemas.microsoft.com/office/drawing/2014/chart" uri="{C3380CC4-5D6E-409C-BE32-E72D297353CC}">
              <c16:uniqueId val="{00000000-BCB1-4816-BA85-E950049F0391}"/>
            </c:ext>
          </c:extLst>
        </c:ser>
        <c:ser>
          <c:idx val="1"/>
          <c:order val="1"/>
          <c:tx>
            <c:v>Steinhart-Hart</c:v>
          </c:tx>
          <c:marker>
            <c:symbol val="none"/>
          </c:marker>
          <c:xVal>
            <c:numRef>
              <c:f>SteinhartHart_Calibration!$R$2:$R$65</c:f>
              <c:numCache>
                <c:formatCode>General</c:formatCode>
                <c:ptCount val="64"/>
                <c:pt idx="0">
                  <c:v>16249</c:v>
                </c:pt>
                <c:pt idx="1">
                  <c:v>16215</c:v>
                </c:pt>
                <c:pt idx="2">
                  <c:v>16173</c:v>
                </c:pt>
                <c:pt idx="3">
                  <c:v>16122</c:v>
                </c:pt>
                <c:pt idx="4">
                  <c:v>16058</c:v>
                </c:pt>
                <c:pt idx="5">
                  <c:v>15980</c:v>
                </c:pt>
                <c:pt idx="6">
                  <c:v>15885</c:v>
                </c:pt>
                <c:pt idx="7">
                  <c:v>15770</c:v>
                </c:pt>
                <c:pt idx="8">
                  <c:v>15633</c:v>
                </c:pt>
                <c:pt idx="9">
                  <c:v>15470</c:v>
                </c:pt>
                <c:pt idx="10">
                  <c:v>15278</c:v>
                </c:pt>
                <c:pt idx="11">
                  <c:v>15053</c:v>
                </c:pt>
                <c:pt idx="12">
                  <c:v>14793</c:v>
                </c:pt>
                <c:pt idx="13">
                  <c:v>14494</c:v>
                </c:pt>
                <c:pt idx="14">
                  <c:v>14156</c:v>
                </c:pt>
                <c:pt idx="15">
                  <c:v>13776</c:v>
                </c:pt>
                <c:pt idx="16">
                  <c:v>13355</c:v>
                </c:pt>
                <c:pt idx="17">
                  <c:v>12894</c:v>
                </c:pt>
                <c:pt idx="18">
                  <c:v>12395</c:v>
                </c:pt>
                <c:pt idx="19">
                  <c:v>11861</c:v>
                </c:pt>
                <c:pt idx="20">
                  <c:v>11299</c:v>
                </c:pt>
                <c:pt idx="21">
                  <c:v>10714</c:v>
                </c:pt>
                <c:pt idx="22">
                  <c:v>10112</c:v>
                </c:pt>
                <c:pt idx="23">
                  <c:v>9502</c:v>
                </c:pt>
                <c:pt idx="24">
                  <c:v>8890</c:v>
                </c:pt>
                <c:pt idx="25">
                  <c:v>8285</c:v>
                </c:pt>
                <c:pt idx="26">
                  <c:v>7692</c:v>
                </c:pt>
                <c:pt idx="27">
                  <c:v>7117</c:v>
                </c:pt>
                <c:pt idx="28">
                  <c:v>6565</c:v>
                </c:pt>
                <c:pt idx="29">
                  <c:v>6040</c:v>
                </c:pt>
                <c:pt idx="30">
                  <c:v>5545</c:v>
                </c:pt>
                <c:pt idx="31">
                  <c:v>5080</c:v>
                </c:pt>
                <c:pt idx="32">
                  <c:v>4648</c:v>
                </c:pt>
                <c:pt idx="33">
                  <c:v>4247</c:v>
                </c:pt>
                <c:pt idx="34">
                  <c:v>3878</c:v>
                </c:pt>
                <c:pt idx="35">
                  <c:v>3539</c:v>
                </c:pt>
                <c:pt idx="36">
                  <c:v>3229</c:v>
                </c:pt>
                <c:pt idx="37">
                  <c:v>2946</c:v>
                </c:pt>
                <c:pt idx="38">
                  <c:v>2689</c:v>
                </c:pt>
                <c:pt idx="39">
                  <c:v>2455</c:v>
                </c:pt>
                <c:pt idx="40">
                  <c:v>2242</c:v>
                </c:pt>
                <c:pt idx="41">
                  <c:v>2050</c:v>
                </c:pt>
                <c:pt idx="42">
                  <c:v>1876</c:v>
                </c:pt>
                <c:pt idx="43">
                  <c:v>1718</c:v>
                </c:pt>
                <c:pt idx="44">
                  <c:v>1575</c:v>
                </c:pt>
                <c:pt idx="45">
                  <c:v>1445</c:v>
                </c:pt>
                <c:pt idx="46">
                  <c:v>1328</c:v>
                </c:pt>
                <c:pt idx="47">
                  <c:v>1221</c:v>
                </c:pt>
                <c:pt idx="48">
                  <c:v>1125</c:v>
                </c:pt>
                <c:pt idx="49">
                  <c:v>1037</c:v>
                </c:pt>
                <c:pt idx="50">
                  <c:v>958</c:v>
                </c:pt>
                <c:pt idx="51">
                  <c:v>885</c:v>
                </c:pt>
                <c:pt idx="52">
                  <c:v>820</c:v>
                </c:pt>
                <c:pt idx="53">
                  <c:v>760</c:v>
                </c:pt>
                <c:pt idx="54">
                  <c:v>705</c:v>
                </c:pt>
                <c:pt idx="55">
                  <c:v>655</c:v>
                </c:pt>
                <c:pt idx="56">
                  <c:v>610</c:v>
                </c:pt>
                <c:pt idx="57">
                  <c:v>568</c:v>
                </c:pt>
                <c:pt idx="58">
                  <c:v>530</c:v>
                </c:pt>
                <c:pt idx="59">
                  <c:v>495</c:v>
                </c:pt>
                <c:pt idx="60">
                  <c:v>463</c:v>
                </c:pt>
                <c:pt idx="61">
                  <c:v>433</c:v>
                </c:pt>
                <c:pt idx="62">
                  <c:v>406</c:v>
                </c:pt>
                <c:pt idx="63">
                  <c:v>381</c:v>
                </c:pt>
              </c:numCache>
            </c:numRef>
          </c:xVal>
          <c:yVal>
            <c:numRef>
              <c:f>SteinhartHart_Calibration!$K$2:$K$65</c:f>
              <c:numCache>
                <c:formatCode>General</c:formatCode>
                <c:ptCount val="64"/>
                <c:pt idx="0">
                  <c:v>-15</c:v>
                </c:pt>
                <c:pt idx="1">
                  <c:v>-10</c:v>
                </c:pt>
                <c:pt idx="2">
                  <c:v>-5</c:v>
                </c:pt>
                <c:pt idx="3">
                  <c:v>0</c:v>
                </c:pt>
                <c:pt idx="4">
                  <c:v>5</c:v>
                </c:pt>
                <c:pt idx="5">
                  <c:v>10</c:v>
                </c:pt>
                <c:pt idx="6">
                  <c:v>15</c:v>
                </c:pt>
                <c:pt idx="7">
                  <c:v>20</c:v>
                </c:pt>
                <c:pt idx="8">
                  <c:v>25</c:v>
                </c:pt>
                <c:pt idx="9">
                  <c:v>30</c:v>
                </c:pt>
                <c:pt idx="10">
                  <c:v>35</c:v>
                </c:pt>
                <c:pt idx="11">
                  <c:v>40</c:v>
                </c:pt>
                <c:pt idx="12">
                  <c:v>45</c:v>
                </c:pt>
                <c:pt idx="13">
                  <c:v>50</c:v>
                </c:pt>
                <c:pt idx="14">
                  <c:v>55</c:v>
                </c:pt>
                <c:pt idx="15">
                  <c:v>60</c:v>
                </c:pt>
                <c:pt idx="16">
                  <c:v>65</c:v>
                </c:pt>
                <c:pt idx="17">
                  <c:v>70</c:v>
                </c:pt>
                <c:pt idx="18">
                  <c:v>75</c:v>
                </c:pt>
                <c:pt idx="19">
                  <c:v>80</c:v>
                </c:pt>
                <c:pt idx="20">
                  <c:v>85</c:v>
                </c:pt>
                <c:pt idx="21">
                  <c:v>90</c:v>
                </c:pt>
                <c:pt idx="22">
                  <c:v>95</c:v>
                </c:pt>
                <c:pt idx="23">
                  <c:v>100</c:v>
                </c:pt>
                <c:pt idx="24">
                  <c:v>105</c:v>
                </c:pt>
                <c:pt idx="25">
                  <c:v>110</c:v>
                </c:pt>
                <c:pt idx="26">
                  <c:v>115</c:v>
                </c:pt>
                <c:pt idx="27">
                  <c:v>120</c:v>
                </c:pt>
                <c:pt idx="28">
                  <c:v>125</c:v>
                </c:pt>
                <c:pt idx="29">
                  <c:v>130</c:v>
                </c:pt>
                <c:pt idx="30">
                  <c:v>135</c:v>
                </c:pt>
                <c:pt idx="31">
                  <c:v>140</c:v>
                </c:pt>
                <c:pt idx="32">
                  <c:v>145</c:v>
                </c:pt>
                <c:pt idx="33">
                  <c:v>150</c:v>
                </c:pt>
                <c:pt idx="34">
                  <c:v>155</c:v>
                </c:pt>
                <c:pt idx="35">
                  <c:v>160</c:v>
                </c:pt>
                <c:pt idx="36">
                  <c:v>165</c:v>
                </c:pt>
                <c:pt idx="37">
                  <c:v>170</c:v>
                </c:pt>
                <c:pt idx="38">
                  <c:v>175</c:v>
                </c:pt>
                <c:pt idx="39">
                  <c:v>180</c:v>
                </c:pt>
                <c:pt idx="40">
                  <c:v>185</c:v>
                </c:pt>
                <c:pt idx="41">
                  <c:v>190</c:v>
                </c:pt>
                <c:pt idx="42">
                  <c:v>195</c:v>
                </c:pt>
                <c:pt idx="43">
                  <c:v>200</c:v>
                </c:pt>
                <c:pt idx="44">
                  <c:v>205</c:v>
                </c:pt>
                <c:pt idx="45">
                  <c:v>210</c:v>
                </c:pt>
                <c:pt idx="46">
                  <c:v>215</c:v>
                </c:pt>
                <c:pt idx="47">
                  <c:v>220</c:v>
                </c:pt>
                <c:pt idx="48">
                  <c:v>225</c:v>
                </c:pt>
                <c:pt idx="49">
                  <c:v>230</c:v>
                </c:pt>
                <c:pt idx="50">
                  <c:v>235</c:v>
                </c:pt>
                <c:pt idx="51">
                  <c:v>240</c:v>
                </c:pt>
                <c:pt idx="52">
                  <c:v>245</c:v>
                </c:pt>
                <c:pt idx="53">
                  <c:v>250</c:v>
                </c:pt>
                <c:pt idx="54">
                  <c:v>255</c:v>
                </c:pt>
                <c:pt idx="55">
                  <c:v>260</c:v>
                </c:pt>
                <c:pt idx="56">
                  <c:v>265</c:v>
                </c:pt>
                <c:pt idx="57">
                  <c:v>270</c:v>
                </c:pt>
                <c:pt idx="58">
                  <c:v>275</c:v>
                </c:pt>
                <c:pt idx="59">
                  <c:v>280</c:v>
                </c:pt>
                <c:pt idx="60">
                  <c:v>285</c:v>
                </c:pt>
                <c:pt idx="61">
                  <c:v>290</c:v>
                </c:pt>
                <c:pt idx="62">
                  <c:v>295</c:v>
                </c:pt>
                <c:pt idx="63">
                  <c:v>300</c:v>
                </c:pt>
              </c:numCache>
            </c:numRef>
          </c:yVal>
          <c:smooth val="1"/>
          <c:extLst>
            <c:ext xmlns:c16="http://schemas.microsoft.com/office/drawing/2014/chart" uri="{C3380CC4-5D6E-409C-BE32-E72D297353CC}">
              <c16:uniqueId val="{00000001-BCB1-4816-BA85-E950049F0391}"/>
            </c:ext>
          </c:extLst>
        </c:ser>
        <c:ser>
          <c:idx val="2"/>
          <c:order val="2"/>
          <c:tx>
            <c:v>Beta</c:v>
          </c:tx>
          <c:marker>
            <c:symbol val="none"/>
          </c:marker>
          <c:xVal>
            <c:numRef>
              <c:f>Beta_Calibration!$M$2:$M$65</c:f>
              <c:numCache>
                <c:formatCode>General</c:formatCode>
                <c:ptCount val="64"/>
                <c:pt idx="0">
                  <c:v>16277</c:v>
                </c:pt>
                <c:pt idx="1">
                  <c:v>16245</c:v>
                </c:pt>
                <c:pt idx="2">
                  <c:v>16204</c:v>
                </c:pt>
                <c:pt idx="3">
                  <c:v>16152</c:v>
                </c:pt>
                <c:pt idx="4">
                  <c:v>16086</c:v>
                </c:pt>
                <c:pt idx="5">
                  <c:v>16004</c:v>
                </c:pt>
                <c:pt idx="6">
                  <c:v>15904</c:v>
                </c:pt>
                <c:pt idx="7">
                  <c:v>15781</c:v>
                </c:pt>
                <c:pt idx="8">
                  <c:v>15633</c:v>
                </c:pt>
                <c:pt idx="9">
                  <c:v>15457</c:v>
                </c:pt>
                <c:pt idx="10">
                  <c:v>15249</c:v>
                </c:pt>
                <c:pt idx="11">
                  <c:v>15007</c:v>
                </c:pt>
                <c:pt idx="12">
                  <c:v>14728</c:v>
                </c:pt>
                <c:pt idx="13">
                  <c:v>14410</c:v>
                </c:pt>
                <c:pt idx="14">
                  <c:v>14052</c:v>
                </c:pt>
                <c:pt idx="15">
                  <c:v>13654</c:v>
                </c:pt>
                <c:pt idx="16">
                  <c:v>13218</c:v>
                </c:pt>
                <c:pt idx="17">
                  <c:v>12745</c:v>
                </c:pt>
                <c:pt idx="18">
                  <c:v>12239</c:v>
                </c:pt>
                <c:pt idx="19">
                  <c:v>11704</c:v>
                </c:pt>
                <c:pt idx="20">
                  <c:v>11147</c:v>
                </c:pt>
                <c:pt idx="21">
                  <c:v>10572</c:v>
                </c:pt>
                <c:pt idx="22">
                  <c:v>9987</c:v>
                </c:pt>
                <c:pt idx="23">
                  <c:v>9399</c:v>
                </c:pt>
                <c:pt idx="24">
                  <c:v>8813</c:v>
                </c:pt>
                <c:pt idx="25">
                  <c:v>8237</c:v>
                </c:pt>
                <c:pt idx="26">
                  <c:v>7674</c:v>
                </c:pt>
                <c:pt idx="27">
                  <c:v>7131</c:v>
                </c:pt>
                <c:pt idx="28">
                  <c:v>6610</c:v>
                </c:pt>
                <c:pt idx="29">
                  <c:v>6114</c:v>
                </c:pt>
                <c:pt idx="30">
                  <c:v>5646</c:v>
                </c:pt>
                <c:pt idx="31">
                  <c:v>5206</c:v>
                </c:pt>
                <c:pt idx="32">
                  <c:v>4795</c:v>
                </c:pt>
                <c:pt idx="33">
                  <c:v>4413</c:v>
                </c:pt>
                <c:pt idx="34">
                  <c:v>4058</c:v>
                </c:pt>
                <c:pt idx="35">
                  <c:v>3731</c:v>
                </c:pt>
                <c:pt idx="36">
                  <c:v>3430</c:v>
                </c:pt>
                <c:pt idx="37">
                  <c:v>3153</c:v>
                </c:pt>
                <c:pt idx="38">
                  <c:v>2899</c:v>
                </c:pt>
                <c:pt idx="39">
                  <c:v>2666</c:v>
                </c:pt>
                <c:pt idx="40">
                  <c:v>2453</c:v>
                </c:pt>
                <c:pt idx="41">
                  <c:v>2259</c:v>
                </c:pt>
                <c:pt idx="42">
                  <c:v>2081</c:v>
                </c:pt>
                <c:pt idx="43">
                  <c:v>1919</c:v>
                </c:pt>
                <c:pt idx="44">
                  <c:v>1771</c:v>
                </c:pt>
                <c:pt idx="45">
                  <c:v>1636</c:v>
                </c:pt>
                <c:pt idx="46">
                  <c:v>1513</c:v>
                </c:pt>
                <c:pt idx="47">
                  <c:v>1400</c:v>
                </c:pt>
                <c:pt idx="48">
                  <c:v>1297</c:v>
                </c:pt>
                <c:pt idx="49">
                  <c:v>1203</c:v>
                </c:pt>
                <c:pt idx="50">
                  <c:v>1117</c:v>
                </c:pt>
                <c:pt idx="51">
                  <c:v>1038</c:v>
                </c:pt>
                <c:pt idx="52">
                  <c:v>965</c:v>
                </c:pt>
                <c:pt idx="53">
                  <c:v>899</c:v>
                </c:pt>
                <c:pt idx="54">
                  <c:v>838</c:v>
                </c:pt>
                <c:pt idx="55">
                  <c:v>782</c:v>
                </c:pt>
                <c:pt idx="56">
                  <c:v>731</c:v>
                </c:pt>
                <c:pt idx="57">
                  <c:v>684</c:v>
                </c:pt>
                <c:pt idx="58">
                  <c:v>640</c:v>
                </c:pt>
                <c:pt idx="59">
                  <c:v>600</c:v>
                </c:pt>
                <c:pt idx="60">
                  <c:v>563</c:v>
                </c:pt>
                <c:pt idx="61">
                  <c:v>528</c:v>
                </c:pt>
                <c:pt idx="62">
                  <c:v>496</c:v>
                </c:pt>
                <c:pt idx="63">
                  <c:v>467</c:v>
                </c:pt>
              </c:numCache>
            </c:numRef>
          </c:xVal>
          <c:yVal>
            <c:numRef>
              <c:f>Beta_Calibration!$H$2:$H$65</c:f>
              <c:numCache>
                <c:formatCode>General</c:formatCode>
                <c:ptCount val="64"/>
                <c:pt idx="0">
                  <c:v>-15</c:v>
                </c:pt>
                <c:pt idx="1">
                  <c:v>-10</c:v>
                </c:pt>
                <c:pt idx="2">
                  <c:v>-5</c:v>
                </c:pt>
                <c:pt idx="3">
                  <c:v>0</c:v>
                </c:pt>
                <c:pt idx="4">
                  <c:v>5</c:v>
                </c:pt>
                <c:pt idx="5">
                  <c:v>10</c:v>
                </c:pt>
                <c:pt idx="6">
                  <c:v>15</c:v>
                </c:pt>
                <c:pt idx="7">
                  <c:v>20</c:v>
                </c:pt>
                <c:pt idx="8">
                  <c:v>25</c:v>
                </c:pt>
                <c:pt idx="9">
                  <c:v>30</c:v>
                </c:pt>
                <c:pt idx="10">
                  <c:v>35</c:v>
                </c:pt>
                <c:pt idx="11">
                  <c:v>40</c:v>
                </c:pt>
                <c:pt idx="12">
                  <c:v>45</c:v>
                </c:pt>
                <c:pt idx="13">
                  <c:v>50</c:v>
                </c:pt>
                <c:pt idx="14">
                  <c:v>55</c:v>
                </c:pt>
                <c:pt idx="15">
                  <c:v>60</c:v>
                </c:pt>
                <c:pt idx="16">
                  <c:v>65</c:v>
                </c:pt>
                <c:pt idx="17">
                  <c:v>70</c:v>
                </c:pt>
                <c:pt idx="18">
                  <c:v>75</c:v>
                </c:pt>
                <c:pt idx="19">
                  <c:v>80</c:v>
                </c:pt>
                <c:pt idx="20">
                  <c:v>85</c:v>
                </c:pt>
                <c:pt idx="21">
                  <c:v>90</c:v>
                </c:pt>
                <c:pt idx="22">
                  <c:v>95</c:v>
                </c:pt>
                <c:pt idx="23">
                  <c:v>100</c:v>
                </c:pt>
                <c:pt idx="24">
                  <c:v>105</c:v>
                </c:pt>
                <c:pt idx="25">
                  <c:v>110</c:v>
                </c:pt>
                <c:pt idx="26">
                  <c:v>115</c:v>
                </c:pt>
                <c:pt idx="27">
                  <c:v>120</c:v>
                </c:pt>
                <c:pt idx="28">
                  <c:v>125</c:v>
                </c:pt>
                <c:pt idx="29">
                  <c:v>130</c:v>
                </c:pt>
                <c:pt idx="30">
                  <c:v>135</c:v>
                </c:pt>
                <c:pt idx="31">
                  <c:v>140</c:v>
                </c:pt>
                <c:pt idx="32">
                  <c:v>145</c:v>
                </c:pt>
                <c:pt idx="33">
                  <c:v>150</c:v>
                </c:pt>
                <c:pt idx="34">
                  <c:v>155</c:v>
                </c:pt>
                <c:pt idx="35">
                  <c:v>160</c:v>
                </c:pt>
                <c:pt idx="36">
                  <c:v>165</c:v>
                </c:pt>
                <c:pt idx="37">
                  <c:v>170</c:v>
                </c:pt>
                <c:pt idx="38">
                  <c:v>175</c:v>
                </c:pt>
                <c:pt idx="39">
                  <c:v>180</c:v>
                </c:pt>
                <c:pt idx="40">
                  <c:v>185</c:v>
                </c:pt>
                <c:pt idx="41">
                  <c:v>190</c:v>
                </c:pt>
                <c:pt idx="42">
                  <c:v>195</c:v>
                </c:pt>
                <c:pt idx="43">
                  <c:v>200</c:v>
                </c:pt>
                <c:pt idx="44">
                  <c:v>205</c:v>
                </c:pt>
                <c:pt idx="45">
                  <c:v>210</c:v>
                </c:pt>
                <c:pt idx="46">
                  <c:v>215</c:v>
                </c:pt>
                <c:pt idx="47">
                  <c:v>220</c:v>
                </c:pt>
                <c:pt idx="48">
                  <c:v>225</c:v>
                </c:pt>
                <c:pt idx="49">
                  <c:v>230</c:v>
                </c:pt>
                <c:pt idx="50">
                  <c:v>235</c:v>
                </c:pt>
                <c:pt idx="51">
                  <c:v>240</c:v>
                </c:pt>
                <c:pt idx="52">
                  <c:v>245</c:v>
                </c:pt>
                <c:pt idx="53">
                  <c:v>250</c:v>
                </c:pt>
                <c:pt idx="54">
                  <c:v>255</c:v>
                </c:pt>
                <c:pt idx="55">
                  <c:v>260</c:v>
                </c:pt>
                <c:pt idx="56">
                  <c:v>265</c:v>
                </c:pt>
                <c:pt idx="57">
                  <c:v>270</c:v>
                </c:pt>
                <c:pt idx="58">
                  <c:v>275</c:v>
                </c:pt>
                <c:pt idx="59">
                  <c:v>280</c:v>
                </c:pt>
                <c:pt idx="60">
                  <c:v>285</c:v>
                </c:pt>
                <c:pt idx="61">
                  <c:v>290</c:v>
                </c:pt>
                <c:pt idx="62">
                  <c:v>295</c:v>
                </c:pt>
                <c:pt idx="63">
                  <c:v>300</c:v>
                </c:pt>
              </c:numCache>
            </c:numRef>
          </c:yVal>
          <c:smooth val="1"/>
          <c:extLst>
            <c:ext xmlns:c16="http://schemas.microsoft.com/office/drawing/2014/chart" uri="{C3380CC4-5D6E-409C-BE32-E72D297353CC}">
              <c16:uniqueId val="{00000002-BCB1-4816-BA85-E950049F0391}"/>
            </c:ext>
          </c:extLst>
        </c:ser>
        <c:dLbls>
          <c:showLegendKey val="0"/>
          <c:showVal val="0"/>
          <c:showCatName val="0"/>
          <c:showSerName val="0"/>
          <c:showPercent val="0"/>
          <c:showBubbleSize val="0"/>
        </c:dLbls>
        <c:axId val="94060928"/>
        <c:axId val="94062848"/>
      </c:scatterChart>
      <c:valAx>
        <c:axId val="94060928"/>
        <c:scaling>
          <c:orientation val="minMax"/>
        </c:scaling>
        <c:delete val="0"/>
        <c:axPos val="b"/>
        <c:title>
          <c:tx>
            <c:rich>
              <a:bodyPr/>
              <a:lstStyle/>
              <a:p>
                <a:pPr>
                  <a:defRPr/>
                </a:pPr>
                <a:r>
                  <a:rPr lang="en-AU"/>
                  <a:t>Reading ADC (oversampled)</a:t>
                </a:r>
              </a:p>
            </c:rich>
          </c:tx>
          <c:overlay val="0"/>
        </c:title>
        <c:numFmt formatCode="0.00" sourceLinked="1"/>
        <c:majorTickMark val="none"/>
        <c:minorTickMark val="none"/>
        <c:tickLblPos val="nextTo"/>
        <c:crossAx val="94062848"/>
        <c:crosses val="autoZero"/>
        <c:crossBetween val="midCat"/>
      </c:valAx>
      <c:valAx>
        <c:axId val="94062848"/>
        <c:scaling>
          <c:orientation val="minMax"/>
        </c:scaling>
        <c:delete val="0"/>
        <c:axPos val="l"/>
        <c:majorGridlines/>
        <c:title>
          <c:tx>
            <c:rich>
              <a:bodyPr/>
              <a:lstStyle/>
              <a:p>
                <a:pPr>
                  <a:defRPr/>
                </a:pPr>
                <a:r>
                  <a:rPr lang="en-AU"/>
                  <a:t>Temp (°C)</a:t>
                </a:r>
              </a:p>
            </c:rich>
          </c:tx>
          <c:overlay val="0"/>
        </c:title>
        <c:numFmt formatCode="0" sourceLinked="1"/>
        <c:majorTickMark val="none"/>
        <c:minorTickMark val="none"/>
        <c:tickLblPos val="nextTo"/>
        <c:crossAx val="94060928"/>
        <c:crosses val="autoZero"/>
        <c:crossBetween val="midCat"/>
      </c:valAx>
    </c:plotArea>
    <c:legend>
      <c:legendPos val="r"/>
      <c:overlay val="0"/>
    </c:legend>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5"/>
  <sheetViews>
    <sheetView zoomScale="129"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6"/>
  <sheetViews>
    <sheetView zoomScale="129"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5.gif"/><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400050</xdr:colOff>
      <xdr:row>11</xdr:row>
      <xdr:rowOff>180975</xdr:rowOff>
    </xdr:from>
    <xdr:to>
      <xdr:col>0</xdr:col>
      <xdr:colOff>7123860</xdr:colOff>
      <xdr:row>46</xdr:row>
      <xdr:rowOff>122999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00050" y="6848475"/>
          <a:ext cx="6723810" cy="6609524"/>
        </a:xfrm>
        <a:prstGeom prst="rect">
          <a:avLst/>
        </a:prstGeom>
      </xdr:spPr>
    </xdr:pic>
    <xdr:clientData/>
  </xdr:twoCellAnchor>
  <xdr:twoCellAnchor editAs="oneCell">
    <xdr:from>
      <xdr:col>0</xdr:col>
      <xdr:colOff>390525</xdr:colOff>
      <xdr:row>46</xdr:row>
      <xdr:rowOff>152400</xdr:rowOff>
    </xdr:from>
    <xdr:to>
      <xdr:col>0</xdr:col>
      <xdr:colOff>6990525</xdr:colOff>
      <xdr:row>80</xdr:row>
      <xdr:rowOff>170639</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390525" y="7391400"/>
          <a:ext cx="6600000" cy="6495239"/>
        </a:xfrm>
        <a:prstGeom prst="rect">
          <a:avLst/>
        </a:prstGeom>
      </xdr:spPr>
    </xdr:pic>
    <xdr:clientData/>
  </xdr:twoCellAnchor>
  <xdr:twoCellAnchor editAs="oneCell">
    <xdr:from>
      <xdr:col>0</xdr:col>
      <xdr:colOff>1009650</xdr:colOff>
      <xdr:row>81</xdr:row>
      <xdr:rowOff>85725</xdr:rowOff>
    </xdr:from>
    <xdr:to>
      <xdr:col>0</xdr:col>
      <xdr:colOff>6266793</xdr:colOff>
      <xdr:row>120</xdr:row>
      <xdr:rowOff>160987</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009650" y="13992225"/>
          <a:ext cx="5257143" cy="7504762"/>
        </a:xfrm>
        <a:prstGeom prst="rect">
          <a:avLst/>
        </a:prstGeom>
      </xdr:spPr>
    </xdr:pic>
    <xdr:clientData/>
  </xdr:twoCellAnchor>
  <xdr:twoCellAnchor editAs="oneCell">
    <xdr:from>
      <xdr:col>0</xdr:col>
      <xdr:colOff>838200</xdr:colOff>
      <xdr:row>121</xdr:row>
      <xdr:rowOff>95250</xdr:rowOff>
    </xdr:from>
    <xdr:to>
      <xdr:col>0</xdr:col>
      <xdr:colOff>6095343</xdr:colOff>
      <xdr:row>149</xdr:row>
      <xdr:rowOff>27917</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838200" y="21621750"/>
          <a:ext cx="5257143" cy="52666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213360</xdr:colOff>
          <xdr:row>1</xdr:row>
          <xdr:rowOff>83820</xdr:rowOff>
        </xdr:from>
        <xdr:to>
          <xdr:col>13</xdr:col>
          <xdr:colOff>1432560</xdr:colOff>
          <xdr:row>3</xdr:row>
          <xdr:rowOff>22860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Create Table</a:t>
              </a:r>
            </a:p>
          </xdr:txBody>
        </xdr:sp>
        <xdr:clientData fPrintsWithSheet="0"/>
      </xdr:twoCellAnchor>
    </mc:Choice>
    <mc:Fallback/>
  </mc:AlternateContent>
  <xdr:twoCellAnchor>
    <xdr:from>
      <xdr:col>10</xdr:col>
      <xdr:colOff>265747</xdr:colOff>
      <xdr:row>14</xdr:row>
      <xdr:rowOff>14287</xdr:rowOff>
    </xdr:from>
    <xdr:to>
      <xdr:col>16</xdr:col>
      <xdr:colOff>170497</xdr:colOff>
      <xdr:row>26</xdr:row>
      <xdr:rowOff>90487</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251460</xdr:colOff>
      <xdr:row>27</xdr:row>
      <xdr:rowOff>83820</xdr:rowOff>
    </xdr:from>
    <xdr:to>
      <xdr:col>16</xdr:col>
      <xdr:colOff>156210</xdr:colOff>
      <xdr:row>41</xdr:row>
      <xdr:rowOff>160020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457200</xdr:colOff>
      <xdr:row>14</xdr:row>
      <xdr:rowOff>30480</xdr:rowOff>
    </xdr:from>
    <xdr:to>
      <xdr:col>19</xdr:col>
      <xdr:colOff>594360</xdr:colOff>
      <xdr:row>21</xdr:row>
      <xdr:rowOff>167640</xdr:rowOff>
    </xdr:to>
    <xdr:pic>
      <xdr:nvPicPr>
        <xdr:cNvPr id="6" name="Picture 5" descr="ntc thermistor divider circuit">
          <a:extLst>
            <a:ext uri="{FF2B5EF4-FFF2-40B4-BE49-F238E27FC236}">
              <a16:creationId xmlns:a16="http://schemas.microsoft.com/office/drawing/2014/main" id="{8D76290B-5DEC-43DB-91AA-9B70127FCE0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580620" y="4305300"/>
          <a:ext cx="1965960" cy="17830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182880</xdr:colOff>
          <xdr:row>16</xdr:row>
          <xdr:rowOff>83820</xdr:rowOff>
        </xdr:from>
        <xdr:to>
          <xdr:col>1</xdr:col>
          <xdr:colOff>312420</xdr:colOff>
          <xdr:row>18</xdr:row>
          <xdr:rowOff>22860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Create Table</a:t>
              </a:r>
            </a:p>
          </xdr:txBody>
        </xdr:sp>
        <xdr:clientData fPrintsWithSheet="0"/>
      </xdr:twoCellAnchor>
    </mc:Choice>
    <mc:Fallback/>
  </mc:AlternateContent>
  <xdr:twoCellAnchor editAs="oneCell">
    <xdr:from>
      <xdr:col>13</xdr:col>
      <xdr:colOff>548640</xdr:colOff>
      <xdr:row>6</xdr:row>
      <xdr:rowOff>106680</xdr:rowOff>
    </xdr:from>
    <xdr:to>
      <xdr:col>23</xdr:col>
      <xdr:colOff>251963</xdr:colOff>
      <xdr:row>37</xdr:row>
      <xdr:rowOff>46206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9166860" y="1630680"/>
          <a:ext cx="5799323" cy="56088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502920</xdr:colOff>
          <xdr:row>30</xdr:row>
          <xdr:rowOff>83820</xdr:rowOff>
        </xdr:from>
        <xdr:to>
          <xdr:col>2</xdr:col>
          <xdr:colOff>220980</xdr:colOff>
          <xdr:row>32</xdr:row>
          <xdr:rowOff>22860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Create Table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absoluteAnchor>
    <xdr:pos x="0" y="0"/>
    <xdr:ext cx="8659628" cy="6267302"/>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659628" cy="6267302"/>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hyperlink" Target="http://en.wikipedia.org/wiki/Thermistor" TargetMode="Externa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11"/>
  <sheetViews>
    <sheetView workbookViewId="0">
      <selection activeCell="A9" sqref="A9"/>
    </sheetView>
  </sheetViews>
  <sheetFormatPr defaultRowHeight="14.4" x14ac:dyDescent="0.3"/>
  <cols>
    <col min="1" max="1" width="119.109375" customWidth="1"/>
  </cols>
  <sheetData>
    <row r="1" spans="1:1" ht="43.2" x14ac:dyDescent="0.3">
      <c r="A1" s="3" t="s">
        <v>15</v>
      </c>
    </row>
    <row r="2" spans="1:1" x14ac:dyDescent="0.3">
      <c r="A2" s="3" t="s">
        <v>16</v>
      </c>
    </row>
    <row r="3" spans="1:1" ht="43.2" x14ac:dyDescent="0.3">
      <c r="A3" s="3" t="s">
        <v>24</v>
      </c>
    </row>
    <row r="4" spans="1:1" x14ac:dyDescent="0.3">
      <c r="A4" s="3" t="s">
        <v>17</v>
      </c>
    </row>
    <row r="5" spans="1:1" ht="43.2" x14ac:dyDescent="0.3">
      <c r="A5" s="3" t="s">
        <v>18</v>
      </c>
    </row>
    <row r="6" spans="1:1" ht="72" x14ac:dyDescent="0.3">
      <c r="A6" s="3" t="s">
        <v>25</v>
      </c>
    </row>
    <row r="7" spans="1:1" ht="28.8" x14ac:dyDescent="0.3">
      <c r="A7" s="3" t="s">
        <v>19</v>
      </c>
    </row>
    <row r="8" spans="1:1" ht="100.8" x14ac:dyDescent="0.3">
      <c r="A8" s="3" t="s">
        <v>84</v>
      </c>
    </row>
    <row r="9" spans="1:1" ht="43.2" x14ac:dyDescent="0.3">
      <c r="A9" s="3" t="s">
        <v>20</v>
      </c>
    </row>
    <row r="10" spans="1:1" ht="216" x14ac:dyDescent="0.3">
      <c r="A10" s="3" t="s">
        <v>26</v>
      </c>
    </row>
    <row r="11" spans="1:1" x14ac:dyDescent="0.3">
      <c r="A11" s="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487"/>
  <sheetViews>
    <sheetView tabSelected="1" topLeftCell="A7" workbookViewId="0">
      <selection activeCell="E22" sqref="E22"/>
    </sheetView>
  </sheetViews>
  <sheetFormatPr defaultRowHeight="14.4" x14ac:dyDescent="0.3"/>
  <cols>
    <col min="1" max="1" width="20.44140625" customWidth="1"/>
    <col min="2" max="2" width="10.109375" customWidth="1"/>
    <col min="3" max="5" width="10.44140625" customWidth="1"/>
    <col min="6" max="7" width="13.88671875" customWidth="1"/>
    <col min="8" max="8" width="11" customWidth="1"/>
    <col min="14" max="14" width="24.33203125" customWidth="1"/>
  </cols>
  <sheetData>
    <row r="1" spans="1:22" x14ac:dyDescent="0.3">
      <c r="N1" s="1" t="s">
        <v>23</v>
      </c>
    </row>
    <row r="2" spans="1:22" x14ac:dyDescent="0.3">
      <c r="A2" t="s">
        <v>73</v>
      </c>
      <c r="B2" s="17">
        <v>4.7</v>
      </c>
      <c r="C2" t="s">
        <v>3</v>
      </c>
      <c r="F2" t="s">
        <v>3</v>
      </c>
    </row>
    <row r="3" spans="1:22" x14ac:dyDescent="0.3">
      <c r="A3" t="s">
        <v>4</v>
      </c>
      <c r="B3" s="17">
        <v>5</v>
      </c>
      <c r="C3" t="s">
        <v>5</v>
      </c>
      <c r="F3" t="s">
        <v>5</v>
      </c>
    </row>
    <row r="4" spans="1:22" x14ac:dyDescent="0.3">
      <c r="A4" t="s">
        <v>74</v>
      </c>
      <c r="B4" s="17">
        <v>16</v>
      </c>
      <c r="I4" s="1" t="s">
        <v>21</v>
      </c>
    </row>
    <row r="5" spans="1:22" x14ac:dyDescent="0.3">
      <c r="A5" t="s">
        <v>28</v>
      </c>
      <c r="B5" s="17">
        <v>100</v>
      </c>
      <c r="C5" t="s">
        <v>12</v>
      </c>
      <c r="I5" s="1"/>
      <c r="J5" s="2" t="s">
        <v>22</v>
      </c>
    </row>
    <row r="6" spans="1:22" x14ac:dyDescent="0.3">
      <c r="A6" t="s">
        <v>27</v>
      </c>
      <c r="B6" s="17">
        <v>25</v>
      </c>
      <c r="C6" t="s">
        <v>29</v>
      </c>
      <c r="D6" t="s">
        <v>85</v>
      </c>
      <c r="F6">
        <f>USER_T0+273.15</f>
        <v>298.14999999999998</v>
      </c>
      <c r="G6" t="s">
        <v>32</v>
      </c>
      <c r="I6" s="1"/>
      <c r="J6" s="2"/>
    </row>
    <row r="7" spans="1:22" x14ac:dyDescent="0.3">
      <c r="A7" t="s">
        <v>30</v>
      </c>
      <c r="B7" s="17">
        <v>3950</v>
      </c>
      <c r="I7" s="1"/>
      <c r="J7" s="2"/>
    </row>
    <row r="8" spans="1:22" x14ac:dyDescent="0.3">
      <c r="A8" t="s">
        <v>66</v>
      </c>
      <c r="B8" s="17">
        <v>10</v>
      </c>
      <c r="C8" t="s">
        <v>72</v>
      </c>
      <c r="I8" s="1"/>
      <c r="J8" s="2" t="s">
        <v>9</v>
      </c>
    </row>
    <row r="9" spans="1:22" x14ac:dyDescent="0.3">
      <c r="A9" t="s">
        <v>70</v>
      </c>
      <c r="B9" s="18">
        <f>POWER(2,USER_ADC_RESOLUTION) - 1</f>
        <v>1023</v>
      </c>
      <c r="C9" t="s">
        <v>87</v>
      </c>
      <c r="I9" s="1"/>
      <c r="J9" s="2" t="s">
        <v>10</v>
      </c>
    </row>
    <row r="13" spans="1:22" ht="149.4" customHeight="1" x14ac:dyDescent="0.3">
      <c r="A13" s="21" t="s">
        <v>75</v>
      </c>
      <c r="B13" s="21"/>
      <c r="C13" s="21"/>
      <c r="D13" s="21"/>
      <c r="E13" s="21"/>
      <c r="F13" s="21"/>
      <c r="G13" s="21"/>
      <c r="H13" s="21"/>
      <c r="I13" s="21"/>
      <c r="J13" s="21"/>
      <c r="K13" s="21"/>
      <c r="L13" s="21"/>
      <c r="M13" s="21"/>
      <c r="N13" s="21"/>
      <c r="O13" s="21"/>
      <c r="P13" s="21"/>
      <c r="Q13" s="21"/>
      <c r="R13" s="21"/>
      <c r="S13" s="21"/>
      <c r="T13" s="21"/>
      <c r="U13" s="21"/>
      <c r="V13" s="21"/>
    </row>
    <row r="15" spans="1:22" x14ac:dyDescent="0.3">
      <c r="A15" s="22" t="s">
        <v>76</v>
      </c>
      <c r="B15" s="22"/>
      <c r="C15" s="22"/>
      <c r="D15" s="15"/>
      <c r="E15" s="15"/>
      <c r="F15" s="22" t="s">
        <v>86</v>
      </c>
      <c r="G15" s="22"/>
      <c r="H15" s="22"/>
      <c r="I15" s="22"/>
      <c r="J15" s="22"/>
    </row>
    <row r="16" spans="1:22" s="3" customFormat="1" ht="43.2" x14ac:dyDescent="0.3">
      <c r="A16" s="8" t="s">
        <v>69</v>
      </c>
      <c r="B16" s="26" t="s">
        <v>71</v>
      </c>
      <c r="C16" s="8" t="s">
        <v>78</v>
      </c>
      <c r="D16" s="8" t="s">
        <v>77</v>
      </c>
      <c r="E16" s="8" t="s">
        <v>88</v>
      </c>
      <c r="F16" s="8" t="s">
        <v>8</v>
      </c>
      <c r="G16" s="8" t="s">
        <v>33</v>
      </c>
      <c r="H16" s="8" t="s">
        <v>1</v>
      </c>
      <c r="I16" s="8" t="s">
        <v>68</v>
      </c>
      <c r="J16" s="8" t="s">
        <v>67</v>
      </c>
    </row>
    <row r="17" spans="1:25" x14ac:dyDescent="0.3">
      <c r="A17" s="24">
        <v>-15</v>
      </c>
      <c r="B17" s="2">
        <v>1020</v>
      </c>
      <c r="C17" s="25">
        <f t="shared" ref="C17:C48" si="0">(B17* USER_VIN) / USER_ADC_MAX_VALUE</f>
        <v>4.9853372434017595</v>
      </c>
      <c r="D17" s="9">
        <f xml:space="preserve"> USER_PULLUP/(USER_ADC_MAX_VALUE/B17-1)</f>
        <v>1598.0000000000057</v>
      </c>
      <c r="E17" s="11"/>
      <c r="F17" s="7">
        <f>A17</f>
        <v>-15</v>
      </c>
      <c r="G17" s="7">
        <f>F17+273.15</f>
        <v>258.14999999999998</v>
      </c>
      <c r="H17" s="10">
        <f>USER_R0*EXP(USER_BETA_VAL*((1/G17)-(1/USER_T0_IN_K)))</f>
        <v>778.98107579808368</v>
      </c>
      <c r="I17" s="14">
        <f t="shared" ref="I17:I48" si="1">USER_VIN*(H17/(H17+USER_PULLUP))</f>
        <v>4.9700133118870218</v>
      </c>
      <c r="J17" s="13">
        <f t="shared" ref="J17:J48" si="2">(I17/USER_VIN)*USER_ADC_MAX_VALUE</f>
        <v>1016.8647236120846</v>
      </c>
      <c r="L17" s="1"/>
    </row>
    <row r="18" spans="1:25" x14ac:dyDescent="0.3">
      <c r="A18" s="24">
        <v>-10</v>
      </c>
      <c r="B18" s="2">
        <v>1016</v>
      </c>
      <c r="C18" s="25">
        <f t="shared" si="0"/>
        <v>4.9657869012707723</v>
      </c>
      <c r="D18" s="9">
        <f xml:space="preserve"> USER_PULLUP/(USER_ADC_MAX_VALUE/B18-1)</f>
        <v>682.17142857142983</v>
      </c>
      <c r="E18" s="11"/>
      <c r="F18" s="13">
        <f>A18</f>
        <v>-10</v>
      </c>
      <c r="G18" s="7">
        <f t="shared" ref="G18:G80" si="3">F18+273.15</f>
        <v>263.14999999999998</v>
      </c>
      <c r="H18" s="10">
        <f>USER_R0*EXP(USER_BETA_VAL*((1/G18)-(1/USER_T0_IN_K)))</f>
        <v>582.4571278707881</v>
      </c>
      <c r="I18" s="14">
        <f t="shared" si="1"/>
        <v>4.959976641882526</v>
      </c>
      <c r="J18" s="13">
        <f t="shared" si="2"/>
        <v>1014.8112209291647</v>
      </c>
      <c r="L18" s="1"/>
    </row>
    <row r="19" spans="1:25" x14ac:dyDescent="0.3">
      <c r="A19" s="24">
        <v>-5</v>
      </c>
      <c r="B19" s="2">
        <v>1012</v>
      </c>
      <c r="C19" s="25">
        <f t="shared" si="0"/>
        <v>4.946236559139785</v>
      </c>
      <c r="D19" s="9">
        <f xml:space="preserve"> USER_PULLUP/(USER_ADC_MAX_VALUE/B19-1)</f>
        <v>432.3999999999981</v>
      </c>
      <c r="E19" s="9"/>
      <c r="F19" s="13">
        <f>A19</f>
        <v>-5</v>
      </c>
      <c r="G19" s="7">
        <f t="shared" si="3"/>
        <v>268.14999999999998</v>
      </c>
      <c r="H19" s="10">
        <f>USER_R0*EXP(USER_BETA_VAL*((1/G19)-(1/USER_T0_IN_K)))</f>
        <v>440.26046691571565</v>
      </c>
      <c r="I19" s="14">
        <f t="shared" si="1"/>
        <v>4.9471863193535093</v>
      </c>
      <c r="J19" s="13">
        <f t="shared" si="2"/>
        <v>1012.194320939728</v>
      </c>
      <c r="L19" s="1"/>
    </row>
    <row r="20" spans="1:25" x14ac:dyDescent="0.3">
      <c r="A20" s="24">
        <v>0</v>
      </c>
      <c r="B20" s="2">
        <v>1008</v>
      </c>
      <c r="C20" s="25">
        <f t="shared" si="0"/>
        <v>4.9266862170087977</v>
      </c>
      <c r="D20" s="9">
        <f xml:space="preserve"> USER_PULLUP/(USER_ADC_MAX_VALUE/B20-1)</f>
        <v>315.84000000000111</v>
      </c>
      <c r="E20" s="9"/>
      <c r="F20" s="7">
        <f>A20</f>
        <v>0</v>
      </c>
      <c r="G20" s="7">
        <f t="shared" si="3"/>
        <v>273.14999999999998</v>
      </c>
      <c r="H20" s="10">
        <f>USER_R0*EXP(USER_BETA_VAL*((1/G20)-(1/USER_T0_IN_K)))</f>
        <v>336.20603721435742</v>
      </c>
      <c r="I20" s="14">
        <f t="shared" si="1"/>
        <v>4.9310660491904894</v>
      </c>
      <c r="J20" s="13">
        <f t="shared" si="2"/>
        <v>1008.8961136643742</v>
      </c>
      <c r="L20" s="1"/>
      <c r="Y20">
        <v>1020</v>
      </c>
    </row>
    <row r="21" spans="1:25" x14ac:dyDescent="0.3">
      <c r="A21" s="24">
        <v>5</v>
      </c>
      <c r="B21" s="2">
        <v>1004</v>
      </c>
      <c r="C21" s="25">
        <f t="shared" si="0"/>
        <v>4.9071358748778104</v>
      </c>
      <c r="D21" s="9">
        <f xml:space="preserve"> USER_PULLUP/(USER_ADC_MAX_VALUE/B21-1)</f>
        <v>248.35789473684233</v>
      </c>
      <c r="E21" s="9"/>
      <c r="F21" s="7">
        <f t="shared" ref="F21:F80" si="4">A21</f>
        <v>5</v>
      </c>
      <c r="G21" s="7">
        <f t="shared" si="3"/>
        <v>278.14999999999998</v>
      </c>
      <c r="H21" s="10">
        <f>USER_R0*EXP(USER_BETA_VAL*((1/G21)-(1/USER_T0_IN_K)))</f>
        <v>259.24562419593519</v>
      </c>
      <c r="I21" s="14">
        <f t="shared" si="1"/>
        <v>4.9109665103500442</v>
      </c>
      <c r="J21" s="13">
        <f t="shared" si="2"/>
        <v>1004.7837480176191</v>
      </c>
      <c r="Y21">
        <v>1016</v>
      </c>
    </row>
    <row r="22" spans="1:25" x14ac:dyDescent="0.3">
      <c r="A22" s="24">
        <v>10</v>
      </c>
      <c r="B22" s="2">
        <v>999</v>
      </c>
      <c r="C22" s="25">
        <f t="shared" si="0"/>
        <v>4.8826979472140764</v>
      </c>
      <c r="D22" s="9">
        <f xml:space="preserve"> USER_PULLUP/(USER_ADC_MAX_VALUE/B22-1)</f>
        <v>195.63750000000081</v>
      </c>
      <c r="E22" s="9"/>
      <c r="F22" s="7">
        <f t="shared" si="4"/>
        <v>10</v>
      </c>
      <c r="G22" s="7">
        <f t="shared" si="3"/>
        <v>283.14999999999998</v>
      </c>
      <c r="H22" s="10">
        <f>USER_R0*EXP(USER_BETA_VAL*((1/G22)-(1/USER_T0_IN_K)))</f>
        <v>201.7457702398485</v>
      </c>
      <c r="I22" s="14">
        <f t="shared" si="1"/>
        <v>4.886168653527279</v>
      </c>
      <c r="J22" s="13">
        <f t="shared" si="2"/>
        <v>999.71010651168126</v>
      </c>
      <c r="Y22">
        <v>1012</v>
      </c>
    </row>
    <row r="23" spans="1:25" x14ac:dyDescent="0.3">
      <c r="A23" s="24">
        <v>15</v>
      </c>
      <c r="B23" s="2">
        <v>993</v>
      </c>
      <c r="C23" s="25">
        <f t="shared" si="0"/>
        <v>4.8533724340175954</v>
      </c>
      <c r="D23" s="9">
        <f xml:space="preserve"> USER_PULLUP/(USER_ADC_MAX_VALUE/B23-1)</f>
        <v>155.57000000000016</v>
      </c>
      <c r="E23" s="9"/>
      <c r="F23" s="7">
        <f t="shared" si="4"/>
        <v>15</v>
      </c>
      <c r="G23" s="7">
        <f t="shared" si="3"/>
        <v>288.14999999999998</v>
      </c>
      <c r="H23" s="10">
        <f>USER_R0*EXP(USER_BETA_VAL*((1/G23)-(1/USER_T0_IN_K)))</f>
        <v>158.37147664908136</v>
      </c>
      <c r="I23" s="14">
        <f t="shared" si="1"/>
        <v>4.8558914134899851</v>
      </c>
      <c r="J23" s="13">
        <f t="shared" si="2"/>
        <v>993.51538320005091</v>
      </c>
      <c r="Y23">
        <v>1008</v>
      </c>
    </row>
    <row r="24" spans="1:25" x14ac:dyDescent="0.3">
      <c r="A24" s="24">
        <v>20</v>
      </c>
      <c r="B24" s="2">
        <v>985</v>
      </c>
      <c r="C24" s="25">
        <f t="shared" si="0"/>
        <v>4.8142717497556209</v>
      </c>
      <c r="D24" s="9">
        <f xml:space="preserve"> USER_PULLUP/(USER_ADC_MAX_VALUE/B24-1)</f>
        <v>121.82894736842111</v>
      </c>
      <c r="E24" s="9"/>
      <c r="F24" s="7">
        <f t="shared" si="4"/>
        <v>20</v>
      </c>
      <c r="G24" s="7">
        <f t="shared" si="3"/>
        <v>293.14999999999998</v>
      </c>
      <c r="H24" s="10">
        <f>USER_R0*EXP(USER_BETA_VAL*((1/G24)-(1/USER_T0_IN_K)))</f>
        <v>125.35325812662809</v>
      </c>
      <c r="I24" s="14">
        <f t="shared" si="1"/>
        <v>4.8193047960619415</v>
      </c>
      <c r="J24" s="13">
        <f t="shared" si="2"/>
        <v>986.02976127427326</v>
      </c>
      <c r="Y24">
        <v>1004</v>
      </c>
    </row>
    <row r="25" spans="1:25" x14ac:dyDescent="0.3">
      <c r="A25" s="24">
        <v>25</v>
      </c>
      <c r="B25" s="2">
        <v>977</v>
      </c>
      <c r="C25" s="25">
        <f t="shared" si="0"/>
        <v>4.7751710654936463</v>
      </c>
      <c r="D25" s="9">
        <f xml:space="preserve"> USER_PULLUP/(USER_ADC_MAX_VALUE/B25-1)</f>
        <v>99.823913043478456</v>
      </c>
      <c r="E25" s="9"/>
      <c r="F25" s="7">
        <f t="shared" si="4"/>
        <v>25</v>
      </c>
      <c r="G25" s="7">
        <f t="shared" si="3"/>
        <v>298.14999999999998</v>
      </c>
      <c r="H25" s="10">
        <f>USER_R0*EXP(USER_BETA_VAL*((1/G25)-(1/USER_T0_IN_K)))</f>
        <v>100</v>
      </c>
      <c r="I25" s="14">
        <f>USER_VIN*(H25/(H25+USER_PULLUP))</f>
        <v>4.7755491881566385</v>
      </c>
      <c r="J25" s="13">
        <f t="shared" si="2"/>
        <v>977.07736389684828</v>
      </c>
      <c r="Y25">
        <v>999</v>
      </c>
    </row>
    <row r="26" spans="1:25" x14ac:dyDescent="0.3">
      <c r="A26" s="24">
        <v>30</v>
      </c>
      <c r="B26" s="2">
        <v>966</v>
      </c>
      <c r="C26" s="25">
        <f t="shared" si="0"/>
        <v>4.7214076246334313</v>
      </c>
      <c r="D26" s="9">
        <f xml:space="preserve"> USER_PULLUP/(USER_ADC_MAX_VALUE/B26-1)</f>
        <v>79.652631578947449</v>
      </c>
      <c r="E26" s="9"/>
      <c r="F26" s="7">
        <f t="shared" si="4"/>
        <v>30</v>
      </c>
      <c r="G26" s="7">
        <f t="shared" si="3"/>
        <v>303.14999999999998</v>
      </c>
      <c r="H26" s="10">
        <f>USER_R0*EXP(USER_BETA_VAL*((1/G26)-(1/USER_T0_IN_K)))</f>
        <v>80.371406869731373</v>
      </c>
      <c r="I26" s="14">
        <f t="shared" si="1"/>
        <v>4.7237614744518659</v>
      </c>
      <c r="J26" s="13">
        <f t="shared" si="2"/>
        <v>966.48159767285176</v>
      </c>
      <c r="Y26">
        <v>993</v>
      </c>
    </row>
    <row r="27" spans="1:25" x14ac:dyDescent="0.3">
      <c r="A27" s="24">
        <v>35</v>
      </c>
      <c r="B27" s="2">
        <v>954</v>
      </c>
      <c r="C27" s="25">
        <f t="shared" si="0"/>
        <v>4.6627565982404695</v>
      </c>
      <c r="D27" s="9">
        <f xml:space="preserve"> USER_PULLUP/(USER_ADC_MAX_VALUE/B27-1)</f>
        <v>64.98260869565209</v>
      </c>
      <c r="E27" s="9"/>
      <c r="F27" s="7">
        <f t="shared" si="4"/>
        <v>35</v>
      </c>
      <c r="G27" s="7">
        <f t="shared" si="3"/>
        <v>308.14999999999998</v>
      </c>
      <c r="H27" s="10">
        <f>USER_R0*EXP(USER_BETA_VAL*((1/G27)-(1/USER_T0_IN_K)))</f>
        <v>65.055311261565663</v>
      </c>
      <c r="I27" s="14">
        <f t="shared" si="1"/>
        <v>4.6631080906243731</v>
      </c>
      <c r="J27" s="13">
        <f t="shared" si="2"/>
        <v>954.07191534174672</v>
      </c>
      <c r="Y27">
        <v>985</v>
      </c>
    </row>
    <row r="28" spans="1:25" x14ac:dyDescent="0.3">
      <c r="A28" s="24">
        <v>40</v>
      </c>
      <c r="B28" s="2">
        <v>939</v>
      </c>
      <c r="C28" s="25">
        <f t="shared" si="0"/>
        <v>4.5894428152492672</v>
      </c>
      <c r="D28" s="9">
        <f xml:space="preserve"> USER_PULLUP/(USER_ADC_MAX_VALUE/B28-1)</f>
        <v>52.539285714285683</v>
      </c>
      <c r="E28" s="9"/>
      <c r="F28" s="7">
        <f t="shared" si="4"/>
        <v>40</v>
      </c>
      <c r="G28" s="7">
        <f t="shared" si="3"/>
        <v>313.14999999999998</v>
      </c>
      <c r="H28" s="10">
        <f>USER_R0*EXP(USER_BETA_VAL*((1/G28)-(1/USER_T0_IN_K)))</f>
        <v>53.014668594096683</v>
      </c>
      <c r="I28" s="14">
        <f t="shared" si="1"/>
        <v>4.59282448340345</v>
      </c>
      <c r="J28" s="13">
        <f t="shared" si="2"/>
        <v>939.69188930434586</v>
      </c>
      <c r="Y28">
        <v>977</v>
      </c>
    </row>
    <row r="29" spans="1:25" x14ac:dyDescent="0.3">
      <c r="A29" s="24">
        <v>45</v>
      </c>
      <c r="B29" s="2">
        <v>922</v>
      </c>
      <c r="C29" s="25">
        <f t="shared" si="0"/>
        <v>4.5063538611925713</v>
      </c>
      <c r="D29" s="9">
        <f xml:space="preserve"> USER_PULLUP/(USER_ADC_MAX_VALUE/B29-1)</f>
        <v>42.904950495049484</v>
      </c>
      <c r="E29" s="9"/>
      <c r="F29" s="7">
        <f t="shared" si="4"/>
        <v>45</v>
      </c>
      <c r="G29" s="7">
        <f t="shared" si="3"/>
        <v>318.14999999999998</v>
      </c>
      <c r="H29" s="10">
        <f>USER_R0*EXP(USER_BETA_VAL*((1/G29)-(1/USER_T0_IN_K)))</f>
        <v>43.481368500594712</v>
      </c>
      <c r="I29" s="14">
        <f t="shared" si="1"/>
        <v>4.5122595988590497</v>
      </c>
      <c r="J29" s="13">
        <f t="shared" si="2"/>
        <v>923.20831392656157</v>
      </c>
      <c r="Y29">
        <v>966</v>
      </c>
    </row>
    <row r="30" spans="1:25" x14ac:dyDescent="0.3">
      <c r="A30" s="24">
        <v>50</v>
      </c>
      <c r="B30" s="2">
        <v>903</v>
      </c>
      <c r="C30" s="25">
        <f t="shared" si="0"/>
        <v>4.4134897360703809</v>
      </c>
      <c r="D30" s="9">
        <f xml:space="preserve"> USER_PULLUP/(USER_ADC_MAX_VALUE/B30-1)</f>
        <v>35.367500000000007</v>
      </c>
      <c r="E30" s="9"/>
      <c r="F30" s="7">
        <f t="shared" si="4"/>
        <v>50</v>
      </c>
      <c r="G30" s="7">
        <f t="shared" si="3"/>
        <v>323.14999999999998</v>
      </c>
      <c r="H30" s="10">
        <f>USER_R0*EXP(USER_BETA_VAL*((1/G30)-(1/USER_T0_IN_K)))</f>
        <v>35.881825819290832</v>
      </c>
      <c r="I30" s="14">
        <f t="shared" si="1"/>
        <v>4.4209230480500183</v>
      </c>
      <c r="J30" s="13">
        <f t="shared" si="2"/>
        <v>904.52085563103378</v>
      </c>
      <c r="Y30">
        <v>954</v>
      </c>
    </row>
    <row r="31" spans="1:25" x14ac:dyDescent="0.3">
      <c r="A31" s="24">
        <v>55</v>
      </c>
      <c r="B31" s="2">
        <v>881</v>
      </c>
      <c r="C31" s="25">
        <f t="shared" si="0"/>
        <v>4.3059628543499509</v>
      </c>
      <c r="D31" s="9">
        <f xml:space="preserve"> USER_PULLUP/(USER_ADC_MAX_VALUE/B31-1)</f>
        <v>29.159859154929588</v>
      </c>
      <c r="E31" s="9"/>
      <c r="F31" s="7">
        <f t="shared" si="4"/>
        <v>55</v>
      </c>
      <c r="G31" s="7">
        <f t="shared" si="3"/>
        <v>328.15</v>
      </c>
      <c r="H31" s="10">
        <f>USER_R0*EXP(USER_BETA_VAL*((1/G31)-(1/USER_T0_IN_K)))</f>
        <v>29.78435896464627</v>
      </c>
      <c r="I31" s="14">
        <f t="shared" si="1"/>
        <v>4.3185316269299818</v>
      </c>
      <c r="J31" s="13">
        <f t="shared" si="2"/>
        <v>883.57157086987422</v>
      </c>
      <c r="Y31">
        <v>939</v>
      </c>
    </row>
    <row r="32" spans="1:25" x14ac:dyDescent="0.3">
      <c r="A32" s="24">
        <v>60</v>
      </c>
      <c r="B32" s="2">
        <v>857</v>
      </c>
      <c r="C32" s="25">
        <f t="shared" si="0"/>
        <v>4.1886608015640272</v>
      </c>
      <c r="D32" s="9">
        <f xml:space="preserve"> USER_PULLUP/(USER_ADC_MAX_VALUE/B32-1)</f>
        <v>24.264457831325302</v>
      </c>
      <c r="E32" s="9"/>
      <c r="F32" s="7">
        <f t="shared" si="4"/>
        <v>60</v>
      </c>
      <c r="G32" s="7">
        <f t="shared" si="3"/>
        <v>333.15</v>
      </c>
      <c r="H32" s="10">
        <f>USER_R0*EXP(USER_BETA_VAL*((1/G32)-(1/USER_T0_IN_K)))</f>
        <v>24.861647514733818</v>
      </c>
      <c r="I32" s="14">
        <f t="shared" si="1"/>
        <v>4.2050510720592493</v>
      </c>
      <c r="J32" s="13">
        <f t="shared" si="2"/>
        <v>860.35344934332238</v>
      </c>
      <c r="Y32">
        <v>922</v>
      </c>
    </row>
    <row r="33" spans="1:25" x14ac:dyDescent="0.3">
      <c r="A33" s="24">
        <v>65</v>
      </c>
      <c r="B33" s="2">
        <v>830</v>
      </c>
      <c r="C33" s="25">
        <f t="shared" si="0"/>
        <v>4.0566959921798631</v>
      </c>
      <c r="D33" s="9">
        <f xml:space="preserve"> USER_PULLUP/(USER_ADC_MAX_VALUE/B33-1)</f>
        <v>20.212435233160626</v>
      </c>
      <c r="E33" s="9"/>
      <c r="F33" s="7">
        <f t="shared" si="4"/>
        <v>65</v>
      </c>
      <c r="G33" s="7">
        <f t="shared" si="3"/>
        <v>338.15</v>
      </c>
      <c r="H33" s="10">
        <f>USER_R0*EXP(USER_BETA_VAL*((1/G33)-(1/USER_T0_IN_K)))</f>
        <v>20.86372143385967</v>
      </c>
      <c r="I33" s="14">
        <f t="shared" si="1"/>
        <v>4.0807285214400055</v>
      </c>
      <c r="J33" s="13">
        <f t="shared" si="2"/>
        <v>834.91705548662515</v>
      </c>
      <c r="Y33">
        <v>903</v>
      </c>
    </row>
    <row r="34" spans="1:25" x14ac:dyDescent="0.3">
      <c r="A34" s="24">
        <v>70</v>
      </c>
      <c r="B34" s="2">
        <v>801</v>
      </c>
      <c r="C34" s="25">
        <f t="shared" si="0"/>
        <v>3.9149560117302054</v>
      </c>
      <c r="D34" s="9">
        <f xml:space="preserve"> USER_PULLUP/(USER_ADC_MAX_VALUE/B34-1)</f>
        <v>16.958108108108107</v>
      </c>
      <c r="E34" s="9"/>
      <c r="F34" s="7">
        <f t="shared" si="4"/>
        <v>70</v>
      </c>
      <c r="G34" s="7">
        <f t="shared" si="3"/>
        <v>343.15</v>
      </c>
      <c r="H34" s="10">
        <f>USER_R0*EXP(USER_BETA_VAL*((1/G34)-(1/USER_T0_IN_K)))</f>
        <v>17.598370085233807</v>
      </c>
      <c r="I34" s="14">
        <f t="shared" si="1"/>
        <v>3.9461113117159212</v>
      </c>
      <c r="J34" s="13">
        <f t="shared" si="2"/>
        <v>807.37437437707752</v>
      </c>
      <c r="Y34">
        <v>881</v>
      </c>
    </row>
    <row r="35" spans="1:25" x14ac:dyDescent="0.3">
      <c r="A35" s="24">
        <v>75</v>
      </c>
      <c r="B35" s="2">
        <v>770</v>
      </c>
      <c r="C35" s="25">
        <f t="shared" si="0"/>
        <v>3.763440860215054</v>
      </c>
      <c r="D35" s="9">
        <f xml:space="preserve"> USER_PULLUP/(USER_ADC_MAX_VALUE/B35-1)</f>
        <v>14.304347826086959</v>
      </c>
      <c r="E35" s="9"/>
      <c r="F35" s="7">
        <f t="shared" si="4"/>
        <v>75</v>
      </c>
      <c r="G35" s="7">
        <f t="shared" si="3"/>
        <v>348.15</v>
      </c>
      <c r="H35" s="10">
        <f>USER_R0*EXP(USER_BETA_VAL*((1/G35)-(1/USER_T0_IN_K)))</f>
        <v>14.916822463315951</v>
      </c>
      <c r="I35" s="14">
        <f t="shared" si="1"/>
        <v>3.8020485966090729</v>
      </c>
      <c r="J35" s="13">
        <f t="shared" si="2"/>
        <v>777.89914286621627</v>
      </c>
      <c r="Y35">
        <v>857</v>
      </c>
    </row>
    <row r="36" spans="1:25" x14ac:dyDescent="0.3">
      <c r="A36" s="24">
        <v>80</v>
      </c>
      <c r="B36" s="2">
        <v>737</v>
      </c>
      <c r="C36" s="25">
        <f t="shared" si="0"/>
        <v>3.6021505376344085</v>
      </c>
      <c r="D36" s="9">
        <f xml:space="preserve"> USER_PULLUP/(USER_ADC_MAX_VALUE/B36-1)</f>
        <v>12.111538461538462</v>
      </c>
      <c r="E36" s="9"/>
      <c r="F36" s="7">
        <f t="shared" si="4"/>
        <v>80</v>
      </c>
      <c r="G36" s="7">
        <f t="shared" si="3"/>
        <v>353.15</v>
      </c>
      <c r="H36" s="10">
        <f>USER_R0*EXP(USER_BETA_VAL*((1/G36)-(1/USER_T0_IN_K)))</f>
        <v>12.703202348436204</v>
      </c>
      <c r="I36" s="14">
        <f t="shared" si="1"/>
        <v>3.6496738054584741</v>
      </c>
      <c r="J36" s="13">
        <f t="shared" si="2"/>
        <v>746.72326059680381</v>
      </c>
      <c r="Y36">
        <v>830</v>
      </c>
    </row>
    <row r="37" spans="1:25" x14ac:dyDescent="0.3">
      <c r="A37" s="24">
        <v>85</v>
      </c>
      <c r="B37" s="2">
        <v>702</v>
      </c>
      <c r="C37" s="25">
        <f t="shared" si="0"/>
        <v>3.4310850439882699</v>
      </c>
      <c r="D37" s="9">
        <f xml:space="preserve"> USER_PULLUP/(USER_ADC_MAX_VALUE/B37-1)</f>
        <v>10.278504672897197</v>
      </c>
      <c r="E37" s="9"/>
      <c r="F37" s="7">
        <f t="shared" si="4"/>
        <v>85</v>
      </c>
      <c r="G37" s="7">
        <f t="shared" si="3"/>
        <v>358.15</v>
      </c>
      <c r="H37" s="10">
        <f>USER_R0*EXP(USER_BETA_VAL*((1/G37)-(1/USER_T0_IN_K)))</f>
        <v>10.866707693930254</v>
      </c>
      <c r="I37" s="14">
        <f t="shared" si="1"/>
        <v>3.4903680044584453</v>
      </c>
      <c r="J37" s="13">
        <f t="shared" si="2"/>
        <v>714.12929371219786</v>
      </c>
      <c r="Y37">
        <v>801</v>
      </c>
    </row>
    <row r="38" spans="1:25" x14ac:dyDescent="0.3">
      <c r="A38" s="24">
        <v>90</v>
      </c>
      <c r="B38" s="2">
        <v>665</v>
      </c>
      <c r="C38" s="25">
        <f t="shared" si="0"/>
        <v>3.2502443792766376</v>
      </c>
      <c r="D38" s="9">
        <f xml:space="preserve"> USER_PULLUP/(USER_ADC_MAX_VALUE/B38-1)</f>
        <v>8.7304469273743024</v>
      </c>
      <c r="E38" s="9"/>
      <c r="F38" s="7">
        <f t="shared" si="4"/>
        <v>90</v>
      </c>
      <c r="G38" s="7">
        <f t="shared" si="3"/>
        <v>363.15</v>
      </c>
      <c r="H38" s="10">
        <f>USER_R0*EXP(USER_BETA_VAL*((1/G38)-(1/USER_T0_IN_K)))</f>
        <v>9.3357705779475566</v>
      </c>
      <c r="I38" s="14">
        <f t="shared" si="1"/>
        <v>3.3257064605400251</v>
      </c>
      <c r="J38" s="13">
        <f t="shared" si="2"/>
        <v>680.43954182648906</v>
      </c>
      <c r="Y38">
        <v>770</v>
      </c>
    </row>
    <row r="39" spans="1:25" x14ac:dyDescent="0.3">
      <c r="A39" s="24">
        <v>95</v>
      </c>
      <c r="B39" s="2">
        <v>628</v>
      </c>
      <c r="C39" s="25">
        <f t="shared" si="0"/>
        <v>3.0694037145650048</v>
      </c>
      <c r="D39" s="9">
        <f xml:space="preserve"> USER_PULLUP/(USER_ADC_MAX_VALUE/B39-1)</f>
        <v>7.4724050632911396</v>
      </c>
      <c r="E39" s="9"/>
      <c r="F39" s="7">
        <f t="shared" si="4"/>
        <v>95</v>
      </c>
      <c r="G39" s="7">
        <f t="shared" si="3"/>
        <v>368.15</v>
      </c>
      <c r="H39" s="10">
        <f>USER_R0*EXP(USER_BETA_VAL*((1/G39)-(1/USER_T0_IN_K)))</f>
        <v>8.0536673257853817</v>
      </c>
      <c r="I39" s="14">
        <f t="shared" si="1"/>
        <v>3.1573927404796209</v>
      </c>
      <c r="J39" s="13">
        <f t="shared" si="2"/>
        <v>646.0025547021304</v>
      </c>
      <c r="Y39">
        <v>737</v>
      </c>
    </row>
    <row r="40" spans="1:25" x14ac:dyDescent="0.3">
      <c r="A40" s="24">
        <v>100</v>
      </c>
      <c r="B40" s="2">
        <v>591</v>
      </c>
      <c r="C40" s="25">
        <f t="shared" si="0"/>
        <v>2.8885630498533725</v>
      </c>
      <c r="D40" s="9">
        <f xml:space="preserve"> USER_PULLUP/(USER_ADC_MAX_VALUE/B40-1)</f>
        <v>6.4298611111111112</v>
      </c>
      <c r="E40" s="9"/>
      <c r="F40" s="7">
        <f t="shared" si="4"/>
        <v>100</v>
      </c>
      <c r="G40" s="7">
        <f t="shared" si="3"/>
        <v>373.15</v>
      </c>
      <c r="H40" s="10">
        <f>USER_R0*EXP(USER_BETA_VAL*((1/G40)-(1/USER_T0_IN_K)))</f>
        <v>6.9751977298618799</v>
      </c>
      <c r="I40" s="14">
        <f t="shared" si="1"/>
        <v>2.9871861236325281</v>
      </c>
      <c r="J40" s="13">
        <f t="shared" si="2"/>
        <v>611.17828089521527</v>
      </c>
      <c r="Y40">
        <v>702</v>
      </c>
    </row>
    <row r="41" spans="1:25" x14ac:dyDescent="0.3">
      <c r="A41" s="24">
        <v>105</v>
      </c>
      <c r="B41" s="2">
        <v>553</v>
      </c>
      <c r="C41" s="25">
        <f t="shared" si="0"/>
        <v>2.702834799608993</v>
      </c>
      <c r="D41" s="9">
        <f xml:space="preserve"> USER_PULLUP/(USER_ADC_MAX_VALUE/B41-1)</f>
        <v>5.5300000000000011</v>
      </c>
      <c r="E41" s="9"/>
      <c r="F41" s="7">
        <f t="shared" si="4"/>
        <v>105</v>
      </c>
      <c r="G41" s="7">
        <f t="shared" si="3"/>
        <v>378.15</v>
      </c>
      <c r="H41" s="10">
        <f>USER_R0*EXP(USER_BETA_VAL*((1/G41)-(1/USER_T0_IN_K)))</f>
        <v>6.0641576348196216</v>
      </c>
      <c r="I41" s="14">
        <f t="shared" si="1"/>
        <v>2.816828701580623</v>
      </c>
      <c r="J41" s="13">
        <f t="shared" si="2"/>
        <v>576.32315234339546</v>
      </c>
      <c r="Y41">
        <v>665</v>
      </c>
    </row>
    <row r="42" spans="1:25" x14ac:dyDescent="0.3">
      <c r="A42" s="24">
        <v>110</v>
      </c>
      <c r="B42" s="2">
        <v>516</v>
      </c>
      <c r="C42" s="25">
        <f t="shared" si="0"/>
        <v>2.5219941348973607</v>
      </c>
      <c r="D42" s="9">
        <f xml:space="preserve"> USER_PULLUP/(USER_ADC_MAX_VALUE/B42-1)</f>
        <v>4.7834319526627223</v>
      </c>
      <c r="E42" s="9"/>
      <c r="F42" s="7">
        <f t="shared" si="4"/>
        <v>110</v>
      </c>
      <c r="G42" s="7">
        <f t="shared" si="3"/>
        <v>383.15</v>
      </c>
      <c r="H42" s="10">
        <f>USER_R0*EXP(USER_BETA_VAL*((1/G42)-(1/USER_T0_IN_K)))</f>
        <v>5.2914040128691564</v>
      </c>
      <c r="I42" s="14">
        <f t="shared" si="1"/>
        <v>2.6479782050919503</v>
      </c>
      <c r="J42" s="13">
        <f t="shared" si="2"/>
        <v>541.776340761813</v>
      </c>
      <c r="Y42">
        <v>628</v>
      </c>
    </row>
    <row r="43" spans="1:25" x14ac:dyDescent="0.3">
      <c r="A43" s="24">
        <v>115</v>
      </c>
      <c r="B43" s="2">
        <v>480</v>
      </c>
      <c r="C43" s="25">
        <f t="shared" si="0"/>
        <v>2.3460410557184752</v>
      </c>
      <c r="D43" s="9">
        <f xml:space="preserve"> USER_PULLUP/(USER_ADC_MAX_VALUE/B43-1)</f>
        <v>4.1546961325966851</v>
      </c>
      <c r="E43" s="9"/>
      <c r="F43" s="7">
        <f t="shared" si="4"/>
        <v>115</v>
      </c>
      <c r="G43" s="7">
        <f t="shared" si="3"/>
        <v>388.15</v>
      </c>
      <c r="H43" s="10">
        <f>USER_R0*EXP(USER_BETA_VAL*((1/G43)-(1/USER_T0_IN_K)))</f>
        <v>4.633365225552442</v>
      </c>
      <c r="I43" s="14">
        <f t="shared" si="1"/>
        <v>2.4821514606904249</v>
      </c>
      <c r="J43" s="13">
        <f t="shared" si="2"/>
        <v>507.84818885726094</v>
      </c>
      <c r="Y43">
        <v>591</v>
      </c>
    </row>
    <row r="44" spans="1:25" x14ac:dyDescent="0.3">
      <c r="A44" s="24">
        <v>120</v>
      </c>
      <c r="B44" s="2">
        <v>445</v>
      </c>
      <c r="C44" s="25">
        <f t="shared" si="0"/>
        <v>2.1749755620723361</v>
      </c>
      <c r="D44" s="9">
        <f xml:space="preserve"> USER_PULLUP/(USER_ADC_MAX_VALUE/B44-1)</f>
        <v>3.6185121107266442</v>
      </c>
      <c r="E44" s="9"/>
      <c r="F44" s="7">
        <f t="shared" si="4"/>
        <v>120</v>
      </c>
      <c r="G44" s="7">
        <f t="shared" si="3"/>
        <v>393.15</v>
      </c>
      <c r="H44" s="10">
        <f>USER_R0*EXP(USER_BETA_VAL*((1/G44)-(1/USER_T0_IN_K)))</f>
        <v>4.0708877664662779</v>
      </c>
      <c r="I44" s="14">
        <f t="shared" si="1"/>
        <v>2.3206817113944251</v>
      </c>
      <c r="J44" s="13">
        <f t="shared" si="2"/>
        <v>474.81147815129935</v>
      </c>
      <c r="Y44">
        <v>553</v>
      </c>
    </row>
    <row r="45" spans="1:25" x14ac:dyDescent="0.3">
      <c r="A45" s="24">
        <v>125</v>
      </c>
      <c r="B45" s="2">
        <v>411</v>
      </c>
      <c r="C45" s="25">
        <f t="shared" si="0"/>
        <v>2.0087976539589443</v>
      </c>
      <c r="D45" s="9">
        <f xml:space="preserve"> USER_PULLUP/(USER_ADC_MAX_VALUE/B45-1)</f>
        <v>3.1563725490196082</v>
      </c>
      <c r="E45" s="9"/>
      <c r="F45" s="7">
        <f t="shared" si="4"/>
        <v>125</v>
      </c>
      <c r="G45" s="7">
        <f t="shared" si="3"/>
        <v>398.15</v>
      </c>
      <c r="H45" s="10">
        <f>USER_R0*EXP(USER_BETA_VAL*((1/G45)-(1/USER_T0_IN_K)))</f>
        <v>3.5883387724003382</v>
      </c>
      <c r="I45" s="14">
        <f t="shared" si="1"/>
        <v>2.1646911829601407</v>
      </c>
      <c r="J45" s="13">
        <f t="shared" si="2"/>
        <v>442.89581603364479</v>
      </c>
      <c r="Y45">
        <v>516</v>
      </c>
    </row>
    <row r="46" spans="1:25" x14ac:dyDescent="0.3">
      <c r="A46" s="24">
        <v>130</v>
      </c>
      <c r="B46" s="2">
        <v>379</v>
      </c>
      <c r="C46" s="25">
        <f t="shared" si="0"/>
        <v>1.8523949169110459</v>
      </c>
      <c r="D46" s="9">
        <f xml:space="preserve"> USER_PULLUP/(USER_ADC_MAX_VALUE/B46-1)</f>
        <v>2.765993788819876</v>
      </c>
      <c r="E46" s="9"/>
      <c r="F46" s="7">
        <f t="shared" si="4"/>
        <v>130</v>
      </c>
      <c r="G46" s="7">
        <f t="shared" si="3"/>
        <v>403.15</v>
      </c>
      <c r="H46" s="10">
        <f>USER_R0*EXP(USER_BETA_VAL*((1/G46)-(1/USER_T0_IN_K)))</f>
        <v>3.1729040204033039</v>
      </c>
      <c r="I46" s="14">
        <f t="shared" si="1"/>
        <v>2.0150785607067299</v>
      </c>
      <c r="J46" s="13">
        <f t="shared" si="2"/>
        <v>412.28507352059694</v>
      </c>
      <c r="Y46">
        <v>480</v>
      </c>
    </row>
    <row r="47" spans="1:25" x14ac:dyDescent="0.3">
      <c r="A47" s="24">
        <v>135</v>
      </c>
      <c r="B47" s="2">
        <v>348</v>
      </c>
      <c r="C47" s="25">
        <f t="shared" si="0"/>
        <v>1.7008797653958945</v>
      </c>
      <c r="D47" s="9">
        <f xml:space="preserve"> USER_PULLUP/(USER_ADC_MAX_VALUE/B47-1)</f>
        <v>2.423111111111111</v>
      </c>
      <c r="E47" s="9"/>
      <c r="F47" s="7">
        <f t="shared" si="4"/>
        <v>135</v>
      </c>
      <c r="G47" s="7">
        <f t="shared" si="3"/>
        <v>408.15</v>
      </c>
      <c r="H47" s="10">
        <f>USER_R0*EXP(USER_BETA_VAL*((1/G47)-(1/USER_T0_IN_K)))</f>
        <v>2.8140361299658347</v>
      </c>
      <c r="I47" s="14">
        <f t="shared" si="1"/>
        <v>1.8725196960016679</v>
      </c>
      <c r="J47" s="13">
        <f t="shared" si="2"/>
        <v>383.11752980194126</v>
      </c>
      <c r="Y47">
        <v>445</v>
      </c>
    </row>
    <row r="48" spans="1:25" x14ac:dyDescent="0.3">
      <c r="A48" s="24">
        <v>140</v>
      </c>
      <c r="B48" s="2">
        <v>320</v>
      </c>
      <c r="C48" s="25">
        <f t="shared" si="0"/>
        <v>1.5640273704789833</v>
      </c>
      <c r="D48" s="9">
        <f xml:space="preserve"> USER_PULLUP/(USER_ADC_MAX_VALUE/B48-1)</f>
        <v>2.1394025604551921</v>
      </c>
      <c r="E48" s="9"/>
      <c r="F48" s="7">
        <f t="shared" si="4"/>
        <v>140</v>
      </c>
      <c r="G48" s="7">
        <f t="shared" si="3"/>
        <v>413.15</v>
      </c>
      <c r="H48" s="10">
        <f>USER_R0*EXP(USER_BETA_VAL*((1/G48)-(1/USER_T0_IN_K)))</f>
        <v>2.503018770260832</v>
      </c>
      <c r="I48" s="14">
        <f t="shared" si="1"/>
        <v>1.7374790001902174</v>
      </c>
      <c r="J48" s="13">
        <f t="shared" si="2"/>
        <v>355.4882034389185</v>
      </c>
      <c r="Y48">
        <v>411</v>
      </c>
    </row>
    <row r="49" spans="1:25" x14ac:dyDescent="0.3">
      <c r="A49" s="24">
        <v>145</v>
      </c>
      <c r="B49" s="2">
        <v>293</v>
      </c>
      <c r="C49" s="25">
        <f t="shared" ref="C49:C80" si="5">(B49* USER_VIN) / USER_ADC_MAX_VALUE</f>
        <v>1.4320625610948192</v>
      </c>
      <c r="D49" s="9">
        <f xml:space="preserve"> USER_PULLUP/(USER_ADC_MAX_VALUE/B49-1)</f>
        <v>1.8864383561643834</v>
      </c>
      <c r="E49" s="9"/>
      <c r="F49" s="7">
        <f t="shared" si="4"/>
        <v>145</v>
      </c>
      <c r="G49" s="7">
        <f t="shared" si="3"/>
        <v>418.15</v>
      </c>
      <c r="H49" s="10">
        <f>USER_R0*EXP(USER_BETA_VAL*((1/G49)-(1/USER_T0_IN_K)))</f>
        <v>2.2326209037708868</v>
      </c>
      <c r="I49" s="14">
        <f t="shared" ref="I49:I80" si="6">USER_VIN*(H49/(H49+USER_PULLUP))</f>
        <v>1.6102286096132046</v>
      </c>
      <c r="J49" s="13">
        <f t="shared" ref="J49:J80" si="7">(I49/USER_VIN)*USER_ADC_MAX_VALUE</f>
        <v>329.45277352686168</v>
      </c>
      <c r="Y49">
        <v>379</v>
      </c>
    </row>
    <row r="50" spans="1:25" x14ac:dyDescent="0.3">
      <c r="A50" s="24">
        <v>150</v>
      </c>
      <c r="B50" s="2">
        <v>268</v>
      </c>
      <c r="C50" s="25">
        <f t="shared" si="5"/>
        <v>1.3098729227761485</v>
      </c>
      <c r="D50" s="9">
        <f xml:space="preserve"> USER_PULLUP/(USER_ADC_MAX_VALUE/B50-1)</f>
        <v>1.6683443708609274</v>
      </c>
      <c r="E50" s="9"/>
      <c r="F50" s="7">
        <f t="shared" si="4"/>
        <v>150</v>
      </c>
      <c r="G50" s="7">
        <f t="shared" si="3"/>
        <v>423.15</v>
      </c>
      <c r="H50" s="10">
        <f>USER_R0*EXP(USER_BETA_VAL*((1/G50)-(1/USER_T0_IN_K)))</f>
        <v>1.9968212461492274</v>
      </c>
      <c r="I50" s="14">
        <f t="shared" si="6"/>
        <v>1.4908724398888724</v>
      </c>
      <c r="J50" s="13">
        <f t="shared" si="7"/>
        <v>305.0325012012633</v>
      </c>
      <c r="Y50">
        <v>348</v>
      </c>
    </row>
    <row r="51" spans="1:25" x14ac:dyDescent="0.3">
      <c r="A51" s="24">
        <v>155</v>
      </c>
      <c r="B51" s="2">
        <v>245</v>
      </c>
      <c r="C51" s="25">
        <f t="shared" si="5"/>
        <v>1.1974584555229717</v>
      </c>
      <c r="D51" s="9">
        <f xml:space="preserve"> USER_PULLUP/(USER_ADC_MAX_VALUE/B51-1)</f>
        <v>1.4800771208226222</v>
      </c>
      <c r="E51" s="9"/>
      <c r="F51" s="7">
        <f t="shared" si="4"/>
        <v>155</v>
      </c>
      <c r="G51" s="7">
        <f t="shared" si="3"/>
        <v>428.15</v>
      </c>
      <c r="H51" s="10">
        <f>USER_R0*EXP(USER_BETA_VAL*((1/G51)-(1/USER_T0_IN_K)))</f>
        <v>1.7905877394116823</v>
      </c>
      <c r="I51" s="14">
        <f t="shared" si="6"/>
        <v>1.3793725709453117</v>
      </c>
      <c r="J51" s="13">
        <f t="shared" si="7"/>
        <v>282.21962801541076</v>
      </c>
      <c r="Y51">
        <v>320</v>
      </c>
    </row>
    <row r="52" spans="1:25" x14ac:dyDescent="0.3">
      <c r="A52" s="24">
        <v>160</v>
      </c>
      <c r="B52" s="2">
        <v>224</v>
      </c>
      <c r="C52" s="25">
        <f t="shared" si="5"/>
        <v>1.0948191593352883</v>
      </c>
      <c r="D52" s="9">
        <f xml:space="preserve"> USER_PULLUP/(USER_ADC_MAX_VALUE/B52-1)</f>
        <v>1.3176470588235296</v>
      </c>
      <c r="E52" s="9"/>
      <c r="F52" s="7">
        <f t="shared" si="4"/>
        <v>160</v>
      </c>
      <c r="G52" s="7">
        <f t="shared" si="3"/>
        <v>433.15</v>
      </c>
      <c r="H52" s="10">
        <f>USER_R0*EXP(USER_BETA_VAL*((1/G52)-(1/USER_T0_IN_K)))</f>
        <v>1.6097003208467224</v>
      </c>
      <c r="I52" s="14">
        <f t="shared" si="6"/>
        <v>1.275575890291023</v>
      </c>
      <c r="J52" s="13">
        <f t="shared" si="7"/>
        <v>260.98282715354333</v>
      </c>
      <c r="Y52">
        <v>293</v>
      </c>
    </row>
    <row r="53" spans="1:25" x14ac:dyDescent="0.3">
      <c r="A53" s="24">
        <v>165</v>
      </c>
      <c r="B53" s="2">
        <v>205</v>
      </c>
      <c r="C53" s="25">
        <f t="shared" si="5"/>
        <v>1.0019550342130987</v>
      </c>
      <c r="D53" s="9">
        <f xml:space="preserve"> USER_PULLUP/(USER_ADC_MAX_VALUE/B53-1)</f>
        <v>1.177872860635697</v>
      </c>
      <c r="E53" s="9"/>
      <c r="F53" s="7">
        <f t="shared" si="4"/>
        <v>165</v>
      </c>
      <c r="G53" s="7">
        <f t="shared" si="3"/>
        <v>438.15</v>
      </c>
      <c r="H53" s="10">
        <f>USER_R0*EXP(USER_BETA_VAL*((1/G53)-(1/USER_T0_IN_K)))</f>
        <v>1.4506079140564965</v>
      </c>
      <c r="I53" s="14">
        <f t="shared" si="6"/>
        <v>1.1792394624450873</v>
      </c>
      <c r="J53" s="13">
        <f t="shared" si="7"/>
        <v>241.27239401626485</v>
      </c>
      <c r="Y53">
        <v>268</v>
      </c>
    </row>
    <row r="54" spans="1:25" x14ac:dyDescent="0.3">
      <c r="A54" s="24">
        <v>170</v>
      </c>
      <c r="B54" s="2">
        <v>187</v>
      </c>
      <c r="C54" s="25">
        <f t="shared" si="5"/>
        <v>0.91397849462365588</v>
      </c>
      <c r="D54" s="9">
        <f xml:space="preserve"> USER_PULLUP/(USER_ADC_MAX_VALUE/B54-1)</f>
        <v>1.0513157894736842</v>
      </c>
      <c r="E54" s="9"/>
      <c r="F54" s="7">
        <f t="shared" si="4"/>
        <v>170</v>
      </c>
      <c r="G54" s="7">
        <f t="shared" si="3"/>
        <v>443.15</v>
      </c>
      <c r="H54" s="10">
        <f>USER_R0*EXP(USER_BETA_VAL*((1/G54)-(1/USER_T0_IN_K)))</f>
        <v>1.3103125841064442</v>
      </c>
      <c r="I54" s="14">
        <f t="shared" si="6"/>
        <v>1.0900536085023347</v>
      </c>
      <c r="J54" s="13">
        <f t="shared" si="7"/>
        <v>223.02496829957767</v>
      </c>
      <c r="Y54">
        <v>245</v>
      </c>
    </row>
    <row r="55" spans="1:25" x14ac:dyDescent="0.3">
      <c r="A55" s="24">
        <v>175</v>
      </c>
      <c r="B55" s="2">
        <v>171</v>
      </c>
      <c r="C55" s="25">
        <f t="shared" si="5"/>
        <v>0.83577712609970678</v>
      </c>
      <c r="D55" s="9">
        <f xml:space="preserve"> USER_PULLUP/(USER_ADC_MAX_VALUE/B55-1)</f>
        <v>0.94330985915492949</v>
      </c>
      <c r="E55" s="9"/>
      <c r="F55" s="7">
        <f t="shared" si="4"/>
        <v>175</v>
      </c>
      <c r="G55" s="7">
        <f t="shared" si="3"/>
        <v>448.15</v>
      </c>
      <c r="H55" s="10">
        <f>USER_R0*EXP(USER_BETA_VAL*((1/G55)-(1/USER_T0_IN_K)))</f>
        <v>1.1862753424768433</v>
      </c>
      <c r="I55" s="14">
        <f t="shared" si="6"/>
        <v>1.0076621237171679</v>
      </c>
      <c r="J55" s="13">
        <f t="shared" si="7"/>
        <v>206.16767051253254</v>
      </c>
      <c r="Y55">
        <v>224</v>
      </c>
    </row>
    <row r="56" spans="1:25" x14ac:dyDescent="0.3">
      <c r="A56" s="24">
        <v>180</v>
      </c>
      <c r="B56" s="2">
        <v>156</v>
      </c>
      <c r="C56" s="25">
        <f t="shared" si="5"/>
        <v>0.76246334310850439</v>
      </c>
      <c r="D56" s="9">
        <f xml:space="preserve"> USER_PULLUP/(USER_ADC_MAX_VALUE/B56-1)</f>
        <v>0.84567474048442914</v>
      </c>
      <c r="E56" s="9"/>
      <c r="F56" s="7">
        <f t="shared" si="4"/>
        <v>180</v>
      </c>
      <c r="G56" s="7">
        <f t="shared" si="3"/>
        <v>453.15</v>
      </c>
      <c r="H56" s="10">
        <f>USER_R0*EXP(USER_BETA_VAL*((1/G56)-(1/USER_T0_IN_K)))</f>
        <v>1.0763392752345307</v>
      </c>
      <c r="I56" s="14">
        <f t="shared" si="6"/>
        <v>0.93167941143037281</v>
      </c>
      <c r="J56" s="13">
        <f t="shared" si="7"/>
        <v>190.62160757865428</v>
      </c>
      <c r="Y56">
        <v>205</v>
      </c>
    </row>
    <row r="57" spans="1:25" x14ac:dyDescent="0.3">
      <c r="A57" s="24">
        <v>185</v>
      </c>
      <c r="B57" s="2">
        <v>143</v>
      </c>
      <c r="C57" s="25">
        <f t="shared" si="5"/>
        <v>0.69892473118279574</v>
      </c>
      <c r="D57" s="9">
        <f xml:space="preserve"> USER_PULLUP/(USER_ADC_MAX_VALUE/B57-1)</f>
        <v>0.76375000000000004</v>
      </c>
      <c r="E57" s="9"/>
      <c r="F57" s="7">
        <f t="shared" si="4"/>
        <v>185</v>
      </c>
      <c r="G57" s="7">
        <f t="shared" si="3"/>
        <v>458.15</v>
      </c>
      <c r="H57" s="10">
        <f>USER_R0*EXP(USER_BETA_VAL*((1/G57)-(1/USER_T0_IN_K)))</f>
        <v>0.97866658571704335</v>
      </c>
      <c r="I57" s="14">
        <f t="shared" si="6"/>
        <v>0.86170456650737437</v>
      </c>
      <c r="J57" s="13">
        <f t="shared" si="7"/>
        <v>176.30475430740881</v>
      </c>
      <c r="Y57">
        <v>187</v>
      </c>
    </row>
    <row r="58" spans="1:25" x14ac:dyDescent="0.3">
      <c r="A58" s="24">
        <v>190</v>
      </c>
      <c r="B58" s="2">
        <v>131</v>
      </c>
      <c r="C58" s="25">
        <f t="shared" si="5"/>
        <v>0.64027370478983381</v>
      </c>
      <c r="D58" s="9">
        <f xml:space="preserve"> USER_PULLUP/(USER_ADC_MAX_VALUE/B58-1)</f>
        <v>0.69024663677130049</v>
      </c>
      <c r="E58" s="9"/>
      <c r="F58" s="7">
        <f t="shared" si="4"/>
        <v>190</v>
      </c>
      <c r="G58" s="7">
        <f t="shared" si="3"/>
        <v>463.15</v>
      </c>
      <c r="H58" s="10">
        <f>USER_R0*EXP(USER_BETA_VAL*((1/G58)-(1/USER_T0_IN_K)))</f>
        <v>0.89168685540259052</v>
      </c>
      <c r="I58" s="14">
        <f t="shared" si="6"/>
        <v>0.79733261040991432</v>
      </c>
      <c r="J58" s="13">
        <f t="shared" si="7"/>
        <v>163.13425208986848</v>
      </c>
      <c r="Y58">
        <v>171</v>
      </c>
    </row>
    <row r="59" spans="1:25" x14ac:dyDescent="0.3">
      <c r="A59" s="24">
        <v>195</v>
      </c>
      <c r="B59" s="2">
        <v>120</v>
      </c>
      <c r="C59" s="25">
        <f t="shared" si="5"/>
        <v>0.5865102639296188</v>
      </c>
      <c r="D59" s="9">
        <f xml:space="preserve"> USER_PULLUP/(USER_ADC_MAX_VALUE/B59-1)</f>
        <v>0.62458471760797341</v>
      </c>
      <c r="E59" s="9"/>
      <c r="F59" s="7">
        <f t="shared" si="4"/>
        <v>195</v>
      </c>
      <c r="G59" s="7">
        <f t="shared" si="3"/>
        <v>468.15</v>
      </c>
      <c r="H59" s="10">
        <f>USER_R0*EXP(USER_BETA_VAL*((1/G59)-(1/USER_T0_IN_K)))</f>
        <v>0.81405438183937162</v>
      </c>
      <c r="I59" s="14">
        <f t="shared" si="6"/>
        <v>0.73816317855013647</v>
      </c>
      <c r="J59" s="13">
        <f t="shared" si="7"/>
        <v>151.02818633135792</v>
      </c>
      <c r="Y59">
        <v>156</v>
      </c>
    </row>
    <row r="60" spans="1:25" x14ac:dyDescent="0.3">
      <c r="A60" s="24">
        <v>200</v>
      </c>
      <c r="B60" s="2">
        <v>109</v>
      </c>
      <c r="C60" s="25">
        <f t="shared" si="5"/>
        <v>0.53274682306940369</v>
      </c>
      <c r="D60" s="9">
        <f xml:space="preserve"> USER_PULLUP/(USER_ADC_MAX_VALUE/B60-1)</f>
        <v>0.56050328227571111</v>
      </c>
      <c r="E60" s="9"/>
      <c r="F60" s="7">
        <f t="shared" si="4"/>
        <v>200</v>
      </c>
      <c r="G60" s="7">
        <f t="shared" si="3"/>
        <v>473.15</v>
      </c>
      <c r="H60" s="10">
        <f>USER_R0*EXP(USER_BETA_VAL*((1/G60)-(1/USER_T0_IN_K)))</f>
        <v>0.74461288696039485</v>
      </c>
      <c r="I60" s="14">
        <f t="shared" si="6"/>
        <v>0.6838070055850155</v>
      </c>
      <c r="J60" s="13">
        <f t="shared" si="7"/>
        <v>139.90691334269417</v>
      </c>
      <c r="Y60">
        <v>143</v>
      </c>
    </row>
    <row r="61" spans="1:25" x14ac:dyDescent="0.3">
      <c r="A61" s="24">
        <v>205</v>
      </c>
      <c r="B61" s="2">
        <v>100</v>
      </c>
      <c r="C61" s="25">
        <f t="shared" si="5"/>
        <v>0.48875855327468232</v>
      </c>
      <c r="D61" s="9">
        <f xml:space="preserve"> USER_PULLUP/(USER_ADC_MAX_VALUE/B61-1)</f>
        <v>0.50920910075839654</v>
      </c>
      <c r="E61" s="9"/>
      <c r="F61" s="7">
        <f t="shared" si="4"/>
        <v>205</v>
      </c>
      <c r="G61" s="7">
        <f t="shared" si="3"/>
        <v>478.15</v>
      </c>
      <c r="H61" s="10">
        <f>USER_R0*EXP(USER_BETA_VAL*((1/G61)-(1/USER_T0_IN_K)))</f>
        <v>0.68236623041363964</v>
      </c>
      <c r="I61" s="14">
        <f t="shared" si="6"/>
        <v>0.63389056151349921</v>
      </c>
      <c r="J61" s="13">
        <f t="shared" si="7"/>
        <v>129.69400888566193</v>
      </c>
      <c r="Y61">
        <v>131</v>
      </c>
    </row>
    <row r="62" spans="1:25" x14ac:dyDescent="0.3">
      <c r="A62" s="24">
        <v>210</v>
      </c>
      <c r="B62" s="2">
        <v>92</v>
      </c>
      <c r="C62" s="25">
        <f t="shared" si="5"/>
        <v>0.44965786901270771</v>
      </c>
      <c r="D62" s="9">
        <f xml:space="preserve"> USER_PULLUP/(USER_ADC_MAX_VALUE/B62-1)</f>
        <v>0.46444683136412462</v>
      </c>
      <c r="E62" s="9"/>
      <c r="F62" s="7">
        <f t="shared" si="4"/>
        <v>210</v>
      </c>
      <c r="G62" s="7">
        <f t="shared" si="3"/>
        <v>483.15</v>
      </c>
      <c r="H62" s="10">
        <f>USER_R0*EXP(USER_BETA_VAL*((1/G62)-(1/USER_T0_IN_K)))</f>
        <v>0.62645403168924474</v>
      </c>
      <c r="I62" s="14">
        <f t="shared" si="6"/>
        <v>0.58805917404169306</v>
      </c>
      <c r="J62" s="13">
        <f t="shared" si="7"/>
        <v>120.3169070089304</v>
      </c>
      <c r="Y62">
        <v>120</v>
      </c>
    </row>
    <row r="63" spans="1:25" x14ac:dyDescent="0.3">
      <c r="A63" s="24">
        <v>215</v>
      </c>
      <c r="B63" s="2">
        <v>84</v>
      </c>
      <c r="C63" s="25">
        <f t="shared" si="5"/>
        <v>0.41055718475073316</v>
      </c>
      <c r="D63" s="9">
        <f xml:space="preserve"> USER_PULLUP/(USER_ADC_MAX_VALUE/B63-1)</f>
        <v>0.42044728434504791</v>
      </c>
      <c r="E63" s="9"/>
      <c r="F63" s="7">
        <f t="shared" si="4"/>
        <v>215</v>
      </c>
      <c r="G63" s="7">
        <f t="shared" si="3"/>
        <v>488.15</v>
      </c>
      <c r="H63" s="10">
        <f>USER_R0*EXP(USER_BETA_VAL*((1/G63)-(1/USER_T0_IN_K)))</f>
        <v>0.5761313178675076</v>
      </c>
      <c r="I63" s="14">
        <f t="shared" si="6"/>
        <v>0.54597894096802613</v>
      </c>
      <c r="J63" s="13">
        <f t="shared" si="7"/>
        <v>111.70729132205815</v>
      </c>
      <c r="Y63">
        <v>109</v>
      </c>
    </row>
    <row r="64" spans="1:25" x14ac:dyDescent="0.3">
      <c r="A64" s="24">
        <v>220</v>
      </c>
      <c r="B64" s="2">
        <v>78</v>
      </c>
      <c r="C64" s="25">
        <f t="shared" si="5"/>
        <v>0.38123167155425219</v>
      </c>
      <c r="D64" s="9">
        <f xml:space="preserve"> USER_PULLUP/(USER_ADC_MAX_VALUE/B64-1)</f>
        <v>0.38793650793650797</v>
      </c>
      <c r="E64" s="9"/>
      <c r="F64" s="7">
        <f t="shared" si="4"/>
        <v>220</v>
      </c>
      <c r="G64" s="7">
        <f t="shared" si="3"/>
        <v>493.15</v>
      </c>
      <c r="H64" s="10">
        <f>USER_R0*EXP(USER_BETA_VAL*((1/G64)-(1/USER_T0_IN_K)))</f>
        <v>0.53075148305059894</v>
      </c>
      <c r="I64" s="14">
        <f t="shared" si="6"/>
        <v>0.50733769781494398</v>
      </c>
      <c r="J64" s="13">
        <f t="shared" si="7"/>
        <v>103.80129297293753</v>
      </c>
      <c r="Y64">
        <v>100</v>
      </c>
    </row>
    <row r="65" spans="1:25" x14ac:dyDescent="0.3">
      <c r="A65" s="24">
        <v>225</v>
      </c>
      <c r="B65" s="2">
        <v>71</v>
      </c>
      <c r="C65" s="25">
        <f t="shared" si="5"/>
        <v>0.34701857282502446</v>
      </c>
      <c r="D65" s="9">
        <f xml:space="preserve"> USER_PULLUP/(USER_ADC_MAX_VALUE/B65-1)</f>
        <v>0.35052521008403364</v>
      </c>
      <c r="E65" s="9"/>
      <c r="F65" s="7">
        <f t="shared" si="4"/>
        <v>225</v>
      </c>
      <c r="G65" s="7">
        <f t="shared" si="3"/>
        <v>498.15</v>
      </c>
      <c r="H65" s="10">
        <f>USER_R0*EXP(USER_BETA_VAL*((1/G65)-(1/USER_T0_IN_K)))</f>
        <v>0.48975198045616591</v>
      </c>
      <c r="I65" s="14">
        <f t="shared" si="6"/>
        <v>0.47184526572801455</v>
      </c>
      <c r="J65" s="13">
        <f t="shared" si="7"/>
        <v>96.539541367951784</v>
      </c>
      <c r="Y65">
        <v>92</v>
      </c>
    </row>
    <row r="66" spans="1:25" x14ac:dyDescent="0.3">
      <c r="A66" s="24">
        <v>230</v>
      </c>
      <c r="B66" s="2">
        <v>66</v>
      </c>
      <c r="C66" s="25">
        <f t="shared" si="5"/>
        <v>0.32258064516129031</v>
      </c>
      <c r="D66" s="9">
        <f xml:space="preserve"> USER_PULLUP/(USER_ADC_MAX_VALUE/B66-1)</f>
        <v>0.3241379310344828</v>
      </c>
      <c r="E66" s="9"/>
      <c r="F66" s="7">
        <f t="shared" si="4"/>
        <v>230</v>
      </c>
      <c r="G66" s="7">
        <f t="shared" si="3"/>
        <v>503.15</v>
      </c>
      <c r="H66" s="10">
        <f>USER_R0*EXP(USER_BETA_VAL*((1/G66)-(1/USER_T0_IN_K)))</f>
        <v>0.45264227607179064</v>
      </c>
      <c r="I66" s="14">
        <f t="shared" si="6"/>
        <v>0.43923316603386503</v>
      </c>
      <c r="J66" s="13">
        <f t="shared" si="7"/>
        <v>89.867105770528795</v>
      </c>
      <c r="Y66">
        <v>84</v>
      </c>
    </row>
    <row r="67" spans="1:25" x14ac:dyDescent="0.3">
      <c r="A67" s="24">
        <v>235</v>
      </c>
      <c r="B67" s="2">
        <v>61</v>
      </c>
      <c r="C67" s="25">
        <f t="shared" si="5"/>
        <v>0.29814271749755622</v>
      </c>
      <c r="D67" s="9">
        <f xml:space="preserve"> USER_PULLUP/(USER_ADC_MAX_VALUE/B67-1)</f>
        <v>0.29802494802494806</v>
      </c>
      <c r="E67" s="9"/>
      <c r="F67" s="7">
        <f t="shared" si="4"/>
        <v>235</v>
      </c>
      <c r="G67" s="7">
        <f t="shared" si="3"/>
        <v>508.15</v>
      </c>
      <c r="H67" s="10">
        <f>USER_R0*EXP(USER_BETA_VAL*((1/G67)-(1/USER_T0_IN_K)))</f>
        <v>0.4189936793843852</v>
      </c>
      <c r="I67" s="14">
        <f t="shared" si="6"/>
        <v>0.40925395265849762</v>
      </c>
      <c r="J67" s="13">
        <f t="shared" si="7"/>
        <v>83.73335871392861</v>
      </c>
      <c r="Y67">
        <v>78</v>
      </c>
    </row>
    <row r="68" spans="1:25" x14ac:dyDescent="0.3">
      <c r="A68" s="24">
        <v>240</v>
      </c>
      <c r="B68" s="2">
        <v>56</v>
      </c>
      <c r="C68" s="25">
        <f t="shared" si="5"/>
        <v>0.27370478983382207</v>
      </c>
      <c r="D68" s="9">
        <f xml:space="preserve"> USER_PULLUP/(USER_ADC_MAX_VALUE/B68-1)</f>
        <v>0.27218200620475702</v>
      </c>
      <c r="E68" s="9"/>
      <c r="F68" s="7">
        <f t="shared" si="4"/>
        <v>240</v>
      </c>
      <c r="G68" s="7">
        <f t="shared" si="3"/>
        <v>513.15</v>
      </c>
      <c r="H68" s="10">
        <f>USER_R0*EXP(USER_BETA_VAL*((1/G68)-(1/USER_T0_IN_K)))</f>
        <v>0.38843073643971843</v>
      </c>
      <c r="I68" s="14">
        <f t="shared" si="6"/>
        <v>0.38168028274223526</v>
      </c>
      <c r="J68" s="13">
        <f t="shared" si="7"/>
        <v>78.091785849061338</v>
      </c>
      <c r="Y68">
        <v>71</v>
      </c>
    </row>
    <row r="69" spans="1:25" x14ac:dyDescent="0.3">
      <c r="A69" s="24">
        <v>245</v>
      </c>
      <c r="B69" s="2">
        <v>52</v>
      </c>
      <c r="C69" s="25">
        <f t="shared" si="5"/>
        <v>0.2541544477028348</v>
      </c>
      <c r="D69" s="9">
        <f xml:space="preserve"> USER_PULLUP/(USER_ADC_MAX_VALUE/B69-1)</f>
        <v>0.25169927909371781</v>
      </c>
      <c r="E69" s="9"/>
      <c r="F69" s="7">
        <f t="shared" si="4"/>
        <v>245</v>
      </c>
      <c r="G69" s="7">
        <f t="shared" si="3"/>
        <v>518.15</v>
      </c>
      <c r="H69" s="10">
        <f>USER_R0*EXP(USER_BETA_VAL*((1/G69)-(1/USER_T0_IN_K)))</f>
        <v>0.36062392681907496</v>
      </c>
      <c r="I69" s="14">
        <f t="shared" si="6"/>
        <v>0.35630381948352968</v>
      </c>
      <c r="J69" s="13">
        <f t="shared" si="7"/>
        <v>72.899761466330176</v>
      </c>
      <c r="Y69">
        <v>66</v>
      </c>
    </row>
    <row r="70" spans="1:25" x14ac:dyDescent="0.3">
      <c r="A70" s="24">
        <v>250</v>
      </c>
      <c r="B70" s="2">
        <v>48</v>
      </c>
      <c r="C70" s="25">
        <f t="shared" si="5"/>
        <v>0.23460410557184752</v>
      </c>
      <c r="D70" s="9">
        <f xml:space="preserve"> USER_PULLUP/(USER_ADC_MAX_VALUE/B70-1)</f>
        <v>0.23138461538461538</v>
      </c>
      <c r="E70" s="9"/>
      <c r="F70" s="7">
        <f t="shared" si="4"/>
        <v>250</v>
      </c>
      <c r="G70" s="7">
        <f t="shared" si="3"/>
        <v>523.15</v>
      </c>
      <c r="H70" s="10">
        <f>USER_R0*EXP(USER_BETA_VAL*((1/G70)-(1/USER_T0_IN_K)))</f>
        <v>0.33528345176091573</v>
      </c>
      <c r="I70" s="14">
        <f t="shared" si="6"/>
        <v>0.33293403933760868</v>
      </c>
      <c r="J70" s="13">
        <f t="shared" si="7"/>
        <v>68.118304448474731</v>
      </c>
      <c r="Y70">
        <v>61</v>
      </c>
    </row>
    <row r="71" spans="1:25" x14ac:dyDescent="0.3">
      <c r="A71" s="24">
        <v>255</v>
      </c>
      <c r="B71" s="2">
        <v>44</v>
      </c>
      <c r="C71" s="25">
        <f t="shared" si="5"/>
        <v>0.21505376344086022</v>
      </c>
      <c r="D71" s="9">
        <f xml:space="preserve"> USER_PULLUP/(USER_ADC_MAX_VALUE/B71-1)</f>
        <v>0.21123595505617979</v>
      </c>
      <c r="E71" s="9"/>
      <c r="F71" s="7">
        <f t="shared" si="4"/>
        <v>255</v>
      </c>
      <c r="G71" s="7">
        <f t="shared" si="3"/>
        <v>528.15</v>
      </c>
      <c r="H71" s="10">
        <f>USER_R0*EXP(USER_BETA_VAL*((1/G71)-(1/USER_T0_IN_K)))</f>
        <v>0.31215393774519157</v>
      </c>
      <c r="I71" s="14">
        <f t="shared" si="6"/>
        <v>0.31139699780013108</v>
      </c>
      <c r="J71" s="13">
        <f t="shared" si="7"/>
        <v>63.711825749906822</v>
      </c>
      <c r="Y71">
        <v>56</v>
      </c>
    </row>
    <row r="72" spans="1:25" x14ac:dyDescent="0.3">
      <c r="A72" s="24">
        <v>260</v>
      </c>
      <c r="B72" s="2">
        <v>41</v>
      </c>
      <c r="C72" s="25">
        <f t="shared" si="5"/>
        <v>0.20039100684261973</v>
      </c>
      <c r="D72" s="9">
        <f xml:space="preserve"> USER_PULLUP/(USER_ADC_MAX_VALUE/B72-1)</f>
        <v>0.19623217922606925</v>
      </c>
      <c r="E72" s="9"/>
      <c r="F72" s="7">
        <f t="shared" si="4"/>
        <v>260</v>
      </c>
      <c r="G72" s="7">
        <f t="shared" si="3"/>
        <v>533.15</v>
      </c>
      <c r="H72" s="10">
        <f>USER_R0*EXP(USER_BETA_VAL*((1/G72)-(1/USER_T0_IN_K)))</f>
        <v>0.29100991008692634</v>
      </c>
      <c r="I72" s="14">
        <f t="shared" si="6"/>
        <v>0.29153409362981803</v>
      </c>
      <c r="J72" s="13">
        <f t="shared" si="7"/>
        <v>59.647875556660765</v>
      </c>
      <c r="Y72">
        <v>52</v>
      </c>
    </row>
    <row r="73" spans="1:25" x14ac:dyDescent="0.3">
      <c r="A73" s="24">
        <v>265</v>
      </c>
      <c r="B73" s="2">
        <v>38</v>
      </c>
      <c r="C73" s="25">
        <f t="shared" si="5"/>
        <v>0.18572825024437928</v>
      </c>
      <c r="D73" s="9">
        <f xml:space="preserve"> USER_PULLUP/(USER_ADC_MAX_VALUE/B73-1)</f>
        <v>0.18131979695431472</v>
      </c>
      <c r="E73" s="9"/>
      <c r="F73" s="7">
        <f t="shared" si="4"/>
        <v>265</v>
      </c>
      <c r="G73" s="7">
        <f t="shared" si="3"/>
        <v>538.15</v>
      </c>
      <c r="H73" s="10">
        <f>USER_R0*EXP(USER_BETA_VAL*((1/G73)-(1/USER_T0_IN_K)))</f>
        <v>0.27165191579318604</v>
      </c>
      <c r="I73" s="14">
        <f t="shared" si="6"/>
        <v>0.27320085999006044</v>
      </c>
      <c r="J73" s="13">
        <f t="shared" si="7"/>
        <v>55.896895953966371</v>
      </c>
      <c r="Y73">
        <v>48</v>
      </c>
    </row>
    <row r="74" spans="1:25" x14ac:dyDescent="0.3">
      <c r="A74" s="24">
        <v>270</v>
      </c>
      <c r="B74" s="2">
        <v>35</v>
      </c>
      <c r="C74" s="25">
        <f t="shared" si="5"/>
        <v>0.17106549364613879</v>
      </c>
      <c r="D74" s="9">
        <f xml:space="preserve"> USER_PULLUP/(USER_ADC_MAX_VALUE/B74-1)</f>
        <v>0.16649797570850203</v>
      </c>
      <c r="E74" s="9"/>
      <c r="F74" s="7">
        <f t="shared" si="4"/>
        <v>270</v>
      </c>
      <c r="G74" s="7">
        <f t="shared" si="3"/>
        <v>543.15</v>
      </c>
      <c r="H74" s="10">
        <f>USER_R0*EXP(USER_BETA_VAL*((1/G74)-(1/USER_T0_IN_K)))</f>
        <v>0.25390319518825888</v>
      </c>
      <c r="I74" s="14">
        <f t="shared" si="6"/>
        <v>0.25626580212031175</v>
      </c>
      <c r="J74" s="13">
        <f t="shared" si="7"/>
        <v>52.431983113815782</v>
      </c>
      <c r="Y74">
        <v>44</v>
      </c>
    </row>
    <row r="75" spans="1:25" x14ac:dyDescent="0.3">
      <c r="A75" s="24">
        <v>275</v>
      </c>
      <c r="B75" s="2">
        <v>33</v>
      </c>
      <c r="C75" s="25">
        <f t="shared" si="5"/>
        <v>0.16129032258064516</v>
      </c>
      <c r="D75" s="9">
        <f xml:space="preserve"> USER_PULLUP/(USER_ADC_MAX_VALUE/B75-1)</f>
        <v>0.15666666666666668</v>
      </c>
      <c r="E75" s="9"/>
      <c r="F75" s="7">
        <f t="shared" si="4"/>
        <v>275</v>
      </c>
      <c r="G75" s="7">
        <f t="shared" si="3"/>
        <v>548.15</v>
      </c>
      <c r="H75" s="10">
        <f>USER_R0*EXP(USER_BETA_VAL*((1/G75)-(1/USER_T0_IN_K)))</f>
        <v>0.23760681845477008</v>
      </c>
      <c r="I75" s="14">
        <f t="shared" si="6"/>
        <v>0.24060929433130665</v>
      </c>
      <c r="J75" s="13">
        <f t="shared" si="7"/>
        <v>49.228661620185342</v>
      </c>
      <c r="Y75">
        <v>41</v>
      </c>
    </row>
    <row r="76" spans="1:25" x14ac:dyDescent="0.3">
      <c r="A76" s="24">
        <v>280</v>
      </c>
      <c r="B76" s="2">
        <v>31</v>
      </c>
      <c r="C76" s="25">
        <f t="shared" si="5"/>
        <v>0.15151515151515152</v>
      </c>
      <c r="D76" s="9">
        <f xml:space="preserve"> USER_PULLUP/(USER_ADC_MAX_VALUE/B76-1)</f>
        <v>0.14687500000000001</v>
      </c>
      <c r="E76" s="9"/>
      <c r="F76" s="7">
        <f t="shared" si="4"/>
        <v>280</v>
      </c>
      <c r="G76" s="7">
        <f t="shared" si="3"/>
        <v>553.15</v>
      </c>
      <c r="H76" s="10">
        <f>USER_R0*EXP(USER_BETA_VAL*((1/G76)-(1/USER_T0_IN_K)))</f>
        <v>0.22262321695247939</v>
      </c>
      <c r="I76" s="14">
        <f t="shared" si="6"/>
        <v>0.22612254395767262</v>
      </c>
      <c r="J76" s="13">
        <f t="shared" si="7"/>
        <v>46.264672493739816</v>
      </c>
      <c r="Y76">
        <v>38</v>
      </c>
    </row>
    <row r="77" spans="1:25" x14ac:dyDescent="0.3">
      <c r="A77" s="24">
        <v>285</v>
      </c>
      <c r="B77" s="2">
        <v>28</v>
      </c>
      <c r="C77" s="25">
        <f t="shared" si="5"/>
        <v>0.13685239491691104</v>
      </c>
      <c r="D77" s="9">
        <f xml:space="preserve"> USER_PULLUP/(USER_ADC_MAX_VALUE/B77-1)</f>
        <v>0.13226130653266333</v>
      </c>
      <c r="E77" s="9"/>
      <c r="F77" s="7">
        <f t="shared" si="4"/>
        <v>285</v>
      </c>
      <c r="G77" s="7">
        <f t="shared" si="3"/>
        <v>558.15</v>
      </c>
      <c r="H77" s="10">
        <f>USER_R0*EXP(USER_BETA_VAL*((1/G77)-(1/USER_T0_IN_K)))</f>
        <v>0.20882805050634543</v>
      </c>
      <c r="I77" s="14">
        <f t="shared" si="6"/>
        <v>0.2127066260599664</v>
      </c>
      <c r="J77" s="13">
        <f t="shared" si="7"/>
        <v>43.519775691869128</v>
      </c>
      <c r="Y77">
        <v>35</v>
      </c>
    </row>
    <row r="78" spans="1:25" x14ac:dyDescent="0.3">
      <c r="A78" s="24">
        <v>290</v>
      </c>
      <c r="B78" s="2">
        <v>27</v>
      </c>
      <c r="C78" s="25">
        <f t="shared" si="5"/>
        <v>0.13196480938416422</v>
      </c>
      <c r="D78" s="9">
        <f xml:space="preserve"> USER_PULLUP/(USER_ADC_MAX_VALUE/B78-1)</f>
        <v>0.12740963855421689</v>
      </c>
      <c r="E78" s="9"/>
      <c r="F78" s="7">
        <f t="shared" si="4"/>
        <v>290</v>
      </c>
      <c r="G78" s="7">
        <f t="shared" si="3"/>
        <v>563.15</v>
      </c>
      <c r="H78" s="10">
        <f>USER_R0*EXP(USER_BETA_VAL*((1/G78)-(1/USER_T0_IN_K)))</f>
        <v>0.19611036123915862</v>
      </c>
      <c r="I78" s="14">
        <f t="shared" si="6"/>
        <v>0.20027158986416815</v>
      </c>
      <c r="J78" s="13">
        <f t="shared" si="7"/>
        <v>40.975567286208808</v>
      </c>
      <c r="Y78">
        <v>33</v>
      </c>
    </row>
    <row r="79" spans="1:25" x14ac:dyDescent="0.3">
      <c r="A79" s="24">
        <v>295</v>
      </c>
      <c r="B79" s="2">
        <v>25</v>
      </c>
      <c r="C79" s="25">
        <f t="shared" si="5"/>
        <v>0.12218963831867058</v>
      </c>
      <c r="D79" s="9">
        <f xml:space="preserve"> USER_PULLUP/(USER_ADC_MAX_VALUE/B79-1)</f>
        <v>0.11773547094188376</v>
      </c>
      <c r="E79" s="9"/>
      <c r="F79" s="7">
        <f t="shared" si="4"/>
        <v>295</v>
      </c>
      <c r="G79" s="7">
        <f t="shared" si="3"/>
        <v>568.15</v>
      </c>
      <c r="H79" s="10">
        <f>USER_R0*EXP(USER_BETA_VAL*((1/G79)-(1/USER_T0_IN_K)))</f>
        <v>0.18437097231509883</v>
      </c>
      <c r="I79" s="14">
        <f t="shared" si="6"/>
        <v>0.18873563592950279</v>
      </c>
      <c r="J79" s="13">
        <f t="shared" si="7"/>
        <v>38.615311111176268</v>
      </c>
      <c r="Y79">
        <v>31</v>
      </c>
    </row>
    <row r="80" spans="1:25" x14ac:dyDescent="0.3">
      <c r="A80" s="24">
        <v>300</v>
      </c>
      <c r="B80" s="2">
        <v>23</v>
      </c>
      <c r="C80" s="25">
        <f t="shared" si="5"/>
        <v>0.11241446725317693</v>
      </c>
      <c r="D80" s="9">
        <f xml:space="preserve"> USER_PULLUP/(USER_ADC_MAX_VALUE/B80-1)</f>
        <v>0.1081</v>
      </c>
      <c r="E80" s="9"/>
      <c r="F80" s="7">
        <f t="shared" si="4"/>
        <v>300</v>
      </c>
      <c r="G80" s="7">
        <f t="shared" si="3"/>
        <v>573.15</v>
      </c>
      <c r="H80" s="10">
        <f>USER_R0*EXP(USER_BETA_VAL*((1/G80)-(1/USER_T0_IN_K)))</f>
        <v>0.17352109644484739</v>
      </c>
      <c r="I80" s="14">
        <f t="shared" si="6"/>
        <v>0.17802436165858412</v>
      </c>
      <c r="J80" s="13">
        <f t="shared" si="7"/>
        <v>36.42378439534631</v>
      </c>
      <c r="Y80">
        <v>28</v>
      </c>
    </row>
    <row r="81" spans="1:25" x14ac:dyDescent="0.3">
      <c r="A81" s="12"/>
      <c r="B81" s="12"/>
      <c r="C81" s="16"/>
      <c r="J81" s="12"/>
      <c r="Y81">
        <v>27</v>
      </c>
    </row>
    <row r="82" spans="1:25" x14ac:dyDescent="0.3">
      <c r="A82" s="12"/>
      <c r="B82" s="12"/>
      <c r="C82" s="16"/>
      <c r="J82" s="12"/>
      <c r="Y82">
        <v>25</v>
      </c>
    </row>
    <row r="83" spans="1:25" x14ac:dyDescent="0.3">
      <c r="A83" s="12"/>
      <c r="B83" s="12"/>
      <c r="C83" s="16"/>
      <c r="J83" s="12"/>
      <c r="Y83">
        <v>23</v>
      </c>
    </row>
    <row r="84" spans="1:25" x14ac:dyDescent="0.3">
      <c r="A84" s="12"/>
      <c r="B84" s="12"/>
      <c r="C84" s="16"/>
      <c r="J84" s="12"/>
    </row>
    <row r="85" spans="1:25" x14ac:dyDescent="0.3">
      <c r="A85" s="12"/>
      <c r="B85" s="12"/>
      <c r="C85" s="16"/>
      <c r="J85" s="12"/>
    </row>
    <row r="86" spans="1:25" x14ac:dyDescent="0.3">
      <c r="A86" s="12"/>
      <c r="B86" s="12"/>
      <c r="C86" s="16"/>
      <c r="J86" s="12"/>
    </row>
    <row r="87" spans="1:25" x14ac:dyDescent="0.3">
      <c r="A87" s="12"/>
      <c r="B87" s="12"/>
      <c r="C87" s="16"/>
      <c r="J87" s="12"/>
    </row>
    <row r="88" spans="1:25" x14ac:dyDescent="0.3">
      <c r="A88" s="12"/>
      <c r="B88" s="12"/>
      <c r="C88" s="16"/>
      <c r="J88" s="12"/>
    </row>
    <row r="89" spans="1:25" x14ac:dyDescent="0.3">
      <c r="A89" s="12"/>
      <c r="B89" s="12"/>
      <c r="C89" s="16"/>
      <c r="J89" s="12"/>
    </row>
    <row r="90" spans="1:25" x14ac:dyDescent="0.3">
      <c r="A90" s="12"/>
      <c r="B90" s="12"/>
      <c r="C90" s="16"/>
      <c r="J90" s="12"/>
    </row>
    <row r="91" spans="1:25" x14ac:dyDescent="0.3">
      <c r="A91" s="12"/>
      <c r="B91" s="12"/>
      <c r="C91" s="16"/>
      <c r="J91" s="12"/>
    </row>
    <row r="92" spans="1:25" x14ac:dyDescent="0.3">
      <c r="A92" s="12"/>
      <c r="B92" s="12"/>
      <c r="C92" s="16"/>
      <c r="J92" s="12"/>
    </row>
    <row r="93" spans="1:25" x14ac:dyDescent="0.3">
      <c r="A93" s="12"/>
      <c r="B93" s="12"/>
      <c r="C93" s="16"/>
      <c r="J93" s="12"/>
    </row>
    <row r="94" spans="1:25" x14ac:dyDescent="0.3">
      <c r="A94" s="12"/>
      <c r="B94" s="12"/>
      <c r="C94" s="16"/>
      <c r="J94" s="12"/>
    </row>
    <row r="95" spans="1:25" x14ac:dyDescent="0.3">
      <c r="A95" s="12"/>
      <c r="B95" s="12"/>
      <c r="C95" s="16"/>
      <c r="J95" s="12"/>
    </row>
    <row r="96" spans="1:25" x14ac:dyDescent="0.3">
      <c r="A96" s="12"/>
      <c r="B96" s="12"/>
      <c r="C96" s="16"/>
      <c r="J96" s="12"/>
    </row>
    <row r="97" spans="1:10" x14ac:dyDescent="0.3">
      <c r="A97" s="12"/>
      <c r="B97" s="12"/>
      <c r="C97" s="16"/>
      <c r="J97" s="12"/>
    </row>
    <row r="98" spans="1:10" x14ac:dyDescent="0.3">
      <c r="A98" s="12"/>
      <c r="B98" s="12"/>
      <c r="C98" s="16"/>
      <c r="J98" s="12"/>
    </row>
    <row r="99" spans="1:10" x14ac:dyDescent="0.3">
      <c r="A99" s="12"/>
      <c r="B99" s="12"/>
      <c r="C99" s="16"/>
      <c r="J99" s="12"/>
    </row>
    <row r="100" spans="1:10" x14ac:dyDescent="0.3">
      <c r="A100" s="12"/>
      <c r="B100" s="12"/>
      <c r="C100" s="16"/>
      <c r="J100" s="12"/>
    </row>
    <row r="101" spans="1:10" x14ac:dyDescent="0.3">
      <c r="A101" s="12"/>
      <c r="B101" s="12"/>
      <c r="C101" s="16"/>
      <c r="J101" s="12"/>
    </row>
    <row r="102" spans="1:10" x14ac:dyDescent="0.3">
      <c r="A102" s="12"/>
      <c r="B102" s="12"/>
      <c r="C102" s="16"/>
      <c r="J102" s="12"/>
    </row>
    <row r="103" spans="1:10" x14ac:dyDescent="0.3">
      <c r="A103" s="12"/>
      <c r="B103" s="12"/>
      <c r="C103" s="16"/>
      <c r="J103" s="12"/>
    </row>
    <row r="104" spans="1:10" x14ac:dyDescent="0.3">
      <c r="A104" s="12"/>
      <c r="B104" s="12"/>
      <c r="C104" s="16"/>
      <c r="J104" s="12"/>
    </row>
    <row r="105" spans="1:10" x14ac:dyDescent="0.3">
      <c r="A105" s="12"/>
      <c r="B105" s="12"/>
      <c r="C105" s="16"/>
      <c r="J105" s="12"/>
    </row>
    <row r="106" spans="1:10" x14ac:dyDescent="0.3">
      <c r="A106" s="12"/>
      <c r="B106" s="12"/>
      <c r="C106" s="16"/>
      <c r="J106" s="12"/>
    </row>
    <row r="107" spans="1:10" x14ac:dyDescent="0.3">
      <c r="A107" s="12"/>
      <c r="B107" s="12"/>
      <c r="C107" s="16"/>
      <c r="J107" s="12"/>
    </row>
    <row r="108" spans="1:10" x14ac:dyDescent="0.3">
      <c r="A108" s="12"/>
      <c r="B108" s="12"/>
      <c r="C108" s="16"/>
      <c r="J108" s="12"/>
    </row>
    <row r="109" spans="1:10" x14ac:dyDescent="0.3">
      <c r="A109" s="12"/>
      <c r="B109" s="12"/>
      <c r="C109" s="16"/>
      <c r="J109" s="12"/>
    </row>
    <row r="110" spans="1:10" x14ac:dyDescent="0.3">
      <c r="A110" s="12"/>
      <c r="B110" s="12"/>
      <c r="C110" s="16"/>
      <c r="J110" s="12"/>
    </row>
    <row r="111" spans="1:10" x14ac:dyDescent="0.3">
      <c r="A111" s="12"/>
      <c r="B111" s="12"/>
      <c r="C111" s="16"/>
      <c r="J111" s="12"/>
    </row>
    <row r="112" spans="1:10" x14ac:dyDescent="0.3">
      <c r="A112" s="12"/>
      <c r="B112" s="12"/>
      <c r="C112" s="16"/>
      <c r="J112" s="12"/>
    </row>
    <row r="113" spans="1:10" x14ac:dyDescent="0.3">
      <c r="A113" s="12"/>
      <c r="B113" s="12"/>
      <c r="C113" s="16"/>
      <c r="J113" s="12"/>
    </row>
    <row r="114" spans="1:10" x14ac:dyDescent="0.3">
      <c r="A114" s="12"/>
      <c r="B114" s="12"/>
      <c r="C114" s="16"/>
      <c r="J114" s="12"/>
    </row>
    <row r="115" spans="1:10" x14ac:dyDescent="0.3">
      <c r="A115" s="12"/>
      <c r="B115" s="12"/>
      <c r="C115" s="16"/>
      <c r="J115" s="12"/>
    </row>
    <row r="116" spans="1:10" x14ac:dyDescent="0.3">
      <c r="A116" s="12"/>
      <c r="B116" s="12"/>
      <c r="C116" s="16"/>
      <c r="J116" s="12"/>
    </row>
    <row r="117" spans="1:10" x14ac:dyDescent="0.3">
      <c r="A117" s="12"/>
      <c r="B117" s="12"/>
      <c r="C117" s="16"/>
      <c r="J117" s="12"/>
    </row>
    <row r="118" spans="1:10" x14ac:dyDescent="0.3">
      <c r="A118" s="12"/>
      <c r="B118" s="12"/>
      <c r="C118" s="16"/>
      <c r="J118" s="12"/>
    </row>
    <row r="119" spans="1:10" x14ac:dyDescent="0.3">
      <c r="A119" s="12"/>
      <c r="B119" s="12"/>
      <c r="C119" s="16"/>
      <c r="J119" s="12"/>
    </row>
    <row r="120" spans="1:10" x14ac:dyDescent="0.3">
      <c r="A120" s="12"/>
      <c r="B120" s="12"/>
      <c r="C120" s="16"/>
      <c r="J120" s="12"/>
    </row>
    <row r="121" spans="1:10" x14ac:dyDescent="0.3">
      <c r="A121" s="12"/>
      <c r="B121" s="12"/>
      <c r="C121" s="16"/>
      <c r="J121" s="12"/>
    </row>
    <row r="122" spans="1:10" x14ac:dyDescent="0.3">
      <c r="A122" s="12"/>
      <c r="B122" s="12"/>
      <c r="C122" s="16"/>
      <c r="J122" s="12"/>
    </row>
    <row r="123" spans="1:10" x14ac:dyDescent="0.3">
      <c r="A123" s="12"/>
      <c r="B123" s="12"/>
      <c r="C123" s="16"/>
      <c r="J123" s="12"/>
    </row>
    <row r="124" spans="1:10" x14ac:dyDescent="0.3">
      <c r="A124" s="12"/>
      <c r="B124" s="12"/>
      <c r="C124" s="16"/>
      <c r="J124" s="12"/>
    </row>
    <row r="125" spans="1:10" x14ac:dyDescent="0.3">
      <c r="A125" s="12"/>
      <c r="B125" s="12"/>
      <c r="C125" s="16"/>
      <c r="J125" s="12"/>
    </row>
    <row r="126" spans="1:10" x14ac:dyDescent="0.3">
      <c r="A126" s="12"/>
      <c r="B126" s="12"/>
      <c r="C126" s="16"/>
      <c r="J126" s="12"/>
    </row>
    <row r="127" spans="1:10" x14ac:dyDescent="0.3">
      <c r="A127" s="12"/>
      <c r="B127" s="12"/>
      <c r="C127" s="16"/>
      <c r="J127" s="12"/>
    </row>
    <row r="128" spans="1:10" x14ac:dyDescent="0.3">
      <c r="A128" s="12"/>
      <c r="B128" s="12"/>
      <c r="C128" s="16"/>
      <c r="J128" s="12"/>
    </row>
    <row r="129" spans="1:10" x14ac:dyDescent="0.3">
      <c r="A129" s="12"/>
      <c r="B129" s="12"/>
      <c r="C129" s="16"/>
      <c r="J129" s="12"/>
    </row>
    <row r="130" spans="1:10" x14ac:dyDescent="0.3">
      <c r="A130" s="12"/>
      <c r="B130" s="12"/>
      <c r="C130" s="16"/>
      <c r="J130" s="12"/>
    </row>
    <row r="131" spans="1:10" x14ac:dyDescent="0.3">
      <c r="A131" s="12"/>
      <c r="B131" s="12"/>
      <c r="C131" s="16"/>
      <c r="J131" s="12"/>
    </row>
    <row r="132" spans="1:10" x14ac:dyDescent="0.3">
      <c r="A132" s="12"/>
      <c r="B132" s="12"/>
      <c r="C132" s="16"/>
      <c r="J132" s="12"/>
    </row>
    <row r="133" spans="1:10" x14ac:dyDescent="0.3">
      <c r="A133" s="12"/>
      <c r="B133" s="12"/>
      <c r="C133" s="16"/>
      <c r="J133" s="12"/>
    </row>
    <row r="134" spans="1:10" x14ac:dyDescent="0.3">
      <c r="A134" s="12"/>
      <c r="B134" s="12"/>
      <c r="C134" s="16"/>
      <c r="J134" s="12"/>
    </row>
    <row r="135" spans="1:10" x14ac:dyDescent="0.3">
      <c r="A135" s="12"/>
      <c r="B135" s="12"/>
      <c r="C135" s="16"/>
      <c r="J135" s="12"/>
    </row>
    <row r="136" spans="1:10" x14ac:dyDescent="0.3">
      <c r="A136" s="12"/>
      <c r="B136" s="12"/>
      <c r="C136" s="16"/>
      <c r="J136" s="12"/>
    </row>
    <row r="137" spans="1:10" x14ac:dyDescent="0.3">
      <c r="A137" s="12"/>
      <c r="B137" s="12"/>
      <c r="C137" s="16"/>
      <c r="J137" s="12"/>
    </row>
    <row r="138" spans="1:10" x14ac:dyDescent="0.3">
      <c r="A138" s="12"/>
      <c r="B138" s="12"/>
      <c r="C138" s="16"/>
      <c r="J138" s="12"/>
    </row>
    <row r="139" spans="1:10" x14ac:dyDescent="0.3">
      <c r="A139" s="12"/>
      <c r="B139" s="12"/>
      <c r="C139" s="16"/>
      <c r="J139" s="12"/>
    </row>
    <row r="140" spans="1:10" x14ac:dyDescent="0.3">
      <c r="A140" s="12"/>
      <c r="B140" s="12"/>
      <c r="C140" s="16"/>
      <c r="J140" s="12"/>
    </row>
    <row r="141" spans="1:10" x14ac:dyDescent="0.3">
      <c r="A141" s="12"/>
      <c r="B141" s="12"/>
      <c r="C141" s="16"/>
      <c r="J141" s="12"/>
    </row>
    <row r="142" spans="1:10" x14ac:dyDescent="0.3">
      <c r="A142" s="12"/>
      <c r="B142" s="12"/>
      <c r="C142" s="16"/>
      <c r="J142" s="12"/>
    </row>
    <row r="143" spans="1:10" x14ac:dyDescent="0.3">
      <c r="A143" s="12"/>
      <c r="B143" s="12"/>
      <c r="C143" s="16"/>
      <c r="J143" s="12"/>
    </row>
    <row r="144" spans="1:10" x14ac:dyDescent="0.3">
      <c r="A144" s="12"/>
      <c r="B144" s="12"/>
      <c r="C144" s="16"/>
      <c r="J144" s="12"/>
    </row>
    <row r="145" spans="1:10" x14ac:dyDescent="0.3">
      <c r="A145" s="12"/>
      <c r="B145" s="12"/>
      <c r="C145" s="16"/>
      <c r="J145" s="12"/>
    </row>
    <row r="146" spans="1:10" x14ac:dyDescent="0.3">
      <c r="A146" s="12"/>
      <c r="B146" s="12"/>
      <c r="C146" s="16"/>
      <c r="J146" s="12"/>
    </row>
    <row r="147" spans="1:10" x14ac:dyDescent="0.3">
      <c r="A147" s="12"/>
      <c r="B147" s="12"/>
      <c r="C147" s="16"/>
      <c r="J147" s="12"/>
    </row>
    <row r="148" spans="1:10" x14ac:dyDescent="0.3">
      <c r="A148" s="12"/>
      <c r="B148" s="12"/>
      <c r="C148" s="16"/>
      <c r="J148" s="12"/>
    </row>
    <row r="149" spans="1:10" x14ac:dyDescent="0.3">
      <c r="A149" s="12"/>
      <c r="B149" s="12"/>
      <c r="C149" s="16"/>
      <c r="J149" s="12"/>
    </row>
    <row r="150" spans="1:10" x14ac:dyDescent="0.3">
      <c r="A150" s="12"/>
      <c r="B150" s="12"/>
      <c r="C150" s="16"/>
      <c r="J150" s="12"/>
    </row>
    <row r="151" spans="1:10" x14ac:dyDescent="0.3">
      <c r="A151" s="12"/>
      <c r="B151" s="12"/>
      <c r="C151" s="16"/>
      <c r="J151" s="12"/>
    </row>
    <row r="152" spans="1:10" x14ac:dyDescent="0.3">
      <c r="A152" s="12"/>
      <c r="B152" s="12"/>
      <c r="C152" s="16"/>
      <c r="J152" s="12"/>
    </row>
    <row r="153" spans="1:10" x14ac:dyDescent="0.3">
      <c r="A153" s="12"/>
      <c r="B153" s="12"/>
      <c r="C153" s="16"/>
      <c r="J153" s="12"/>
    </row>
    <row r="154" spans="1:10" x14ac:dyDescent="0.3">
      <c r="A154" s="12"/>
      <c r="B154" s="12"/>
      <c r="C154" s="16"/>
      <c r="J154" s="12"/>
    </row>
    <row r="155" spans="1:10" x14ac:dyDescent="0.3">
      <c r="A155" s="12"/>
      <c r="B155" s="12"/>
      <c r="C155" s="16"/>
      <c r="J155" s="12"/>
    </row>
    <row r="156" spans="1:10" x14ac:dyDescent="0.3">
      <c r="A156" s="12"/>
      <c r="B156" s="12"/>
      <c r="C156" s="16"/>
      <c r="J156" s="12"/>
    </row>
    <row r="157" spans="1:10" x14ac:dyDescent="0.3">
      <c r="A157" s="12"/>
      <c r="B157" s="12"/>
      <c r="C157" s="16"/>
      <c r="J157" s="12"/>
    </row>
    <row r="158" spans="1:10" x14ac:dyDescent="0.3">
      <c r="A158" s="12"/>
      <c r="B158" s="12"/>
      <c r="C158" s="16"/>
      <c r="J158" s="12"/>
    </row>
    <row r="159" spans="1:10" x14ac:dyDescent="0.3">
      <c r="A159" s="12"/>
      <c r="B159" s="12"/>
      <c r="C159" s="16"/>
      <c r="J159" s="12"/>
    </row>
    <row r="160" spans="1:10" x14ac:dyDescent="0.3">
      <c r="A160" s="12"/>
      <c r="B160" s="12"/>
      <c r="C160" s="16"/>
      <c r="J160" s="12"/>
    </row>
    <row r="161" spans="1:10" x14ac:dyDescent="0.3">
      <c r="A161" s="12"/>
      <c r="B161" s="12"/>
      <c r="C161" s="16"/>
      <c r="J161" s="12"/>
    </row>
    <row r="162" spans="1:10" x14ac:dyDescent="0.3">
      <c r="A162" s="12"/>
      <c r="B162" s="12"/>
      <c r="C162" s="16"/>
      <c r="J162" s="12"/>
    </row>
    <row r="163" spans="1:10" x14ac:dyDescent="0.3">
      <c r="A163" s="12"/>
      <c r="B163" s="12"/>
      <c r="C163" s="16"/>
      <c r="J163" s="12"/>
    </row>
    <row r="164" spans="1:10" x14ac:dyDescent="0.3">
      <c r="A164" s="12"/>
      <c r="B164" s="12"/>
      <c r="C164" s="16"/>
      <c r="J164" s="12"/>
    </row>
    <row r="165" spans="1:10" x14ac:dyDescent="0.3">
      <c r="A165" s="12"/>
      <c r="B165" s="12"/>
      <c r="C165" s="16"/>
      <c r="J165" s="12"/>
    </row>
    <row r="166" spans="1:10" x14ac:dyDescent="0.3">
      <c r="A166" s="12"/>
      <c r="B166" s="12"/>
      <c r="C166" s="16"/>
      <c r="J166" s="12"/>
    </row>
    <row r="167" spans="1:10" x14ac:dyDescent="0.3">
      <c r="A167" s="12"/>
      <c r="B167" s="12"/>
      <c r="C167" s="16"/>
      <c r="J167" s="12"/>
    </row>
    <row r="168" spans="1:10" x14ac:dyDescent="0.3">
      <c r="A168" s="12"/>
      <c r="B168" s="12"/>
      <c r="C168" s="16"/>
      <c r="J168" s="12"/>
    </row>
    <row r="169" spans="1:10" x14ac:dyDescent="0.3">
      <c r="A169" s="12"/>
      <c r="B169" s="12"/>
      <c r="C169" s="16"/>
      <c r="J169" s="12"/>
    </row>
    <row r="170" spans="1:10" x14ac:dyDescent="0.3">
      <c r="A170" s="12"/>
      <c r="B170" s="12"/>
      <c r="C170" s="16"/>
      <c r="J170" s="12"/>
    </row>
    <row r="171" spans="1:10" x14ac:dyDescent="0.3">
      <c r="A171" s="12"/>
      <c r="B171" s="12"/>
      <c r="C171" s="16"/>
      <c r="J171" s="12"/>
    </row>
    <row r="172" spans="1:10" x14ac:dyDescent="0.3">
      <c r="A172" s="12"/>
      <c r="B172" s="12"/>
      <c r="C172" s="16"/>
      <c r="J172" s="12"/>
    </row>
    <row r="173" spans="1:10" x14ac:dyDescent="0.3">
      <c r="A173" s="12"/>
      <c r="B173" s="12"/>
      <c r="C173" s="16"/>
    </row>
    <row r="174" spans="1:10" x14ac:dyDescent="0.3">
      <c r="A174" s="12"/>
      <c r="B174" s="12"/>
      <c r="C174" s="16"/>
    </row>
    <row r="175" spans="1:10" x14ac:dyDescent="0.3">
      <c r="A175" s="12"/>
      <c r="B175" s="12"/>
      <c r="C175" s="16"/>
    </row>
    <row r="176" spans="1:10" x14ac:dyDescent="0.3">
      <c r="A176" s="12"/>
      <c r="B176" s="12"/>
      <c r="C176" s="16"/>
    </row>
    <row r="177" spans="1:3" x14ac:dyDescent="0.3">
      <c r="A177" s="12"/>
      <c r="B177" s="12"/>
      <c r="C177" s="16"/>
    </row>
    <row r="178" spans="1:3" x14ac:dyDescent="0.3">
      <c r="A178" s="12"/>
      <c r="B178" s="12"/>
      <c r="C178" s="16"/>
    </row>
    <row r="179" spans="1:3" x14ac:dyDescent="0.3">
      <c r="A179" s="12"/>
      <c r="B179" s="12"/>
      <c r="C179" s="16"/>
    </row>
    <row r="180" spans="1:3" x14ac:dyDescent="0.3">
      <c r="A180" s="12"/>
      <c r="B180" s="12"/>
      <c r="C180" s="16"/>
    </row>
    <row r="181" spans="1:3" x14ac:dyDescent="0.3">
      <c r="A181" s="12"/>
      <c r="B181" s="12"/>
      <c r="C181" s="16"/>
    </row>
    <row r="182" spans="1:3" x14ac:dyDescent="0.3">
      <c r="A182" s="12"/>
      <c r="B182" s="12"/>
      <c r="C182" s="16"/>
    </row>
    <row r="183" spans="1:3" x14ac:dyDescent="0.3">
      <c r="A183" s="12"/>
      <c r="B183" s="12"/>
      <c r="C183" s="16"/>
    </row>
    <row r="184" spans="1:3" x14ac:dyDescent="0.3">
      <c r="A184" s="12"/>
      <c r="B184" s="12"/>
      <c r="C184" s="16"/>
    </row>
    <row r="185" spans="1:3" x14ac:dyDescent="0.3">
      <c r="A185" s="12"/>
      <c r="B185" s="12"/>
      <c r="C185" s="16"/>
    </row>
    <row r="186" spans="1:3" x14ac:dyDescent="0.3">
      <c r="A186" s="12"/>
      <c r="B186" s="12"/>
      <c r="C186" s="16"/>
    </row>
    <row r="187" spans="1:3" x14ac:dyDescent="0.3">
      <c r="A187" s="12"/>
      <c r="B187" s="12"/>
      <c r="C187" s="16"/>
    </row>
    <row r="188" spans="1:3" x14ac:dyDescent="0.3">
      <c r="A188" s="12"/>
      <c r="B188" s="12"/>
      <c r="C188" s="16"/>
    </row>
    <row r="189" spans="1:3" x14ac:dyDescent="0.3">
      <c r="A189" s="12"/>
      <c r="B189" s="12"/>
      <c r="C189" s="16"/>
    </row>
    <row r="190" spans="1:3" x14ac:dyDescent="0.3">
      <c r="A190" s="12"/>
      <c r="B190" s="12"/>
      <c r="C190" s="16"/>
    </row>
    <row r="191" spans="1:3" x14ac:dyDescent="0.3">
      <c r="A191" s="12"/>
      <c r="B191" s="12"/>
      <c r="C191" s="16"/>
    </row>
    <row r="192" spans="1:3" x14ac:dyDescent="0.3">
      <c r="A192" s="12"/>
      <c r="B192" s="12"/>
      <c r="C192" s="16"/>
    </row>
    <row r="193" spans="1:3" x14ac:dyDescent="0.3">
      <c r="A193" s="12"/>
      <c r="B193" s="12"/>
      <c r="C193" s="16"/>
    </row>
    <row r="194" spans="1:3" x14ac:dyDescent="0.3">
      <c r="A194" s="12"/>
      <c r="B194" s="12"/>
      <c r="C194" s="16"/>
    </row>
    <row r="195" spans="1:3" x14ac:dyDescent="0.3">
      <c r="A195" s="12"/>
      <c r="B195" s="12"/>
      <c r="C195" s="16"/>
    </row>
    <row r="196" spans="1:3" x14ac:dyDescent="0.3">
      <c r="A196" s="12"/>
      <c r="B196" s="12"/>
      <c r="C196" s="16"/>
    </row>
    <row r="197" spans="1:3" x14ac:dyDescent="0.3">
      <c r="A197" s="12"/>
      <c r="B197" s="12"/>
      <c r="C197" s="16"/>
    </row>
    <row r="198" spans="1:3" x14ac:dyDescent="0.3">
      <c r="A198" s="12"/>
      <c r="B198" s="12"/>
      <c r="C198" s="16"/>
    </row>
    <row r="199" spans="1:3" x14ac:dyDescent="0.3">
      <c r="A199" s="12"/>
      <c r="B199" s="12"/>
      <c r="C199" s="16"/>
    </row>
    <row r="200" spans="1:3" x14ac:dyDescent="0.3">
      <c r="A200" s="12"/>
      <c r="B200" s="12"/>
      <c r="C200" s="16"/>
    </row>
    <row r="201" spans="1:3" x14ac:dyDescent="0.3">
      <c r="A201" s="12"/>
      <c r="B201" s="12"/>
      <c r="C201" s="16"/>
    </row>
    <row r="202" spans="1:3" x14ac:dyDescent="0.3">
      <c r="A202" s="12"/>
      <c r="B202" s="12"/>
      <c r="C202" s="16"/>
    </row>
    <row r="203" spans="1:3" x14ac:dyDescent="0.3">
      <c r="A203" s="12"/>
      <c r="B203" s="12"/>
      <c r="C203" s="16"/>
    </row>
    <row r="204" spans="1:3" x14ac:dyDescent="0.3">
      <c r="A204" s="12"/>
      <c r="B204" s="12"/>
      <c r="C204" s="16"/>
    </row>
    <row r="205" spans="1:3" x14ac:dyDescent="0.3">
      <c r="A205" s="12"/>
      <c r="B205" s="12"/>
      <c r="C205" s="16"/>
    </row>
    <row r="206" spans="1:3" x14ac:dyDescent="0.3">
      <c r="A206" s="12"/>
      <c r="B206" s="12"/>
      <c r="C206" s="16"/>
    </row>
    <row r="207" spans="1:3" x14ac:dyDescent="0.3">
      <c r="A207" s="12"/>
      <c r="B207" s="12"/>
      <c r="C207" s="16"/>
    </row>
    <row r="208" spans="1:3" x14ac:dyDescent="0.3">
      <c r="A208" s="12"/>
      <c r="B208" s="12"/>
      <c r="C208" s="16"/>
    </row>
    <row r="209" spans="1:3" x14ac:dyDescent="0.3">
      <c r="A209" s="12"/>
      <c r="B209" s="12"/>
      <c r="C209" s="16"/>
    </row>
    <row r="210" spans="1:3" x14ac:dyDescent="0.3">
      <c r="A210" s="12"/>
      <c r="B210" s="12"/>
      <c r="C210" s="16"/>
    </row>
    <row r="211" spans="1:3" x14ac:dyDescent="0.3">
      <c r="A211" s="12"/>
      <c r="B211" s="12"/>
      <c r="C211" s="16"/>
    </row>
    <row r="212" spans="1:3" x14ac:dyDescent="0.3">
      <c r="A212" s="12"/>
      <c r="B212" s="12"/>
      <c r="C212" s="16"/>
    </row>
    <row r="213" spans="1:3" x14ac:dyDescent="0.3">
      <c r="A213" s="12"/>
      <c r="B213" s="12"/>
      <c r="C213" s="16"/>
    </row>
    <row r="214" spans="1:3" x14ac:dyDescent="0.3">
      <c r="A214" s="12"/>
      <c r="B214" s="12"/>
      <c r="C214" s="16"/>
    </row>
    <row r="215" spans="1:3" x14ac:dyDescent="0.3">
      <c r="A215" s="12"/>
      <c r="B215" s="12"/>
      <c r="C215" s="16"/>
    </row>
    <row r="216" spans="1:3" x14ac:dyDescent="0.3">
      <c r="A216" s="12"/>
      <c r="B216" s="12"/>
      <c r="C216" s="16"/>
    </row>
    <row r="217" spans="1:3" x14ac:dyDescent="0.3">
      <c r="A217" s="12"/>
      <c r="B217" s="12"/>
      <c r="C217" s="16"/>
    </row>
    <row r="218" spans="1:3" x14ac:dyDescent="0.3">
      <c r="A218" s="12"/>
      <c r="B218" s="12"/>
      <c r="C218" s="16"/>
    </row>
    <row r="219" spans="1:3" x14ac:dyDescent="0.3">
      <c r="A219" s="12"/>
      <c r="B219" s="12"/>
      <c r="C219" s="16"/>
    </row>
    <row r="220" spans="1:3" x14ac:dyDescent="0.3">
      <c r="A220" s="12"/>
      <c r="B220" s="12"/>
      <c r="C220" s="16"/>
    </row>
    <row r="221" spans="1:3" x14ac:dyDescent="0.3">
      <c r="A221" s="12"/>
      <c r="B221" s="12"/>
      <c r="C221" s="16"/>
    </row>
    <row r="222" spans="1:3" x14ac:dyDescent="0.3">
      <c r="A222" s="12"/>
      <c r="B222" s="12"/>
      <c r="C222" s="16"/>
    </row>
    <row r="223" spans="1:3" x14ac:dyDescent="0.3">
      <c r="A223" s="12"/>
      <c r="B223" s="12"/>
      <c r="C223" s="16"/>
    </row>
    <row r="224" spans="1:3" x14ac:dyDescent="0.3">
      <c r="A224" s="12"/>
      <c r="B224" s="12"/>
      <c r="C224" s="16"/>
    </row>
    <row r="225" spans="1:3" x14ac:dyDescent="0.3">
      <c r="A225" s="12"/>
      <c r="B225" s="12"/>
      <c r="C225" s="16"/>
    </row>
    <row r="226" spans="1:3" x14ac:dyDescent="0.3">
      <c r="A226" s="12"/>
      <c r="B226" s="12"/>
      <c r="C226" s="16"/>
    </row>
    <row r="227" spans="1:3" x14ac:dyDescent="0.3">
      <c r="A227" s="12"/>
      <c r="B227" s="12"/>
      <c r="C227" s="16"/>
    </row>
    <row r="228" spans="1:3" x14ac:dyDescent="0.3">
      <c r="A228" s="12"/>
      <c r="B228" s="12"/>
      <c r="C228" s="16"/>
    </row>
    <row r="229" spans="1:3" x14ac:dyDescent="0.3">
      <c r="A229" s="12"/>
      <c r="B229" s="12"/>
      <c r="C229" s="16"/>
    </row>
    <row r="230" spans="1:3" x14ac:dyDescent="0.3">
      <c r="A230" s="12"/>
      <c r="B230" s="12"/>
      <c r="C230" s="16"/>
    </row>
    <row r="231" spans="1:3" x14ac:dyDescent="0.3">
      <c r="A231" s="12"/>
      <c r="B231" s="12"/>
      <c r="C231" s="16"/>
    </row>
    <row r="232" spans="1:3" x14ac:dyDescent="0.3">
      <c r="A232" s="12"/>
      <c r="B232" s="12"/>
      <c r="C232" s="16"/>
    </row>
    <row r="233" spans="1:3" x14ac:dyDescent="0.3">
      <c r="A233" s="12"/>
      <c r="B233" s="12"/>
      <c r="C233" s="16"/>
    </row>
    <row r="234" spans="1:3" x14ac:dyDescent="0.3">
      <c r="A234" s="12"/>
      <c r="B234" s="12"/>
      <c r="C234" s="16"/>
    </row>
    <row r="235" spans="1:3" x14ac:dyDescent="0.3">
      <c r="A235" s="12"/>
      <c r="B235" s="12"/>
      <c r="C235" s="16"/>
    </row>
    <row r="236" spans="1:3" x14ac:dyDescent="0.3">
      <c r="A236" s="12"/>
      <c r="B236" s="12"/>
      <c r="C236" s="16"/>
    </row>
    <row r="237" spans="1:3" x14ac:dyDescent="0.3">
      <c r="A237" s="12"/>
      <c r="B237" s="12"/>
      <c r="C237" s="16"/>
    </row>
    <row r="238" spans="1:3" x14ac:dyDescent="0.3">
      <c r="A238" s="12"/>
      <c r="B238" s="12"/>
      <c r="C238" s="16"/>
    </row>
    <row r="239" spans="1:3" x14ac:dyDescent="0.3">
      <c r="A239" s="12"/>
      <c r="B239" s="12"/>
      <c r="C239" s="16"/>
    </row>
    <row r="240" spans="1:3" x14ac:dyDescent="0.3">
      <c r="A240" s="12"/>
      <c r="B240" s="12"/>
      <c r="C240" s="16"/>
    </row>
    <row r="241" spans="1:3" x14ac:dyDescent="0.3">
      <c r="A241" s="12"/>
      <c r="B241" s="12"/>
      <c r="C241" s="16"/>
    </row>
    <row r="242" spans="1:3" x14ac:dyDescent="0.3">
      <c r="A242" s="12"/>
      <c r="B242" s="12"/>
      <c r="C242" s="16"/>
    </row>
    <row r="243" spans="1:3" x14ac:dyDescent="0.3">
      <c r="A243" s="12"/>
      <c r="B243" s="12"/>
      <c r="C243" s="16"/>
    </row>
    <row r="244" spans="1:3" x14ac:dyDescent="0.3">
      <c r="A244" s="12"/>
      <c r="B244" s="12"/>
      <c r="C244" s="16"/>
    </row>
    <row r="245" spans="1:3" x14ac:dyDescent="0.3">
      <c r="A245" s="12"/>
      <c r="B245" s="12"/>
      <c r="C245" s="16"/>
    </row>
    <row r="246" spans="1:3" x14ac:dyDescent="0.3">
      <c r="A246" s="12"/>
      <c r="B246" s="12"/>
      <c r="C246" s="16"/>
    </row>
    <row r="247" spans="1:3" x14ac:dyDescent="0.3">
      <c r="A247" s="12"/>
      <c r="B247" s="12"/>
      <c r="C247" s="16"/>
    </row>
    <row r="248" spans="1:3" x14ac:dyDescent="0.3">
      <c r="A248" s="12"/>
      <c r="B248" s="12"/>
      <c r="C248" s="16"/>
    </row>
    <row r="249" spans="1:3" x14ac:dyDescent="0.3">
      <c r="A249" s="12"/>
      <c r="B249" s="12"/>
      <c r="C249" s="16"/>
    </row>
    <row r="250" spans="1:3" x14ac:dyDescent="0.3">
      <c r="A250" s="12"/>
      <c r="B250" s="12"/>
      <c r="C250" s="16"/>
    </row>
    <row r="251" spans="1:3" x14ac:dyDescent="0.3">
      <c r="A251" s="12"/>
      <c r="B251" s="12"/>
      <c r="C251" s="16"/>
    </row>
    <row r="252" spans="1:3" x14ac:dyDescent="0.3">
      <c r="A252" s="12"/>
      <c r="B252" s="12"/>
      <c r="C252" s="16"/>
    </row>
    <row r="253" spans="1:3" x14ac:dyDescent="0.3">
      <c r="A253" s="12"/>
      <c r="B253" s="12"/>
      <c r="C253" s="16"/>
    </row>
    <row r="254" spans="1:3" x14ac:dyDescent="0.3">
      <c r="A254" s="12"/>
      <c r="B254" s="12"/>
      <c r="C254" s="16"/>
    </row>
    <row r="255" spans="1:3" x14ac:dyDescent="0.3">
      <c r="A255" s="12"/>
      <c r="B255" s="12"/>
      <c r="C255" s="16"/>
    </row>
    <row r="256" spans="1:3" x14ac:dyDescent="0.3">
      <c r="A256" s="12"/>
      <c r="B256" s="12"/>
      <c r="C256" s="16"/>
    </row>
    <row r="257" spans="1:3" x14ac:dyDescent="0.3">
      <c r="A257" s="12"/>
      <c r="B257" s="12"/>
      <c r="C257" s="16"/>
    </row>
    <row r="258" spans="1:3" x14ac:dyDescent="0.3">
      <c r="A258" s="12"/>
      <c r="B258" s="12"/>
      <c r="C258" s="16"/>
    </row>
    <row r="259" spans="1:3" x14ac:dyDescent="0.3">
      <c r="A259" s="12"/>
      <c r="B259" s="12"/>
      <c r="C259" s="16"/>
    </row>
    <row r="260" spans="1:3" x14ac:dyDescent="0.3">
      <c r="A260" s="12"/>
      <c r="B260" s="12"/>
      <c r="C260" s="16"/>
    </row>
    <row r="261" spans="1:3" x14ac:dyDescent="0.3">
      <c r="A261" s="12"/>
      <c r="B261" s="12"/>
      <c r="C261" s="16"/>
    </row>
    <row r="262" spans="1:3" x14ac:dyDescent="0.3">
      <c r="A262" s="12"/>
      <c r="B262" s="12"/>
      <c r="C262" s="16"/>
    </row>
    <row r="263" spans="1:3" x14ac:dyDescent="0.3">
      <c r="A263" s="12"/>
      <c r="B263" s="12"/>
      <c r="C263" s="16"/>
    </row>
    <row r="264" spans="1:3" x14ac:dyDescent="0.3">
      <c r="A264" s="12"/>
      <c r="B264" s="12"/>
      <c r="C264" s="16"/>
    </row>
    <row r="265" spans="1:3" x14ac:dyDescent="0.3">
      <c r="A265" s="12"/>
      <c r="B265" s="12"/>
      <c r="C265" s="16"/>
    </row>
    <row r="266" spans="1:3" x14ac:dyDescent="0.3">
      <c r="A266" s="12"/>
      <c r="B266" s="12"/>
      <c r="C266" s="16"/>
    </row>
    <row r="267" spans="1:3" x14ac:dyDescent="0.3">
      <c r="A267" s="12"/>
      <c r="B267" s="12"/>
      <c r="C267" s="16"/>
    </row>
    <row r="268" spans="1:3" x14ac:dyDescent="0.3">
      <c r="A268" s="12"/>
      <c r="B268" s="12"/>
      <c r="C268" s="16"/>
    </row>
    <row r="269" spans="1:3" x14ac:dyDescent="0.3">
      <c r="A269" s="12"/>
      <c r="B269" s="12"/>
      <c r="C269" s="16"/>
    </row>
    <row r="270" spans="1:3" x14ac:dyDescent="0.3">
      <c r="A270" s="12"/>
      <c r="B270" s="12"/>
      <c r="C270" s="16"/>
    </row>
    <row r="271" spans="1:3" x14ac:dyDescent="0.3">
      <c r="A271" s="12"/>
      <c r="B271" s="12"/>
      <c r="C271" s="16"/>
    </row>
    <row r="272" spans="1:3" x14ac:dyDescent="0.3">
      <c r="A272" s="12"/>
      <c r="B272" s="12"/>
      <c r="C272" s="16"/>
    </row>
    <row r="273" spans="1:3" x14ac:dyDescent="0.3">
      <c r="A273" s="12"/>
      <c r="B273" s="12"/>
      <c r="C273" s="16"/>
    </row>
    <row r="274" spans="1:3" x14ac:dyDescent="0.3">
      <c r="A274" s="12"/>
      <c r="B274" s="12"/>
      <c r="C274" s="16"/>
    </row>
    <row r="275" spans="1:3" x14ac:dyDescent="0.3">
      <c r="A275" s="12"/>
      <c r="B275" s="12"/>
      <c r="C275" s="16"/>
    </row>
    <row r="276" spans="1:3" x14ac:dyDescent="0.3">
      <c r="A276" s="12"/>
      <c r="B276" s="12"/>
      <c r="C276" s="16"/>
    </row>
    <row r="277" spans="1:3" x14ac:dyDescent="0.3">
      <c r="A277" s="12"/>
      <c r="B277" s="12"/>
      <c r="C277" s="16"/>
    </row>
    <row r="278" spans="1:3" x14ac:dyDescent="0.3">
      <c r="A278" s="12"/>
      <c r="B278" s="12"/>
      <c r="C278" s="16"/>
    </row>
    <row r="279" spans="1:3" x14ac:dyDescent="0.3">
      <c r="A279" s="12"/>
      <c r="B279" s="12"/>
      <c r="C279" s="16"/>
    </row>
    <row r="280" spans="1:3" x14ac:dyDescent="0.3">
      <c r="A280" s="12"/>
      <c r="B280" s="12"/>
      <c r="C280" s="16"/>
    </row>
    <row r="281" spans="1:3" x14ac:dyDescent="0.3">
      <c r="A281" s="12"/>
      <c r="B281" s="12"/>
      <c r="C281" s="16"/>
    </row>
    <row r="282" spans="1:3" x14ac:dyDescent="0.3">
      <c r="A282" s="12"/>
      <c r="B282" s="12"/>
      <c r="C282" s="16"/>
    </row>
    <row r="283" spans="1:3" x14ac:dyDescent="0.3">
      <c r="A283" s="12"/>
      <c r="B283" s="12"/>
      <c r="C283" s="16"/>
    </row>
    <row r="284" spans="1:3" x14ac:dyDescent="0.3">
      <c r="A284" s="12"/>
      <c r="B284" s="12"/>
      <c r="C284" s="16"/>
    </row>
    <row r="285" spans="1:3" x14ac:dyDescent="0.3">
      <c r="A285" s="12"/>
      <c r="B285" s="12"/>
      <c r="C285" s="16"/>
    </row>
    <row r="286" spans="1:3" x14ac:dyDescent="0.3">
      <c r="A286" s="12"/>
      <c r="B286" s="12"/>
      <c r="C286" s="16"/>
    </row>
    <row r="287" spans="1:3" x14ac:dyDescent="0.3">
      <c r="A287" s="12"/>
      <c r="B287" s="12"/>
      <c r="C287" s="16"/>
    </row>
    <row r="288" spans="1:3" x14ac:dyDescent="0.3">
      <c r="A288" s="12"/>
      <c r="B288" s="12"/>
      <c r="C288" s="16"/>
    </row>
    <row r="289" spans="1:3" x14ac:dyDescent="0.3">
      <c r="A289" s="12"/>
      <c r="B289" s="12"/>
      <c r="C289" s="16"/>
    </row>
    <row r="290" spans="1:3" x14ac:dyDescent="0.3">
      <c r="A290" s="12"/>
      <c r="B290" s="12"/>
      <c r="C290" s="16"/>
    </row>
    <row r="291" spans="1:3" x14ac:dyDescent="0.3">
      <c r="A291" s="12"/>
      <c r="B291" s="12"/>
      <c r="C291" s="16"/>
    </row>
    <row r="292" spans="1:3" x14ac:dyDescent="0.3">
      <c r="A292" s="12"/>
      <c r="B292" s="12"/>
      <c r="C292" s="16"/>
    </row>
    <row r="293" spans="1:3" x14ac:dyDescent="0.3">
      <c r="A293" s="12"/>
      <c r="B293" s="12"/>
      <c r="C293" s="16"/>
    </row>
    <row r="294" spans="1:3" x14ac:dyDescent="0.3">
      <c r="A294" s="12"/>
      <c r="B294" s="12"/>
      <c r="C294" s="16"/>
    </row>
    <row r="295" spans="1:3" x14ac:dyDescent="0.3">
      <c r="A295" s="12"/>
      <c r="B295" s="12"/>
      <c r="C295" s="16"/>
    </row>
    <row r="296" spans="1:3" x14ac:dyDescent="0.3">
      <c r="A296" s="12"/>
      <c r="B296" s="12"/>
      <c r="C296" s="16"/>
    </row>
    <row r="297" spans="1:3" x14ac:dyDescent="0.3">
      <c r="A297" s="12"/>
      <c r="B297" s="12"/>
      <c r="C297" s="16"/>
    </row>
    <row r="298" spans="1:3" x14ac:dyDescent="0.3">
      <c r="A298" s="12"/>
      <c r="B298" s="12"/>
      <c r="C298" s="16"/>
    </row>
    <row r="299" spans="1:3" x14ac:dyDescent="0.3">
      <c r="A299" s="12"/>
      <c r="B299" s="12"/>
      <c r="C299" s="16"/>
    </row>
    <row r="300" spans="1:3" x14ac:dyDescent="0.3">
      <c r="A300" s="12"/>
      <c r="B300" s="12"/>
      <c r="C300" s="16"/>
    </row>
    <row r="301" spans="1:3" x14ac:dyDescent="0.3">
      <c r="A301" s="12"/>
      <c r="B301" s="12"/>
      <c r="C301" s="16"/>
    </row>
    <row r="302" spans="1:3" x14ac:dyDescent="0.3">
      <c r="A302" s="12"/>
      <c r="B302" s="12"/>
      <c r="C302" s="16"/>
    </row>
    <row r="303" spans="1:3" x14ac:dyDescent="0.3">
      <c r="A303" s="12"/>
      <c r="B303" s="12"/>
      <c r="C303" s="16"/>
    </row>
    <row r="304" spans="1:3" x14ac:dyDescent="0.3">
      <c r="A304" s="12"/>
      <c r="B304" s="12"/>
      <c r="C304" s="16"/>
    </row>
    <row r="305" spans="1:3" x14ac:dyDescent="0.3">
      <c r="A305" s="12"/>
      <c r="B305" s="12"/>
      <c r="C305" s="16"/>
    </row>
    <row r="306" spans="1:3" x14ac:dyDescent="0.3">
      <c r="A306" s="12"/>
      <c r="B306" s="12"/>
      <c r="C306" s="16"/>
    </row>
    <row r="307" spans="1:3" x14ac:dyDescent="0.3">
      <c r="A307" s="12"/>
      <c r="B307" s="12"/>
      <c r="C307" s="16"/>
    </row>
    <row r="308" spans="1:3" x14ac:dyDescent="0.3">
      <c r="A308" s="12"/>
      <c r="B308" s="12"/>
      <c r="C308" s="16"/>
    </row>
    <row r="309" spans="1:3" x14ac:dyDescent="0.3">
      <c r="A309" s="12"/>
      <c r="B309" s="12"/>
      <c r="C309" s="16"/>
    </row>
    <row r="310" spans="1:3" x14ac:dyDescent="0.3">
      <c r="A310" s="12"/>
      <c r="B310" s="12"/>
      <c r="C310" s="16"/>
    </row>
    <row r="311" spans="1:3" x14ac:dyDescent="0.3">
      <c r="A311" s="12"/>
      <c r="B311" s="12"/>
      <c r="C311" s="16"/>
    </row>
    <row r="312" spans="1:3" x14ac:dyDescent="0.3">
      <c r="A312" s="12"/>
      <c r="B312" s="12"/>
      <c r="C312" s="16"/>
    </row>
    <row r="313" spans="1:3" x14ac:dyDescent="0.3">
      <c r="A313" s="12"/>
      <c r="B313" s="12"/>
      <c r="C313" s="16"/>
    </row>
    <row r="314" spans="1:3" x14ac:dyDescent="0.3">
      <c r="A314" s="12"/>
      <c r="B314" s="12"/>
      <c r="C314" s="16"/>
    </row>
    <row r="315" spans="1:3" x14ac:dyDescent="0.3">
      <c r="A315" s="12"/>
      <c r="B315" s="12"/>
      <c r="C315" s="16"/>
    </row>
    <row r="316" spans="1:3" x14ac:dyDescent="0.3">
      <c r="A316" s="12"/>
      <c r="B316" s="12"/>
      <c r="C316" s="16"/>
    </row>
    <row r="317" spans="1:3" x14ac:dyDescent="0.3">
      <c r="A317" s="12"/>
      <c r="B317" s="12"/>
      <c r="C317" s="16"/>
    </row>
    <row r="318" spans="1:3" x14ac:dyDescent="0.3">
      <c r="A318" s="12"/>
      <c r="B318" s="12"/>
      <c r="C318" s="16"/>
    </row>
    <row r="319" spans="1:3" x14ac:dyDescent="0.3">
      <c r="A319" s="12"/>
      <c r="B319" s="12"/>
      <c r="C319" s="16"/>
    </row>
    <row r="320" spans="1:3" x14ac:dyDescent="0.3">
      <c r="A320" s="12"/>
      <c r="B320" s="12"/>
      <c r="C320" s="16"/>
    </row>
    <row r="321" spans="1:3" x14ac:dyDescent="0.3">
      <c r="A321" s="12"/>
      <c r="B321" s="12"/>
      <c r="C321" s="16"/>
    </row>
    <row r="322" spans="1:3" x14ac:dyDescent="0.3">
      <c r="A322" s="12"/>
      <c r="B322" s="12"/>
      <c r="C322" s="16"/>
    </row>
    <row r="323" spans="1:3" x14ac:dyDescent="0.3">
      <c r="A323" s="12"/>
      <c r="B323" s="12"/>
      <c r="C323" s="16"/>
    </row>
    <row r="324" spans="1:3" x14ac:dyDescent="0.3">
      <c r="A324" s="12"/>
      <c r="B324" s="12"/>
      <c r="C324" s="16"/>
    </row>
    <row r="325" spans="1:3" x14ac:dyDescent="0.3">
      <c r="A325" s="12"/>
      <c r="B325" s="12"/>
      <c r="C325" s="16"/>
    </row>
    <row r="326" spans="1:3" x14ac:dyDescent="0.3">
      <c r="A326" s="12"/>
      <c r="B326" s="12"/>
      <c r="C326" s="16"/>
    </row>
    <row r="327" spans="1:3" x14ac:dyDescent="0.3">
      <c r="A327" s="12"/>
      <c r="B327" s="12"/>
      <c r="C327" s="16"/>
    </row>
    <row r="328" spans="1:3" x14ac:dyDescent="0.3">
      <c r="A328" s="12"/>
      <c r="B328" s="12"/>
      <c r="C328" s="16"/>
    </row>
    <row r="329" spans="1:3" x14ac:dyDescent="0.3">
      <c r="A329" s="12"/>
      <c r="B329" s="12"/>
      <c r="C329" s="16"/>
    </row>
    <row r="330" spans="1:3" x14ac:dyDescent="0.3">
      <c r="A330" s="12"/>
      <c r="B330" s="12"/>
      <c r="C330" s="16"/>
    </row>
    <row r="331" spans="1:3" x14ac:dyDescent="0.3">
      <c r="A331" s="12"/>
      <c r="B331" s="12"/>
      <c r="C331" s="16"/>
    </row>
    <row r="332" spans="1:3" x14ac:dyDescent="0.3">
      <c r="A332" s="12"/>
      <c r="B332" s="12"/>
      <c r="C332" s="16"/>
    </row>
    <row r="333" spans="1:3" x14ac:dyDescent="0.3">
      <c r="A333" s="12"/>
      <c r="B333" s="12"/>
      <c r="C333" s="16"/>
    </row>
    <row r="334" spans="1:3" x14ac:dyDescent="0.3">
      <c r="A334" s="12"/>
      <c r="B334" s="12"/>
      <c r="C334" s="16"/>
    </row>
    <row r="335" spans="1:3" x14ac:dyDescent="0.3">
      <c r="A335" s="12"/>
      <c r="B335" s="12"/>
      <c r="C335" s="16"/>
    </row>
    <row r="336" spans="1:3" x14ac:dyDescent="0.3">
      <c r="A336" s="12"/>
      <c r="B336" s="12"/>
      <c r="C336" s="16"/>
    </row>
    <row r="337" spans="1:3" x14ac:dyDescent="0.3">
      <c r="A337" s="12"/>
      <c r="B337" s="12"/>
      <c r="C337" s="16"/>
    </row>
    <row r="338" spans="1:3" x14ac:dyDescent="0.3">
      <c r="A338" s="12"/>
      <c r="B338" s="12"/>
      <c r="C338" s="16"/>
    </row>
    <row r="339" spans="1:3" x14ac:dyDescent="0.3">
      <c r="A339" s="12"/>
      <c r="B339" s="12"/>
      <c r="C339" s="16"/>
    </row>
    <row r="340" spans="1:3" x14ac:dyDescent="0.3">
      <c r="A340" s="12"/>
      <c r="B340" s="12"/>
      <c r="C340" s="16"/>
    </row>
    <row r="341" spans="1:3" x14ac:dyDescent="0.3">
      <c r="A341" s="12"/>
      <c r="B341" s="12"/>
      <c r="C341" s="16"/>
    </row>
    <row r="342" spans="1:3" x14ac:dyDescent="0.3">
      <c r="A342" s="12"/>
      <c r="B342" s="12"/>
      <c r="C342" s="16"/>
    </row>
    <row r="343" spans="1:3" x14ac:dyDescent="0.3">
      <c r="A343" s="12"/>
      <c r="B343" s="12"/>
      <c r="C343" s="16"/>
    </row>
    <row r="344" spans="1:3" x14ac:dyDescent="0.3">
      <c r="A344" s="12"/>
      <c r="B344" s="12"/>
      <c r="C344" s="16"/>
    </row>
    <row r="345" spans="1:3" x14ac:dyDescent="0.3">
      <c r="A345" s="12"/>
      <c r="B345" s="12"/>
      <c r="C345" s="16"/>
    </row>
    <row r="346" spans="1:3" x14ac:dyDescent="0.3">
      <c r="A346" s="12"/>
      <c r="B346" s="12"/>
      <c r="C346" s="16"/>
    </row>
    <row r="347" spans="1:3" x14ac:dyDescent="0.3">
      <c r="A347" s="12"/>
      <c r="B347" s="12"/>
      <c r="C347" s="16"/>
    </row>
    <row r="348" spans="1:3" x14ac:dyDescent="0.3">
      <c r="A348" s="12"/>
      <c r="B348" s="12"/>
      <c r="C348" s="16"/>
    </row>
    <row r="349" spans="1:3" x14ac:dyDescent="0.3">
      <c r="A349" s="12"/>
      <c r="B349" s="12"/>
      <c r="C349" s="16"/>
    </row>
    <row r="350" spans="1:3" x14ac:dyDescent="0.3">
      <c r="A350" s="12"/>
      <c r="B350" s="12"/>
      <c r="C350" s="16"/>
    </row>
    <row r="351" spans="1:3" x14ac:dyDescent="0.3">
      <c r="A351" s="12"/>
      <c r="B351" s="12"/>
      <c r="C351" s="16"/>
    </row>
    <row r="352" spans="1:3" x14ac:dyDescent="0.3">
      <c r="A352" s="12"/>
      <c r="B352" s="12"/>
      <c r="C352" s="16"/>
    </row>
    <row r="353" spans="1:3" x14ac:dyDescent="0.3">
      <c r="A353" s="12"/>
      <c r="B353" s="12"/>
      <c r="C353" s="16"/>
    </row>
    <row r="354" spans="1:3" x14ac:dyDescent="0.3">
      <c r="A354" s="12"/>
      <c r="B354" s="12"/>
      <c r="C354" s="16"/>
    </row>
    <row r="355" spans="1:3" x14ac:dyDescent="0.3">
      <c r="A355" s="12"/>
      <c r="B355" s="12"/>
      <c r="C355" s="16"/>
    </row>
    <row r="356" spans="1:3" x14ac:dyDescent="0.3">
      <c r="A356" s="12"/>
      <c r="B356" s="12"/>
      <c r="C356" s="16"/>
    </row>
    <row r="357" spans="1:3" x14ac:dyDescent="0.3">
      <c r="A357" s="12"/>
      <c r="B357" s="12"/>
      <c r="C357" s="16"/>
    </row>
    <row r="358" spans="1:3" x14ac:dyDescent="0.3">
      <c r="A358" s="12"/>
      <c r="B358" s="12"/>
      <c r="C358" s="16"/>
    </row>
    <row r="359" spans="1:3" x14ac:dyDescent="0.3">
      <c r="A359" s="12"/>
      <c r="B359" s="12"/>
      <c r="C359" s="16"/>
    </row>
    <row r="360" spans="1:3" x14ac:dyDescent="0.3">
      <c r="A360" s="12"/>
      <c r="B360" s="12"/>
      <c r="C360" s="16"/>
    </row>
    <row r="361" spans="1:3" x14ac:dyDescent="0.3">
      <c r="A361" s="12"/>
      <c r="B361" s="12"/>
      <c r="C361" s="16"/>
    </row>
    <row r="362" spans="1:3" x14ac:dyDescent="0.3">
      <c r="A362" s="12"/>
      <c r="B362" s="12"/>
      <c r="C362" s="16"/>
    </row>
    <row r="363" spans="1:3" x14ac:dyDescent="0.3">
      <c r="A363" s="12"/>
      <c r="B363" s="12"/>
      <c r="C363" s="16"/>
    </row>
    <row r="364" spans="1:3" x14ac:dyDescent="0.3">
      <c r="A364" s="12"/>
      <c r="B364" s="12"/>
      <c r="C364" s="16"/>
    </row>
    <row r="365" spans="1:3" x14ac:dyDescent="0.3">
      <c r="A365" s="12"/>
      <c r="B365" s="12"/>
      <c r="C365" s="16"/>
    </row>
    <row r="366" spans="1:3" x14ac:dyDescent="0.3">
      <c r="A366" s="12"/>
      <c r="B366" s="12"/>
      <c r="C366" s="16"/>
    </row>
    <row r="367" spans="1:3" x14ac:dyDescent="0.3">
      <c r="A367" s="12"/>
      <c r="B367" s="12"/>
      <c r="C367" s="16"/>
    </row>
    <row r="368" spans="1:3" x14ac:dyDescent="0.3">
      <c r="A368" s="12"/>
      <c r="B368" s="12"/>
      <c r="C368" s="16"/>
    </row>
    <row r="369" spans="1:3" x14ac:dyDescent="0.3">
      <c r="A369" s="12"/>
      <c r="B369" s="12"/>
      <c r="C369" s="16"/>
    </row>
    <row r="370" spans="1:3" x14ac:dyDescent="0.3">
      <c r="A370" s="12"/>
      <c r="B370" s="12"/>
      <c r="C370" s="16"/>
    </row>
    <row r="371" spans="1:3" x14ac:dyDescent="0.3">
      <c r="A371" s="12"/>
      <c r="B371" s="12"/>
      <c r="C371" s="16"/>
    </row>
    <row r="372" spans="1:3" x14ac:dyDescent="0.3">
      <c r="A372" s="12"/>
      <c r="B372" s="12"/>
      <c r="C372" s="16"/>
    </row>
    <row r="373" spans="1:3" x14ac:dyDescent="0.3">
      <c r="A373" s="12"/>
      <c r="B373" s="12"/>
      <c r="C373" s="16"/>
    </row>
    <row r="374" spans="1:3" x14ac:dyDescent="0.3">
      <c r="A374" s="12"/>
      <c r="B374" s="12"/>
      <c r="C374" s="16"/>
    </row>
    <row r="375" spans="1:3" x14ac:dyDescent="0.3">
      <c r="A375" s="12"/>
      <c r="B375" s="12"/>
      <c r="C375" s="16"/>
    </row>
    <row r="376" spans="1:3" x14ac:dyDescent="0.3">
      <c r="A376" s="12"/>
      <c r="B376" s="12"/>
      <c r="C376" s="16"/>
    </row>
    <row r="377" spans="1:3" x14ac:dyDescent="0.3">
      <c r="A377" s="12"/>
      <c r="B377" s="12"/>
      <c r="C377" s="16"/>
    </row>
    <row r="378" spans="1:3" x14ac:dyDescent="0.3">
      <c r="A378" s="12"/>
      <c r="B378" s="12"/>
      <c r="C378" s="16"/>
    </row>
    <row r="379" spans="1:3" x14ac:dyDescent="0.3">
      <c r="A379" s="12"/>
      <c r="B379" s="12"/>
      <c r="C379" s="16"/>
    </row>
    <row r="380" spans="1:3" x14ac:dyDescent="0.3">
      <c r="A380" s="12"/>
      <c r="B380" s="12"/>
      <c r="C380" s="16"/>
    </row>
    <row r="381" spans="1:3" x14ac:dyDescent="0.3">
      <c r="A381" s="12"/>
      <c r="B381" s="12"/>
      <c r="C381" s="16"/>
    </row>
    <row r="382" spans="1:3" x14ac:dyDescent="0.3">
      <c r="A382" s="12"/>
      <c r="B382" s="12"/>
      <c r="C382" s="16"/>
    </row>
    <row r="383" spans="1:3" x14ac:dyDescent="0.3">
      <c r="A383" s="12"/>
      <c r="B383" s="12"/>
      <c r="C383" s="16"/>
    </row>
    <row r="384" spans="1:3" x14ac:dyDescent="0.3">
      <c r="A384" s="12"/>
      <c r="B384" s="12"/>
      <c r="C384" s="16"/>
    </row>
    <row r="385" spans="1:3" x14ac:dyDescent="0.3">
      <c r="A385" s="12"/>
      <c r="B385" s="12"/>
      <c r="C385" s="16"/>
    </row>
    <row r="386" spans="1:3" x14ac:dyDescent="0.3">
      <c r="A386" s="12"/>
      <c r="B386" s="12"/>
      <c r="C386" s="16"/>
    </row>
    <row r="387" spans="1:3" x14ac:dyDescent="0.3">
      <c r="A387" s="12"/>
      <c r="B387" s="12"/>
      <c r="C387" s="16"/>
    </row>
    <row r="388" spans="1:3" x14ac:dyDescent="0.3">
      <c r="A388" s="12"/>
      <c r="B388" s="12"/>
      <c r="C388" s="16"/>
    </row>
    <row r="389" spans="1:3" x14ac:dyDescent="0.3">
      <c r="A389" s="12"/>
      <c r="B389" s="12"/>
      <c r="C389" s="16"/>
    </row>
    <row r="390" spans="1:3" x14ac:dyDescent="0.3">
      <c r="A390" s="12"/>
      <c r="B390" s="12"/>
      <c r="C390" s="16"/>
    </row>
    <row r="391" spans="1:3" x14ac:dyDescent="0.3">
      <c r="A391" s="12"/>
      <c r="B391" s="12"/>
      <c r="C391" s="16"/>
    </row>
    <row r="392" spans="1:3" x14ac:dyDescent="0.3">
      <c r="A392" s="12"/>
      <c r="B392" s="12"/>
      <c r="C392" s="16"/>
    </row>
    <row r="393" spans="1:3" x14ac:dyDescent="0.3">
      <c r="A393" s="12"/>
      <c r="B393" s="12"/>
      <c r="C393" s="16"/>
    </row>
    <row r="394" spans="1:3" x14ac:dyDescent="0.3">
      <c r="A394" s="12"/>
      <c r="B394" s="12"/>
      <c r="C394" s="16"/>
    </row>
    <row r="395" spans="1:3" x14ac:dyDescent="0.3">
      <c r="A395" s="12"/>
      <c r="B395" s="12"/>
      <c r="C395" s="16"/>
    </row>
    <row r="396" spans="1:3" x14ac:dyDescent="0.3">
      <c r="A396" s="12"/>
      <c r="B396" s="12"/>
      <c r="C396" s="16"/>
    </row>
    <row r="397" spans="1:3" x14ac:dyDescent="0.3">
      <c r="A397" s="12"/>
      <c r="B397" s="12"/>
      <c r="C397" s="16"/>
    </row>
    <row r="398" spans="1:3" x14ac:dyDescent="0.3">
      <c r="A398" s="12"/>
      <c r="B398" s="12"/>
      <c r="C398" s="16"/>
    </row>
    <row r="399" spans="1:3" x14ac:dyDescent="0.3">
      <c r="A399" s="12"/>
      <c r="B399" s="12"/>
      <c r="C399" s="16"/>
    </row>
    <row r="400" spans="1:3" x14ac:dyDescent="0.3">
      <c r="A400" s="12"/>
      <c r="B400" s="12"/>
      <c r="C400" s="16"/>
    </row>
    <row r="401" spans="1:3" x14ac:dyDescent="0.3">
      <c r="A401" s="12"/>
      <c r="B401" s="12"/>
      <c r="C401" s="16"/>
    </row>
    <row r="402" spans="1:3" x14ac:dyDescent="0.3">
      <c r="A402" s="12"/>
      <c r="B402" s="12"/>
      <c r="C402" s="16"/>
    </row>
    <row r="403" spans="1:3" x14ac:dyDescent="0.3">
      <c r="A403" s="12"/>
      <c r="B403" s="12"/>
      <c r="C403" s="16"/>
    </row>
    <row r="404" spans="1:3" x14ac:dyDescent="0.3">
      <c r="A404" s="12"/>
      <c r="B404" s="12"/>
      <c r="C404" s="16"/>
    </row>
    <row r="405" spans="1:3" x14ac:dyDescent="0.3">
      <c r="A405" s="12"/>
      <c r="B405" s="12"/>
      <c r="C405" s="16"/>
    </row>
    <row r="406" spans="1:3" x14ac:dyDescent="0.3">
      <c r="A406" s="12"/>
      <c r="B406" s="12"/>
      <c r="C406" s="16"/>
    </row>
    <row r="407" spans="1:3" x14ac:dyDescent="0.3">
      <c r="A407" s="12"/>
      <c r="B407" s="12"/>
      <c r="C407" s="16"/>
    </row>
    <row r="408" spans="1:3" x14ac:dyDescent="0.3">
      <c r="A408" s="12"/>
      <c r="B408" s="12"/>
      <c r="C408" s="16"/>
    </row>
    <row r="409" spans="1:3" x14ac:dyDescent="0.3">
      <c r="A409" s="12"/>
      <c r="B409" s="12"/>
      <c r="C409" s="16"/>
    </row>
    <row r="410" spans="1:3" x14ac:dyDescent="0.3">
      <c r="A410" s="12"/>
      <c r="B410" s="12"/>
      <c r="C410" s="16"/>
    </row>
    <row r="411" spans="1:3" x14ac:dyDescent="0.3">
      <c r="A411" s="12"/>
      <c r="B411" s="12"/>
      <c r="C411" s="16"/>
    </row>
    <row r="412" spans="1:3" x14ac:dyDescent="0.3">
      <c r="A412" s="12"/>
      <c r="B412" s="12"/>
      <c r="C412" s="16"/>
    </row>
    <row r="413" spans="1:3" x14ac:dyDescent="0.3">
      <c r="A413" s="12"/>
      <c r="B413" s="12"/>
      <c r="C413" s="16"/>
    </row>
    <row r="414" spans="1:3" x14ac:dyDescent="0.3">
      <c r="A414" s="12"/>
      <c r="B414" s="12"/>
      <c r="C414" s="16"/>
    </row>
    <row r="415" spans="1:3" x14ac:dyDescent="0.3">
      <c r="A415" s="12"/>
      <c r="B415" s="12"/>
      <c r="C415" s="16"/>
    </row>
    <row r="416" spans="1:3" x14ac:dyDescent="0.3">
      <c r="A416" s="12"/>
      <c r="B416" s="12"/>
      <c r="C416" s="16"/>
    </row>
    <row r="417" spans="1:3" x14ac:dyDescent="0.3">
      <c r="A417" s="12"/>
      <c r="B417" s="12"/>
      <c r="C417" s="16"/>
    </row>
    <row r="418" spans="1:3" x14ac:dyDescent="0.3">
      <c r="A418" s="12"/>
      <c r="B418" s="12"/>
      <c r="C418" s="16"/>
    </row>
    <row r="419" spans="1:3" x14ac:dyDescent="0.3">
      <c r="A419" s="12"/>
      <c r="B419" s="12"/>
      <c r="C419" s="16"/>
    </row>
    <row r="420" spans="1:3" x14ac:dyDescent="0.3">
      <c r="A420" s="12"/>
      <c r="B420" s="12"/>
      <c r="C420" s="16"/>
    </row>
    <row r="421" spans="1:3" x14ac:dyDescent="0.3">
      <c r="A421" s="12"/>
      <c r="B421" s="12"/>
      <c r="C421" s="16"/>
    </row>
    <row r="422" spans="1:3" x14ac:dyDescent="0.3">
      <c r="A422" s="12"/>
      <c r="B422" s="12"/>
      <c r="C422" s="16"/>
    </row>
    <row r="423" spans="1:3" x14ac:dyDescent="0.3">
      <c r="A423" s="12"/>
      <c r="B423" s="12"/>
      <c r="C423" s="16"/>
    </row>
    <row r="424" spans="1:3" x14ac:dyDescent="0.3">
      <c r="A424" s="12"/>
      <c r="B424" s="12"/>
      <c r="C424" s="16"/>
    </row>
    <row r="425" spans="1:3" x14ac:dyDescent="0.3">
      <c r="A425" s="12"/>
      <c r="B425" s="12"/>
      <c r="C425" s="16"/>
    </row>
    <row r="426" spans="1:3" x14ac:dyDescent="0.3">
      <c r="A426" s="12"/>
      <c r="B426" s="12"/>
      <c r="C426" s="16"/>
    </row>
    <row r="427" spans="1:3" x14ac:dyDescent="0.3">
      <c r="A427" s="12"/>
      <c r="B427" s="12"/>
      <c r="C427" s="16"/>
    </row>
    <row r="428" spans="1:3" x14ac:dyDescent="0.3">
      <c r="A428" s="12"/>
      <c r="B428" s="12"/>
      <c r="C428" s="16"/>
    </row>
    <row r="429" spans="1:3" x14ac:dyDescent="0.3">
      <c r="A429" s="12"/>
      <c r="B429" s="12"/>
      <c r="C429" s="16"/>
    </row>
    <row r="430" spans="1:3" x14ac:dyDescent="0.3">
      <c r="A430" s="12"/>
      <c r="B430" s="12"/>
      <c r="C430" s="16"/>
    </row>
    <row r="431" spans="1:3" x14ac:dyDescent="0.3">
      <c r="A431" s="12"/>
      <c r="B431" s="12"/>
      <c r="C431" s="16"/>
    </row>
    <row r="432" spans="1:3" x14ac:dyDescent="0.3">
      <c r="A432" s="12"/>
      <c r="B432" s="12"/>
      <c r="C432" s="16"/>
    </row>
    <row r="433" spans="1:3" x14ac:dyDescent="0.3">
      <c r="A433" s="12"/>
      <c r="B433" s="12"/>
      <c r="C433" s="16"/>
    </row>
    <row r="434" spans="1:3" x14ac:dyDescent="0.3">
      <c r="A434" s="12"/>
      <c r="B434" s="12"/>
      <c r="C434" s="16"/>
    </row>
    <row r="435" spans="1:3" x14ac:dyDescent="0.3">
      <c r="A435" s="12"/>
      <c r="B435" s="12"/>
      <c r="C435" s="16"/>
    </row>
    <row r="436" spans="1:3" x14ac:dyDescent="0.3">
      <c r="A436" s="12"/>
      <c r="B436" s="12"/>
      <c r="C436" s="16"/>
    </row>
    <row r="437" spans="1:3" x14ac:dyDescent="0.3">
      <c r="A437" s="12"/>
      <c r="B437" s="12"/>
      <c r="C437" s="16"/>
    </row>
    <row r="438" spans="1:3" x14ac:dyDescent="0.3">
      <c r="A438" s="12"/>
      <c r="B438" s="12"/>
      <c r="C438" s="16"/>
    </row>
    <row r="439" spans="1:3" x14ac:dyDescent="0.3">
      <c r="A439" s="12"/>
      <c r="B439" s="12"/>
      <c r="C439" s="16"/>
    </row>
    <row r="440" spans="1:3" x14ac:dyDescent="0.3">
      <c r="A440" s="12"/>
      <c r="B440" s="12"/>
      <c r="C440" s="16"/>
    </row>
    <row r="441" spans="1:3" x14ac:dyDescent="0.3">
      <c r="A441" s="12"/>
      <c r="B441" s="12"/>
      <c r="C441" s="16"/>
    </row>
    <row r="442" spans="1:3" x14ac:dyDescent="0.3">
      <c r="A442" s="12"/>
      <c r="B442" s="12"/>
      <c r="C442" s="16"/>
    </row>
    <row r="443" spans="1:3" x14ac:dyDescent="0.3">
      <c r="A443" s="12"/>
      <c r="B443" s="12"/>
      <c r="C443" s="16"/>
    </row>
    <row r="444" spans="1:3" x14ac:dyDescent="0.3">
      <c r="A444" s="12"/>
      <c r="B444" s="12"/>
      <c r="C444" s="16"/>
    </row>
    <row r="445" spans="1:3" x14ac:dyDescent="0.3">
      <c r="A445" s="12"/>
      <c r="B445" s="12"/>
      <c r="C445" s="16"/>
    </row>
    <row r="446" spans="1:3" x14ac:dyDescent="0.3">
      <c r="A446" s="12"/>
      <c r="B446" s="12"/>
      <c r="C446" s="16"/>
    </row>
    <row r="447" spans="1:3" x14ac:dyDescent="0.3">
      <c r="A447" s="12"/>
      <c r="B447" s="12"/>
      <c r="C447" s="16"/>
    </row>
    <row r="448" spans="1:3" x14ac:dyDescent="0.3">
      <c r="A448" s="12"/>
      <c r="B448" s="12"/>
      <c r="C448" s="16"/>
    </row>
    <row r="449" spans="1:3" x14ac:dyDescent="0.3">
      <c r="A449" s="12"/>
      <c r="B449" s="12"/>
      <c r="C449" s="16"/>
    </row>
    <row r="450" spans="1:3" x14ac:dyDescent="0.3">
      <c r="A450" s="12"/>
      <c r="B450" s="12"/>
      <c r="C450" s="16"/>
    </row>
    <row r="451" spans="1:3" x14ac:dyDescent="0.3">
      <c r="A451" s="12"/>
      <c r="B451" s="12"/>
      <c r="C451" s="16"/>
    </row>
    <row r="452" spans="1:3" x14ac:dyDescent="0.3">
      <c r="A452" s="12"/>
      <c r="B452" s="12"/>
      <c r="C452" s="16"/>
    </row>
    <row r="453" spans="1:3" x14ac:dyDescent="0.3">
      <c r="A453" s="12"/>
      <c r="B453" s="12"/>
      <c r="C453" s="16"/>
    </row>
    <row r="454" spans="1:3" x14ac:dyDescent="0.3">
      <c r="A454" s="12"/>
      <c r="B454" s="12"/>
      <c r="C454" s="16"/>
    </row>
    <row r="455" spans="1:3" x14ac:dyDescent="0.3">
      <c r="A455" s="12"/>
      <c r="B455" s="12"/>
      <c r="C455" s="16"/>
    </row>
    <row r="456" spans="1:3" x14ac:dyDescent="0.3">
      <c r="A456" s="12"/>
      <c r="B456" s="12"/>
      <c r="C456" s="16"/>
    </row>
    <row r="457" spans="1:3" x14ac:dyDescent="0.3">
      <c r="A457" s="12"/>
      <c r="B457" s="12"/>
      <c r="C457" s="16"/>
    </row>
    <row r="458" spans="1:3" x14ac:dyDescent="0.3">
      <c r="A458" s="12"/>
      <c r="B458" s="12"/>
      <c r="C458" s="16"/>
    </row>
    <row r="459" spans="1:3" x14ac:dyDescent="0.3">
      <c r="A459" s="12"/>
      <c r="B459" s="12"/>
      <c r="C459" s="16"/>
    </row>
    <row r="460" spans="1:3" x14ac:dyDescent="0.3">
      <c r="A460" s="12"/>
      <c r="B460" s="12"/>
      <c r="C460" s="16"/>
    </row>
    <row r="461" spans="1:3" x14ac:dyDescent="0.3">
      <c r="A461" s="12"/>
      <c r="B461" s="12"/>
      <c r="C461" s="16"/>
    </row>
    <row r="462" spans="1:3" x14ac:dyDescent="0.3">
      <c r="A462" s="12"/>
      <c r="B462" s="12"/>
      <c r="C462" s="16"/>
    </row>
    <row r="463" spans="1:3" x14ac:dyDescent="0.3">
      <c r="A463" s="12"/>
      <c r="B463" s="12"/>
      <c r="C463" s="16"/>
    </row>
    <row r="464" spans="1:3" x14ac:dyDescent="0.3">
      <c r="A464" s="12"/>
      <c r="B464" s="12"/>
      <c r="C464" s="16"/>
    </row>
    <row r="465" spans="1:3" x14ac:dyDescent="0.3">
      <c r="A465" s="12"/>
      <c r="B465" s="12"/>
      <c r="C465" s="16"/>
    </row>
    <row r="466" spans="1:3" x14ac:dyDescent="0.3">
      <c r="A466" s="12"/>
      <c r="B466" s="12"/>
      <c r="C466" s="16"/>
    </row>
    <row r="467" spans="1:3" x14ac:dyDescent="0.3">
      <c r="A467" s="12"/>
      <c r="B467" s="12"/>
      <c r="C467" s="16"/>
    </row>
    <row r="468" spans="1:3" x14ac:dyDescent="0.3">
      <c r="A468" s="12"/>
      <c r="B468" s="12"/>
      <c r="C468" s="16"/>
    </row>
    <row r="469" spans="1:3" x14ac:dyDescent="0.3">
      <c r="A469" s="12"/>
      <c r="B469" s="12"/>
      <c r="C469" s="16"/>
    </row>
    <row r="470" spans="1:3" x14ac:dyDescent="0.3">
      <c r="A470" s="12"/>
      <c r="B470" s="12"/>
      <c r="C470" s="16"/>
    </row>
    <row r="471" spans="1:3" x14ac:dyDescent="0.3">
      <c r="A471" s="12"/>
      <c r="B471" s="12"/>
      <c r="C471" s="16"/>
    </row>
    <row r="472" spans="1:3" x14ac:dyDescent="0.3">
      <c r="A472" s="12"/>
      <c r="B472" s="12"/>
      <c r="C472" s="16"/>
    </row>
    <row r="473" spans="1:3" x14ac:dyDescent="0.3">
      <c r="A473" s="12"/>
      <c r="B473" s="12"/>
      <c r="C473" s="16"/>
    </row>
    <row r="474" spans="1:3" x14ac:dyDescent="0.3">
      <c r="A474" s="12"/>
      <c r="B474" s="12"/>
      <c r="C474" s="16"/>
    </row>
    <row r="475" spans="1:3" x14ac:dyDescent="0.3">
      <c r="A475" s="12"/>
      <c r="B475" s="12"/>
      <c r="C475" s="16"/>
    </row>
    <row r="476" spans="1:3" x14ac:dyDescent="0.3">
      <c r="A476" s="12"/>
      <c r="B476" s="12"/>
      <c r="C476" s="16"/>
    </row>
    <row r="477" spans="1:3" x14ac:dyDescent="0.3">
      <c r="A477" s="12"/>
      <c r="B477" s="12"/>
      <c r="C477" s="16"/>
    </row>
    <row r="478" spans="1:3" x14ac:dyDescent="0.3">
      <c r="A478" s="12"/>
      <c r="B478" s="12"/>
      <c r="C478" s="16"/>
    </row>
    <row r="479" spans="1:3" x14ac:dyDescent="0.3">
      <c r="A479" s="12"/>
      <c r="B479" s="12"/>
      <c r="C479" s="16"/>
    </row>
    <row r="480" spans="1:3" x14ac:dyDescent="0.3">
      <c r="A480" s="12"/>
      <c r="B480" s="12"/>
      <c r="C480" s="16"/>
    </row>
    <row r="481" spans="1:3" x14ac:dyDescent="0.3">
      <c r="A481" s="12"/>
      <c r="B481" s="12"/>
      <c r="C481" s="16"/>
    </row>
    <row r="482" spans="1:3" x14ac:dyDescent="0.3">
      <c r="A482" s="12"/>
      <c r="B482" s="12"/>
    </row>
    <row r="483" spans="1:3" x14ac:dyDescent="0.3">
      <c r="A483" s="12"/>
      <c r="B483" s="12"/>
    </row>
    <row r="484" spans="1:3" x14ac:dyDescent="0.3">
      <c r="A484" s="12"/>
      <c r="B484" s="12"/>
    </row>
    <row r="485" spans="1:3" x14ac:dyDescent="0.3">
      <c r="A485" s="12"/>
      <c r="B485" s="12"/>
    </row>
    <row r="486" spans="1:3" x14ac:dyDescent="0.3">
      <c r="A486" s="12"/>
      <c r="B486" s="12"/>
    </row>
    <row r="487" spans="1:3" x14ac:dyDescent="0.3">
      <c r="A487" s="12"/>
      <c r="B487" s="12"/>
    </row>
  </sheetData>
  <sortState ref="Y20:Y83">
    <sortCondition descending="1" ref="Y20"/>
  </sortState>
  <mergeCells count="3">
    <mergeCell ref="A13:V13"/>
    <mergeCell ref="A15:C15"/>
    <mergeCell ref="F15:J1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_marlin_table">
                <anchor moveWithCells="1" sizeWithCells="1">
                  <from>
                    <xdr:col>13</xdr:col>
                    <xdr:colOff>213360</xdr:colOff>
                    <xdr:row>1</xdr:row>
                    <xdr:rowOff>83820</xdr:rowOff>
                  </from>
                  <to>
                    <xdr:col>13</xdr:col>
                    <xdr:colOff>1432560</xdr:colOff>
                    <xdr:row>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O315"/>
  <sheetViews>
    <sheetView workbookViewId="0">
      <selection activeCell="E26" sqref="E26"/>
    </sheetView>
  </sheetViews>
  <sheetFormatPr defaultRowHeight="14.4" x14ac:dyDescent="0.3"/>
  <cols>
    <col min="1" max="1" width="15.88671875" customWidth="1"/>
    <col min="3" max="3" width="12" bestFit="1" customWidth="1"/>
  </cols>
  <sheetData>
    <row r="1" spans="1:15" ht="48" customHeight="1" x14ac:dyDescent="0.3">
      <c r="A1" s="3" t="s">
        <v>79</v>
      </c>
      <c r="B1" s="3"/>
      <c r="C1" s="3"/>
      <c r="D1" s="3"/>
      <c r="E1" s="3"/>
      <c r="F1" s="3"/>
      <c r="G1" s="3"/>
      <c r="H1" s="3" t="s">
        <v>8</v>
      </c>
      <c r="I1" s="3" t="s">
        <v>33</v>
      </c>
      <c r="J1" s="3" t="s">
        <v>1</v>
      </c>
      <c r="K1" s="3" t="s">
        <v>81</v>
      </c>
      <c r="L1" s="3" t="s">
        <v>67</v>
      </c>
      <c r="M1" s="3" t="s">
        <v>13</v>
      </c>
      <c r="N1" s="3"/>
      <c r="O1" t="s">
        <v>82</v>
      </c>
    </row>
    <row r="2" spans="1:15" x14ac:dyDescent="0.3">
      <c r="A2" t="s">
        <v>28</v>
      </c>
      <c r="B2" s="2">
        <v>100</v>
      </c>
      <c r="C2" t="s">
        <v>3</v>
      </c>
      <c r="H2" s="4">
        <v>-15</v>
      </c>
      <c r="I2">
        <f>H2+273.15</f>
        <v>258.14999999999998</v>
      </c>
      <c r="J2" s="5">
        <f>BETA_R0*EXP(BETA_BETA_VAL*((1/I2)-(1/BETA_T0_IN_K)))</f>
        <v>838.64224488222078</v>
      </c>
      <c r="K2" s="16">
        <f t="shared" ref="K2:K33" si="0">J2*BETA_VIN/(J2+BETA_PULL_UP)</f>
        <v>4.972134681806101</v>
      </c>
      <c r="L2" s="12">
        <f t="shared" ref="L2:L33" si="1">(K2/BETA_VIN*BETA_ADC_MAX_VALUE)</f>
        <v>1017.2987558975282</v>
      </c>
      <c r="M2" s="4">
        <f t="shared" ref="M2:M33" si="2">ROUND(L2*BETA_OVERSAMPLENR,0)</f>
        <v>16277</v>
      </c>
      <c r="O2" t="s">
        <v>55</v>
      </c>
    </row>
    <row r="3" spans="1:15" x14ac:dyDescent="0.3">
      <c r="A3" t="s">
        <v>27</v>
      </c>
      <c r="B3" s="2">
        <v>25</v>
      </c>
      <c r="C3" t="s">
        <v>29</v>
      </c>
      <c r="D3">
        <f>BETA_T0+273.15</f>
        <v>298.14999999999998</v>
      </c>
      <c r="E3" t="s">
        <v>32</v>
      </c>
      <c r="H3" s="4">
        <v>-10</v>
      </c>
      <c r="I3">
        <f t="shared" ref="I2:I4" si="3">H3+273.15</f>
        <v>263.14999999999998</v>
      </c>
      <c r="J3" s="5">
        <f t="shared" ref="J2:J33" si="4">BETA_R0*EXP(BETA_BETA_VAL*((1/I3)-(1/BETA_T0_IN_K)))</f>
        <v>620.54705592844937</v>
      </c>
      <c r="K3" s="16">
        <f t="shared" si="0"/>
        <v>4.9624148570118347</v>
      </c>
      <c r="L3" s="12">
        <f t="shared" si="1"/>
        <v>1015.3100797446214</v>
      </c>
      <c r="M3" s="4">
        <f t="shared" si="2"/>
        <v>16245</v>
      </c>
      <c r="O3" t="s">
        <v>54</v>
      </c>
    </row>
    <row r="4" spans="1:15" x14ac:dyDescent="0.3">
      <c r="A4" t="s">
        <v>30</v>
      </c>
      <c r="B4" s="2">
        <v>4092</v>
      </c>
      <c r="H4" s="4">
        <v>-5</v>
      </c>
      <c r="I4">
        <f t="shared" si="3"/>
        <v>268.14999999999998</v>
      </c>
      <c r="J4" s="5">
        <f t="shared" si="4"/>
        <v>464.35555551187849</v>
      </c>
      <c r="K4" s="16">
        <f t="shared" si="0"/>
        <v>4.949899324879854</v>
      </c>
      <c r="L4" s="12">
        <f t="shared" si="1"/>
        <v>1012.7494018704181</v>
      </c>
      <c r="M4" s="4">
        <f t="shared" si="2"/>
        <v>16204</v>
      </c>
      <c r="O4" t="s">
        <v>56</v>
      </c>
    </row>
    <row r="5" spans="1:15" x14ac:dyDescent="0.3">
      <c r="A5" t="s">
        <v>31</v>
      </c>
      <c r="B5">
        <v>100</v>
      </c>
      <c r="C5" t="s">
        <v>29</v>
      </c>
      <c r="D5">
        <f>B5+273.15</f>
        <v>373.15</v>
      </c>
      <c r="E5" t="s">
        <v>32</v>
      </c>
      <c r="H5" s="4">
        <v>0</v>
      </c>
      <c r="I5">
        <f>H5+273.15</f>
        <v>273.14999999999998</v>
      </c>
      <c r="J5" s="5">
        <f t="shared" si="4"/>
        <v>351.18555362818176</v>
      </c>
      <c r="K5" s="16">
        <f t="shared" si="0"/>
        <v>4.9339675360226849</v>
      </c>
      <c r="L5" s="12">
        <f t="shared" si="1"/>
        <v>1009.4897578702413</v>
      </c>
      <c r="M5" s="4">
        <f t="shared" si="2"/>
        <v>16152</v>
      </c>
      <c r="O5" t="s">
        <v>63</v>
      </c>
    </row>
    <row r="6" spans="1:15" x14ac:dyDescent="0.3">
      <c r="H6" s="4">
        <v>5</v>
      </c>
      <c r="I6">
        <f t="shared" ref="I6:I65" si="5">H6+273.15</f>
        <v>278.14999999999998</v>
      </c>
      <c r="J6" s="5">
        <f t="shared" si="4"/>
        <v>268.27740627859532</v>
      </c>
      <c r="K6" s="16">
        <f t="shared" si="0"/>
        <v>4.9139122892243456</v>
      </c>
      <c r="L6" s="12">
        <f t="shared" si="1"/>
        <v>1005.3864543753011</v>
      </c>
      <c r="M6" s="4">
        <f t="shared" si="2"/>
        <v>16086</v>
      </c>
      <c r="O6" t="s">
        <v>57</v>
      </c>
    </row>
    <row r="7" spans="1:15" x14ac:dyDescent="0.3">
      <c r="H7" s="4">
        <v>10</v>
      </c>
      <c r="I7">
        <f t="shared" si="5"/>
        <v>283.14999999999998</v>
      </c>
      <c r="J7" s="5">
        <f t="shared" si="4"/>
        <v>206.90070228536021</v>
      </c>
      <c r="K7" s="16">
        <f t="shared" si="0"/>
        <v>4.8889417674601647</v>
      </c>
      <c r="L7" s="12">
        <f t="shared" si="1"/>
        <v>1000.2774856223497</v>
      </c>
      <c r="M7" s="4">
        <f t="shared" si="2"/>
        <v>16004</v>
      </c>
    </row>
    <row r="8" spans="1:15" x14ac:dyDescent="0.3">
      <c r="A8" t="s">
        <v>80</v>
      </c>
      <c r="B8" s="2">
        <v>4.7</v>
      </c>
      <c r="C8" t="s">
        <v>3</v>
      </c>
      <c r="H8" s="4">
        <v>15</v>
      </c>
      <c r="I8">
        <f t="shared" si="5"/>
        <v>288.14999999999998</v>
      </c>
      <c r="J8" s="5">
        <f t="shared" si="4"/>
        <v>161.01088111215768</v>
      </c>
      <c r="K8" s="16">
        <f t="shared" si="0"/>
        <v>4.8581867416171995</v>
      </c>
      <c r="L8" s="12">
        <f t="shared" si="1"/>
        <v>993.98500733487913</v>
      </c>
      <c r="M8" s="4">
        <f t="shared" si="2"/>
        <v>15904</v>
      </c>
    </row>
    <row r="9" spans="1:15" x14ac:dyDescent="0.3">
      <c r="A9" t="s">
        <v>4</v>
      </c>
      <c r="B9" s="2">
        <v>5</v>
      </c>
      <c r="C9" t="s">
        <v>5</v>
      </c>
      <c r="H9" s="4">
        <v>20</v>
      </c>
      <c r="I9">
        <f t="shared" si="5"/>
        <v>293.14999999999998</v>
      </c>
      <c r="J9" s="5">
        <f t="shared" si="4"/>
        <v>126.37569008032715</v>
      </c>
      <c r="K9" s="16">
        <f t="shared" si="0"/>
        <v>4.820714275960718</v>
      </c>
      <c r="L9" s="12">
        <f t="shared" si="1"/>
        <v>986.31814086156294</v>
      </c>
      <c r="M9" s="4">
        <f t="shared" si="2"/>
        <v>15781</v>
      </c>
    </row>
    <row r="10" spans="1:15" x14ac:dyDescent="0.3">
      <c r="A10" t="s">
        <v>6</v>
      </c>
      <c r="B10" s="2">
        <v>16</v>
      </c>
      <c r="H10" s="4">
        <v>25</v>
      </c>
      <c r="I10">
        <f t="shared" si="5"/>
        <v>298.14999999999998</v>
      </c>
      <c r="J10" s="5">
        <f t="shared" si="4"/>
        <v>100</v>
      </c>
      <c r="K10" s="16">
        <f t="shared" si="0"/>
        <v>4.7755491881566376</v>
      </c>
      <c r="L10" s="12">
        <f t="shared" si="1"/>
        <v>977.07736389684806</v>
      </c>
      <c r="M10" s="4">
        <f t="shared" si="2"/>
        <v>15633</v>
      </c>
    </row>
    <row r="11" spans="1:15" x14ac:dyDescent="0.3">
      <c r="A11" t="s">
        <v>11</v>
      </c>
      <c r="B11" s="2">
        <v>100</v>
      </c>
      <c r="C11" t="s">
        <v>12</v>
      </c>
      <c r="H11" s="4">
        <v>30</v>
      </c>
      <c r="I11">
        <f t="shared" si="5"/>
        <v>303.14999999999998</v>
      </c>
      <c r="J11" s="5">
        <f t="shared" si="4"/>
        <v>79.742533969295764</v>
      </c>
      <c r="K11" s="16">
        <f t="shared" si="0"/>
        <v>4.721704230138986</v>
      </c>
      <c r="L11" s="12">
        <f t="shared" si="1"/>
        <v>966.06068548643657</v>
      </c>
      <c r="M11" s="4">
        <f t="shared" si="2"/>
        <v>15457</v>
      </c>
    </row>
    <row r="12" spans="1:15" x14ac:dyDescent="0.3">
      <c r="A12" t="s">
        <v>66</v>
      </c>
      <c r="B12" s="2">
        <v>10</v>
      </c>
      <c r="C12" t="s">
        <v>72</v>
      </c>
      <c r="H12" s="4">
        <v>35</v>
      </c>
      <c r="I12">
        <f t="shared" si="5"/>
        <v>308.14999999999998</v>
      </c>
      <c r="J12" s="5">
        <f t="shared" si="4"/>
        <v>64.057560065350927</v>
      </c>
      <c r="K12" s="16">
        <f t="shared" si="0"/>
        <v>4.658219401944101</v>
      </c>
      <c r="L12" s="12">
        <f t="shared" si="1"/>
        <v>953.07168963776303</v>
      </c>
      <c r="M12" s="4">
        <f t="shared" si="2"/>
        <v>15249</v>
      </c>
    </row>
    <row r="13" spans="1:15" x14ac:dyDescent="0.3">
      <c r="A13" t="s">
        <v>14</v>
      </c>
      <c r="B13" s="18">
        <f>POWER(2,BETA_ADC_RESOLUTION) - 1</f>
        <v>1023</v>
      </c>
      <c r="C13" t="s">
        <v>87</v>
      </c>
      <c r="H13" s="4">
        <v>40</v>
      </c>
      <c r="I13">
        <f t="shared" si="5"/>
        <v>313.14999999999998</v>
      </c>
      <c r="J13" s="5">
        <f t="shared" si="4"/>
        <v>51.818908794365214</v>
      </c>
      <c r="K13" s="16">
        <f t="shared" si="0"/>
        <v>4.5842099484705034</v>
      </c>
      <c r="L13" s="12">
        <f t="shared" si="1"/>
        <v>937.92935545706496</v>
      </c>
      <c r="M13" s="4">
        <f t="shared" si="2"/>
        <v>15007</v>
      </c>
    </row>
    <row r="14" spans="1:15" x14ac:dyDescent="0.3">
      <c r="A14" s="6" t="s">
        <v>53</v>
      </c>
      <c r="H14" s="4">
        <v>45</v>
      </c>
      <c r="I14">
        <f t="shared" si="5"/>
        <v>318.14999999999998</v>
      </c>
      <c r="J14" s="5">
        <f t="shared" si="4"/>
        <v>42.198832281652379</v>
      </c>
      <c r="K14" s="16">
        <f t="shared" si="0"/>
        <v>4.4989214260416972</v>
      </c>
      <c r="L14" s="12">
        <f t="shared" si="1"/>
        <v>920.47932376813128</v>
      </c>
      <c r="M14" s="4">
        <f t="shared" si="2"/>
        <v>14728</v>
      </c>
    </row>
    <row r="15" spans="1:15" x14ac:dyDescent="0.3">
      <c r="A15" s="23" t="s">
        <v>51</v>
      </c>
      <c r="H15" s="4">
        <v>50</v>
      </c>
      <c r="I15">
        <f t="shared" si="5"/>
        <v>323.14999999999998</v>
      </c>
      <c r="J15" s="5">
        <f t="shared" si="4"/>
        <v>34.583787569716833</v>
      </c>
      <c r="K15" s="16">
        <f t="shared" si="0"/>
        <v>4.4017888433416807</v>
      </c>
      <c r="L15" s="12">
        <f t="shared" si="1"/>
        <v>900.6059973477079</v>
      </c>
      <c r="M15" s="4">
        <f t="shared" si="2"/>
        <v>14410</v>
      </c>
    </row>
    <row r="16" spans="1:15" x14ac:dyDescent="0.3">
      <c r="H16" s="4">
        <v>55</v>
      </c>
      <c r="I16">
        <f t="shared" si="5"/>
        <v>328.15</v>
      </c>
      <c r="J16" s="5">
        <f t="shared" si="4"/>
        <v>28.515334350813141</v>
      </c>
      <c r="K16" s="16">
        <f t="shared" si="0"/>
        <v>4.2924954555086474</v>
      </c>
      <c r="L16" s="12">
        <f t="shared" si="1"/>
        <v>878.24457019706927</v>
      </c>
      <c r="M16" s="4">
        <f t="shared" si="2"/>
        <v>14052</v>
      </c>
    </row>
    <row r="17" spans="8:13" x14ac:dyDescent="0.3">
      <c r="H17" s="4">
        <v>60</v>
      </c>
      <c r="I17">
        <f t="shared" si="5"/>
        <v>333.15</v>
      </c>
      <c r="J17" s="5">
        <f t="shared" si="4"/>
        <v>23.648281555783672</v>
      </c>
      <c r="K17" s="16">
        <f t="shared" si="0"/>
        <v>4.1710255891964119</v>
      </c>
      <c r="L17" s="12">
        <f t="shared" si="1"/>
        <v>853.39183554958595</v>
      </c>
      <c r="M17" s="4">
        <f t="shared" si="2"/>
        <v>13654</v>
      </c>
    </row>
    <row r="18" spans="8:13" x14ac:dyDescent="0.3">
      <c r="H18" s="4">
        <v>65</v>
      </c>
      <c r="I18">
        <f t="shared" si="5"/>
        <v>338.15</v>
      </c>
      <c r="J18" s="5">
        <f t="shared" si="4"/>
        <v>19.720791459989798</v>
      </c>
      <c r="K18" s="16">
        <f t="shared" si="0"/>
        <v>4.0377052259546291</v>
      </c>
      <c r="L18" s="12">
        <f t="shared" si="1"/>
        <v>826.11448923031719</v>
      </c>
      <c r="M18" s="4">
        <f t="shared" si="2"/>
        <v>13218</v>
      </c>
    </row>
    <row r="19" spans="8:13" x14ac:dyDescent="0.3">
      <c r="H19" s="4">
        <v>70</v>
      </c>
      <c r="I19">
        <f t="shared" si="5"/>
        <v>343.15</v>
      </c>
      <c r="J19" s="5">
        <f t="shared" si="4"/>
        <v>16.532847448930958</v>
      </c>
      <c r="K19" s="16">
        <f t="shared" si="0"/>
        <v>3.8932242810804363</v>
      </c>
      <c r="L19" s="12">
        <f t="shared" si="1"/>
        <v>796.55368790905732</v>
      </c>
      <c r="M19" s="4">
        <f t="shared" si="2"/>
        <v>12745</v>
      </c>
    </row>
    <row r="20" spans="8:13" x14ac:dyDescent="0.3">
      <c r="H20" s="4">
        <v>75</v>
      </c>
      <c r="I20">
        <f t="shared" si="5"/>
        <v>348.15</v>
      </c>
      <c r="J20" s="5">
        <f t="shared" si="4"/>
        <v>13.9306219863424</v>
      </c>
      <c r="K20" s="16">
        <f t="shared" si="0"/>
        <v>3.7386357783853263</v>
      </c>
      <c r="L20" s="12">
        <f t="shared" si="1"/>
        <v>764.92488025763782</v>
      </c>
      <c r="M20" s="4">
        <f t="shared" si="2"/>
        <v>12239</v>
      </c>
    </row>
    <row r="21" spans="8:13" x14ac:dyDescent="0.3">
      <c r="H21" s="4">
        <v>80</v>
      </c>
      <c r="I21">
        <f t="shared" si="5"/>
        <v>353.15</v>
      </c>
      <c r="J21" s="5">
        <f t="shared" si="4"/>
        <v>11.795041228168191</v>
      </c>
      <c r="K21" s="16">
        <f t="shared" si="0"/>
        <v>3.575329417190567</v>
      </c>
      <c r="L21" s="12">
        <f t="shared" si="1"/>
        <v>731.51239875719</v>
      </c>
      <c r="M21" s="4">
        <f t="shared" si="2"/>
        <v>11704</v>
      </c>
    </row>
    <row r="22" spans="8:13" x14ac:dyDescent="0.3">
      <c r="H22" s="4">
        <v>85</v>
      </c>
      <c r="I22">
        <f t="shared" si="5"/>
        <v>358.15</v>
      </c>
      <c r="J22" s="5">
        <f t="shared" si="4"/>
        <v>10.033358209849821</v>
      </c>
      <c r="K22" s="16">
        <f t="shared" si="0"/>
        <v>3.4049800686791594</v>
      </c>
      <c r="L22" s="12">
        <f t="shared" si="1"/>
        <v>696.65892205175601</v>
      </c>
      <c r="M22" s="4">
        <f t="shared" si="2"/>
        <v>11147</v>
      </c>
    </row>
    <row r="23" spans="8:13" x14ac:dyDescent="0.3">
      <c r="H23" s="4">
        <v>90</v>
      </c>
      <c r="I23">
        <f t="shared" si="5"/>
        <v>363.15</v>
      </c>
      <c r="J23" s="5">
        <f t="shared" si="4"/>
        <v>8.5728992729980682</v>
      </c>
      <c r="K23" s="16">
        <f t="shared" si="0"/>
        <v>3.2294749988943567</v>
      </c>
      <c r="L23" s="12">
        <f t="shared" si="1"/>
        <v>660.75058477378536</v>
      </c>
      <c r="M23" s="4">
        <f t="shared" si="2"/>
        <v>10572</v>
      </c>
    </row>
    <row r="24" spans="8:13" x14ac:dyDescent="0.3">
      <c r="H24" s="4">
        <v>95</v>
      </c>
      <c r="I24">
        <f t="shared" si="5"/>
        <v>368.15</v>
      </c>
      <c r="J24" s="5">
        <f t="shared" si="4"/>
        <v>7.3563917994962607</v>
      </c>
      <c r="K24" s="16">
        <f t="shared" si="0"/>
        <v>3.0508264503330196</v>
      </c>
      <c r="L24" s="12">
        <f t="shared" si="1"/>
        <v>624.19909173813585</v>
      </c>
      <c r="M24" s="4">
        <f t="shared" si="2"/>
        <v>9987</v>
      </c>
    </row>
    <row r="25" spans="8:13" x14ac:dyDescent="0.3">
      <c r="H25" s="4">
        <v>100</v>
      </c>
      <c r="I25">
        <f t="shared" si="5"/>
        <v>373.15</v>
      </c>
      <c r="J25" s="5">
        <f t="shared" si="4"/>
        <v>6.3384506340711759</v>
      </c>
      <c r="K25" s="16">
        <f t="shared" si="0"/>
        <v>2.8710780363083637</v>
      </c>
      <c r="L25" s="12">
        <f t="shared" si="1"/>
        <v>587.42256622869127</v>
      </c>
      <c r="M25" s="4">
        <f t="shared" si="2"/>
        <v>9399</v>
      </c>
    </row>
    <row r="26" spans="8:13" x14ac:dyDescent="0.3">
      <c r="H26" s="4">
        <v>105</v>
      </c>
      <c r="I26">
        <f t="shared" si="5"/>
        <v>378.15</v>
      </c>
      <c r="J26" s="5">
        <f t="shared" si="4"/>
        <v>5.4829192681488497</v>
      </c>
      <c r="K26" s="16">
        <f t="shared" si="0"/>
        <v>2.6922138552639177</v>
      </c>
      <c r="L26" s="12">
        <f t="shared" si="1"/>
        <v>550.82695478699748</v>
      </c>
      <c r="M26" s="4">
        <f t="shared" si="2"/>
        <v>8813</v>
      </c>
    </row>
    <row r="27" spans="8:13" x14ac:dyDescent="0.3">
      <c r="H27" s="4">
        <v>110</v>
      </c>
      <c r="I27">
        <f t="shared" si="5"/>
        <v>383.15</v>
      </c>
      <c r="J27" s="5">
        <f t="shared" si="4"/>
        <v>4.7608456862063431</v>
      </c>
      <c r="K27" s="16">
        <f t="shared" si="0"/>
        <v>2.5160782894638727</v>
      </c>
      <c r="L27" s="12">
        <f t="shared" si="1"/>
        <v>514.78961802430842</v>
      </c>
      <c r="M27" s="4">
        <f t="shared" si="2"/>
        <v>8237</v>
      </c>
    </row>
    <row r="28" spans="8:13" x14ac:dyDescent="0.3">
      <c r="H28" s="4">
        <v>115</v>
      </c>
      <c r="I28">
        <f t="shared" si="5"/>
        <v>388.15</v>
      </c>
      <c r="J28" s="5">
        <f t="shared" si="4"/>
        <v>4.1489324084806993</v>
      </c>
      <c r="K28" s="16">
        <f t="shared" si="0"/>
        <v>2.3443124079603193</v>
      </c>
      <c r="L28" s="12">
        <f t="shared" si="1"/>
        <v>479.64631866868132</v>
      </c>
      <c r="M28" s="4">
        <f t="shared" si="2"/>
        <v>7674</v>
      </c>
    </row>
    <row r="29" spans="8:13" x14ac:dyDescent="0.3">
      <c r="H29" s="4">
        <v>120</v>
      </c>
      <c r="I29">
        <f t="shared" si="5"/>
        <v>393.15</v>
      </c>
      <c r="J29" s="5">
        <f t="shared" si="4"/>
        <v>3.6283429796219324</v>
      </c>
      <c r="K29" s="16">
        <f t="shared" si="0"/>
        <v>2.1783102524114839</v>
      </c>
      <c r="L29" s="12">
        <f t="shared" si="1"/>
        <v>445.68227764338963</v>
      </c>
      <c r="M29" s="4">
        <f t="shared" si="2"/>
        <v>7131</v>
      </c>
    </row>
    <row r="30" spans="8:13" x14ac:dyDescent="0.3">
      <c r="H30" s="4">
        <v>125</v>
      </c>
      <c r="I30">
        <f t="shared" si="5"/>
        <v>398.15</v>
      </c>
      <c r="J30" s="5">
        <f t="shared" si="4"/>
        <v>3.1837779560929347</v>
      </c>
      <c r="K30" s="16">
        <f t="shared" si="0"/>
        <v>2.0191956025552251</v>
      </c>
      <c r="L30" s="12">
        <f t="shared" si="1"/>
        <v>413.12742028279905</v>
      </c>
      <c r="M30" s="4">
        <f t="shared" si="2"/>
        <v>6610</v>
      </c>
    </row>
    <row r="31" spans="8:13" x14ac:dyDescent="0.3">
      <c r="H31" s="4">
        <v>130</v>
      </c>
      <c r="I31">
        <f t="shared" si="5"/>
        <v>403.15</v>
      </c>
      <c r="J31" s="5">
        <f t="shared" si="4"/>
        <v>2.8027558018324976</v>
      </c>
      <c r="K31" s="16">
        <f t="shared" si="0"/>
        <v>1.8678175565489836</v>
      </c>
      <c r="L31" s="12">
        <f t="shared" si="1"/>
        <v>382.15547206992204</v>
      </c>
      <c r="M31" s="4">
        <f t="shared" si="2"/>
        <v>6114</v>
      </c>
    </row>
    <row r="32" spans="8:13" x14ac:dyDescent="0.3">
      <c r="H32" s="4">
        <v>135</v>
      </c>
      <c r="I32">
        <f t="shared" si="5"/>
        <v>408.15</v>
      </c>
      <c r="J32" s="5">
        <f t="shared" si="4"/>
        <v>2.4750504294910991</v>
      </c>
      <c r="K32" s="16">
        <f t="shared" si="0"/>
        <v>1.7247616959722507</v>
      </c>
      <c r="L32" s="12">
        <f t="shared" si="1"/>
        <v>352.88624299592249</v>
      </c>
      <c r="M32" s="4">
        <f t="shared" si="2"/>
        <v>5646</v>
      </c>
    </row>
    <row r="33" spans="8:13" x14ac:dyDescent="0.3">
      <c r="H33" s="4">
        <v>140</v>
      </c>
      <c r="I33">
        <f t="shared" si="5"/>
        <v>413.15</v>
      </c>
      <c r="J33" s="5">
        <f t="shared" si="4"/>
        <v>2.1922491212866708</v>
      </c>
      <c r="K33" s="16">
        <f t="shared" si="0"/>
        <v>1.5903728106083126</v>
      </c>
      <c r="L33" s="12">
        <f t="shared" si="1"/>
        <v>325.39027705046078</v>
      </c>
      <c r="M33" s="4">
        <f t="shared" si="2"/>
        <v>5206</v>
      </c>
    </row>
    <row r="34" spans="8:13" x14ac:dyDescent="0.3">
      <c r="H34" s="4">
        <v>145</v>
      </c>
      <c r="I34">
        <f t="shared" si="5"/>
        <v>418.15</v>
      </c>
      <c r="J34" s="5">
        <f t="shared" ref="J34:J65" si="6">BETA_R0*EXP(BETA_BETA_VAL*((1/I34)-(1/BETA_T0_IN_K)))</f>
        <v>1.9474034295312521</v>
      </c>
      <c r="K34" s="16">
        <f t="shared" ref="K34:K65" si="7">J34*BETA_VIN/(J34+BETA_PULL_UP)</f>
        <v>1.4647850474065294</v>
      </c>
      <c r="L34" s="12">
        <f t="shared" ref="L34:L65" si="8">(K34/BETA_VIN*BETA_ADC_MAX_VALUE)</f>
        <v>299.6950206993759</v>
      </c>
      <c r="M34" s="4">
        <f t="shared" ref="M34:M65" si="9">ROUND(L34*BETA_OVERSAMPLENR,0)</f>
        <v>4795</v>
      </c>
    </row>
    <row r="35" spans="8:13" x14ac:dyDescent="0.3">
      <c r="H35" s="4">
        <v>150</v>
      </c>
      <c r="I35">
        <f t="shared" si="5"/>
        <v>423.15</v>
      </c>
      <c r="J35" s="5">
        <f t="shared" si="6"/>
        <v>1.7347522461687823</v>
      </c>
      <c r="K35" s="16">
        <f t="shared" si="7"/>
        <v>1.347955740799224</v>
      </c>
      <c r="L35" s="12">
        <f t="shared" si="8"/>
        <v>275.79174456752122</v>
      </c>
      <c r="M35" s="4">
        <f t="shared" si="9"/>
        <v>4413</v>
      </c>
    </row>
    <row r="36" spans="8:13" x14ac:dyDescent="0.3">
      <c r="H36" s="4">
        <v>155</v>
      </c>
      <c r="I36">
        <f t="shared" si="5"/>
        <v>428.15</v>
      </c>
      <c r="J36" s="5">
        <f t="shared" si="6"/>
        <v>1.5495011546403632</v>
      </c>
      <c r="K36" s="16">
        <f t="shared" si="7"/>
        <v>1.2396998706767433</v>
      </c>
      <c r="L36" s="12">
        <f t="shared" si="8"/>
        <v>253.64259354046169</v>
      </c>
      <c r="M36" s="4">
        <f t="shared" si="9"/>
        <v>4058</v>
      </c>
    </row>
    <row r="37" spans="8:13" x14ac:dyDescent="0.3">
      <c r="H37" s="4">
        <v>160</v>
      </c>
      <c r="I37">
        <f t="shared" si="5"/>
        <v>433.15</v>
      </c>
      <c r="J37" s="5">
        <f t="shared" si="6"/>
        <v>1.3876458763936212</v>
      </c>
      <c r="K37" s="16">
        <f t="shared" si="7"/>
        <v>1.1397228949983502</v>
      </c>
      <c r="L37" s="12">
        <f t="shared" si="8"/>
        <v>233.18730431666245</v>
      </c>
      <c r="M37" s="4">
        <f t="shared" si="9"/>
        <v>3731</v>
      </c>
    </row>
    <row r="38" spans="8:13" x14ac:dyDescent="0.3">
      <c r="H38" s="4">
        <v>165</v>
      </c>
      <c r="I38">
        <f t="shared" si="5"/>
        <v>438.15</v>
      </c>
      <c r="J38" s="5">
        <f t="shared" si="6"/>
        <v>1.2458304173561769</v>
      </c>
      <c r="K38" s="16">
        <f t="shared" si="7"/>
        <v>1.0476504793338333</v>
      </c>
      <c r="L38" s="12">
        <f t="shared" si="8"/>
        <v>214.34928807170229</v>
      </c>
      <c r="M38" s="4">
        <f t="shared" si="9"/>
        <v>3430</v>
      </c>
    </row>
    <row r="39" spans="8:13" x14ac:dyDescent="0.3">
      <c r="H39" s="4">
        <v>170</v>
      </c>
      <c r="I39">
        <f t="shared" si="5"/>
        <v>443.15</v>
      </c>
      <c r="J39" s="5">
        <f t="shared" si="6"/>
        <v>1.121232639070237</v>
      </c>
      <c r="K39" s="16">
        <f t="shared" si="7"/>
        <v>0.96305431219574089</v>
      </c>
      <c r="L39" s="12">
        <f t="shared" si="8"/>
        <v>197.04091227524859</v>
      </c>
      <c r="M39" s="4">
        <f t="shared" si="9"/>
        <v>3153</v>
      </c>
    </row>
    <row r="40" spans="8:13" x14ac:dyDescent="0.3">
      <c r="H40" s="4">
        <v>175</v>
      </c>
      <c r="I40">
        <f t="shared" si="5"/>
        <v>448.15</v>
      </c>
      <c r="J40" s="5">
        <f t="shared" si="6"/>
        <v>1.0114715951376221</v>
      </c>
      <c r="K40" s="16">
        <f t="shared" si="7"/>
        <v>0.88547371573967348</v>
      </c>
      <c r="L40" s="12">
        <f t="shared" si="8"/>
        <v>181.16792224033719</v>
      </c>
      <c r="M40" s="4">
        <f t="shared" si="9"/>
        <v>2899</v>
      </c>
    </row>
    <row r="41" spans="8:13" x14ac:dyDescent="0.3">
      <c r="H41" s="4">
        <v>180</v>
      </c>
      <c r="I41">
        <f t="shared" si="5"/>
        <v>453.15</v>
      </c>
      <c r="J41" s="5">
        <f t="shared" si="6"/>
        <v>0.91453221147759745</v>
      </c>
      <c r="K41" s="16">
        <f t="shared" si="7"/>
        <v>0.81443313265533523</v>
      </c>
      <c r="L41" s="12">
        <f t="shared" si="8"/>
        <v>166.63301894128159</v>
      </c>
      <c r="M41" s="4">
        <f t="shared" si="9"/>
        <v>2666</v>
      </c>
    </row>
    <row r="42" spans="8:13" x14ac:dyDescent="0.3">
      <c r="H42" s="4">
        <v>185</v>
      </c>
      <c r="I42">
        <f t="shared" si="5"/>
        <v>458.15</v>
      </c>
      <c r="J42" s="5">
        <f t="shared" si="6"/>
        <v>0.82870384140973463</v>
      </c>
      <c r="K42" s="16">
        <f t="shared" si="7"/>
        <v>0.74945580843269388</v>
      </c>
      <c r="L42" s="12">
        <f t="shared" si="8"/>
        <v>153.33865840532917</v>
      </c>
      <c r="M42" s="4">
        <f t="shared" si="9"/>
        <v>2453</v>
      </c>
    </row>
    <row r="43" spans="8:13" x14ac:dyDescent="0.3">
      <c r="H43" s="4">
        <v>190</v>
      </c>
      <c r="I43">
        <f t="shared" si="5"/>
        <v>463.15</v>
      </c>
      <c r="J43" s="5">
        <f t="shared" si="6"/>
        <v>0.75252996273279338</v>
      </c>
      <c r="K43" s="16">
        <f t="shared" si="7"/>
        <v>0.69007411960706344</v>
      </c>
      <c r="L43" s="12">
        <f t="shared" si="8"/>
        <v>141.18916487160516</v>
      </c>
      <c r="M43" s="4">
        <f t="shared" si="9"/>
        <v>2259</v>
      </c>
    </row>
    <row r="44" spans="8:13" x14ac:dyDescent="0.3">
      <c r="H44" s="4">
        <v>195</v>
      </c>
      <c r="I44">
        <f t="shared" si="5"/>
        <v>468.15</v>
      </c>
      <c r="J44" s="5">
        <f t="shared" si="6"/>
        <v>0.68476685534356441</v>
      </c>
      <c r="K44" s="16">
        <f t="shared" si="7"/>
        <v>0.63583705083167819</v>
      </c>
      <c r="L44" s="12">
        <f t="shared" si="8"/>
        <v>130.09226060016138</v>
      </c>
      <c r="M44" s="4">
        <f t="shared" si="9"/>
        <v>2081</v>
      </c>
    </row>
    <row r="45" spans="8:13" x14ac:dyDescent="0.3">
      <c r="H45" s="4">
        <v>200</v>
      </c>
      <c r="I45">
        <f t="shared" si="5"/>
        <v>473.15</v>
      </c>
      <c r="J45" s="5">
        <f t="shared" si="6"/>
        <v>0.62434954324782965</v>
      </c>
      <c r="K45" s="16">
        <f t="shared" si="7"/>
        <v>0.58631532187777735</v>
      </c>
      <c r="L45" s="12">
        <f t="shared" si="8"/>
        <v>119.96011485619326</v>
      </c>
      <c r="M45" s="4">
        <f t="shared" si="9"/>
        <v>1919</v>
      </c>
    </row>
    <row r="46" spans="8:13" x14ac:dyDescent="0.3">
      <c r="H46" s="4">
        <v>205</v>
      </c>
      <c r="I46">
        <f t="shared" si="5"/>
        <v>478.15</v>
      </c>
      <c r="J46" s="5">
        <f t="shared" si="6"/>
        <v>0.57036363326776374</v>
      </c>
      <c r="K46" s="16">
        <f t="shared" si="7"/>
        <v>0.54110463049218804</v>
      </c>
      <c r="L46" s="12">
        <f t="shared" si="8"/>
        <v>110.71000739870168</v>
      </c>
      <c r="M46" s="4">
        <f t="shared" si="9"/>
        <v>1771</v>
      </c>
    </row>
    <row r="47" spans="8:13" x14ac:dyDescent="0.3">
      <c r="H47" s="4">
        <v>210</v>
      </c>
      <c r="I47">
        <f t="shared" si="5"/>
        <v>483.15</v>
      </c>
      <c r="J47" s="5">
        <f t="shared" si="6"/>
        <v>0.52202195647755467</v>
      </c>
      <c r="K47" s="16">
        <f t="shared" si="7"/>
        <v>0.49982742396364566</v>
      </c>
      <c r="L47" s="12">
        <f t="shared" si="8"/>
        <v>102.26469094296189</v>
      </c>
      <c r="M47" s="4">
        <f t="shared" si="9"/>
        <v>1636</v>
      </c>
    </row>
    <row r="48" spans="8:13" x14ac:dyDescent="0.3">
      <c r="H48" s="4">
        <v>215</v>
      </c>
      <c r="I48">
        <f t="shared" si="5"/>
        <v>488.15</v>
      </c>
      <c r="J48" s="5">
        <f t="shared" si="6"/>
        <v>0.47864513424240307</v>
      </c>
      <c r="K48" s="16">
        <f t="shared" si="7"/>
        <v>0.4621335521500502</v>
      </c>
      <c r="L48" s="12">
        <f t="shared" si="8"/>
        <v>94.552524769900273</v>
      </c>
      <c r="M48" s="4">
        <f t="shared" si="9"/>
        <v>1513</v>
      </c>
    </row>
    <row r="49" spans="8:13" x14ac:dyDescent="0.3">
      <c r="H49" s="4">
        <v>220</v>
      </c>
      <c r="I49">
        <f t="shared" si="5"/>
        <v>493.15</v>
      </c>
      <c r="J49" s="5">
        <f t="shared" si="6"/>
        <v>0.43964536156405748</v>
      </c>
      <c r="K49" s="16">
        <f t="shared" si="7"/>
        <v>0.42770009469122983</v>
      </c>
      <c r="L49" s="12">
        <f t="shared" si="8"/>
        <v>87.507439373825619</v>
      </c>
      <c r="M49" s="4">
        <f t="shared" si="9"/>
        <v>1400</v>
      </c>
    </row>
    <row r="50" spans="8:13" x14ac:dyDescent="0.3">
      <c r="H50" s="4">
        <v>225</v>
      </c>
      <c r="I50">
        <f t="shared" si="5"/>
        <v>498.15</v>
      </c>
      <c r="J50" s="5">
        <f t="shared" si="6"/>
        <v>0.40451283612231947</v>
      </c>
      <c r="K50" s="16">
        <f t="shared" si="7"/>
        <v>0.39623059938234045</v>
      </c>
      <c r="L50" s="12">
        <f t="shared" si="8"/>
        <v>81.068780633626858</v>
      </c>
      <c r="M50" s="4">
        <f t="shared" si="9"/>
        <v>1297</v>
      </c>
    </row>
    <row r="51" spans="8:13" x14ac:dyDescent="0.3">
      <c r="H51" s="4">
        <v>230</v>
      </c>
      <c r="I51">
        <f t="shared" si="5"/>
        <v>503.15</v>
      </c>
      <c r="J51" s="5">
        <f t="shared" si="6"/>
        <v>0.37280436955212215</v>
      </c>
      <c r="K51" s="16">
        <f t="shared" si="7"/>
        <v>0.36745391936436639</v>
      </c>
      <c r="L51" s="12">
        <f t="shared" si="8"/>
        <v>75.181071901949366</v>
      </c>
      <c r="M51" s="4">
        <f t="shared" si="9"/>
        <v>1203</v>
      </c>
    </row>
    <row r="52" spans="8:13" x14ac:dyDescent="0.3">
      <c r="H52" s="4">
        <v>235</v>
      </c>
      <c r="I52">
        <f t="shared" si="5"/>
        <v>508.15</v>
      </c>
      <c r="J52" s="5">
        <f t="shared" si="6"/>
        <v>0.34413380399108839</v>
      </c>
      <c r="K52" s="16">
        <f t="shared" si="7"/>
        <v>0.34112279467963175</v>
      </c>
      <c r="L52" s="12">
        <f t="shared" si="8"/>
        <v>69.793723791452663</v>
      </c>
      <c r="M52" s="4">
        <f t="shared" si="9"/>
        <v>1117</v>
      </c>
    </row>
    <row r="53" spans="8:13" x14ac:dyDescent="0.3">
      <c r="H53" s="4">
        <v>240</v>
      </c>
      <c r="I53">
        <f t="shared" si="5"/>
        <v>513.15</v>
      </c>
      <c r="J53" s="5">
        <f t="shared" si="6"/>
        <v>0.31816392633791962</v>
      </c>
      <c r="K53" s="16">
        <f t="shared" si="7"/>
        <v>0.31701228876564874</v>
      </c>
      <c r="L53" s="12">
        <f t="shared" si="8"/>
        <v>64.860714281451735</v>
      </c>
      <c r="M53" s="4">
        <f t="shared" si="9"/>
        <v>1038</v>
      </c>
    </row>
    <row r="54" spans="8:13" x14ac:dyDescent="0.3">
      <c r="H54" s="4">
        <v>245</v>
      </c>
      <c r="I54">
        <f t="shared" si="5"/>
        <v>518.15</v>
      </c>
      <c r="J54" s="5">
        <f t="shared" si="6"/>
        <v>0.29459962853367899</v>
      </c>
      <c r="K54" s="16">
        <f t="shared" si="7"/>
        <v>0.29491816205913574</v>
      </c>
      <c r="L54" s="12">
        <f t="shared" si="8"/>
        <v>60.340255957299178</v>
      </c>
      <c r="M54" s="4">
        <f t="shared" si="9"/>
        <v>965</v>
      </c>
    </row>
    <row r="55" spans="8:13" x14ac:dyDescent="0.3">
      <c r="H55" s="4">
        <v>250</v>
      </c>
      <c r="I55">
        <f t="shared" si="5"/>
        <v>523.15</v>
      </c>
      <c r="J55" s="5">
        <f t="shared" si="6"/>
        <v>0.27318210729636744</v>
      </c>
      <c r="K55" s="16">
        <f t="shared" si="7"/>
        <v>0.27465524225985039</v>
      </c>
      <c r="L55" s="12">
        <f t="shared" si="8"/>
        <v>56.194462566365388</v>
      </c>
      <c r="M55" s="4">
        <f t="shared" si="9"/>
        <v>899</v>
      </c>
    </row>
    <row r="56" spans="8:13" x14ac:dyDescent="0.3">
      <c r="H56" s="4">
        <v>255</v>
      </c>
      <c r="I56">
        <f t="shared" si="5"/>
        <v>528.15</v>
      </c>
      <c r="J56" s="5">
        <f t="shared" si="6"/>
        <v>0.25368393328525279</v>
      </c>
      <c r="K56" s="16">
        <f t="shared" si="7"/>
        <v>0.25605583309491764</v>
      </c>
      <c r="L56" s="12">
        <f t="shared" si="8"/>
        <v>52.389023451220147</v>
      </c>
      <c r="M56" s="4">
        <f t="shared" si="9"/>
        <v>838</v>
      </c>
    </row>
    <row r="57" spans="8:13" x14ac:dyDescent="0.3">
      <c r="H57" s="4">
        <v>260</v>
      </c>
      <c r="I57">
        <f t="shared" si="5"/>
        <v>533.15</v>
      </c>
      <c r="J57" s="5">
        <f t="shared" si="6"/>
        <v>0.23590484936225575</v>
      </c>
      <c r="K57" s="16">
        <f t="shared" si="7"/>
        <v>0.23896818978665671</v>
      </c>
      <c r="L57" s="12">
        <f t="shared" si="8"/>
        <v>48.892891630349958</v>
      </c>
      <c r="M57" s="4">
        <f t="shared" si="9"/>
        <v>782</v>
      </c>
    </row>
    <row r="58" spans="8:13" x14ac:dyDescent="0.3">
      <c r="H58" s="4">
        <v>265</v>
      </c>
      <c r="I58">
        <f t="shared" si="5"/>
        <v>538.15</v>
      </c>
      <c r="J58" s="5">
        <f t="shared" si="6"/>
        <v>0.21966818180936404</v>
      </c>
      <c r="K58" s="16">
        <f t="shared" si="7"/>
        <v>0.22325507909414946</v>
      </c>
      <c r="L58" s="12">
        <f t="shared" si="8"/>
        <v>45.677989182662984</v>
      </c>
      <c r="M58" s="4">
        <f t="shared" si="9"/>
        <v>731</v>
      </c>
    </row>
    <row r="59" spans="8:13" x14ac:dyDescent="0.3">
      <c r="H59" s="4">
        <v>270</v>
      </c>
      <c r="I59">
        <f t="shared" si="5"/>
        <v>543.15</v>
      </c>
      <c r="J59" s="5">
        <f t="shared" si="6"/>
        <v>0.20481776812796412</v>
      </c>
      <c r="K59" s="16">
        <f t="shared" si="7"/>
        <v>0.20879243410315068</v>
      </c>
      <c r="L59" s="12">
        <f t="shared" si="8"/>
        <v>42.718932017504628</v>
      </c>
      <c r="M59" s="4">
        <f t="shared" si="9"/>
        <v>684</v>
      </c>
    </row>
    <row r="60" spans="8:13" x14ac:dyDescent="0.3">
      <c r="H60" s="4">
        <v>275</v>
      </c>
      <c r="I60">
        <f t="shared" si="5"/>
        <v>548.15</v>
      </c>
      <c r="J60" s="5">
        <f t="shared" si="6"/>
        <v>0.19121532124218626</v>
      </c>
      <c r="K60" s="16">
        <f t="shared" si="7"/>
        <v>0.1954681083163036</v>
      </c>
      <c r="L60" s="12">
        <f t="shared" si="8"/>
        <v>39.992774961515714</v>
      </c>
      <c r="M60" s="4">
        <f t="shared" si="9"/>
        <v>640</v>
      </c>
    </row>
    <row r="61" spans="8:13" x14ac:dyDescent="0.3">
      <c r="H61" s="4">
        <v>280</v>
      </c>
      <c r="I61">
        <f t="shared" si="5"/>
        <v>553.15</v>
      </c>
      <c r="J61" s="5">
        <f t="shared" si="6"/>
        <v>0.1787381632346727</v>
      </c>
      <c r="K61" s="16">
        <f t="shared" si="7"/>
        <v>0.18318072958046056</v>
      </c>
      <c r="L61" s="12">
        <f t="shared" si="8"/>
        <v>37.478777272162233</v>
      </c>
      <c r="M61" s="4">
        <f t="shared" si="9"/>
        <v>600</v>
      </c>
    </row>
    <row r="62" spans="8:13" x14ac:dyDescent="0.3">
      <c r="H62" s="4">
        <v>285</v>
      </c>
      <c r="I62">
        <f t="shared" si="5"/>
        <v>558.15</v>
      </c>
      <c r="J62" s="5">
        <f t="shared" si="6"/>
        <v>0.16727727270409323</v>
      </c>
      <c r="K62" s="16">
        <f t="shared" si="7"/>
        <v>0.17183865160321929</v>
      </c>
      <c r="L62" s="12">
        <f t="shared" si="8"/>
        <v>35.158188118018664</v>
      </c>
      <c r="M62" s="4">
        <f t="shared" si="9"/>
        <v>563</v>
      </c>
    </row>
    <row r="63" spans="8:13" x14ac:dyDescent="0.3">
      <c r="H63" s="4">
        <v>290</v>
      </c>
      <c r="I63">
        <f t="shared" si="5"/>
        <v>563.15</v>
      </c>
      <c r="J63" s="5">
        <f t="shared" si="6"/>
        <v>0.1567355988858524</v>
      </c>
      <c r="K63" s="16">
        <f t="shared" si="7"/>
        <v>0.16135899895580885</v>
      </c>
      <c r="L63" s="12">
        <f t="shared" si="8"/>
        <v>33.014051186358493</v>
      </c>
      <c r="M63" s="4">
        <f t="shared" si="9"/>
        <v>528</v>
      </c>
    </row>
    <row r="64" spans="8:13" x14ac:dyDescent="0.3">
      <c r="H64" s="4">
        <v>295</v>
      </c>
      <c r="I64">
        <f t="shared" si="5"/>
        <v>568.15</v>
      </c>
      <c r="J64" s="5">
        <f t="shared" si="6"/>
        <v>0.14702660317198177</v>
      </c>
      <c r="K64" s="16">
        <f t="shared" si="7"/>
        <v>0.15166680029749052</v>
      </c>
      <c r="L64" s="12">
        <f t="shared" si="8"/>
        <v>31.031027340866562</v>
      </c>
      <c r="M64" s="4">
        <f t="shared" si="9"/>
        <v>496</v>
      </c>
    </row>
    <row r="65" spans="8:13" x14ac:dyDescent="0.3">
      <c r="H65" s="4">
        <v>300</v>
      </c>
      <c r="I65">
        <f t="shared" si="5"/>
        <v>573.15</v>
      </c>
      <c r="J65" s="5">
        <f t="shared" si="6"/>
        <v>0.13807299488640329</v>
      </c>
      <c r="K65" s="16">
        <f t="shared" si="7"/>
        <v>0.14269420390343365</v>
      </c>
      <c r="L65" s="12">
        <f t="shared" si="8"/>
        <v>29.195234118642524</v>
      </c>
      <c r="M65" s="4">
        <f t="shared" si="9"/>
        <v>467</v>
      </c>
    </row>
    <row r="66" spans="8:13" x14ac:dyDescent="0.3">
      <c r="K66" s="16"/>
      <c r="L66" s="12"/>
    </row>
    <row r="67" spans="8:13" x14ac:dyDescent="0.3">
      <c r="K67" s="16"/>
      <c r="L67" s="12"/>
    </row>
    <row r="68" spans="8:13" x14ac:dyDescent="0.3">
      <c r="K68" s="16"/>
      <c r="L68" s="12"/>
    </row>
    <row r="69" spans="8:13" x14ac:dyDescent="0.3">
      <c r="K69" s="16"/>
      <c r="L69" s="12"/>
    </row>
    <row r="70" spans="8:13" x14ac:dyDescent="0.3">
      <c r="K70" s="16"/>
      <c r="L70" s="12"/>
    </row>
    <row r="71" spans="8:13" x14ac:dyDescent="0.3">
      <c r="K71" s="16"/>
      <c r="L71" s="12"/>
    </row>
    <row r="72" spans="8:13" x14ac:dyDescent="0.3">
      <c r="K72" s="16"/>
      <c r="L72" s="12"/>
    </row>
    <row r="73" spans="8:13" x14ac:dyDescent="0.3">
      <c r="K73" s="16"/>
      <c r="L73" s="12"/>
    </row>
    <row r="74" spans="8:13" x14ac:dyDescent="0.3">
      <c r="K74" s="16"/>
      <c r="L74" s="12"/>
    </row>
    <row r="75" spans="8:13" x14ac:dyDescent="0.3">
      <c r="K75" s="16"/>
      <c r="L75" s="12"/>
    </row>
    <row r="76" spans="8:13" x14ac:dyDescent="0.3">
      <c r="K76" s="16"/>
      <c r="L76" s="12"/>
    </row>
    <row r="77" spans="8:13" x14ac:dyDescent="0.3">
      <c r="K77" s="16"/>
      <c r="L77" s="12"/>
    </row>
    <row r="78" spans="8:13" x14ac:dyDescent="0.3">
      <c r="K78" s="16"/>
      <c r="L78" s="12"/>
    </row>
    <row r="79" spans="8:13" x14ac:dyDescent="0.3">
      <c r="K79" s="16"/>
      <c r="L79" s="12"/>
    </row>
    <row r="80" spans="8:13" x14ac:dyDescent="0.3">
      <c r="K80" s="16"/>
      <c r="L80" s="12"/>
    </row>
    <row r="81" spans="11:12" x14ac:dyDescent="0.3">
      <c r="K81" s="16"/>
      <c r="L81" s="12"/>
    </row>
    <row r="82" spans="11:12" x14ac:dyDescent="0.3">
      <c r="K82" s="16"/>
      <c r="L82" s="12"/>
    </row>
    <row r="83" spans="11:12" x14ac:dyDescent="0.3">
      <c r="K83" s="16"/>
      <c r="L83" s="12"/>
    </row>
    <row r="84" spans="11:12" x14ac:dyDescent="0.3">
      <c r="K84" s="16"/>
      <c r="L84" s="12"/>
    </row>
    <row r="85" spans="11:12" x14ac:dyDescent="0.3">
      <c r="K85" s="16"/>
      <c r="L85" s="12"/>
    </row>
    <row r="86" spans="11:12" x14ac:dyDescent="0.3">
      <c r="K86" s="16"/>
      <c r="L86" s="12"/>
    </row>
    <row r="87" spans="11:12" x14ac:dyDescent="0.3">
      <c r="K87" s="16"/>
      <c r="L87" s="12"/>
    </row>
    <row r="88" spans="11:12" x14ac:dyDescent="0.3">
      <c r="K88" s="16"/>
      <c r="L88" s="12"/>
    </row>
    <row r="89" spans="11:12" x14ac:dyDescent="0.3">
      <c r="K89" s="16"/>
      <c r="L89" s="12"/>
    </row>
    <row r="90" spans="11:12" x14ac:dyDescent="0.3">
      <c r="K90" s="16"/>
      <c r="L90" s="12"/>
    </row>
    <row r="91" spans="11:12" x14ac:dyDescent="0.3">
      <c r="K91" s="16"/>
      <c r="L91" s="12"/>
    </row>
    <row r="92" spans="11:12" x14ac:dyDescent="0.3">
      <c r="K92" s="16"/>
      <c r="L92" s="12"/>
    </row>
    <row r="93" spans="11:12" x14ac:dyDescent="0.3">
      <c r="K93" s="16"/>
      <c r="L93" s="12"/>
    </row>
    <row r="94" spans="11:12" x14ac:dyDescent="0.3">
      <c r="K94" s="16"/>
      <c r="L94" s="12"/>
    </row>
    <row r="95" spans="11:12" x14ac:dyDescent="0.3">
      <c r="K95" s="16"/>
      <c r="L95" s="12"/>
    </row>
    <row r="96" spans="11:12" x14ac:dyDescent="0.3">
      <c r="K96" s="16"/>
      <c r="L96" s="12"/>
    </row>
    <row r="97" spans="11:12" x14ac:dyDescent="0.3">
      <c r="K97" s="16"/>
      <c r="L97" s="12"/>
    </row>
    <row r="98" spans="11:12" x14ac:dyDescent="0.3">
      <c r="K98" s="16"/>
      <c r="L98" s="12"/>
    </row>
    <row r="99" spans="11:12" x14ac:dyDescent="0.3">
      <c r="K99" s="16"/>
      <c r="L99" s="12"/>
    </row>
    <row r="100" spans="11:12" x14ac:dyDescent="0.3">
      <c r="K100" s="16"/>
      <c r="L100" s="12"/>
    </row>
    <row r="101" spans="11:12" x14ac:dyDescent="0.3">
      <c r="K101" s="16"/>
      <c r="L101" s="12"/>
    </row>
    <row r="102" spans="11:12" x14ac:dyDescent="0.3">
      <c r="K102" s="16"/>
      <c r="L102" s="12"/>
    </row>
    <row r="103" spans="11:12" x14ac:dyDescent="0.3">
      <c r="K103" s="16"/>
      <c r="L103" s="12"/>
    </row>
    <row r="104" spans="11:12" x14ac:dyDescent="0.3">
      <c r="K104" s="16"/>
      <c r="L104" s="12"/>
    </row>
    <row r="105" spans="11:12" x14ac:dyDescent="0.3">
      <c r="K105" s="16"/>
      <c r="L105" s="12"/>
    </row>
    <row r="106" spans="11:12" x14ac:dyDescent="0.3">
      <c r="K106" s="16"/>
      <c r="L106" s="12"/>
    </row>
    <row r="107" spans="11:12" x14ac:dyDescent="0.3">
      <c r="K107" s="16"/>
      <c r="L107" s="12"/>
    </row>
    <row r="108" spans="11:12" x14ac:dyDescent="0.3">
      <c r="K108" s="16"/>
      <c r="L108" s="12"/>
    </row>
    <row r="109" spans="11:12" x14ac:dyDescent="0.3">
      <c r="K109" s="16"/>
      <c r="L109" s="12"/>
    </row>
    <row r="110" spans="11:12" x14ac:dyDescent="0.3">
      <c r="K110" s="16"/>
      <c r="L110" s="12"/>
    </row>
    <row r="111" spans="11:12" x14ac:dyDescent="0.3">
      <c r="K111" s="16"/>
      <c r="L111" s="12"/>
    </row>
    <row r="112" spans="11:12" x14ac:dyDescent="0.3">
      <c r="K112" s="16"/>
      <c r="L112" s="12"/>
    </row>
    <row r="113" spans="11:12" x14ac:dyDescent="0.3">
      <c r="K113" s="16"/>
      <c r="L113" s="12"/>
    </row>
    <row r="114" spans="11:12" x14ac:dyDescent="0.3">
      <c r="K114" s="16"/>
      <c r="L114" s="12"/>
    </row>
    <row r="115" spans="11:12" x14ac:dyDescent="0.3">
      <c r="K115" s="16"/>
      <c r="L115" s="12"/>
    </row>
    <row r="116" spans="11:12" x14ac:dyDescent="0.3">
      <c r="K116" s="16"/>
      <c r="L116" s="12"/>
    </row>
    <row r="117" spans="11:12" x14ac:dyDescent="0.3">
      <c r="K117" s="16"/>
      <c r="L117" s="12"/>
    </row>
    <row r="118" spans="11:12" x14ac:dyDescent="0.3">
      <c r="K118" s="16"/>
      <c r="L118" s="12"/>
    </row>
    <row r="119" spans="11:12" x14ac:dyDescent="0.3">
      <c r="K119" s="16"/>
      <c r="L119" s="12"/>
    </row>
    <row r="120" spans="11:12" x14ac:dyDescent="0.3">
      <c r="K120" s="16"/>
      <c r="L120" s="12"/>
    </row>
    <row r="121" spans="11:12" x14ac:dyDescent="0.3">
      <c r="K121" s="16"/>
      <c r="L121" s="12"/>
    </row>
    <row r="122" spans="11:12" x14ac:dyDescent="0.3">
      <c r="K122" s="16"/>
      <c r="L122" s="12"/>
    </row>
    <row r="123" spans="11:12" x14ac:dyDescent="0.3">
      <c r="K123" s="16"/>
      <c r="L123" s="12"/>
    </row>
    <row r="124" spans="11:12" x14ac:dyDescent="0.3">
      <c r="K124" s="16"/>
      <c r="L124" s="12"/>
    </row>
    <row r="125" spans="11:12" x14ac:dyDescent="0.3">
      <c r="K125" s="16"/>
      <c r="L125" s="12"/>
    </row>
    <row r="126" spans="11:12" x14ac:dyDescent="0.3">
      <c r="K126" s="16"/>
      <c r="L126" s="12"/>
    </row>
    <row r="127" spans="11:12" x14ac:dyDescent="0.3">
      <c r="K127" s="16"/>
      <c r="L127" s="12"/>
    </row>
    <row r="128" spans="11:12" x14ac:dyDescent="0.3">
      <c r="K128" s="16"/>
      <c r="L128" s="12"/>
    </row>
    <row r="129" spans="11:12" x14ac:dyDescent="0.3">
      <c r="K129" s="16"/>
      <c r="L129" s="12"/>
    </row>
    <row r="130" spans="11:12" x14ac:dyDescent="0.3">
      <c r="K130" s="16"/>
      <c r="L130" s="12"/>
    </row>
    <row r="131" spans="11:12" x14ac:dyDescent="0.3">
      <c r="K131" s="16"/>
      <c r="L131" s="12"/>
    </row>
    <row r="132" spans="11:12" x14ac:dyDescent="0.3">
      <c r="K132" s="16"/>
      <c r="L132" s="12"/>
    </row>
    <row r="133" spans="11:12" x14ac:dyDescent="0.3">
      <c r="K133" s="16"/>
      <c r="L133" s="12"/>
    </row>
    <row r="134" spans="11:12" x14ac:dyDescent="0.3">
      <c r="K134" s="16"/>
      <c r="L134" s="12"/>
    </row>
    <row r="135" spans="11:12" x14ac:dyDescent="0.3">
      <c r="K135" s="16"/>
      <c r="L135" s="12"/>
    </row>
    <row r="136" spans="11:12" x14ac:dyDescent="0.3">
      <c r="K136" s="16"/>
      <c r="L136" s="12"/>
    </row>
    <row r="137" spans="11:12" x14ac:dyDescent="0.3">
      <c r="K137" s="16"/>
      <c r="L137" s="12"/>
    </row>
    <row r="138" spans="11:12" x14ac:dyDescent="0.3">
      <c r="K138" s="16"/>
      <c r="L138" s="12"/>
    </row>
    <row r="139" spans="11:12" x14ac:dyDescent="0.3">
      <c r="K139" s="16"/>
      <c r="L139" s="12"/>
    </row>
    <row r="140" spans="11:12" x14ac:dyDescent="0.3">
      <c r="K140" s="16"/>
      <c r="L140" s="12"/>
    </row>
    <row r="141" spans="11:12" x14ac:dyDescent="0.3">
      <c r="K141" s="16"/>
      <c r="L141" s="12"/>
    </row>
    <row r="142" spans="11:12" x14ac:dyDescent="0.3">
      <c r="K142" s="16"/>
      <c r="L142" s="12"/>
    </row>
    <row r="143" spans="11:12" x14ac:dyDescent="0.3">
      <c r="K143" s="16"/>
      <c r="L143" s="12"/>
    </row>
    <row r="144" spans="11:12" x14ac:dyDescent="0.3">
      <c r="K144" s="16"/>
      <c r="L144" s="12"/>
    </row>
    <row r="145" spans="11:12" x14ac:dyDescent="0.3">
      <c r="K145" s="16"/>
      <c r="L145" s="12"/>
    </row>
    <row r="146" spans="11:12" x14ac:dyDescent="0.3">
      <c r="K146" s="16"/>
      <c r="L146" s="12"/>
    </row>
    <row r="147" spans="11:12" x14ac:dyDescent="0.3">
      <c r="K147" s="16"/>
      <c r="L147" s="12"/>
    </row>
    <row r="148" spans="11:12" x14ac:dyDescent="0.3">
      <c r="K148" s="16"/>
      <c r="L148" s="12"/>
    </row>
    <row r="149" spans="11:12" x14ac:dyDescent="0.3">
      <c r="K149" s="16"/>
      <c r="L149" s="12"/>
    </row>
    <row r="150" spans="11:12" x14ac:dyDescent="0.3">
      <c r="K150" s="16"/>
      <c r="L150" s="12"/>
    </row>
    <row r="151" spans="11:12" x14ac:dyDescent="0.3">
      <c r="K151" s="16"/>
      <c r="L151" s="12"/>
    </row>
    <row r="152" spans="11:12" x14ac:dyDescent="0.3">
      <c r="K152" s="16"/>
      <c r="L152" s="12"/>
    </row>
    <row r="153" spans="11:12" x14ac:dyDescent="0.3">
      <c r="K153" s="16"/>
      <c r="L153" s="12"/>
    </row>
    <row r="154" spans="11:12" x14ac:dyDescent="0.3">
      <c r="K154" s="16"/>
      <c r="L154" s="12"/>
    </row>
    <row r="155" spans="11:12" x14ac:dyDescent="0.3">
      <c r="K155" s="16"/>
      <c r="L155" s="12"/>
    </row>
    <row r="156" spans="11:12" x14ac:dyDescent="0.3">
      <c r="K156" s="16"/>
      <c r="L156" s="12"/>
    </row>
    <row r="157" spans="11:12" x14ac:dyDescent="0.3">
      <c r="K157" s="16"/>
      <c r="L157" s="12"/>
    </row>
    <row r="158" spans="11:12" x14ac:dyDescent="0.3">
      <c r="K158" s="16"/>
      <c r="L158" s="12"/>
    </row>
    <row r="159" spans="11:12" x14ac:dyDescent="0.3">
      <c r="K159" s="16"/>
      <c r="L159" s="12"/>
    </row>
    <row r="160" spans="11:12" x14ac:dyDescent="0.3">
      <c r="K160" s="16"/>
      <c r="L160" s="12"/>
    </row>
    <row r="161" spans="11:12" x14ac:dyDescent="0.3">
      <c r="K161" s="16"/>
      <c r="L161" s="12"/>
    </row>
    <row r="162" spans="11:12" x14ac:dyDescent="0.3">
      <c r="K162" s="16"/>
      <c r="L162" s="12"/>
    </row>
    <row r="163" spans="11:12" x14ac:dyDescent="0.3">
      <c r="K163" s="16"/>
      <c r="L163" s="12"/>
    </row>
    <row r="164" spans="11:12" x14ac:dyDescent="0.3">
      <c r="K164" s="16"/>
      <c r="L164" s="12"/>
    </row>
    <row r="165" spans="11:12" x14ac:dyDescent="0.3">
      <c r="K165" s="16"/>
      <c r="L165" s="12"/>
    </row>
    <row r="166" spans="11:12" x14ac:dyDescent="0.3">
      <c r="K166" s="16"/>
      <c r="L166" s="12"/>
    </row>
    <row r="167" spans="11:12" x14ac:dyDescent="0.3">
      <c r="K167" s="16"/>
      <c r="L167" s="12"/>
    </row>
    <row r="168" spans="11:12" x14ac:dyDescent="0.3">
      <c r="K168" s="16"/>
      <c r="L168" s="12"/>
    </row>
    <row r="169" spans="11:12" x14ac:dyDescent="0.3">
      <c r="K169" s="16"/>
      <c r="L169" s="12"/>
    </row>
    <row r="170" spans="11:12" x14ac:dyDescent="0.3">
      <c r="K170" s="16"/>
      <c r="L170" s="12"/>
    </row>
    <row r="171" spans="11:12" x14ac:dyDescent="0.3">
      <c r="K171" s="16"/>
      <c r="L171" s="12"/>
    </row>
    <row r="172" spans="11:12" x14ac:dyDescent="0.3">
      <c r="K172" s="16"/>
      <c r="L172" s="12"/>
    </row>
    <row r="173" spans="11:12" x14ac:dyDescent="0.3">
      <c r="K173" s="16"/>
      <c r="L173" s="12"/>
    </row>
    <row r="174" spans="11:12" x14ac:dyDescent="0.3">
      <c r="K174" s="16"/>
      <c r="L174" s="12"/>
    </row>
    <row r="175" spans="11:12" x14ac:dyDescent="0.3">
      <c r="K175" s="16"/>
      <c r="L175" s="12"/>
    </row>
    <row r="176" spans="11:12" x14ac:dyDescent="0.3">
      <c r="K176" s="16"/>
      <c r="L176" s="12"/>
    </row>
    <row r="177" spans="11:12" x14ac:dyDescent="0.3">
      <c r="K177" s="16"/>
      <c r="L177" s="12"/>
    </row>
    <row r="178" spans="11:12" x14ac:dyDescent="0.3">
      <c r="K178" s="16"/>
      <c r="L178" s="12"/>
    </row>
    <row r="179" spans="11:12" x14ac:dyDescent="0.3">
      <c r="K179" s="16"/>
      <c r="L179" s="12"/>
    </row>
    <row r="180" spans="11:12" x14ac:dyDescent="0.3">
      <c r="K180" s="16"/>
      <c r="L180" s="12"/>
    </row>
    <row r="181" spans="11:12" x14ac:dyDescent="0.3">
      <c r="K181" s="16"/>
      <c r="L181" s="12"/>
    </row>
    <row r="182" spans="11:12" x14ac:dyDescent="0.3">
      <c r="K182" s="16"/>
    </row>
    <row r="183" spans="11:12" x14ac:dyDescent="0.3">
      <c r="K183" s="16"/>
    </row>
    <row r="184" spans="11:12" x14ac:dyDescent="0.3">
      <c r="K184" s="16"/>
    </row>
    <row r="185" spans="11:12" x14ac:dyDescent="0.3">
      <c r="K185" s="16"/>
    </row>
    <row r="186" spans="11:12" x14ac:dyDescent="0.3">
      <c r="K186" s="16"/>
    </row>
    <row r="187" spans="11:12" x14ac:dyDescent="0.3">
      <c r="K187" s="16"/>
    </row>
    <row r="188" spans="11:12" x14ac:dyDescent="0.3">
      <c r="K188" s="16"/>
    </row>
    <row r="189" spans="11:12" x14ac:dyDescent="0.3">
      <c r="K189" s="16"/>
    </row>
    <row r="190" spans="11:12" x14ac:dyDescent="0.3">
      <c r="K190" s="16"/>
    </row>
    <row r="191" spans="11:12" x14ac:dyDescent="0.3">
      <c r="K191" s="16"/>
    </row>
    <row r="192" spans="11:12" x14ac:dyDescent="0.3">
      <c r="K192" s="16"/>
    </row>
    <row r="193" spans="11:11" x14ac:dyDescent="0.3">
      <c r="K193" s="16"/>
    </row>
    <row r="194" spans="11:11" x14ac:dyDescent="0.3">
      <c r="K194" s="16"/>
    </row>
    <row r="195" spans="11:11" x14ac:dyDescent="0.3">
      <c r="K195" s="16"/>
    </row>
    <row r="196" spans="11:11" x14ac:dyDescent="0.3">
      <c r="K196" s="16"/>
    </row>
    <row r="197" spans="11:11" x14ac:dyDescent="0.3">
      <c r="K197" s="16"/>
    </row>
    <row r="198" spans="11:11" x14ac:dyDescent="0.3">
      <c r="K198" s="16"/>
    </row>
    <row r="199" spans="11:11" x14ac:dyDescent="0.3">
      <c r="K199" s="16"/>
    </row>
    <row r="200" spans="11:11" x14ac:dyDescent="0.3">
      <c r="K200" s="16"/>
    </row>
    <row r="201" spans="11:11" x14ac:dyDescent="0.3">
      <c r="K201" s="16"/>
    </row>
    <row r="202" spans="11:11" x14ac:dyDescent="0.3">
      <c r="K202" s="16"/>
    </row>
    <row r="203" spans="11:11" x14ac:dyDescent="0.3">
      <c r="K203" s="16"/>
    </row>
    <row r="204" spans="11:11" x14ac:dyDescent="0.3">
      <c r="K204" s="16"/>
    </row>
    <row r="205" spans="11:11" x14ac:dyDescent="0.3">
      <c r="K205" s="16"/>
    </row>
    <row r="206" spans="11:11" x14ac:dyDescent="0.3">
      <c r="K206" s="16"/>
    </row>
    <row r="207" spans="11:11" x14ac:dyDescent="0.3">
      <c r="K207" s="16"/>
    </row>
    <row r="208" spans="11:11" x14ac:dyDescent="0.3">
      <c r="K208" s="16"/>
    </row>
    <row r="209" spans="11:11" x14ac:dyDescent="0.3">
      <c r="K209" s="16"/>
    </row>
    <row r="210" spans="11:11" x14ac:dyDescent="0.3">
      <c r="K210" s="16"/>
    </row>
    <row r="211" spans="11:11" x14ac:dyDescent="0.3">
      <c r="K211" s="16"/>
    </row>
    <row r="212" spans="11:11" x14ac:dyDescent="0.3">
      <c r="K212" s="16"/>
    </row>
    <row r="213" spans="11:11" x14ac:dyDescent="0.3">
      <c r="K213" s="16"/>
    </row>
    <row r="214" spans="11:11" x14ac:dyDescent="0.3">
      <c r="K214" s="16"/>
    </row>
    <row r="215" spans="11:11" x14ac:dyDescent="0.3">
      <c r="K215" s="16"/>
    </row>
    <row r="216" spans="11:11" x14ac:dyDescent="0.3">
      <c r="K216" s="16"/>
    </row>
    <row r="217" spans="11:11" x14ac:dyDescent="0.3">
      <c r="K217" s="16"/>
    </row>
    <row r="218" spans="11:11" x14ac:dyDescent="0.3">
      <c r="K218" s="16"/>
    </row>
    <row r="219" spans="11:11" x14ac:dyDescent="0.3">
      <c r="K219" s="16"/>
    </row>
    <row r="220" spans="11:11" x14ac:dyDescent="0.3">
      <c r="K220" s="16"/>
    </row>
    <row r="221" spans="11:11" x14ac:dyDescent="0.3">
      <c r="K221" s="16"/>
    </row>
    <row r="222" spans="11:11" x14ac:dyDescent="0.3">
      <c r="K222" s="16"/>
    </row>
    <row r="223" spans="11:11" x14ac:dyDescent="0.3">
      <c r="K223" s="16"/>
    </row>
    <row r="224" spans="11:11" x14ac:dyDescent="0.3">
      <c r="K224" s="16"/>
    </row>
    <row r="225" spans="11:11" x14ac:dyDescent="0.3">
      <c r="K225" s="16"/>
    </row>
    <row r="226" spans="11:11" x14ac:dyDescent="0.3">
      <c r="K226" s="16"/>
    </row>
    <row r="227" spans="11:11" x14ac:dyDescent="0.3">
      <c r="K227" s="16"/>
    </row>
    <row r="228" spans="11:11" x14ac:dyDescent="0.3">
      <c r="K228" s="16"/>
    </row>
    <row r="229" spans="11:11" x14ac:dyDescent="0.3">
      <c r="K229" s="16"/>
    </row>
    <row r="230" spans="11:11" x14ac:dyDescent="0.3">
      <c r="K230" s="16"/>
    </row>
    <row r="231" spans="11:11" x14ac:dyDescent="0.3">
      <c r="K231" s="16"/>
    </row>
    <row r="232" spans="11:11" x14ac:dyDescent="0.3">
      <c r="K232" s="16"/>
    </row>
    <row r="233" spans="11:11" x14ac:dyDescent="0.3">
      <c r="K233" s="16"/>
    </row>
    <row r="234" spans="11:11" x14ac:dyDescent="0.3">
      <c r="K234" s="16"/>
    </row>
    <row r="235" spans="11:11" x14ac:dyDescent="0.3">
      <c r="K235" s="16"/>
    </row>
    <row r="236" spans="11:11" x14ac:dyDescent="0.3">
      <c r="K236" s="16"/>
    </row>
    <row r="237" spans="11:11" x14ac:dyDescent="0.3">
      <c r="K237" s="16"/>
    </row>
    <row r="238" spans="11:11" x14ac:dyDescent="0.3">
      <c r="K238" s="16"/>
    </row>
    <row r="239" spans="11:11" x14ac:dyDescent="0.3">
      <c r="K239" s="16"/>
    </row>
    <row r="240" spans="11:11" x14ac:dyDescent="0.3">
      <c r="K240" s="16"/>
    </row>
    <row r="241" spans="11:11" x14ac:dyDescent="0.3">
      <c r="K241" s="16"/>
    </row>
    <row r="242" spans="11:11" x14ac:dyDescent="0.3">
      <c r="K242" s="16"/>
    </row>
    <row r="243" spans="11:11" x14ac:dyDescent="0.3">
      <c r="K243" s="16"/>
    </row>
    <row r="244" spans="11:11" x14ac:dyDescent="0.3">
      <c r="K244" s="16"/>
    </row>
    <row r="245" spans="11:11" x14ac:dyDescent="0.3">
      <c r="K245" s="16"/>
    </row>
    <row r="246" spans="11:11" x14ac:dyDescent="0.3">
      <c r="K246" s="16"/>
    </row>
    <row r="247" spans="11:11" x14ac:dyDescent="0.3">
      <c r="K247" s="16"/>
    </row>
    <row r="248" spans="11:11" x14ac:dyDescent="0.3">
      <c r="K248" s="16"/>
    </row>
    <row r="249" spans="11:11" x14ac:dyDescent="0.3">
      <c r="K249" s="16"/>
    </row>
    <row r="250" spans="11:11" x14ac:dyDescent="0.3">
      <c r="K250" s="16"/>
    </row>
    <row r="251" spans="11:11" x14ac:dyDescent="0.3">
      <c r="K251" s="16"/>
    </row>
    <row r="252" spans="11:11" x14ac:dyDescent="0.3">
      <c r="K252" s="16"/>
    </row>
    <row r="253" spans="11:11" x14ac:dyDescent="0.3">
      <c r="K253" s="16"/>
    </row>
    <row r="254" spans="11:11" x14ac:dyDescent="0.3">
      <c r="K254" s="16"/>
    </row>
    <row r="255" spans="11:11" x14ac:dyDescent="0.3">
      <c r="K255" s="16"/>
    </row>
    <row r="256" spans="11:11" x14ac:dyDescent="0.3">
      <c r="K256" s="16"/>
    </row>
    <row r="257" spans="11:11" x14ac:dyDescent="0.3">
      <c r="K257" s="16"/>
    </row>
    <row r="258" spans="11:11" x14ac:dyDescent="0.3">
      <c r="K258" s="16"/>
    </row>
    <row r="259" spans="11:11" x14ac:dyDescent="0.3">
      <c r="K259" s="16"/>
    </row>
    <row r="260" spans="11:11" x14ac:dyDescent="0.3">
      <c r="K260" s="16"/>
    </row>
    <row r="261" spans="11:11" x14ac:dyDescent="0.3">
      <c r="K261" s="16"/>
    </row>
    <row r="262" spans="11:11" x14ac:dyDescent="0.3">
      <c r="K262" s="16"/>
    </row>
    <row r="263" spans="11:11" x14ac:dyDescent="0.3">
      <c r="K263" s="16"/>
    </row>
    <row r="264" spans="11:11" x14ac:dyDescent="0.3">
      <c r="K264" s="16"/>
    </row>
    <row r="265" spans="11:11" x14ac:dyDescent="0.3">
      <c r="K265" s="16"/>
    </row>
    <row r="266" spans="11:11" x14ac:dyDescent="0.3">
      <c r="K266" s="16"/>
    </row>
    <row r="267" spans="11:11" x14ac:dyDescent="0.3">
      <c r="K267" s="16"/>
    </row>
    <row r="268" spans="11:11" x14ac:dyDescent="0.3">
      <c r="K268" s="16"/>
    </row>
    <row r="269" spans="11:11" x14ac:dyDescent="0.3">
      <c r="K269" s="16"/>
    </row>
    <row r="270" spans="11:11" x14ac:dyDescent="0.3">
      <c r="K270" s="16"/>
    </row>
    <row r="271" spans="11:11" x14ac:dyDescent="0.3">
      <c r="K271" s="16"/>
    </row>
    <row r="272" spans="11:11" x14ac:dyDescent="0.3">
      <c r="K272" s="16"/>
    </row>
    <row r="273" spans="11:11" x14ac:dyDescent="0.3">
      <c r="K273" s="16"/>
    </row>
    <row r="274" spans="11:11" x14ac:dyDescent="0.3">
      <c r="K274" s="16"/>
    </row>
    <row r="275" spans="11:11" x14ac:dyDescent="0.3">
      <c r="K275" s="16"/>
    </row>
    <row r="276" spans="11:11" x14ac:dyDescent="0.3">
      <c r="K276" s="16"/>
    </row>
    <row r="277" spans="11:11" x14ac:dyDescent="0.3">
      <c r="K277" s="16"/>
    </row>
    <row r="278" spans="11:11" x14ac:dyDescent="0.3">
      <c r="K278" s="16"/>
    </row>
    <row r="279" spans="11:11" x14ac:dyDescent="0.3">
      <c r="K279" s="16"/>
    </row>
    <row r="280" spans="11:11" x14ac:dyDescent="0.3">
      <c r="K280" s="16"/>
    </row>
    <row r="281" spans="11:11" x14ac:dyDescent="0.3">
      <c r="K281" s="16"/>
    </row>
    <row r="282" spans="11:11" x14ac:dyDescent="0.3">
      <c r="K282" s="16"/>
    </row>
    <row r="283" spans="11:11" x14ac:dyDescent="0.3">
      <c r="K283" s="16"/>
    </row>
    <row r="284" spans="11:11" x14ac:dyDescent="0.3">
      <c r="K284" s="16"/>
    </row>
    <row r="285" spans="11:11" x14ac:dyDescent="0.3">
      <c r="K285" s="16"/>
    </row>
    <row r="286" spans="11:11" x14ac:dyDescent="0.3">
      <c r="K286" s="16"/>
    </row>
    <row r="287" spans="11:11" x14ac:dyDescent="0.3">
      <c r="K287" s="16"/>
    </row>
    <row r="288" spans="11:11" x14ac:dyDescent="0.3">
      <c r="K288" s="16"/>
    </row>
    <row r="289" spans="11:11" x14ac:dyDescent="0.3">
      <c r="K289" s="16"/>
    </row>
    <row r="290" spans="11:11" x14ac:dyDescent="0.3">
      <c r="K290" s="16"/>
    </row>
    <row r="291" spans="11:11" x14ac:dyDescent="0.3">
      <c r="K291" s="16"/>
    </row>
    <row r="292" spans="11:11" x14ac:dyDescent="0.3">
      <c r="K292" s="16"/>
    </row>
    <row r="293" spans="11:11" x14ac:dyDescent="0.3">
      <c r="K293" s="16"/>
    </row>
    <row r="294" spans="11:11" x14ac:dyDescent="0.3">
      <c r="K294" s="16"/>
    </row>
    <row r="295" spans="11:11" x14ac:dyDescent="0.3">
      <c r="K295" s="16"/>
    </row>
    <row r="296" spans="11:11" x14ac:dyDescent="0.3">
      <c r="K296" s="16"/>
    </row>
    <row r="297" spans="11:11" x14ac:dyDescent="0.3">
      <c r="K297" s="16"/>
    </row>
    <row r="298" spans="11:11" x14ac:dyDescent="0.3">
      <c r="K298" s="16"/>
    </row>
    <row r="299" spans="11:11" x14ac:dyDescent="0.3">
      <c r="K299" s="16"/>
    </row>
    <row r="300" spans="11:11" x14ac:dyDescent="0.3">
      <c r="K300" s="16"/>
    </row>
    <row r="301" spans="11:11" x14ac:dyDescent="0.3">
      <c r="K301" s="16"/>
    </row>
    <row r="302" spans="11:11" x14ac:dyDescent="0.3">
      <c r="K302" s="16"/>
    </row>
    <row r="303" spans="11:11" x14ac:dyDescent="0.3">
      <c r="K303" s="16"/>
    </row>
    <row r="304" spans="11:11" x14ac:dyDescent="0.3">
      <c r="K304" s="16"/>
    </row>
    <row r="305" spans="11:11" x14ac:dyDescent="0.3">
      <c r="K305" s="16"/>
    </row>
    <row r="306" spans="11:11" x14ac:dyDescent="0.3">
      <c r="K306" s="16"/>
    </row>
    <row r="307" spans="11:11" x14ac:dyDescent="0.3">
      <c r="K307" s="16"/>
    </row>
    <row r="308" spans="11:11" x14ac:dyDescent="0.3">
      <c r="K308" s="16"/>
    </row>
    <row r="309" spans="11:11" x14ac:dyDescent="0.3">
      <c r="K309" s="16"/>
    </row>
    <row r="310" spans="11:11" x14ac:dyDescent="0.3">
      <c r="K310" s="16"/>
    </row>
    <row r="311" spans="11:11" x14ac:dyDescent="0.3">
      <c r="K311" s="16"/>
    </row>
    <row r="312" spans="11:11" x14ac:dyDescent="0.3">
      <c r="K312" s="16"/>
    </row>
    <row r="313" spans="11:11" x14ac:dyDescent="0.3">
      <c r="K313" s="16"/>
    </row>
    <row r="314" spans="11:11" x14ac:dyDescent="0.3">
      <c r="K314" s="16"/>
    </row>
    <row r="315" spans="11:11" x14ac:dyDescent="0.3">
      <c r="K315" s="16"/>
    </row>
  </sheetData>
  <hyperlinks>
    <hyperlink ref="A15" r:id="rId1" xr:uid="{3BCAE378-8549-4FE1-84BB-07622E5A59A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export_marlin_table_BETA">
                <anchor moveWithCells="1" sizeWithCells="1">
                  <from>
                    <xdr:col>0</xdr:col>
                    <xdr:colOff>182880</xdr:colOff>
                    <xdr:row>16</xdr:row>
                    <xdr:rowOff>83820</xdr:rowOff>
                  </from>
                  <to>
                    <xdr:col>1</xdr:col>
                    <xdr:colOff>312420</xdr:colOff>
                    <xdr:row>18</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U526"/>
  <sheetViews>
    <sheetView zoomScaleNormal="100" workbookViewId="0">
      <selection activeCell="G40" sqref="G40"/>
    </sheetView>
  </sheetViews>
  <sheetFormatPr defaultRowHeight="14.4" x14ac:dyDescent="0.3"/>
  <cols>
    <col min="1" max="1" width="20.6640625" customWidth="1"/>
    <col min="4" max="4" width="10" bestFit="1" customWidth="1"/>
    <col min="15" max="15" width="12" bestFit="1" customWidth="1"/>
  </cols>
  <sheetData>
    <row r="1" spans="1:21" x14ac:dyDescent="0.3">
      <c r="A1" t="s">
        <v>2</v>
      </c>
      <c r="B1" s="2">
        <v>4.7</v>
      </c>
      <c r="C1" t="s">
        <v>3</v>
      </c>
      <c r="K1" t="s">
        <v>45</v>
      </c>
      <c r="L1" t="s">
        <v>46</v>
      </c>
      <c r="M1" t="s">
        <v>47</v>
      </c>
      <c r="N1" t="s">
        <v>48</v>
      </c>
      <c r="O1" t="s">
        <v>50</v>
      </c>
      <c r="P1" t="s">
        <v>0</v>
      </c>
      <c r="Q1" t="s">
        <v>7</v>
      </c>
      <c r="R1" t="s">
        <v>13</v>
      </c>
      <c r="U1" t="s">
        <v>82</v>
      </c>
    </row>
    <row r="2" spans="1:21" x14ac:dyDescent="0.3">
      <c r="A2" t="s">
        <v>4</v>
      </c>
      <c r="B2" s="2">
        <v>5</v>
      </c>
      <c r="C2" t="s">
        <v>5</v>
      </c>
      <c r="K2" s="4">
        <v>-15</v>
      </c>
      <c r="L2">
        <f t="shared" ref="L2:L4" si="0">K2+273.15</f>
        <v>258.14999999999998</v>
      </c>
      <c r="M2">
        <f t="shared" ref="M2:M4" si="1">($B$25-(1/L2))/$B$23</f>
        <v>-2882.8375222347472</v>
      </c>
      <c r="N2">
        <f t="shared" ref="N2:N4" si="2">SQRT(($B$24/(3*$B$23))^3+(M2^2)/4)</f>
        <v>2128.1286244251928</v>
      </c>
      <c r="O2" s="5">
        <f t="shared" ref="O2:O4" si="3">EXP((N2-(M2/2))^(1/3)-(N2+(M2/2))^(1/3))</f>
        <v>639.29294374244751</v>
      </c>
      <c r="P2" s="16">
        <f t="shared" ref="P2:P4" si="4">O2*$B$2/(O2+$B$1)</f>
        <v>4.9635089169402473</v>
      </c>
      <c r="Q2" s="12">
        <f t="shared" ref="Q2:Q4" si="5">(P2/$B$2*$B$6)</f>
        <v>1015.5339244059746</v>
      </c>
      <c r="R2" s="4">
        <f t="shared" ref="R2:R4" si="6">ROUND(Q2*$B$3,0)</f>
        <v>16249</v>
      </c>
      <c r="U2" t="s">
        <v>58</v>
      </c>
    </row>
    <row r="3" spans="1:21" x14ac:dyDescent="0.3">
      <c r="A3" t="s">
        <v>6</v>
      </c>
      <c r="B3" s="2">
        <v>16</v>
      </c>
      <c r="K3" s="4">
        <v>-10</v>
      </c>
      <c r="L3">
        <f t="shared" si="0"/>
        <v>263.14999999999998</v>
      </c>
      <c r="M3">
        <f t="shared" si="1"/>
        <v>-2752.2036779804776</v>
      </c>
      <c r="N3">
        <f t="shared" si="2"/>
        <v>2084.4422919498243</v>
      </c>
      <c r="O3" s="5">
        <f t="shared" si="3"/>
        <v>498.45378201325985</v>
      </c>
      <c r="P3" s="16">
        <f t="shared" si="4"/>
        <v>4.953294597317802</v>
      </c>
      <c r="Q3" s="12">
        <f t="shared" si="5"/>
        <v>1013.4440746112223</v>
      </c>
      <c r="R3" s="4">
        <f t="shared" si="6"/>
        <v>16215</v>
      </c>
      <c r="U3" t="s">
        <v>60</v>
      </c>
    </row>
    <row r="4" spans="1:21" x14ac:dyDescent="0.3">
      <c r="A4" t="s">
        <v>11</v>
      </c>
      <c r="B4" s="19">
        <v>100</v>
      </c>
      <c r="C4" t="s">
        <v>12</v>
      </c>
      <c r="K4" s="4">
        <v>-5</v>
      </c>
      <c r="L4">
        <f t="shared" si="0"/>
        <v>268.14999999999998</v>
      </c>
      <c r="M4">
        <f t="shared" si="1"/>
        <v>-2626.4415042186279</v>
      </c>
      <c r="N4">
        <f t="shared" si="2"/>
        <v>2043.4755053504484</v>
      </c>
      <c r="O4" s="5">
        <f t="shared" si="3"/>
        <v>390.59590768502352</v>
      </c>
      <c r="P4" s="16">
        <f t="shared" si="4"/>
        <v>4.9405508644457683</v>
      </c>
      <c r="Q4" s="12">
        <f t="shared" si="5"/>
        <v>1010.8367068656042</v>
      </c>
      <c r="R4" s="4">
        <f t="shared" si="6"/>
        <v>16173</v>
      </c>
      <c r="U4" t="s">
        <v>59</v>
      </c>
    </row>
    <row r="5" spans="1:21" x14ac:dyDescent="0.3">
      <c r="A5" t="s">
        <v>66</v>
      </c>
      <c r="B5" s="2">
        <v>10</v>
      </c>
      <c r="C5" t="s">
        <v>72</v>
      </c>
      <c r="K5" s="4">
        <v>0</v>
      </c>
      <c r="L5">
        <f>K5+273.15</f>
        <v>273.14999999999998</v>
      </c>
      <c r="M5">
        <f t="shared" ref="M5:M36" si="7">($B$25-(1/L5))/$B$23</f>
        <v>-2505.2834737392918</v>
      </c>
      <c r="N5">
        <f t="shared" ref="N5:N36" si="8">SQRT(($B$24/(3*$B$23))^3+(M5^2)/4)</f>
        <v>2005.0822222902787</v>
      </c>
      <c r="O5" s="5">
        <f>EXP((N5-(M5/2))^(1/3)-(N5+(M5/2))^(1/3))</f>
        <v>307.58714114316274</v>
      </c>
      <c r="P5" s="16">
        <f>O5*$B$2/(O5+$B$1)</f>
        <v>4.9247487427308867</v>
      </c>
      <c r="Q5" s="12">
        <f t="shared" ref="Q5:Q36" si="9">(P5/$B$2*$B$6)</f>
        <v>1007.6035927627394</v>
      </c>
      <c r="R5" s="4">
        <f>ROUND(Q5*$B$3,0)</f>
        <v>16122</v>
      </c>
      <c r="U5" t="s">
        <v>61</v>
      </c>
    </row>
    <row r="6" spans="1:21" x14ac:dyDescent="0.3">
      <c r="A6" t="s">
        <v>14</v>
      </c>
      <c r="B6" s="20">
        <f>POWER(2,SH_ADC_RESOLUTION) - 1</f>
        <v>1023</v>
      </c>
      <c r="C6" t="s">
        <v>87</v>
      </c>
      <c r="K6" s="4">
        <v>5</v>
      </c>
      <c r="L6">
        <f t="shared" ref="L6:L65" si="10">K6+273.15</f>
        <v>278.14999999999998</v>
      </c>
      <c r="M6">
        <f t="shared" si="7"/>
        <v>-2388.4812955151901</v>
      </c>
      <c r="N6">
        <f t="shared" si="8"/>
        <v>1969.1252174387485</v>
      </c>
      <c r="O6" s="5">
        <f t="shared" ref="O6:O65" si="11">EXP((N6-(M6/2))^(1/3)-(N6+(M6/2))^(1/3))</f>
        <v>243.39349551719661</v>
      </c>
      <c r="P6" s="16">
        <f>O6*$B$2/(O6+$B$1)</f>
        <v>4.9052776456270655</v>
      </c>
      <c r="Q6" s="12">
        <f t="shared" si="9"/>
        <v>1003.6198062952975</v>
      </c>
      <c r="R6" s="4">
        <f t="shared" ref="R6:R65" si="12">ROUND(Q6*$B$3,0)</f>
        <v>16058</v>
      </c>
      <c r="U6" t="s">
        <v>62</v>
      </c>
    </row>
    <row r="7" spans="1:21" x14ac:dyDescent="0.3">
      <c r="K7" s="4">
        <v>10</v>
      </c>
      <c r="L7">
        <f t="shared" si="10"/>
        <v>283.14999999999998</v>
      </c>
      <c r="M7">
        <f t="shared" si="7"/>
        <v>-2275.8042162924694</v>
      </c>
      <c r="N7">
        <f t="shared" si="8"/>
        <v>1935.4752917359508</v>
      </c>
      <c r="O7" s="5">
        <f t="shared" si="11"/>
        <v>193.51515302672064</v>
      </c>
      <c r="P7" s="16">
        <f>O7*$B$2/(O7+$B$1)</f>
        <v>4.8814419602075931</v>
      </c>
      <c r="Q7" s="12">
        <f t="shared" si="9"/>
        <v>998.74302505847356</v>
      </c>
      <c r="R7" s="4">
        <f t="shared" si="12"/>
        <v>15980</v>
      </c>
      <c r="U7" t="s">
        <v>65</v>
      </c>
    </row>
    <row r="8" spans="1:21" x14ac:dyDescent="0.3">
      <c r="K8" s="4">
        <v>15</v>
      </c>
      <c r="L8">
        <f t="shared" si="10"/>
        <v>288.14999999999998</v>
      </c>
      <c r="M8">
        <f t="shared" si="7"/>
        <v>-2167.0374990070281</v>
      </c>
      <c r="N8">
        <f t="shared" si="8"/>
        <v>1904.0105771035983</v>
      </c>
      <c r="O8" s="5">
        <f t="shared" si="11"/>
        <v>154.57990181492349</v>
      </c>
      <c r="P8" s="16">
        <f t="shared" ref="P8:P65" si="13">O8*$B$2/(O8+$B$1)</f>
        <v>4.8524609838891912</v>
      </c>
      <c r="Q8" s="12">
        <f t="shared" si="9"/>
        <v>992.81351730372853</v>
      </c>
      <c r="R8" s="4">
        <f t="shared" si="12"/>
        <v>15885</v>
      </c>
      <c r="U8" t="s">
        <v>64</v>
      </c>
    </row>
    <row r="9" spans="1:21" x14ac:dyDescent="0.3">
      <c r="A9" t="s">
        <v>83</v>
      </c>
      <c r="B9" t="s">
        <v>8</v>
      </c>
      <c r="C9" t="s">
        <v>49</v>
      </c>
      <c r="D9" t="s">
        <v>33</v>
      </c>
      <c r="E9" t="s">
        <v>34</v>
      </c>
      <c r="K9" s="4">
        <v>20</v>
      </c>
      <c r="L9">
        <f t="shared" si="10"/>
        <v>293.14999999999998</v>
      </c>
      <c r="M9">
        <f t="shared" si="7"/>
        <v>-2061.9810569146775</v>
      </c>
      <c r="N9">
        <f t="shared" si="8"/>
        <v>1874.6159251871998</v>
      </c>
      <c r="O9" s="5">
        <f t="shared" si="11"/>
        <v>124.04849371419556</v>
      </c>
      <c r="P9" s="16">
        <f t="shared" si="13"/>
        <v>4.8174735927228252</v>
      </c>
      <c r="Q9" s="12">
        <f t="shared" si="9"/>
        <v>985.65509707109004</v>
      </c>
      <c r="R9" s="4">
        <f t="shared" si="12"/>
        <v>15770</v>
      </c>
    </row>
    <row r="10" spans="1:21" x14ac:dyDescent="0.3">
      <c r="A10">
        <v>1</v>
      </c>
      <c r="B10" s="2">
        <v>25</v>
      </c>
      <c r="C10" s="2">
        <v>100</v>
      </c>
      <c r="D10">
        <f>B10+273.15</f>
        <v>298.14999999999998</v>
      </c>
      <c r="E10">
        <f>LN(C10)</f>
        <v>4.6051701859880918</v>
      </c>
      <c r="K10" s="4">
        <v>25</v>
      </c>
      <c r="L10">
        <f t="shared" si="10"/>
        <v>298.14999999999998</v>
      </c>
      <c r="M10">
        <f t="shared" si="7"/>
        <v>-1960.4482251557945</v>
      </c>
      <c r="N10">
        <f t="shared" si="8"/>
        <v>1847.1823700100229</v>
      </c>
      <c r="O10" s="5">
        <f t="shared" si="11"/>
        <v>100.00000000000023</v>
      </c>
      <c r="P10" s="16">
        <f t="shared" si="13"/>
        <v>4.7755491881566385</v>
      </c>
      <c r="Q10" s="12">
        <f t="shared" si="9"/>
        <v>977.07736389684828</v>
      </c>
      <c r="R10" s="4">
        <f t="shared" si="12"/>
        <v>15633</v>
      </c>
    </row>
    <row r="11" spans="1:21" x14ac:dyDescent="0.3">
      <c r="A11">
        <v>2</v>
      </c>
      <c r="B11" s="2">
        <v>160</v>
      </c>
      <c r="C11" s="2">
        <v>1.2967</v>
      </c>
      <c r="D11">
        <f>B11+273.15</f>
        <v>433.15</v>
      </c>
      <c r="E11">
        <f t="shared" ref="E11:E12" si="14">LN(C11)</f>
        <v>0.2598225755727015</v>
      </c>
      <c r="K11" s="4">
        <v>30</v>
      </c>
      <c r="L11">
        <f t="shared" si="10"/>
        <v>303.14999999999998</v>
      </c>
      <c r="M11">
        <f t="shared" si="7"/>
        <v>-1862.2646538870613</v>
      </c>
      <c r="N11">
        <f t="shared" si="8"/>
        <v>1821.6066555313175</v>
      </c>
      <c r="O11" s="5">
        <f t="shared" si="11"/>
        <v>80.97465674689542</v>
      </c>
      <c r="P11" s="16">
        <f t="shared" si="13"/>
        <v>4.7257065170459347</v>
      </c>
      <c r="Q11" s="12">
        <f t="shared" si="9"/>
        <v>966.87955338759821</v>
      </c>
      <c r="R11" s="4">
        <f t="shared" si="12"/>
        <v>15470</v>
      </c>
    </row>
    <row r="12" spans="1:21" x14ac:dyDescent="0.3">
      <c r="A12">
        <v>3</v>
      </c>
      <c r="B12" s="2">
        <v>220</v>
      </c>
      <c r="C12" s="2">
        <v>0.37895000000000001</v>
      </c>
      <c r="D12">
        <f>B12+273.15</f>
        <v>493.15</v>
      </c>
      <c r="E12">
        <f t="shared" si="14"/>
        <v>-0.97035100872409896</v>
      </c>
      <c r="K12" s="4">
        <v>35</v>
      </c>
      <c r="L12">
        <f t="shared" si="10"/>
        <v>308.14999999999998</v>
      </c>
      <c r="M12">
        <f t="shared" si="7"/>
        <v>-1767.2673091725624</v>
      </c>
      <c r="N12">
        <f t="shared" si="8"/>
        <v>1797.7908200661793</v>
      </c>
      <c r="O12" s="5">
        <f t="shared" si="11"/>
        <v>65.85824019503869</v>
      </c>
      <c r="P12" s="16">
        <f t="shared" si="13"/>
        <v>4.6669418067253261</v>
      </c>
      <c r="Q12" s="12">
        <f t="shared" si="9"/>
        <v>954.85629365600175</v>
      </c>
      <c r="R12" s="4">
        <f t="shared" si="12"/>
        <v>15278</v>
      </c>
    </row>
    <row r="13" spans="1:21" x14ac:dyDescent="0.3">
      <c r="K13" s="4">
        <v>40</v>
      </c>
      <c r="L13">
        <f t="shared" si="10"/>
        <v>313.14999999999998</v>
      </c>
      <c r="M13">
        <f t="shared" si="7"/>
        <v>-1675.3035695902522</v>
      </c>
      <c r="N13">
        <f t="shared" si="8"/>
        <v>1775.6418303720993</v>
      </c>
      <c r="O13" s="5">
        <f t="shared" si="11"/>
        <v>53.796594556647754</v>
      </c>
      <c r="P13" s="16">
        <f t="shared" si="13"/>
        <v>4.5982672123375874</v>
      </c>
      <c r="Q13" s="12">
        <f t="shared" si="9"/>
        <v>940.80547164427037</v>
      </c>
      <c r="R13" s="4">
        <f t="shared" si="12"/>
        <v>15053</v>
      </c>
    </row>
    <row r="14" spans="1:21" x14ac:dyDescent="0.3">
      <c r="A14" t="s">
        <v>35</v>
      </c>
      <c r="K14" s="4">
        <v>45</v>
      </c>
      <c r="L14">
        <f t="shared" si="10"/>
        <v>318.14999999999998</v>
      </c>
      <c r="M14">
        <f t="shared" si="7"/>
        <v>-1586.2304080240453</v>
      </c>
      <c r="N14">
        <f t="shared" si="8"/>
        <v>1755.0712589612283</v>
      </c>
      <c r="O14" s="5">
        <f t="shared" si="11"/>
        <v>44.132158703152072</v>
      </c>
      <c r="P14" s="16">
        <f t="shared" si="13"/>
        <v>4.5187597553723728</v>
      </c>
      <c r="Q14" s="12">
        <f t="shared" si="9"/>
        <v>924.53824594918751</v>
      </c>
      <c r="R14" s="4">
        <f t="shared" si="12"/>
        <v>14793</v>
      </c>
    </row>
    <row r="15" spans="1:21" x14ac:dyDescent="0.3">
      <c r="A15" t="s">
        <v>36</v>
      </c>
      <c r="B15">
        <f>E10-E11</f>
        <v>4.3453476104153905</v>
      </c>
      <c r="K15" s="4">
        <v>50</v>
      </c>
      <c r="L15">
        <f t="shared" si="10"/>
        <v>323.14999999999998</v>
      </c>
      <c r="M15">
        <f t="shared" si="7"/>
        <v>-1499.9136494151708</v>
      </c>
      <c r="N15">
        <f t="shared" si="8"/>
        <v>1735.9949988759192</v>
      </c>
      <c r="O15" s="5">
        <f t="shared" si="11"/>
        <v>36.356619011908293</v>
      </c>
      <c r="P15" s="16">
        <f t="shared" si="13"/>
        <v>4.4276196977353655</v>
      </c>
      <c r="Q15" s="12">
        <f t="shared" si="9"/>
        <v>905.89099015665579</v>
      </c>
      <c r="R15" s="4">
        <f t="shared" si="12"/>
        <v>14494</v>
      </c>
    </row>
    <row r="16" spans="1:21" x14ac:dyDescent="0.3">
      <c r="A16" t="s">
        <v>37</v>
      </c>
      <c r="B16">
        <f>E10-E12</f>
        <v>5.5755211947121905</v>
      </c>
      <c r="K16" s="4">
        <v>55</v>
      </c>
      <c r="L16">
        <f t="shared" si="10"/>
        <v>328.15</v>
      </c>
      <c r="M16">
        <f t="shared" si="7"/>
        <v>-1416.2272963710957</v>
      </c>
      <c r="N16">
        <f t="shared" si="8"/>
        <v>1718.3330107820675</v>
      </c>
      <c r="O16" s="5">
        <f t="shared" si="11"/>
        <v>30.075437724878295</v>
      </c>
      <c r="P16" s="16">
        <f t="shared" si="13"/>
        <v>4.3242356807722322</v>
      </c>
      <c r="Q16" s="12">
        <f t="shared" si="9"/>
        <v>884.73862028599865</v>
      </c>
      <c r="R16" s="4">
        <f t="shared" si="12"/>
        <v>14156</v>
      </c>
    </row>
    <row r="17" spans="1:18" x14ac:dyDescent="0.3">
      <c r="A17" t="s">
        <v>38</v>
      </c>
      <c r="B17">
        <f>1/D10-1/D11</f>
        <v>1.0453473823891762E-3</v>
      </c>
      <c r="K17" s="4">
        <v>60</v>
      </c>
      <c r="L17">
        <f t="shared" si="10"/>
        <v>333.15</v>
      </c>
      <c r="M17">
        <f t="shared" si="7"/>
        <v>-1335.0529155030392</v>
      </c>
      <c r="N17">
        <f t="shared" si="8"/>
        <v>1702.0090978003054</v>
      </c>
      <c r="O17" s="5">
        <f t="shared" si="11"/>
        <v>24.98116561388396</v>
      </c>
      <c r="P17" s="16">
        <f t="shared" si="13"/>
        <v>4.2082521183397397</v>
      </c>
      <c r="Q17" s="12">
        <f t="shared" si="9"/>
        <v>861.00838341231076</v>
      </c>
      <c r="R17" s="4">
        <f t="shared" si="12"/>
        <v>13776</v>
      </c>
    </row>
    <row r="18" spans="1:18" x14ac:dyDescent="0.3">
      <c r="A18" t="s">
        <v>39</v>
      </c>
      <c r="B18">
        <f>1/D10-1/D12</f>
        <v>1.326235840540816E-3</v>
      </c>
      <c r="K18" s="4">
        <v>65</v>
      </c>
      <c r="L18">
        <f t="shared" si="10"/>
        <v>338.15</v>
      </c>
      <c r="M18">
        <f t="shared" si="7"/>
        <v>-1256.2790782064174</v>
      </c>
      <c r="N18">
        <f t="shared" si="8"/>
        <v>1686.9507040164244</v>
      </c>
      <c r="O18" s="5">
        <f t="shared" si="11"/>
        <v>20.83328058197959</v>
      </c>
      <c r="P18" s="16">
        <f t="shared" si="13"/>
        <v>4.0796325632913231</v>
      </c>
      <c r="Q18" s="12">
        <f t="shared" si="9"/>
        <v>834.69282244940473</v>
      </c>
      <c r="R18" s="4">
        <f t="shared" si="12"/>
        <v>13355</v>
      </c>
    </row>
    <row r="19" spans="1:18" x14ac:dyDescent="0.3">
      <c r="A19" t="s">
        <v>5</v>
      </c>
      <c r="B19">
        <f>E10^3-E11^3</f>
        <v>97.647032387212377</v>
      </c>
      <c r="K19" s="4">
        <v>70</v>
      </c>
      <c r="L19">
        <f t="shared" si="10"/>
        <v>343.15</v>
      </c>
      <c r="M19">
        <f t="shared" si="7"/>
        <v>-1179.8008503312328</v>
      </c>
      <c r="N19">
        <f t="shared" si="8"/>
        <v>1673.0887330943608</v>
      </c>
      <c r="O19" s="5">
        <f t="shared" si="11"/>
        <v>17.442894911246515</v>
      </c>
      <c r="P19" s="16">
        <f t="shared" si="13"/>
        <v>3.9387114876264802</v>
      </c>
      <c r="Q19" s="12">
        <f t="shared" si="9"/>
        <v>805.86037036837786</v>
      </c>
      <c r="R19" s="4">
        <f t="shared" si="12"/>
        <v>12894</v>
      </c>
    </row>
    <row r="20" spans="1:18" x14ac:dyDescent="0.3">
      <c r="A20" t="s">
        <v>40</v>
      </c>
      <c r="B20">
        <f>E10^3-E12^3</f>
        <v>98.578236580988388</v>
      </c>
      <c r="K20" s="4">
        <v>75</v>
      </c>
      <c r="L20">
        <f t="shared" si="10"/>
        <v>348.15</v>
      </c>
      <c r="M20">
        <f t="shared" si="7"/>
        <v>-1105.5193258274455</v>
      </c>
      <c r="N20">
        <f t="shared" si="8"/>
        <v>1660.3573838608395</v>
      </c>
      <c r="O20" s="5">
        <f t="shared" si="11"/>
        <v>14.661109687763208</v>
      </c>
      <c r="P20" s="16">
        <f t="shared" si="13"/>
        <v>3.7862265965647262</v>
      </c>
      <c r="Q20" s="12">
        <f t="shared" si="9"/>
        <v>774.66196165714302</v>
      </c>
      <c r="R20" s="4">
        <f t="shared" si="12"/>
        <v>12395</v>
      </c>
    </row>
    <row r="21" spans="1:18" x14ac:dyDescent="0.3">
      <c r="K21" s="4">
        <v>80</v>
      </c>
      <c r="L21">
        <f t="shared" si="10"/>
        <v>353.15</v>
      </c>
      <c r="M21">
        <f t="shared" si="7"/>
        <v>-1033.3412000070437</v>
      </c>
      <c r="N21">
        <f t="shared" si="8"/>
        <v>1648.6940001421483</v>
      </c>
      <c r="O21" s="5">
        <f t="shared" si="11"/>
        <v>12.370112346678011</v>
      </c>
      <c r="P21" s="16">
        <f t="shared" si="13"/>
        <v>3.62332481926674</v>
      </c>
      <c r="Q21" s="12">
        <f t="shared" si="9"/>
        <v>741.33225802197501</v>
      </c>
      <c r="R21" s="4">
        <f t="shared" si="12"/>
        <v>11861</v>
      </c>
    </row>
    <row r="22" spans="1:18" x14ac:dyDescent="0.3">
      <c r="A22" t="s">
        <v>41</v>
      </c>
      <c r="K22" s="4">
        <v>85</v>
      </c>
      <c r="L22">
        <f t="shared" si="10"/>
        <v>358.15</v>
      </c>
      <c r="M22">
        <f t="shared" si="7"/>
        <v>-963.17837855130563</v>
      </c>
      <c r="N22">
        <f t="shared" si="8"/>
        <v>1638.038932511648</v>
      </c>
      <c r="O22" s="5">
        <f t="shared" si="11"/>
        <v>10.476345460252929</v>
      </c>
      <c r="P22" s="16">
        <f t="shared" si="13"/>
        <v>3.4515376207304427</v>
      </c>
      <c r="Q22" s="12">
        <f t="shared" si="9"/>
        <v>706.18459720144858</v>
      </c>
      <c r="R22" s="4">
        <f t="shared" si="12"/>
        <v>11299</v>
      </c>
    </row>
    <row r="23" spans="1:18" x14ac:dyDescent="0.3">
      <c r="A23" t="s">
        <v>42</v>
      </c>
      <c r="B23">
        <f>(B17-B15*B18/B16)/(B19-B15*B20/B16)</f>
        <v>5.634284767450175E-7</v>
      </c>
      <c r="K23" s="4">
        <v>90</v>
      </c>
      <c r="L23">
        <f t="shared" si="10"/>
        <v>363.15</v>
      </c>
      <c r="M23">
        <f t="shared" si="7"/>
        <v>-894.94761881815373</v>
      </c>
      <c r="N23">
        <f t="shared" si="8"/>
        <v>1628.3354099520741</v>
      </c>
      <c r="O23" s="5">
        <f t="shared" si="11"/>
        <v>8.9052454442202311</v>
      </c>
      <c r="P23" s="16">
        <f t="shared" si="13"/>
        <v>3.2727250238632593</v>
      </c>
      <c r="Q23" s="12">
        <f t="shared" si="9"/>
        <v>669.59953988242285</v>
      </c>
      <c r="R23" s="4">
        <f t="shared" si="12"/>
        <v>10714</v>
      </c>
    </row>
    <row r="24" spans="1:18" x14ac:dyDescent="0.3">
      <c r="A24" t="s">
        <v>43</v>
      </c>
      <c r="B24">
        <f>(B17-B23*B19)/B15</f>
        <v>2.2790587830047221E-4</v>
      </c>
      <c r="K24" s="4">
        <v>95</v>
      </c>
      <c r="L24">
        <f t="shared" si="10"/>
        <v>368.15</v>
      </c>
      <c r="M24">
        <f t="shared" si="7"/>
        <v>-828.57020037885388</v>
      </c>
      <c r="N24">
        <f t="shared" si="8"/>
        <v>1619.5294197499725</v>
      </c>
      <c r="O24" s="5">
        <f t="shared" si="11"/>
        <v>7.5971756558171641</v>
      </c>
      <c r="P24" s="16">
        <f t="shared" si="13"/>
        <v>3.0889920858466922</v>
      </c>
      <c r="Q24" s="12">
        <f t="shared" si="9"/>
        <v>632.0077807642333</v>
      </c>
      <c r="R24" s="4">
        <f t="shared" si="12"/>
        <v>10112</v>
      </c>
    </row>
    <row r="25" spans="1:18" x14ac:dyDescent="0.3">
      <c r="A25" t="s">
        <v>44</v>
      </c>
      <c r="B25">
        <f>1/D10-B23*E10^3-B24*E10</f>
        <v>2.2494440774435279E-3</v>
      </c>
      <c r="K25" s="4">
        <v>100</v>
      </c>
      <c r="L25">
        <f t="shared" si="10"/>
        <v>373.15</v>
      </c>
      <c r="M25">
        <f t="shared" si="7"/>
        <v>-763.9716220424425</v>
      </c>
      <c r="N25">
        <f t="shared" si="8"/>
        <v>1611.5695942211923</v>
      </c>
      <c r="O25" s="5">
        <f t="shared" si="11"/>
        <v>6.5042715159363089</v>
      </c>
      <c r="P25" s="16">
        <f t="shared" si="13"/>
        <v>2.9025856373995436</v>
      </c>
      <c r="Q25" s="12">
        <f t="shared" si="9"/>
        <v>593.86902141194662</v>
      </c>
      <c r="R25" s="4">
        <f t="shared" si="12"/>
        <v>9502</v>
      </c>
    </row>
    <row r="26" spans="1:18" x14ac:dyDescent="0.3">
      <c r="K26" s="4">
        <v>105</v>
      </c>
      <c r="L26">
        <f t="shared" si="10"/>
        <v>378.15</v>
      </c>
      <c r="M26">
        <f t="shared" si="7"/>
        <v>-701.08132291630329</v>
      </c>
      <c r="N26">
        <f t="shared" si="8"/>
        <v>1604.4071031169854</v>
      </c>
      <c r="O26" s="5">
        <f t="shared" si="11"/>
        <v>5.5879845455137325</v>
      </c>
      <c r="P26" s="16">
        <f t="shared" si="13"/>
        <v>2.7157819497067952</v>
      </c>
      <c r="Q26" s="12">
        <f t="shared" si="9"/>
        <v>555.64898691001031</v>
      </c>
      <c r="R26" s="4">
        <f t="shared" si="12"/>
        <v>8890</v>
      </c>
    </row>
    <row r="27" spans="1:18" x14ac:dyDescent="0.3">
      <c r="A27" s="6" t="s">
        <v>53</v>
      </c>
      <c r="K27" s="4">
        <v>110</v>
      </c>
      <c r="L27">
        <f t="shared" si="10"/>
        <v>383.15</v>
      </c>
      <c r="M27">
        <f t="shared" si="7"/>
        <v>-639.83242530722305</v>
      </c>
      <c r="N27">
        <f t="shared" si="8"/>
        <v>1597.9955507808365</v>
      </c>
      <c r="O27" s="5">
        <f t="shared" si="11"/>
        <v>4.8171638908203125</v>
      </c>
      <c r="P27" s="16">
        <f t="shared" si="13"/>
        <v>2.5307769972663077</v>
      </c>
      <c r="Q27" s="12">
        <f t="shared" si="9"/>
        <v>517.79697364068647</v>
      </c>
      <c r="R27" s="4">
        <f t="shared" si="12"/>
        <v>8285</v>
      </c>
    </row>
    <row r="28" spans="1:18" x14ac:dyDescent="0.3">
      <c r="A28" t="s">
        <v>51</v>
      </c>
      <c r="K28" s="4">
        <v>115</v>
      </c>
      <c r="L28">
        <f t="shared" si="10"/>
        <v>388.15</v>
      </c>
      <c r="M28">
        <f t="shared" si="7"/>
        <v>-580.16149749355941</v>
      </c>
      <c r="N28">
        <f t="shared" si="8"/>
        <v>1592.2908773180266</v>
      </c>
      <c r="O28" s="5">
        <f t="shared" si="11"/>
        <v>4.1665526259767702</v>
      </c>
      <c r="P28" s="16">
        <f t="shared" si="13"/>
        <v>2.3495899712870472</v>
      </c>
      <c r="Q28" s="12">
        <f t="shared" si="9"/>
        <v>480.72610812532986</v>
      </c>
      <c r="R28" s="4">
        <f t="shared" si="12"/>
        <v>7692</v>
      </c>
    </row>
    <row r="29" spans="1:18" x14ac:dyDescent="0.3">
      <c r="A29" t="s">
        <v>52</v>
      </c>
      <c r="K29" s="4">
        <v>120</v>
      </c>
      <c r="L29">
        <f t="shared" si="10"/>
        <v>393.15</v>
      </c>
      <c r="M29">
        <f t="shared" si="7"/>
        <v>-522.00833459948444</v>
      </c>
      <c r="N29">
        <f t="shared" si="8"/>
        <v>1587.251263204585</v>
      </c>
      <c r="O29" s="5">
        <f t="shared" si="11"/>
        <v>3.615605224284435</v>
      </c>
      <c r="P29" s="16">
        <f t="shared" si="13"/>
        <v>2.1739880181695139</v>
      </c>
      <c r="Q29" s="12">
        <f t="shared" si="9"/>
        <v>444.79794851748255</v>
      </c>
      <c r="R29" s="4">
        <f t="shared" si="12"/>
        <v>7117</v>
      </c>
    </row>
    <row r="30" spans="1:18" x14ac:dyDescent="0.3">
      <c r="K30" s="4">
        <v>125</v>
      </c>
      <c r="L30">
        <f t="shared" si="10"/>
        <v>398.15</v>
      </c>
      <c r="M30">
        <f t="shared" si="7"/>
        <v>-465.3157559800328</v>
      </c>
      <c r="N30">
        <f t="shared" si="8"/>
        <v>1582.8370369016311</v>
      </c>
      <c r="O30" s="5">
        <f t="shared" si="11"/>
        <v>3.1475545462369756</v>
      </c>
      <c r="P30" s="16">
        <f t="shared" si="13"/>
        <v>2.0054365520442778</v>
      </c>
      <c r="Q30" s="12">
        <f t="shared" si="9"/>
        <v>410.31231854825927</v>
      </c>
      <c r="R30" s="4">
        <f t="shared" si="12"/>
        <v>6565</v>
      </c>
    </row>
    <row r="31" spans="1:18" x14ac:dyDescent="0.3">
      <c r="K31" s="4">
        <v>130</v>
      </c>
      <c r="L31">
        <f t="shared" si="10"/>
        <v>403.15</v>
      </c>
      <c r="M31">
        <f t="shared" si="7"/>
        <v>-410.0294176835236</v>
      </c>
      <c r="N31">
        <f t="shared" si="8"/>
        <v>1579.0105851571075</v>
      </c>
      <c r="O31" s="5">
        <f t="shared" si="11"/>
        <v>2.7486733140448525</v>
      </c>
      <c r="P31" s="16">
        <f t="shared" si="13"/>
        <v>1.8450757592376141</v>
      </c>
      <c r="Q31" s="12">
        <f t="shared" si="9"/>
        <v>377.50250034001584</v>
      </c>
      <c r="R31" s="4">
        <f t="shared" si="12"/>
        <v>6040</v>
      </c>
    </row>
    <row r="32" spans="1:18" x14ac:dyDescent="0.3">
      <c r="K32" s="4">
        <v>135</v>
      </c>
      <c r="L32">
        <f t="shared" si="10"/>
        <v>408.15</v>
      </c>
      <c r="M32">
        <f t="shared" si="7"/>
        <v>-356.09763869845597</v>
      </c>
      <c r="N32">
        <f t="shared" si="8"/>
        <v>1575.7362657717733</v>
      </c>
      <c r="O32" s="5">
        <f t="shared" si="11"/>
        <v>2.407687668976028</v>
      </c>
      <c r="P32" s="16">
        <f t="shared" si="13"/>
        <v>1.6937207859352184</v>
      </c>
      <c r="Q32" s="12">
        <f t="shared" si="9"/>
        <v>346.53527280234567</v>
      </c>
      <c r="R32" s="4">
        <f t="shared" si="12"/>
        <v>5545</v>
      </c>
    </row>
    <row r="33" spans="11:18" x14ac:dyDescent="0.3">
      <c r="K33" s="4">
        <v>140</v>
      </c>
      <c r="L33">
        <f t="shared" si="10"/>
        <v>413.15</v>
      </c>
      <c r="M33">
        <f t="shared" si="7"/>
        <v>-303.47123981710655</v>
      </c>
      <c r="N33">
        <f t="shared" si="8"/>
        <v>1572.9803226823124</v>
      </c>
      <c r="O33" s="5">
        <f t="shared" si="11"/>
        <v>2.115310031218554</v>
      </c>
      <c r="P33" s="16">
        <f t="shared" si="13"/>
        <v>1.5518810013990982</v>
      </c>
      <c r="Q33" s="12">
        <f t="shared" si="9"/>
        <v>317.51485288625548</v>
      </c>
      <c r="R33" s="4">
        <f t="shared" si="12"/>
        <v>5080</v>
      </c>
    </row>
    <row r="34" spans="11:18" x14ac:dyDescent="0.3">
      <c r="K34" s="4">
        <v>145</v>
      </c>
      <c r="L34">
        <f t="shared" si="10"/>
        <v>418.15</v>
      </c>
      <c r="M34">
        <f t="shared" si="7"/>
        <v>-252.10339405978709</v>
      </c>
      <c r="N34">
        <f t="shared" si="8"/>
        <v>1570.710803273739</v>
      </c>
      <c r="O34" s="5">
        <f t="shared" si="11"/>
        <v>1.8638658405662394</v>
      </c>
      <c r="P34" s="16">
        <f t="shared" si="13"/>
        <v>1.419792760728829</v>
      </c>
      <c r="Q34" s="12">
        <f t="shared" si="9"/>
        <v>290.48959884511845</v>
      </c>
      <c r="R34" s="4">
        <f t="shared" si="12"/>
        <v>4648</v>
      </c>
    </row>
    <row r="35" spans="11:18" x14ac:dyDescent="0.3">
      <c r="K35" s="4">
        <v>150</v>
      </c>
      <c r="L35">
        <f t="shared" si="10"/>
        <v>423.15</v>
      </c>
      <c r="M35">
        <f t="shared" si="7"/>
        <v>-201.94948770356217</v>
      </c>
      <c r="N35">
        <f t="shared" si="8"/>
        <v>1568.8974778782238</v>
      </c>
      <c r="O35" s="5">
        <f t="shared" si="11"/>
        <v>1.6469944011096846</v>
      </c>
      <c r="P35" s="16">
        <f t="shared" si="13"/>
        <v>1.2974601023925043</v>
      </c>
      <c r="Q35" s="12">
        <f t="shared" si="9"/>
        <v>265.46033694950637</v>
      </c>
      <c r="R35" s="4">
        <f t="shared" si="12"/>
        <v>4247</v>
      </c>
    </row>
    <row r="36" spans="11:18" x14ac:dyDescent="0.3">
      <c r="K36" s="4">
        <v>155</v>
      </c>
      <c r="L36">
        <f t="shared" si="10"/>
        <v>428.15</v>
      </c>
      <c r="M36">
        <f t="shared" si="7"/>
        <v>-152.96699104852235</v>
      </c>
      <c r="N36">
        <f t="shared" si="8"/>
        <v>1567.5117614500787</v>
      </c>
      <c r="O36" s="5">
        <f t="shared" si="11"/>
        <v>1.4594083970564509</v>
      </c>
      <c r="P36" s="16">
        <f t="shared" si="13"/>
        <v>1.1846985156511902</v>
      </c>
      <c r="Q36" s="12">
        <f t="shared" si="9"/>
        <v>242.38931630223351</v>
      </c>
      <c r="R36" s="4">
        <f t="shared" si="12"/>
        <v>3878</v>
      </c>
    </row>
    <row r="37" spans="11:18" x14ac:dyDescent="0.3">
      <c r="K37" s="4">
        <v>160</v>
      </c>
      <c r="L37">
        <f t="shared" si="10"/>
        <v>433.15</v>
      </c>
      <c r="M37">
        <f t="shared" ref="M37:M68" si="15">($B$25-(1/L37))/$B$23</f>
        <v>-105.11533813479721</v>
      </c>
      <c r="N37">
        <f t="shared" ref="N37:N68" si="16">SQRT(($B$24/(3*$B$23))^3+(M37^2)/4)</f>
        <v>1566.5266374289704</v>
      </c>
      <c r="O37" s="5">
        <f t="shared" si="11"/>
        <v>1.2966999999999962</v>
      </c>
      <c r="P37" s="16">
        <f t="shared" si="13"/>
        <v>1.0811779812230036</v>
      </c>
      <c r="Q37" s="12">
        <f t="shared" ref="Q37:Q68" si="17">(P37/$B$2*$B$6)</f>
        <v>221.20901495822653</v>
      </c>
      <c r="R37" s="4">
        <f t="shared" si="12"/>
        <v>3539</v>
      </c>
    </row>
    <row r="38" spans="11:18" x14ac:dyDescent="0.3">
      <c r="K38" s="4">
        <v>165</v>
      </c>
      <c r="L38">
        <f t="shared" si="10"/>
        <v>438.15</v>
      </c>
      <c r="M38">
        <f t="shared" si="15"/>
        <v>-58.355814695309967</v>
      </c>
      <c r="N38">
        <f t="shared" si="16"/>
        <v>1565.9165838172564</v>
      </c>
      <c r="O38" s="5">
        <f t="shared" si="11"/>
        <v>1.1551840842751822</v>
      </c>
      <c r="P38" s="16">
        <f t="shared" si="13"/>
        <v>0.98646265228242047</v>
      </c>
      <c r="Q38" s="12">
        <f t="shared" si="17"/>
        <v>201.83025865698323</v>
      </c>
      <c r="R38" s="4">
        <f t="shared" si="12"/>
        <v>3229</v>
      </c>
    </row>
    <row r="39" spans="11:18" x14ac:dyDescent="0.3">
      <c r="K39" s="4">
        <v>170</v>
      </c>
      <c r="L39">
        <f t="shared" si="10"/>
        <v>443.15</v>
      </c>
      <c r="M39">
        <f t="shared" si="15"/>
        <v>-12.65145369381124</v>
      </c>
      <c r="N39">
        <f t="shared" si="16"/>
        <v>1565.6575015043552</v>
      </c>
      <c r="O39" s="5">
        <f t="shared" si="11"/>
        <v>1.0317710833570697</v>
      </c>
      <c r="P39" s="16">
        <f t="shared" si="13"/>
        <v>0.90004561273647943</v>
      </c>
      <c r="Q39" s="12">
        <f t="shared" si="17"/>
        <v>184.14933236588371</v>
      </c>
      <c r="R39" s="4">
        <f t="shared" si="12"/>
        <v>2946</v>
      </c>
    </row>
    <row r="40" spans="11:18" x14ac:dyDescent="0.3">
      <c r="K40" s="4">
        <v>175</v>
      </c>
      <c r="L40">
        <f t="shared" si="10"/>
        <v>448.15</v>
      </c>
      <c r="M40">
        <f t="shared" si="15"/>
        <v>32.033062144204138</v>
      </c>
      <c r="N40">
        <f t="shared" si="16"/>
        <v>1565.7266448726937</v>
      </c>
      <c r="O40" s="5">
        <f t="shared" si="11"/>
        <v>0.92386359078067604</v>
      </c>
      <c r="P40" s="16">
        <f t="shared" si="13"/>
        <v>0.82137802230408474</v>
      </c>
      <c r="Q40" s="12">
        <f t="shared" si="17"/>
        <v>168.05394336341575</v>
      </c>
      <c r="R40" s="4">
        <f t="shared" si="12"/>
        <v>2689</v>
      </c>
    </row>
    <row r="41" spans="11:18" x14ac:dyDescent="0.3">
      <c r="K41" s="4">
        <v>180</v>
      </c>
      <c r="L41">
        <f t="shared" si="10"/>
        <v>453.15</v>
      </c>
      <c r="M41">
        <f t="shared" si="15"/>
        <v>75.731491347815208</v>
      </c>
      <c r="N41">
        <f t="shared" si="16"/>
        <v>1566.1025547173338</v>
      </c>
      <c r="O41" s="5">
        <f t="shared" si="11"/>
        <v>0.82927203590801868</v>
      </c>
      <c r="P41" s="16">
        <f t="shared" si="13"/>
        <v>0.74989259935357422</v>
      </c>
      <c r="Q41" s="12">
        <f t="shared" si="17"/>
        <v>153.42802582774127</v>
      </c>
      <c r="R41" s="4">
        <f t="shared" si="12"/>
        <v>2455</v>
      </c>
    </row>
    <row r="42" spans="11:18" x14ac:dyDescent="0.3">
      <c r="K42" s="4">
        <v>185</v>
      </c>
      <c r="L42">
        <f t="shared" si="10"/>
        <v>458.15</v>
      </c>
      <c r="M42">
        <f t="shared" si="15"/>
        <v>118.47611875717587</v>
      </c>
      <c r="N42">
        <f t="shared" si="16"/>
        <v>1566.7649935059371</v>
      </c>
      <c r="O42" s="5">
        <f t="shared" si="11"/>
        <v>0.74614572600155726</v>
      </c>
      <c r="P42" s="16">
        <f t="shared" si="13"/>
        <v>0.68502181500508752</v>
      </c>
      <c r="Q42" s="12">
        <f t="shared" si="17"/>
        <v>140.15546335004092</v>
      </c>
      <c r="R42" s="4">
        <f t="shared" si="12"/>
        <v>2242</v>
      </c>
    </row>
    <row r="43" spans="11:18" x14ac:dyDescent="0.3">
      <c r="K43" s="4">
        <v>190</v>
      </c>
      <c r="L43">
        <f t="shared" si="10"/>
        <v>463.15</v>
      </c>
      <c r="M43">
        <f t="shared" si="15"/>
        <v>160.29783507057664</v>
      </c>
      <c r="N43">
        <f t="shared" si="16"/>
        <v>1567.6948829982182</v>
      </c>
      <c r="O43" s="5">
        <f t="shared" si="11"/>
        <v>0.67291630116029011</v>
      </c>
      <c r="P43" s="16">
        <f t="shared" si="13"/>
        <v>0.6262114124269651</v>
      </c>
      <c r="Q43" s="12">
        <f t="shared" si="17"/>
        <v>128.12285498255704</v>
      </c>
      <c r="R43" s="4">
        <f t="shared" si="12"/>
        <v>2050</v>
      </c>
    </row>
    <row r="44" spans="11:18" x14ac:dyDescent="0.3">
      <c r="K44" s="4">
        <v>195</v>
      </c>
      <c r="L44">
        <f t="shared" si="10"/>
        <v>468.15</v>
      </c>
      <c r="M44">
        <f t="shared" si="15"/>
        <v>201.22621129397646</v>
      </c>
      <c r="N44">
        <f t="shared" si="16"/>
        <v>1568.8742442352257</v>
      </c>
      <c r="O44" s="5">
        <f t="shared" si="11"/>
        <v>0.60825124355793303</v>
      </c>
      <c r="P44" s="16">
        <f t="shared" si="13"/>
        <v>0.57292996850526212</v>
      </c>
      <c r="Q44" s="12">
        <f t="shared" si="17"/>
        <v>117.22147155617662</v>
      </c>
      <c r="R44" s="4">
        <f t="shared" si="12"/>
        <v>1876</v>
      </c>
    </row>
    <row r="45" spans="11:18" x14ac:dyDescent="0.3">
      <c r="K45" s="4">
        <v>200</v>
      </c>
      <c r="L45">
        <f t="shared" si="10"/>
        <v>473.15</v>
      </c>
      <c r="M45">
        <f t="shared" si="15"/>
        <v>241.28956847006816</v>
      </c>
      <c r="N45">
        <f t="shared" si="16"/>
        <v>1570.2861398992977</v>
      </c>
      <c r="O45" s="5">
        <f t="shared" si="11"/>
        <v>0.55101555237506017</v>
      </c>
      <c r="P45" s="16">
        <f t="shared" si="13"/>
        <v>0.52467522413434209</v>
      </c>
      <c r="Q45" s="12">
        <f t="shared" si="17"/>
        <v>107.34855085788638</v>
      </c>
      <c r="R45" s="4">
        <f t="shared" si="12"/>
        <v>1718</v>
      </c>
    </row>
    <row r="46" spans="11:18" x14ac:dyDescent="0.3">
      <c r="K46" s="4">
        <v>205</v>
      </c>
      <c r="L46">
        <f t="shared" si="10"/>
        <v>478.15</v>
      </c>
      <c r="M46">
        <f t="shared" si="15"/>
        <v>280.51504303241717</v>
      </c>
      <c r="N46">
        <f t="shared" si="16"/>
        <v>1571.9146190358395</v>
      </c>
      <c r="O46" s="5">
        <f t="shared" si="11"/>
        <v>0.50024006808256871</v>
      </c>
      <c r="P46" s="16">
        <f t="shared" si="13"/>
        <v>0.48097786018849809</v>
      </c>
      <c r="Q46" s="12">
        <f t="shared" si="17"/>
        <v>98.408070194566704</v>
      </c>
      <c r="R46" s="4">
        <f t="shared" si="12"/>
        <v>1575</v>
      </c>
    </row>
    <row r="47" spans="11:18" x14ac:dyDescent="0.3">
      <c r="K47" s="4">
        <v>210</v>
      </c>
      <c r="L47">
        <f t="shared" si="10"/>
        <v>483.15</v>
      </c>
      <c r="M47">
        <f t="shared" si="15"/>
        <v>318.92864810159926</v>
      </c>
      <c r="N47">
        <f t="shared" si="16"/>
        <v>1573.7446641185784</v>
      </c>
      <c r="O47" s="5">
        <f t="shared" si="11"/>
        <v>0.45509522540745828</v>
      </c>
      <c r="P47" s="16">
        <f t="shared" si="13"/>
        <v>0.44140331604785005</v>
      </c>
      <c r="Q47" s="12">
        <f t="shared" si="17"/>
        <v>90.311118463390116</v>
      </c>
      <c r="R47" s="4">
        <f t="shared" si="12"/>
        <v>1445</v>
      </c>
    </row>
    <row r="48" spans="11:18" x14ac:dyDescent="0.3">
      <c r="K48" s="4">
        <v>215</v>
      </c>
      <c r="L48">
        <f t="shared" si="10"/>
        <v>488.15</v>
      </c>
      <c r="M48">
        <f t="shared" si="15"/>
        <v>356.55533101428915</v>
      </c>
      <c r="N48">
        <f t="shared" si="16"/>
        <v>1575.7621404309077</v>
      </c>
      <c r="O48" s="5">
        <f t="shared" si="11"/>
        <v>0.41486924977255363</v>
      </c>
      <c r="P48" s="16">
        <f t="shared" si="13"/>
        <v>0.40555215540553835</v>
      </c>
      <c r="Q48" s="12">
        <f t="shared" si="17"/>
        <v>82.975970995973142</v>
      </c>
      <c r="R48" s="4">
        <f t="shared" si="12"/>
        <v>1328</v>
      </c>
    </row>
    <row r="49" spans="11:18" x14ac:dyDescent="0.3">
      <c r="K49" s="4">
        <v>220</v>
      </c>
      <c r="L49">
        <f t="shared" si="10"/>
        <v>493.15</v>
      </c>
      <c r="M49">
        <f t="shared" si="15"/>
        <v>393.41902735265649</v>
      </c>
      <c r="N49">
        <f t="shared" si="16"/>
        <v>1577.953747727574</v>
      </c>
      <c r="O49" s="5">
        <f t="shared" si="11"/>
        <v>0.37894999999999973</v>
      </c>
      <c r="P49" s="16">
        <f t="shared" si="13"/>
        <v>0.37305939219720585</v>
      </c>
      <c r="Q49" s="12">
        <f t="shared" si="17"/>
        <v>76.327951643548317</v>
      </c>
      <c r="R49" s="4">
        <f t="shared" si="12"/>
        <v>1221</v>
      </c>
    </row>
    <row r="50" spans="11:18" x14ac:dyDescent="0.3">
      <c r="K50" s="4">
        <v>225</v>
      </c>
      <c r="L50">
        <f t="shared" si="10"/>
        <v>498.15</v>
      </c>
      <c r="M50">
        <f t="shared" si="15"/>
        <v>429.54271171996385</v>
      </c>
      <c r="N50">
        <f t="shared" si="16"/>
        <v>1580.3069741333973</v>
      </c>
      <c r="O50" s="5">
        <f t="shared" si="11"/>
        <v>0.34680981055765114</v>
      </c>
      <c r="P50" s="16">
        <f t="shared" si="13"/>
        <v>0.34359310492753653</v>
      </c>
      <c r="Q50" s="12">
        <f t="shared" si="17"/>
        <v>70.299149268173977</v>
      </c>
      <c r="R50" s="4">
        <f t="shared" si="12"/>
        <v>1125</v>
      </c>
    </row>
    <row r="51" spans="11:18" x14ac:dyDescent="0.3">
      <c r="K51" s="4">
        <v>230</v>
      </c>
      <c r="L51">
        <f t="shared" si="10"/>
        <v>503.15</v>
      </c>
      <c r="M51">
        <f t="shared" si="15"/>
        <v>464.94844548869617</v>
      </c>
      <c r="N51">
        <f t="shared" si="16"/>
        <v>1582.8100522290435</v>
      </c>
      <c r="O51" s="5">
        <f t="shared" si="11"/>
        <v>0.31799280739708957</v>
      </c>
      <c r="P51" s="16">
        <f t="shared" si="13"/>
        <v>0.31685259385817782</v>
      </c>
      <c r="Q51" s="12">
        <f t="shared" si="17"/>
        <v>64.828040703383181</v>
      </c>
      <c r="R51" s="4">
        <f t="shared" si="12"/>
        <v>1037</v>
      </c>
    </row>
    <row r="52" spans="11:18" x14ac:dyDescent="0.3">
      <c r="K52" s="4">
        <v>235</v>
      </c>
      <c r="L52">
        <f t="shared" si="10"/>
        <v>508.15</v>
      </c>
      <c r="M52">
        <f t="shared" si="15"/>
        <v>499.65742172975541</v>
      </c>
      <c r="N52">
        <f t="shared" si="16"/>
        <v>1585.4519172681098</v>
      </c>
      <c r="O52" s="5">
        <f t="shared" si="11"/>
        <v>0.29210426859402561</v>
      </c>
      <c r="P52" s="16">
        <f t="shared" si="13"/>
        <v>0.29256627353688441</v>
      </c>
      <c r="Q52" s="12">
        <f t="shared" si="17"/>
        <v>59.859059565646547</v>
      </c>
      <c r="R52" s="4">
        <f t="shared" si="12"/>
        <v>958</v>
      </c>
    </row>
    <row r="53" spans="11:18" x14ac:dyDescent="0.3">
      <c r="K53" s="4">
        <v>240</v>
      </c>
      <c r="L53">
        <f t="shared" si="10"/>
        <v>513.15</v>
      </c>
      <c r="M53">
        <f t="shared" si="15"/>
        <v>533.6900075149814</v>
      </c>
      <c r="N53">
        <f t="shared" si="16"/>
        <v>1588.2221674649468</v>
      </c>
      <c r="O53" s="5">
        <f t="shared" si="11"/>
        <v>0.26880167936426608</v>
      </c>
      <c r="P53" s="16">
        <f t="shared" si="13"/>
        <v>0.27048944263625541</v>
      </c>
      <c r="Q53" s="12">
        <f t="shared" si="17"/>
        <v>55.342139963377853</v>
      </c>
      <c r="R53" s="4">
        <f t="shared" si="12"/>
        <v>885</v>
      </c>
    </row>
    <row r="54" spans="11:18" x14ac:dyDescent="0.3">
      <c r="K54" s="4">
        <v>245</v>
      </c>
      <c r="L54">
        <f t="shared" si="10"/>
        <v>518.15</v>
      </c>
      <c r="M54">
        <f t="shared" si="15"/>
        <v>567.06578377043343</v>
      </c>
      <c r="N54">
        <f t="shared" si="16"/>
        <v>1591.1110262887103</v>
      </c>
      <c r="O54" s="5">
        <f t="shared" si="11"/>
        <v>0.24778719438292601</v>
      </c>
      <c r="P54" s="16">
        <f t="shared" si="13"/>
        <v>0.25040203291709001</v>
      </c>
      <c r="Q54" s="12">
        <f t="shared" si="17"/>
        <v>51.232255934836616</v>
      </c>
      <c r="R54" s="4">
        <f t="shared" si="12"/>
        <v>820</v>
      </c>
    </row>
    <row r="55" spans="11:18" x14ac:dyDescent="0.3">
      <c r="K55" s="4">
        <v>250</v>
      </c>
      <c r="L55">
        <f t="shared" si="10"/>
        <v>523.15</v>
      </c>
      <c r="M55">
        <f t="shared" si="15"/>
        <v>599.80358284428496</v>
      </c>
      <c r="N55">
        <f t="shared" si="16"/>
        <v>1594.1093066960398</v>
      </c>
      <c r="O55" s="5">
        <f t="shared" si="11"/>
        <v>0.22880127167870812</v>
      </c>
      <c r="P55" s="16">
        <f t="shared" si="13"/>
        <v>0.23210640789416567</v>
      </c>
      <c r="Q55" s="12">
        <f t="shared" si="17"/>
        <v>47.488971055146301</v>
      </c>
      <c r="R55" s="4">
        <f t="shared" si="12"/>
        <v>760</v>
      </c>
    </row>
    <row r="56" spans="11:18" x14ac:dyDescent="0.3">
      <c r="K56" s="4">
        <v>255</v>
      </c>
      <c r="L56">
        <f t="shared" si="10"/>
        <v>528.15</v>
      </c>
      <c r="M56">
        <f t="shared" si="15"/>
        <v>631.92152394078414</v>
      </c>
      <c r="N56">
        <f t="shared" si="16"/>
        <v>1597.2083772324854</v>
      </c>
      <c r="O56" s="5">
        <f t="shared" si="11"/>
        <v>0.21161728408469263</v>
      </c>
      <c r="P56" s="16">
        <f t="shared" si="13"/>
        <v>0.21542525795974013</v>
      </c>
      <c r="Q56" s="12">
        <f t="shared" si="17"/>
        <v>44.076007778562833</v>
      </c>
      <c r="R56" s="4">
        <f t="shared" si="12"/>
        <v>705</v>
      </c>
    </row>
    <row r="57" spans="11:18" x14ac:dyDescent="0.3">
      <c r="K57" s="4">
        <v>260</v>
      </c>
      <c r="L57">
        <f t="shared" si="10"/>
        <v>533.15</v>
      </c>
      <c r="M57">
        <f t="shared" si="15"/>
        <v>663.43704656037278</v>
      </c>
      <c r="N57">
        <f t="shared" si="16"/>
        <v>1600.4001299312324</v>
      </c>
      <c r="O57" s="5">
        <f t="shared" si="11"/>
        <v>0.19603694818931938</v>
      </c>
      <c r="P57" s="16">
        <f t="shared" si="13"/>
        <v>0.20019962090136889</v>
      </c>
      <c r="Q57" s="12">
        <f t="shared" si="17"/>
        <v>40.96084243642008</v>
      </c>
      <c r="R57" s="4">
        <f t="shared" si="12"/>
        <v>655</v>
      </c>
    </row>
    <row r="58" spans="11:18" x14ac:dyDescent="0.3">
      <c r="K58" s="4">
        <v>265</v>
      </c>
      <c r="L58">
        <f t="shared" si="10"/>
        <v>538.15</v>
      </c>
      <c r="M58">
        <f t="shared" si="15"/>
        <v>694.36694207562959</v>
      </c>
      <c r="N58">
        <f t="shared" si="16"/>
        <v>1603.6769499367956</v>
      </c>
      <c r="O58" s="5">
        <f t="shared" si="11"/>
        <v>0.18188643844932528</v>
      </c>
      <c r="P58" s="16">
        <f t="shared" si="13"/>
        <v>0.18628704368950808</v>
      </c>
      <c r="Q58" s="12">
        <f t="shared" si="17"/>
        <v>38.114329138873352</v>
      </c>
      <c r="R58" s="4">
        <f t="shared" si="12"/>
        <v>610</v>
      </c>
    </row>
    <row r="59" spans="11:18" x14ac:dyDescent="0.3">
      <c r="K59" s="4">
        <v>270</v>
      </c>
      <c r="L59">
        <f t="shared" si="10"/>
        <v>543.15</v>
      </c>
      <c r="M59">
        <f t="shared" si="15"/>
        <v>724.72738356317348</v>
      </c>
      <c r="N59">
        <f t="shared" si="16"/>
        <v>1607.0316867810352</v>
      </c>
      <c r="O59" s="5">
        <f t="shared" si="11"/>
        <v>0.16901307679973449</v>
      </c>
      <c r="P59" s="16">
        <f t="shared" si="13"/>
        <v>0.17355989204985051</v>
      </c>
      <c r="Q59" s="12">
        <f t="shared" si="17"/>
        <v>35.510353913399413</v>
      </c>
      <c r="R59" s="4">
        <f t="shared" si="12"/>
        <v>568</v>
      </c>
    </row>
    <row r="60" spans="11:18" x14ac:dyDescent="0.3">
      <c r="K60" s="4">
        <v>275</v>
      </c>
      <c r="L60">
        <f t="shared" si="10"/>
        <v>548.15</v>
      </c>
      <c r="M60">
        <f t="shared" si="15"/>
        <v>754.53395400287343</v>
      </c>
      <c r="N60">
        <f t="shared" si="16"/>
        <v>1610.457627239078</v>
      </c>
      <c r="O60" s="5">
        <f t="shared" si="11"/>
        <v>0.15728250668476457</v>
      </c>
      <c r="P60" s="16">
        <f t="shared" si="13"/>
        <v>0.1619038078064296</v>
      </c>
      <c r="Q60" s="12">
        <f t="shared" si="17"/>
        <v>33.125519077195499</v>
      </c>
      <c r="R60" s="4">
        <f t="shared" si="12"/>
        <v>530</v>
      </c>
    </row>
    <row r="61" spans="11:18" x14ac:dyDescent="0.3">
      <c r="K61" s="4">
        <v>280</v>
      </c>
      <c r="L61">
        <f t="shared" si="10"/>
        <v>553.15</v>
      </c>
      <c r="M61">
        <f t="shared" si="15"/>
        <v>783.80167294768626</v>
      </c>
      <c r="N61">
        <f t="shared" si="16"/>
        <v>1613.9484696933841</v>
      </c>
      <c r="O61" s="5">
        <f t="shared" si="11"/>
        <v>0.1465762757070736</v>
      </c>
      <c r="P61" s="16">
        <f t="shared" si="13"/>
        <v>0.15121630958515081</v>
      </c>
      <c r="Q61" s="12">
        <f t="shared" si="17"/>
        <v>30.938856941121855</v>
      </c>
      <c r="R61" s="4">
        <f t="shared" si="12"/>
        <v>495</v>
      </c>
    </row>
    <row r="62" spans="11:18" x14ac:dyDescent="0.3">
      <c r="K62" s="4">
        <v>285</v>
      </c>
      <c r="L62">
        <f t="shared" si="10"/>
        <v>558.15</v>
      </c>
      <c r="M62">
        <f t="shared" si="15"/>
        <v>812.54502176001108</v>
      </c>
      <c r="N62">
        <f t="shared" si="16"/>
        <v>1617.4982999352619</v>
      </c>
      <c r="O62" s="5">
        <f t="shared" si="11"/>
        <v>0.13678976367020568</v>
      </c>
      <c r="P62" s="16">
        <f t="shared" si="13"/>
        <v>0.14140552965280034</v>
      </c>
      <c r="Q62" s="12">
        <f t="shared" si="17"/>
        <v>28.931571366962949</v>
      </c>
      <c r="R62" s="4">
        <f t="shared" si="12"/>
        <v>463</v>
      </c>
    </row>
    <row r="63" spans="11:18" x14ac:dyDescent="0.3">
      <c r="K63" s="4">
        <v>290</v>
      </c>
      <c r="L63">
        <f t="shared" si="10"/>
        <v>563.15</v>
      </c>
      <c r="M63">
        <f t="shared" si="15"/>
        <v>840.77796750366269</v>
      </c>
      <c r="N63">
        <f t="shared" si="16"/>
        <v>1621.1015683345124</v>
      </c>
      <c r="O63" s="5">
        <f t="shared" si="11"/>
        <v>0.12783040316838468</v>
      </c>
      <c r="P63" s="16">
        <f t="shared" si="13"/>
        <v>0.13238907800540464</v>
      </c>
      <c r="Q63" s="12">
        <f t="shared" si="17"/>
        <v>27.086805359905792</v>
      </c>
      <c r="R63" s="4">
        <f t="shared" si="12"/>
        <v>433</v>
      </c>
    </row>
    <row r="64" spans="11:18" x14ac:dyDescent="0.3">
      <c r="K64" s="4">
        <v>295</v>
      </c>
      <c r="L64">
        <f t="shared" si="10"/>
        <v>568.15</v>
      </c>
      <c r="M64">
        <f t="shared" si="15"/>
        <v>868.5139855742766</v>
      </c>
      <c r="N64">
        <f t="shared" si="16"/>
        <v>1624.7530683095347</v>
      </c>
      <c r="O64" s="5">
        <f t="shared" si="11"/>
        <v>0.1196161484616107</v>
      </c>
      <c r="P64" s="16">
        <f t="shared" si="13"/>
        <v>0.12409302398469158</v>
      </c>
      <c r="Q64" s="12">
        <f t="shared" si="17"/>
        <v>25.389432707267897</v>
      </c>
      <c r="R64" s="4">
        <f t="shared" si="12"/>
        <v>406</v>
      </c>
    </row>
    <row r="65" spans="11:18" x14ac:dyDescent="0.3">
      <c r="K65" s="4">
        <v>300</v>
      </c>
      <c r="L65">
        <f t="shared" si="10"/>
        <v>573.15</v>
      </c>
      <c r="M65">
        <f t="shared" si="15"/>
        <v>895.76608114518478</v>
      </c>
      <c r="N65">
        <f t="shared" si="16"/>
        <v>1628.4479160320936</v>
      </c>
      <c r="O65" s="5">
        <f t="shared" si="11"/>
        <v>0.11207415548770615</v>
      </c>
      <c r="P65" s="16">
        <f t="shared" si="13"/>
        <v>0.11645098544449525</v>
      </c>
      <c r="Q65" s="12">
        <f t="shared" si="17"/>
        <v>23.82587162194373</v>
      </c>
      <c r="R65" s="4">
        <f t="shared" si="12"/>
        <v>381</v>
      </c>
    </row>
    <row r="66" spans="11:18" x14ac:dyDescent="0.3">
      <c r="P66" s="16"/>
      <c r="Q66" s="12"/>
    </row>
    <row r="67" spans="11:18" x14ac:dyDescent="0.3">
      <c r="P67" s="16"/>
      <c r="Q67" s="12"/>
    </row>
    <row r="68" spans="11:18" x14ac:dyDescent="0.3">
      <c r="P68" s="16"/>
      <c r="Q68" s="12"/>
    </row>
    <row r="69" spans="11:18" x14ac:dyDescent="0.3">
      <c r="P69" s="16"/>
      <c r="Q69" s="12"/>
    </row>
    <row r="70" spans="11:18" x14ac:dyDescent="0.3">
      <c r="P70" s="16"/>
      <c r="Q70" s="12"/>
    </row>
    <row r="71" spans="11:18" x14ac:dyDescent="0.3">
      <c r="P71" s="16"/>
      <c r="Q71" s="12"/>
    </row>
    <row r="72" spans="11:18" x14ac:dyDescent="0.3">
      <c r="P72" s="16"/>
      <c r="Q72" s="12"/>
    </row>
    <row r="73" spans="11:18" x14ac:dyDescent="0.3">
      <c r="P73" s="16"/>
      <c r="Q73" s="12"/>
    </row>
    <row r="74" spans="11:18" x14ac:dyDescent="0.3">
      <c r="P74" s="16"/>
      <c r="Q74" s="12"/>
    </row>
    <row r="75" spans="11:18" x14ac:dyDescent="0.3">
      <c r="P75" s="16"/>
      <c r="Q75" s="12"/>
    </row>
    <row r="76" spans="11:18" x14ac:dyDescent="0.3">
      <c r="P76" s="16"/>
      <c r="Q76" s="12"/>
    </row>
    <row r="77" spans="11:18" x14ac:dyDescent="0.3">
      <c r="P77" s="16"/>
      <c r="Q77" s="12"/>
    </row>
    <row r="78" spans="11:18" x14ac:dyDescent="0.3">
      <c r="P78" s="16"/>
      <c r="Q78" s="12"/>
    </row>
    <row r="79" spans="11:18" x14ac:dyDescent="0.3">
      <c r="P79" s="16"/>
      <c r="Q79" s="12"/>
    </row>
    <row r="80" spans="11:18" x14ac:dyDescent="0.3">
      <c r="P80" s="16"/>
      <c r="Q80" s="12"/>
    </row>
    <row r="81" spans="16:17" x14ac:dyDescent="0.3">
      <c r="P81" s="16"/>
      <c r="Q81" s="12"/>
    </row>
    <row r="82" spans="16:17" x14ac:dyDescent="0.3">
      <c r="P82" s="16"/>
      <c r="Q82" s="12"/>
    </row>
    <row r="83" spans="16:17" x14ac:dyDescent="0.3">
      <c r="P83" s="16"/>
      <c r="Q83" s="12"/>
    </row>
    <row r="84" spans="16:17" x14ac:dyDescent="0.3">
      <c r="P84" s="16"/>
      <c r="Q84" s="12"/>
    </row>
    <row r="85" spans="16:17" x14ac:dyDescent="0.3">
      <c r="P85" s="16"/>
      <c r="Q85" s="12"/>
    </row>
    <row r="86" spans="16:17" x14ac:dyDescent="0.3">
      <c r="P86" s="16"/>
      <c r="Q86" s="12"/>
    </row>
    <row r="87" spans="16:17" x14ac:dyDescent="0.3">
      <c r="P87" s="16"/>
      <c r="Q87" s="12"/>
    </row>
    <row r="88" spans="16:17" x14ac:dyDescent="0.3">
      <c r="P88" s="16"/>
      <c r="Q88" s="12"/>
    </row>
    <row r="89" spans="16:17" x14ac:dyDescent="0.3">
      <c r="P89" s="16"/>
      <c r="Q89" s="12"/>
    </row>
    <row r="90" spans="16:17" x14ac:dyDescent="0.3">
      <c r="P90" s="16"/>
      <c r="Q90" s="12"/>
    </row>
    <row r="91" spans="16:17" x14ac:dyDescent="0.3">
      <c r="P91" s="16"/>
      <c r="Q91" s="12"/>
    </row>
    <row r="92" spans="16:17" x14ac:dyDescent="0.3">
      <c r="P92" s="16"/>
      <c r="Q92" s="12"/>
    </row>
    <row r="93" spans="16:17" x14ac:dyDescent="0.3">
      <c r="P93" s="16"/>
      <c r="Q93" s="12"/>
    </row>
    <row r="94" spans="16:17" x14ac:dyDescent="0.3">
      <c r="P94" s="16"/>
      <c r="Q94" s="12"/>
    </row>
    <row r="95" spans="16:17" x14ac:dyDescent="0.3">
      <c r="P95" s="16"/>
      <c r="Q95" s="12"/>
    </row>
    <row r="96" spans="16:17" x14ac:dyDescent="0.3">
      <c r="P96" s="16"/>
      <c r="Q96" s="12"/>
    </row>
    <row r="97" spans="16:17" x14ac:dyDescent="0.3">
      <c r="P97" s="16"/>
      <c r="Q97" s="12"/>
    </row>
    <row r="98" spans="16:17" x14ac:dyDescent="0.3">
      <c r="P98" s="16"/>
      <c r="Q98" s="12"/>
    </row>
    <row r="99" spans="16:17" x14ac:dyDescent="0.3">
      <c r="P99" s="16"/>
      <c r="Q99" s="12"/>
    </row>
    <row r="100" spans="16:17" x14ac:dyDescent="0.3">
      <c r="P100" s="16"/>
      <c r="Q100" s="12"/>
    </row>
    <row r="101" spans="16:17" x14ac:dyDescent="0.3">
      <c r="P101" s="16"/>
      <c r="Q101" s="12"/>
    </row>
    <row r="102" spans="16:17" x14ac:dyDescent="0.3">
      <c r="P102" s="16"/>
      <c r="Q102" s="12"/>
    </row>
    <row r="103" spans="16:17" x14ac:dyDescent="0.3">
      <c r="P103" s="16"/>
      <c r="Q103" s="12"/>
    </row>
    <row r="104" spans="16:17" x14ac:dyDescent="0.3">
      <c r="P104" s="16"/>
      <c r="Q104" s="12"/>
    </row>
    <row r="105" spans="16:17" x14ac:dyDescent="0.3">
      <c r="P105" s="16"/>
      <c r="Q105" s="12"/>
    </row>
    <row r="106" spans="16:17" x14ac:dyDescent="0.3">
      <c r="P106" s="16"/>
      <c r="Q106" s="12"/>
    </row>
    <row r="107" spans="16:17" x14ac:dyDescent="0.3">
      <c r="P107" s="16"/>
      <c r="Q107" s="12"/>
    </row>
    <row r="108" spans="16:17" x14ac:dyDescent="0.3">
      <c r="P108" s="16"/>
      <c r="Q108" s="12"/>
    </row>
    <row r="109" spans="16:17" x14ac:dyDescent="0.3">
      <c r="P109" s="16"/>
      <c r="Q109" s="12"/>
    </row>
    <row r="110" spans="16:17" x14ac:dyDescent="0.3">
      <c r="P110" s="16"/>
      <c r="Q110" s="12"/>
    </row>
    <row r="111" spans="16:17" x14ac:dyDescent="0.3">
      <c r="P111" s="16"/>
      <c r="Q111" s="12"/>
    </row>
    <row r="112" spans="16:17" x14ac:dyDescent="0.3">
      <c r="P112" s="16"/>
      <c r="Q112" s="12"/>
    </row>
    <row r="113" spans="16:17" x14ac:dyDescent="0.3">
      <c r="P113" s="16"/>
      <c r="Q113" s="12"/>
    </row>
    <row r="114" spans="16:17" x14ac:dyDescent="0.3">
      <c r="P114" s="16"/>
      <c r="Q114" s="12"/>
    </row>
    <row r="115" spans="16:17" x14ac:dyDescent="0.3">
      <c r="P115" s="16"/>
      <c r="Q115" s="12"/>
    </row>
    <row r="116" spans="16:17" x14ac:dyDescent="0.3">
      <c r="P116" s="16"/>
      <c r="Q116" s="12"/>
    </row>
    <row r="117" spans="16:17" x14ac:dyDescent="0.3">
      <c r="P117" s="16"/>
      <c r="Q117" s="12"/>
    </row>
    <row r="118" spans="16:17" x14ac:dyDescent="0.3">
      <c r="P118" s="16"/>
      <c r="Q118" s="12"/>
    </row>
    <row r="119" spans="16:17" x14ac:dyDescent="0.3">
      <c r="P119" s="16"/>
      <c r="Q119" s="12"/>
    </row>
    <row r="120" spans="16:17" x14ac:dyDescent="0.3">
      <c r="P120" s="16"/>
      <c r="Q120" s="12"/>
    </row>
    <row r="121" spans="16:17" x14ac:dyDescent="0.3">
      <c r="P121" s="16"/>
      <c r="Q121" s="12"/>
    </row>
    <row r="122" spans="16:17" x14ac:dyDescent="0.3">
      <c r="P122" s="16"/>
      <c r="Q122" s="12"/>
    </row>
    <row r="123" spans="16:17" x14ac:dyDescent="0.3">
      <c r="P123" s="16"/>
      <c r="Q123" s="12"/>
    </row>
    <row r="124" spans="16:17" x14ac:dyDescent="0.3">
      <c r="P124" s="16"/>
      <c r="Q124" s="12"/>
    </row>
    <row r="125" spans="16:17" x14ac:dyDescent="0.3">
      <c r="P125" s="16"/>
      <c r="Q125" s="12"/>
    </row>
    <row r="126" spans="16:17" x14ac:dyDescent="0.3">
      <c r="P126" s="16"/>
      <c r="Q126" s="12"/>
    </row>
    <row r="127" spans="16:17" x14ac:dyDescent="0.3">
      <c r="P127" s="16"/>
      <c r="Q127" s="12"/>
    </row>
    <row r="128" spans="16:17" x14ac:dyDescent="0.3">
      <c r="P128" s="16"/>
      <c r="Q128" s="12"/>
    </row>
    <row r="129" spans="16:17" x14ac:dyDescent="0.3">
      <c r="P129" s="16"/>
      <c r="Q129" s="12"/>
    </row>
    <row r="130" spans="16:17" x14ac:dyDescent="0.3">
      <c r="P130" s="16"/>
      <c r="Q130" s="12"/>
    </row>
    <row r="131" spans="16:17" x14ac:dyDescent="0.3">
      <c r="P131" s="16"/>
      <c r="Q131" s="12"/>
    </row>
    <row r="132" spans="16:17" x14ac:dyDescent="0.3">
      <c r="P132" s="16"/>
      <c r="Q132" s="12"/>
    </row>
    <row r="133" spans="16:17" x14ac:dyDescent="0.3">
      <c r="P133" s="16"/>
      <c r="Q133" s="12"/>
    </row>
    <row r="134" spans="16:17" x14ac:dyDescent="0.3">
      <c r="P134" s="16"/>
      <c r="Q134" s="12"/>
    </row>
    <row r="135" spans="16:17" x14ac:dyDescent="0.3">
      <c r="P135" s="16"/>
      <c r="Q135" s="12"/>
    </row>
    <row r="136" spans="16:17" x14ac:dyDescent="0.3">
      <c r="P136" s="16"/>
      <c r="Q136" s="12"/>
    </row>
    <row r="137" spans="16:17" x14ac:dyDescent="0.3">
      <c r="P137" s="16"/>
      <c r="Q137" s="12"/>
    </row>
    <row r="138" spans="16:17" x14ac:dyDescent="0.3">
      <c r="P138" s="16"/>
      <c r="Q138" s="12"/>
    </row>
    <row r="139" spans="16:17" x14ac:dyDescent="0.3">
      <c r="P139" s="16"/>
      <c r="Q139" s="12"/>
    </row>
    <row r="140" spans="16:17" x14ac:dyDescent="0.3">
      <c r="P140" s="16"/>
      <c r="Q140" s="12"/>
    </row>
    <row r="141" spans="16:17" x14ac:dyDescent="0.3">
      <c r="P141" s="16"/>
      <c r="Q141" s="12"/>
    </row>
    <row r="142" spans="16:17" x14ac:dyDescent="0.3">
      <c r="P142" s="16"/>
      <c r="Q142" s="12"/>
    </row>
    <row r="143" spans="16:17" x14ac:dyDescent="0.3">
      <c r="P143" s="16"/>
      <c r="Q143" s="12"/>
    </row>
    <row r="144" spans="16:17" x14ac:dyDescent="0.3">
      <c r="P144" s="16"/>
      <c r="Q144" s="12"/>
    </row>
    <row r="145" spans="16:17" x14ac:dyDescent="0.3">
      <c r="P145" s="16"/>
      <c r="Q145" s="12"/>
    </row>
    <row r="146" spans="16:17" x14ac:dyDescent="0.3">
      <c r="P146" s="16"/>
      <c r="Q146" s="12"/>
    </row>
    <row r="147" spans="16:17" x14ac:dyDescent="0.3">
      <c r="P147" s="16"/>
      <c r="Q147" s="12"/>
    </row>
    <row r="148" spans="16:17" x14ac:dyDescent="0.3">
      <c r="P148" s="16"/>
      <c r="Q148" s="12"/>
    </row>
    <row r="149" spans="16:17" x14ac:dyDescent="0.3">
      <c r="P149" s="16"/>
      <c r="Q149" s="12"/>
    </row>
    <row r="150" spans="16:17" x14ac:dyDescent="0.3">
      <c r="P150" s="16"/>
      <c r="Q150" s="12"/>
    </row>
    <row r="151" spans="16:17" x14ac:dyDescent="0.3">
      <c r="P151" s="16"/>
      <c r="Q151" s="12"/>
    </row>
    <row r="152" spans="16:17" x14ac:dyDescent="0.3">
      <c r="P152" s="16"/>
      <c r="Q152" s="12"/>
    </row>
    <row r="153" spans="16:17" x14ac:dyDescent="0.3">
      <c r="P153" s="16"/>
      <c r="Q153" s="12"/>
    </row>
    <row r="154" spans="16:17" x14ac:dyDescent="0.3">
      <c r="P154" s="16"/>
      <c r="Q154" s="12"/>
    </row>
    <row r="155" spans="16:17" x14ac:dyDescent="0.3">
      <c r="P155" s="16"/>
      <c r="Q155" s="12"/>
    </row>
    <row r="156" spans="16:17" x14ac:dyDescent="0.3">
      <c r="P156" s="16"/>
      <c r="Q156" s="12"/>
    </row>
    <row r="157" spans="16:17" x14ac:dyDescent="0.3">
      <c r="P157" s="16"/>
      <c r="Q157" s="12"/>
    </row>
    <row r="158" spans="16:17" x14ac:dyDescent="0.3">
      <c r="P158" s="16"/>
      <c r="Q158" s="12"/>
    </row>
    <row r="159" spans="16:17" x14ac:dyDescent="0.3">
      <c r="P159" s="16"/>
      <c r="Q159" s="12"/>
    </row>
    <row r="160" spans="16:17" x14ac:dyDescent="0.3">
      <c r="P160" s="16"/>
      <c r="Q160" s="12"/>
    </row>
    <row r="161" spans="16:17" x14ac:dyDescent="0.3">
      <c r="P161" s="16"/>
      <c r="Q161" s="12"/>
    </row>
    <row r="162" spans="16:17" x14ac:dyDescent="0.3">
      <c r="P162" s="16"/>
      <c r="Q162" s="12"/>
    </row>
    <row r="163" spans="16:17" x14ac:dyDescent="0.3">
      <c r="P163" s="16"/>
      <c r="Q163" s="12"/>
    </row>
    <row r="164" spans="16:17" x14ac:dyDescent="0.3">
      <c r="P164" s="16"/>
      <c r="Q164" s="12"/>
    </row>
    <row r="165" spans="16:17" x14ac:dyDescent="0.3">
      <c r="P165" s="16"/>
      <c r="Q165" s="12"/>
    </row>
    <row r="166" spans="16:17" x14ac:dyDescent="0.3">
      <c r="P166" s="16"/>
      <c r="Q166" s="12"/>
    </row>
    <row r="167" spans="16:17" x14ac:dyDescent="0.3">
      <c r="P167" s="16"/>
      <c r="Q167" s="12"/>
    </row>
    <row r="168" spans="16:17" x14ac:dyDescent="0.3">
      <c r="P168" s="16"/>
      <c r="Q168" s="12"/>
    </row>
    <row r="169" spans="16:17" x14ac:dyDescent="0.3">
      <c r="P169" s="16"/>
      <c r="Q169" s="12"/>
    </row>
    <row r="170" spans="16:17" x14ac:dyDescent="0.3">
      <c r="P170" s="16"/>
      <c r="Q170" s="12"/>
    </row>
    <row r="171" spans="16:17" x14ac:dyDescent="0.3">
      <c r="P171" s="16"/>
      <c r="Q171" s="12"/>
    </row>
    <row r="172" spans="16:17" x14ac:dyDescent="0.3">
      <c r="P172" s="16"/>
      <c r="Q172" s="12"/>
    </row>
    <row r="173" spans="16:17" x14ac:dyDescent="0.3">
      <c r="P173" s="16"/>
      <c r="Q173" s="12"/>
    </row>
    <row r="174" spans="16:17" x14ac:dyDescent="0.3">
      <c r="P174" s="16"/>
      <c r="Q174" s="12"/>
    </row>
    <row r="175" spans="16:17" x14ac:dyDescent="0.3">
      <c r="P175" s="16"/>
      <c r="Q175" s="12"/>
    </row>
    <row r="176" spans="16:17" x14ac:dyDescent="0.3">
      <c r="P176" s="16"/>
      <c r="Q176" s="12"/>
    </row>
    <row r="177" spans="16:17" x14ac:dyDescent="0.3">
      <c r="P177" s="16"/>
      <c r="Q177" s="12"/>
    </row>
    <row r="178" spans="16:17" x14ac:dyDescent="0.3">
      <c r="P178" s="16"/>
      <c r="Q178" s="12"/>
    </row>
    <row r="179" spans="16:17" x14ac:dyDescent="0.3">
      <c r="P179" s="16"/>
      <c r="Q179" s="12"/>
    </row>
    <row r="180" spans="16:17" x14ac:dyDescent="0.3">
      <c r="P180" s="16"/>
      <c r="Q180" s="12"/>
    </row>
    <row r="181" spans="16:17" x14ac:dyDescent="0.3">
      <c r="P181" s="16"/>
      <c r="Q181" s="12"/>
    </row>
    <row r="182" spans="16:17" x14ac:dyDescent="0.3">
      <c r="P182" s="16"/>
      <c r="Q182" s="12"/>
    </row>
    <row r="183" spans="16:17" x14ac:dyDescent="0.3">
      <c r="P183" s="16"/>
      <c r="Q183" s="12"/>
    </row>
    <row r="184" spans="16:17" x14ac:dyDescent="0.3">
      <c r="P184" s="16"/>
      <c r="Q184" s="12"/>
    </row>
    <row r="185" spans="16:17" x14ac:dyDescent="0.3">
      <c r="P185" s="16"/>
      <c r="Q185" s="12"/>
    </row>
    <row r="186" spans="16:17" x14ac:dyDescent="0.3">
      <c r="P186" s="16"/>
      <c r="Q186" s="12"/>
    </row>
    <row r="187" spans="16:17" x14ac:dyDescent="0.3">
      <c r="P187" s="16"/>
      <c r="Q187" s="12"/>
    </row>
    <row r="188" spans="16:17" x14ac:dyDescent="0.3">
      <c r="P188" s="16"/>
      <c r="Q188" s="12"/>
    </row>
    <row r="189" spans="16:17" x14ac:dyDescent="0.3">
      <c r="P189" s="16"/>
      <c r="Q189" s="12"/>
    </row>
    <row r="190" spans="16:17" x14ac:dyDescent="0.3">
      <c r="P190" s="16"/>
      <c r="Q190" s="12"/>
    </row>
    <row r="191" spans="16:17" x14ac:dyDescent="0.3">
      <c r="P191" s="16"/>
      <c r="Q191" s="12"/>
    </row>
    <row r="192" spans="16:17" x14ac:dyDescent="0.3">
      <c r="P192" s="16"/>
      <c r="Q192" s="12"/>
    </row>
    <row r="193" spans="16:17" x14ac:dyDescent="0.3">
      <c r="P193" s="16"/>
      <c r="Q193" s="12"/>
    </row>
    <row r="194" spans="16:17" x14ac:dyDescent="0.3">
      <c r="P194" s="16"/>
      <c r="Q194" s="12"/>
    </row>
    <row r="195" spans="16:17" x14ac:dyDescent="0.3">
      <c r="P195" s="16"/>
      <c r="Q195" s="12"/>
    </row>
    <row r="196" spans="16:17" x14ac:dyDescent="0.3">
      <c r="P196" s="16"/>
      <c r="Q196" s="12"/>
    </row>
    <row r="197" spans="16:17" x14ac:dyDescent="0.3">
      <c r="P197" s="16"/>
      <c r="Q197" s="12"/>
    </row>
    <row r="198" spans="16:17" x14ac:dyDescent="0.3">
      <c r="P198" s="16"/>
      <c r="Q198" s="12"/>
    </row>
    <row r="199" spans="16:17" x14ac:dyDescent="0.3">
      <c r="P199" s="16"/>
      <c r="Q199" s="12"/>
    </row>
    <row r="200" spans="16:17" x14ac:dyDescent="0.3">
      <c r="P200" s="16"/>
      <c r="Q200" s="12"/>
    </row>
    <row r="201" spans="16:17" x14ac:dyDescent="0.3">
      <c r="P201" s="16"/>
      <c r="Q201" s="12"/>
    </row>
    <row r="202" spans="16:17" x14ac:dyDescent="0.3">
      <c r="P202" s="16"/>
      <c r="Q202" s="12"/>
    </row>
    <row r="203" spans="16:17" x14ac:dyDescent="0.3">
      <c r="P203" s="16"/>
      <c r="Q203" s="12"/>
    </row>
    <row r="204" spans="16:17" x14ac:dyDescent="0.3">
      <c r="P204" s="16"/>
      <c r="Q204" s="12"/>
    </row>
    <row r="205" spans="16:17" x14ac:dyDescent="0.3">
      <c r="P205" s="16"/>
      <c r="Q205" s="12"/>
    </row>
    <row r="206" spans="16:17" x14ac:dyDescent="0.3">
      <c r="P206" s="16"/>
      <c r="Q206" s="12"/>
    </row>
    <row r="207" spans="16:17" x14ac:dyDescent="0.3">
      <c r="P207" s="16"/>
      <c r="Q207" s="12"/>
    </row>
    <row r="208" spans="16:17" x14ac:dyDescent="0.3">
      <c r="P208" s="16"/>
      <c r="Q208" s="12"/>
    </row>
    <row r="209" spans="16:17" x14ac:dyDescent="0.3">
      <c r="P209" s="16"/>
      <c r="Q209" s="12"/>
    </row>
    <row r="210" spans="16:17" x14ac:dyDescent="0.3">
      <c r="P210" s="16"/>
      <c r="Q210" s="12"/>
    </row>
    <row r="211" spans="16:17" x14ac:dyDescent="0.3">
      <c r="P211" s="16"/>
      <c r="Q211" s="12"/>
    </row>
    <row r="212" spans="16:17" x14ac:dyDescent="0.3">
      <c r="P212" s="16"/>
      <c r="Q212" s="12"/>
    </row>
    <row r="213" spans="16:17" x14ac:dyDescent="0.3">
      <c r="P213" s="16"/>
      <c r="Q213" s="12"/>
    </row>
    <row r="214" spans="16:17" x14ac:dyDescent="0.3">
      <c r="P214" s="16"/>
      <c r="Q214" s="12"/>
    </row>
    <row r="215" spans="16:17" x14ac:dyDescent="0.3">
      <c r="P215" s="16"/>
      <c r="Q215" s="12"/>
    </row>
    <row r="216" spans="16:17" x14ac:dyDescent="0.3">
      <c r="P216" s="16"/>
      <c r="Q216" s="12"/>
    </row>
    <row r="217" spans="16:17" x14ac:dyDescent="0.3">
      <c r="P217" s="16"/>
      <c r="Q217" s="12"/>
    </row>
    <row r="218" spans="16:17" x14ac:dyDescent="0.3">
      <c r="P218" s="16"/>
      <c r="Q218" s="12"/>
    </row>
    <row r="219" spans="16:17" x14ac:dyDescent="0.3">
      <c r="P219" s="16"/>
      <c r="Q219" s="12"/>
    </row>
    <row r="220" spans="16:17" x14ac:dyDescent="0.3">
      <c r="P220" s="16"/>
      <c r="Q220" s="12"/>
    </row>
    <row r="221" spans="16:17" x14ac:dyDescent="0.3">
      <c r="P221" s="16"/>
      <c r="Q221" s="12"/>
    </row>
    <row r="222" spans="16:17" x14ac:dyDescent="0.3">
      <c r="P222" s="16"/>
      <c r="Q222" s="12"/>
    </row>
    <row r="223" spans="16:17" x14ac:dyDescent="0.3">
      <c r="P223" s="16"/>
      <c r="Q223" s="12"/>
    </row>
    <row r="224" spans="16:17" x14ac:dyDescent="0.3">
      <c r="P224" s="16"/>
      <c r="Q224" s="12"/>
    </row>
    <row r="225" spans="16:17" x14ac:dyDescent="0.3">
      <c r="P225" s="16"/>
      <c r="Q225" s="12"/>
    </row>
    <row r="226" spans="16:17" x14ac:dyDescent="0.3">
      <c r="P226" s="16"/>
      <c r="Q226" s="12"/>
    </row>
    <row r="227" spans="16:17" x14ac:dyDescent="0.3">
      <c r="P227" s="16"/>
      <c r="Q227" s="12"/>
    </row>
    <row r="228" spans="16:17" x14ac:dyDescent="0.3">
      <c r="P228" s="16"/>
      <c r="Q228" s="12"/>
    </row>
    <row r="229" spans="16:17" x14ac:dyDescent="0.3">
      <c r="P229" s="16"/>
      <c r="Q229" s="12"/>
    </row>
    <row r="230" spans="16:17" x14ac:dyDescent="0.3">
      <c r="P230" s="16"/>
      <c r="Q230" s="12"/>
    </row>
    <row r="231" spans="16:17" x14ac:dyDescent="0.3">
      <c r="P231" s="16"/>
      <c r="Q231" s="12"/>
    </row>
    <row r="232" spans="16:17" x14ac:dyDescent="0.3">
      <c r="P232" s="16"/>
      <c r="Q232" s="12"/>
    </row>
    <row r="233" spans="16:17" x14ac:dyDescent="0.3">
      <c r="P233" s="16"/>
      <c r="Q233" s="12"/>
    </row>
    <row r="234" spans="16:17" x14ac:dyDescent="0.3">
      <c r="P234" s="16"/>
      <c r="Q234" s="12"/>
    </row>
    <row r="235" spans="16:17" x14ac:dyDescent="0.3">
      <c r="P235" s="16"/>
      <c r="Q235" s="12"/>
    </row>
    <row r="236" spans="16:17" x14ac:dyDescent="0.3">
      <c r="P236" s="16"/>
      <c r="Q236" s="12"/>
    </row>
    <row r="237" spans="16:17" x14ac:dyDescent="0.3">
      <c r="P237" s="16"/>
      <c r="Q237" s="12"/>
    </row>
    <row r="238" spans="16:17" x14ac:dyDescent="0.3">
      <c r="P238" s="16"/>
      <c r="Q238" s="12"/>
    </row>
    <row r="239" spans="16:17" x14ac:dyDescent="0.3">
      <c r="P239" s="16"/>
      <c r="Q239" s="12"/>
    </row>
    <row r="240" spans="16:17" x14ac:dyDescent="0.3">
      <c r="P240" s="16"/>
      <c r="Q240" s="12"/>
    </row>
    <row r="241" spans="16:17" x14ac:dyDescent="0.3">
      <c r="P241" s="16"/>
      <c r="Q241" s="12"/>
    </row>
    <row r="242" spans="16:17" x14ac:dyDescent="0.3">
      <c r="P242" s="16"/>
      <c r="Q242" s="12"/>
    </row>
    <row r="243" spans="16:17" x14ac:dyDescent="0.3">
      <c r="P243" s="16"/>
      <c r="Q243" s="12"/>
    </row>
    <row r="244" spans="16:17" x14ac:dyDescent="0.3">
      <c r="P244" s="16"/>
      <c r="Q244" s="12"/>
    </row>
    <row r="245" spans="16:17" x14ac:dyDescent="0.3">
      <c r="P245" s="16"/>
      <c r="Q245" s="12"/>
    </row>
    <row r="246" spans="16:17" x14ac:dyDescent="0.3">
      <c r="P246" s="16"/>
      <c r="Q246" s="12"/>
    </row>
    <row r="247" spans="16:17" x14ac:dyDescent="0.3">
      <c r="P247" s="16"/>
      <c r="Q247" s="12"/>
    </row>
    <row r="248" spans="16:17" x14ac:dyDescent="0.3">
      <c r="P248" s="16"/>
      <c r="Q248" s="12"/>
    </row>
    <row r="249" spans="16:17" x14ac:dyDescent="0.3">
      <c r="P249" s="16"/>
      <c r="Q249" s="12"/>
    </row>
    <row r="250" spans="16:17" x14ac:dyDescent="0.3">
      <c r="P250" s="16"/>
      <c r="Q250" s="12"/>
    </row>
    <row r="251" spans="16:17" x14ac:dyDescent="0.3">
      <c r="P251" s="16"/>
      <c r="Q251" s="12"/>
    </row>
    <row r="252" spans="16:17" x14ac:dyDescent="0.3">
      <c r="P252" s="16"/>
      <c r="Q252" s="12"/>
    </row>
    <row r="253" spans="16:17" x14ac:dyDescent="0.3">
      <c r="P253" s="16"/>
      <c r="Q253" s="12"/>
    </row>
    <row r="254" spans="16:17" x14ac:dyDescent="0.3">
      <c r="P254" s="16"/>
      <c r="Q254" s="12"/>
    </row>
    <row r="255" spans="16:17" x14ac:dyDescent="0.3">
      <c r="P255" s="16"/>
      <c r="Q255" s="12"/>
    </row>
    <row r="256" spans="16:17" x14ac:dyDescent="0.3">
      <c r="P256" s="16"/>
      <c r="Q256" s="12"/>
    </row>
    <row r="257" spans="16:17" x14ac:dyDescent="0.3">
      <c r="P257" s="16"/>
      <c r="Q257" s="12"/>
    </row>
    <row r="258" spans="16:17" x14ac:dyDescent="0.3">
      <c r="P258" s="16"/>
      <c r="Q258" s="12"/>
    </row>
    <row r="259" spans="16:17" x14ac:dyDescent="0.3">
      <c r="P259" s="16"/>
      <c r="Q259" s="12"/>
    </row>
    <row r="260" spans="16:17" x14ac:dyDescent="0.3">
      <c r="P260" s="16"/>
      <c r="Q260" s="12"/>
    </row>
    <row r="261" spans="16:17" x14ac:dyDescent="0.3">
      <c r="P261" s="16"/>
      <c r="Q261" s="12"/>
    </row>
    <row r="262" spans="16:17" x14ac:dyDescent="0.3">
      <c r="P262" s="16"/>
      <c r="Q262" s="12"/>
    </row>
    <row r="263" spans="16:17" x14ac:dyDescent="0.3">
      <c r="P263" s="16"/>
      <c r="Q263" s="12"/>
    </row>
    <row r="264" spans="16:17" x14ac:dyDescent="0.3">
      <c r="P264" s="16"/>
      <c r="Q264" s="12"/>
    </row>
    <row r="265" spans="16:17" x14ac:dyDescent="0.3">
      <c r="P265" s="16"/>
      <c r="Q265" s="12"/>
    </row>
    <row r="266" spans="16:17" x14ac:dyDescent="0.3">
      <c r="P266" s="16"/>
      <c r="Q266" s="12"/>
    </row>
    <row r="267" spans="16:17" x14ac:dyDescent="0.3">
      <c r="P267" s="16"/>
      <c r="Q267" s="12"/>
    </row>
    <row r="268" spans="16:17" x14ac:dyDescent="0.3">
      <c r="P268" s="16"/>
      <c r="Q268" s="12"/>
    </row>
    <row r="269" spans="16:17" x14ac:dyDescent="0.3">
      <c r="P269" s="16"/>
      <c r="Q269" s="12"/>
    </row>
    <row r="270" spans="16:17" x14ac:dyDescent="0.3">
      <c r="P270" s="16"/>
      <c r="Q270" s="12"/>
    </row>
    <row r="271" spans="16:17" x14ac:dyDescent="0.3">
      <c r="P271" s="16"/>
      <c r="Q271" s="12"/>
    </row>
    <row r="272" spans="16:17" x14ac:dyDescent="0.3">
      <c r="P272" s="16"/>
      <c r="Q272" s="12"/>
    </row>
    <row r="273" spans="16:17" x14ac:dyDescent="0.3">
      <c r="P273" s="16"/>
      <c r="Q273" s="12"/>
    </row>
    <row r="274" spans="16:17" x14ac:dyDescent="0.3">
      <c r="P274" s="16"/>
      <c r="Q274" s="12"/>
    </row>
    <row r="275" spans="16:17" x14ac:dyDescent="0.3">
      <c r="P275" s="16"/>
      <c r="Q275" s="12"/>
    </row>
    <row r="276" spans="16:17" x14ac:dyDescent="0.3">
      <c r="P276" s="16"/>
      <c r="Q276" s="12"/>
    </row>
    <row r="277" spans="16:17" x14ac:dyDescent="0.3">
      <c r="P277" s="16"/>
      <c r="Q277" s="12"/>
    </row>
    <row r="278" spans="16:17" x14ac:dyDescent="0.3">
      <c r="P278" s="16"/>
      <c r="Q278" s="12"/>
    </row>
    <row r="279" spans="16:17" x14ac:dyDescent="0.3">
      <c r="P279" s="16"/>
      <c r="Q279" s="12"/>
    </row>
    <row r="280" spans="16:17" x14ac:dyDescent="0.3">
      <c r="P280" s="16"/>
      <c r="Q280" s="12"/>
    </row>
    <row r="281" spans="16:17" x14ac:dyDescent="0.3">
      <c r="P281" s="16"/>
      <c r="Q281" s="12"/>
    </row>
    <row r="282" spans="16:17" x14ac:dyDescent="0.3">
      <c r="P282" s="16"/>
      <c r="Q282" s="12"/>
    </row>
    <row r="283" spans="16:17" x14ac:dyDescent="0.3">
      <c r="P283" s="16"/>
      <c r="Q283" s="12"/>
    </row>
    <row r="284" spans="16:17" x14ac:dyDescent="0.3">
      <c r="P284" s="16"/>
      <c r="Q284" s="12"/>
    </row>
    <row r="285" spans="16:17" x14ac:dyDescent="0.3">
      <c r="P285" s="16"/>
      <c r="Q285" s="12"/>
    </row>
    <row r="286" spans="16:17" x14ac:dyDescent="0.3">
      <c r="P286" s="16"/>
      <c r="Q286" s="12"/>
    </row>
    <row r="287" spans="16:17" x14ac:dyDescent="0.3">
      <c r="P287" s="16"/>
      <c r="Q287" s="12"/>
    </row>
    <row r="288" spans="16:17" x14ac:dyDescent="0.3">
      <c r="P288" s="16"/>
      <c r="Q288" s="12"/>
    </row>
    <row r="289" spans="16:17" x14ac:dyDescent="0.3">
      <c r="P289" s="16"/>
      <c r="Q289" s="12"/>
    </row>
    <row r="290" spans="16:17" x14ac:dyDescent="0.3">
      <c r="P290" s="16"/>
      <c r="Q290" s="12"/>
    </row>
    <row r="291" spans="16:17" x14ac:dyDescent="0.3">
      <c r="P291" s="16"/>
      <c r="Q291" s="12"/>
    </row>
    <row r="292" spans="16:17" x14ac:dyDescent="0.3">
      <c r="P292" s="16"/>
      <c r="Q292" s="12"/>
    </row>
    <row r="293" spans="16:17" x14ac:dyDescent="0.3">
      <c r="P293" s="16"/>
      <c r="Q293" s="12"/>
    </row>
    <row r="294" spans="16:17" x14ac:dyDescent="0.3">
      <c r="P294" s="16"/>
      <c r="Q294" s="12"/>
    </row>
    <row r="295" spans="16:17" x14ac:dyDescent="0.3">
      <c r="P295" s="16"/>
      <c r="Q295" s="12"/>
    </row>
    <row r="296" spans="16:17" x14ac:dyDescent="0.3">
      <c r="P296" s="16"/>
      <c r="Q296" s="12"/>
    </row>
    <row r="297" spans="16:17" x14ac:dyDescent="0.3">
      <c r="P297" s="16"/>
      <c r="Q297" s="12"/>
    </row>
    <row r="298" spans="16:17" x14ac:dyDescent="0.3">
      <c r="P298" s="16"/>
      <c r="Q298" s="12"/>
    </row>
    <row r="299" spans="16:17" x14ac:dyDescent="0.3">
      <c r="P299" s="16"/>
      <c r="Q299" s="12"/>
    </row>
    <row r="300" spans="16:17" x14ac:dyDescent="0.3">
      <c r="P300" s="16"/>
      <c r="Q300" s="12"/>
    </row>
    <row r="301" spans="16:17" x14ac:dyDescent="0.3">
      <c r="P301" s="16"/>
      <c r="Q301" s="12"/>
    </row>
    <row r="302" spans="16:17" x14ac:dyDescent="0.3">
      <c r="P302" s="16"/>
      <c r="Q302" s="12"/>
    </row>
    <row r="303" spans="16:17" x14ac:dyDescent="0.3">
      <c r="P303" s="16"/>
      <c r="Q303" s="12"/>
    </row>
    <row r="304" spans="16:17" x14ac:dyDescent="0.3">
      <c r="P304" s="16"/>
      <c r="Q304" s="12"/>
    </row>
    <row r="305" spans="16:17" x14ac:dyDescent="0.3">
      <c r="P305" s="16"/>
      <c r="Q305" s="12"/>
    </row>
    <row r="306" spans="16:17" x14ac:dyDescent="0.3">
      <c r="P306" s="16"/>
      <c r="Q306" s="12"/>
    </row>
    <row r="307" spans="16:17" x14ac:dyDescent="0.3">
      <c r="P307" s="16"/>
      <c r="Q307" s="12"/>
    </row>
    <row r="308" spans="16:17" x14ac:dyDescent="0.3">
      <c r="P308" s="16"/>
      <c r="Q308" s="12"/>
    </row>
    <row r="309" spans="16:17" x14ac:dyDescent="0.3">
      <c r="P309" s="16"/>
      <c r="Q309" s="12"/>
    </row>
    <row r="310" spans="16:17" x14ac:dyDescent="0.3">
      <c r="P310" s="16"/>
      <c r="Q310" s="12"/>
    </row>
    <row r="311" spans="16:17" x14ac:dyDescent="0.3">
      <c r="P311" s="16"/>
      <c r="Q311" s="12"/>
    </row>
    <row r="312" spans="16:17" x14ac:dyDescent="0.3">
      <c r="P312" s="16"/>
      <c r="Q312" s="12"/>
    </row>
    <row r="313" spans="16:17" x14ac:dyDescent="0.3">
      <c r="P313" s="16"/>
      <c r="Q313" s="12"/>
    </row>
    <row r="314" spans="16:17" x14ac:dyDescent="0.3">
      <c r="P314" s="16"/>
      <c r="Q314" s="12"/>
    </row>
    <row r="315" spans="16:17" x14ac:dyDescent="0.3">
      <c r="P315" s="16"/>
      <c r="Q315" s="12"/>
    </row>
    <row r="316" spans="16:17" x14ac:dyDescent="0.3">
      <c r="P316" s="16"/>
      <c r="Q316" s="12"/>
    </row>
    <row r="317" spans="16:17" x14ac:dyDescent="0.3">
      <c r="P317" s="16"/>
      <c r="Q317" s="12"/>
    </row>
    <row r="318" spans="16:17" x14ac:dyDescent="0.3">
      <c r="P318" s="16"/>
      <c r="Q318" s="12"/>
    </row>
    <row r="319" spans="16:17" x14ac:dyDescent="0.3">
      <c r="P319" s="16"/>
      <c r="Q319" s="12"/>
    </row>
    <row r="320" spans="16:17" x14ac:dyDescent="0.3">
      <c r="P320" s="16"/>
      <c r="Q320" s="12"/>
    </row>
    <row r="321" spans="16:17" x14ac:dyDescent="0.3">
      <c r="P321" s="16"/>
      <c r="Q321" s="12"/>
    </row>
    <row r="322" spans="16:17" x14ac:dyDescent="0.3">
      <c r="P322" s="16"/>
      <c r="Q322" s="12"/>
    </row>
    <row r="323" spans="16:17" x14ac:dyDescent="0.3">
      <c r="P323" s="16"/>
      <c r="Q323" s="12"/>
    </row>
    <row r="324" spans="16:17" x14ac:dyDescent="0.3">
      <c r="P324" s="16"/>
      <c r="Q324" s="12"/>
    </row>
    <row r="325" spans="16:17" x14ac:dyDescent="0.3">
      <c r="P325" s="16"/>
      <c r="Q325" s="12"/>
    </row>
    <row r="326" spans="16:17" x14ac:dyDescent="0.3">
      <c r="P326" s="16"/>
      <c r="Q326" s="12"/>
    </row>
    <row r="327" spans="16:17" x14ac:dyDescent="0.3">
      <c r="P327" s="16"/>
      <c r="Q327" s="12"/>
    </row>
    <row r="328" spans="16:17" x14ac:dyDescent="0.3">
      <c r="P328" s="16"/>
      <c r="Q328" s="12"/>
    </row>
    <row r="329" spans="16:17" x14ac:dyDescent="0.3">
      <c r="P329" s="16"/>
      <c r="Q329" s="12"/>
    </row>
    <row r="330" spans="16:17" x14ac:dyDescent="0.3">
      <c r="P330" s="16"/>
      <c r="Q330" s="12"/>
    </row>
    <row r="331" spans="16:17" x14ac:dyDescent="0.3">
      <c r="P331" s="16"/>
      <c r="Q331" s="12"/>
    </row>
    <row r="332" spans="16:17" x14ac:dyDescent="0.3">
      <c r="P332" s="16"/>
      <c r="Q332" s="12"/>
    </row>
    <row r="333" spans="16:17" x14ac:dyDescent="0.3">
      <c r="P333" s="16"/>
      <c r="Q333" s="12"/>
    </row>
    <row r="334" spans="16:17" x14ac:dyDescent="0.3">
      <c r="P334" s="16"/>
      <c r="Q334" s="12"/>
    </row>
    <row r="335" spans="16:17" x14ac:dyDescent="0.3">
      <c r="P335" s="16"/>
      <c r="Q335" s="12"/>
    </row>
    <row r="336" spans="16:17" x14ac:dyDescent="0.3">
      <c r="P336" s="16"/>
      <c r="Q336" s="12"/>
    </row>
    <row r="337" spans="16:17" x14ac:dyDescent="0.3">
      <c r="P337" s="16"/>
      <c r="Q337" s="12"/>
    </row>
    <row r="338" spans="16:17" x14ac:dyDescent="0.3">
      <c r="P338" s="16"/>
      <c r="Q338" s="12"/>
    </row>
    <row r="339" spans="16:17" x14ac:dyDescent="0.3">
      <c r="P339" s="16"/>
      <c r="Q339" s="12"/>
    </row>
    <row r="340" spans="16:17" x14ac:dyDescent="0.3">
      <c r="P340" s="16"/>
      <c r="Q340" s="12"/>
    </row>
    <row r="341" spans="16:17" x14ac:dyDescent="0.3">
      <c r="P341" s="16"/>
      <c r="Q341" s="12"/>
    </row>
    <row r="342" spans="16:17" x14ac:dyDescent="0.3">
      <c r="P342" s="16"/>
      <c r="Q342" s="12"/>
    </row>
    <row r="343" spans="16:17" x14ac:dyDescent="0.3">
      <c r="P343" s="16"/>
      <c r="Q343" s="12"/>
    </row>
    <row r="344" spans="16:17" x14ac:dyDescent="0.3">
      <c r="P344" s="16"/>
      <c r="Q344" s="12"/>
    </row>
    <row r="345" spans="16:17" x14ac:dyDescent="0.3">
      <c r="P345" s="16"/>
      <c r="Q345" s="12"/>
    </row>
    <row r="346" spans="16:17" x14ac:dyDescent="0.3">
      <c r="P346" s="16"/>
      <c r="Q346" s="12"/>
    </row>
    <row r="347" spans="16:17" x14ac:dyDescent="0.3">
      <c r="P347" s="16"/>
      <c r="Q347" s="12"/>
    </row>
    <row r="348" spans="16:17" x14ac:dyDescent="0.3">
      <c r="P348" s="16"/>
      <c r="Q348" s="12"/>
    </row>
    <row r="349" spans="16:17" x14ac:dyDescent="0.3">
      <c r="P349" s="16"/>
      <c r="Q349" s="12"/>
    </row>
    <row r="350" spans="16:17" x14ac:dyDescent="0.3">
      <c r="P350" s="16"/>
      <c r="Q350" s="12"/>
    </row>
    <row r="351" spans="16:17" x14ac:dyDescent="0.3">
      <c r="P351" s="16"/>
      <c r="Q351" s="12"/>
    </row>
    <row r="352" spans="16:17" x14ac:dyDescent="0.3">
      <c r="P352" s="16"/>
      <c r="Q352" s="12"/>
    </row>
    <row r="353" spans="16:17" x14ac:dyDescent="0.3">
      <c r="P353" s="16"/>
      <c r="Q353" s="12"/>
    </row>
    <row r="354" spans="16:17" x14ac:dyDescent="0.3">
      <c r="P354" s="16"/>
      <c r="Q354" s="12"/>
    </row>
    <row r="355" spans="16:17" x14ac:dyDescent="0.3">
      <c r="Q355" s="12"/>
    </row>
    <row r="356" spans="16:17" x14ac:dyDescent="0.3">
      <c r="Q356" s="12"/>
    </row>
    <row r="357" spans="16:17" x14ac:dyDescent="0.3">
      <c r="Q357" s="12"/>
    </row>
    <row r="358" spans="16:17" x14ac:dyDescent="0.3">
      <c r="Q358" s="12"/>
    </row>
    <row r="359" spans="16:17" x14ac:dyDescent="0.3">
      <c r="Q359" s="12"/>
    </row>
    <row r="360" spans="16:17" x14ac:dyDescent="0.3">
      <c r="Q360" s="12"/>
    </row>
    <row r="361" spans="16:17" x14ac:dyDescent="0.3">
      <c r="Q361" s="12"/>
    </row>
    <row r="362" spans="16:17" x14ac:dyDescent="0.3">
      <c r="Q362" s="12"/>
    </row>
    <row r="363" spans="16:17" x14ac:dyDescent="0.3">
      <c r="Q363" s="12"/>
    </row>
    <row r="364" spans="16:17" x14ac:dyDescent="0.3">
      <c r="Q364" s="12"/>
    </row>
    <row r="365" spans="16:17" x14ac:dyDescent="0.3">
      <c r="Q365" s="12"/>
    </row>
    <row r="366" spans="16:17" x14ac:dyDescent="0.3">
      <c r="Q366" s="12"/>
    </row>
    <row r="367" spans="16:17" x14ac:dyDescent="0.3">
      <c r="Q367" s="12"/>
    </row>
    <row r="368" spans="16:17" x14ac:dyDescent="0.3">
      <c r="Q368" s="12"/>
    </row>
    <row r="369" spans="17:17" x14ac:dyDescent="0.3">
      <c r="Q369" s="12"/>
    </row>
    <row r="370" spans="17:17" x14ac:dyDescent="0.3">
      <c r="Q370" s="12"/>
    </row>
    <row r="371" spans="17:17" x14ac:dyDescent="0.3">
      <c r="Q371" s="12"/>
    </row>
    <row r="372" spans="17:17" x14ac:dyDescent="0.3">
      <c r="Q372" s="12"/>
    </row>
    <row r="373" spans="17:17" x14ac:dyDescent="0.3">
      <c r="Q373" s="12"/>
    </row>
    <row r="374" spans="17:17" x14ac:dyDescent="0.3">
      <c r="Q374" s="12"/>
    </row>
    <row r="375" spans="17:17" x14ac:dyDescent="0.3">
      <c r="Q375" s="12"/>
    </row>
    <row r="376" spans="17:17" x14ac:dyDescent="0.3">
      <c r="Q376" s="12"/>
    </row>
    <row r="377" spans="17:17" x14ac:dyDescent="0.3">
      <c r="Q377" s="12"/>
    </row>
    <row r="378" spans="17:17" x14ac:dyDescent="0.3">
      <c r="Q378" s="12"/>
    </row>
    <row r="379" spans="17:17" x14ac:dyDescent="0.3">
      <c r="Q379" s="12"/>
    </row>
    <row r="380" spans="17:17" x14ac:dyDescent="0.3">
      <c r="Q380" s="12"/>
    </row>
    <row r="381" spans="17:17" x14ac:dyDescent="0.3">
      <c r="Q381" s="12"/>
    </row>
    <row r="382" spans="17:17" x14ac:dyDescent="0.3">
      <c r="Q382" s="12"/>
    </row>
    <row r="383" spans="17:17" x14ac:dyDescent="0.3">
      <c r="Q383" s="12"/>
    </row>
    <row r="384" spans="17:17" x14ac:dyDescent="0.3">
      <c r="Q384" s="12"/>
    </row>
    <row r="385" spans="17:17" x14ac:dyDescent="0.3">
      <c r="Q385" s="12"/>
    </row>
    <row r="386" spans="17:17" x14ac:dyDescent="0.3">
      <c r="Q386" s="12"/>
    </row>
    <row r="387" spans="17:17" x14ac:dyDescent="0.3">
      <c r="Q387" s="12"/>
    </row>
    <row r="388" spans="17:17" x14ac:dyDescent="0.3">
      <c r="Q388" s="12"/>
    </row>
    <row r="389" spans="17:17" x14ac:dyDescent="0.3">
      <c r="Q389" s="12"/>
    </row>
    <row r="390" spans="17:17" x14ac:dyDescent="0.3">
      <c r="Q390" s="12"/>
    </row>
    <row r="391" spans="17:17" x14ac:dyDescent="0.3">
      <c r="Q391" s="12"/>
    </row>
    <row r="392" spans="17:17" x14ac:dyDescent="0.3">
      <c r="Q392" s="12"/>
    </row>
    <row r="393" spans="17:17" x14ac:dyDescent="0.3">
      <c r="Q393" s="12"/>
    </row>
    <row r="394" spans="17:17" x14ac:dyDescent="0.3">
      <c r="Q394" s="12"/>
    </row>
    <row r="395" spans="17:17" x14ac:dyDescent="0.3">
      <c r="Q395" s="12"/>
    </row>
    <row r="396" spans="17:17" x14ac:dyDescent="0.3">
      <c r="Q396" s="12"/>
    </row>
    <row r="397" spans="17:17" x14ac:dyDescent="0.3">
      <c r="Q397" s="12"/>
    </row>
    <row r="398" spans="17:17" x14ac:dyDescent="0.3">
      <c r="Q398" s="12"/>
    </row>
    <row r="399" spans="17:17" x14ac:dyDescent="0.3">
      <c r="Q399" s="12"/>
    </row>
    <row r="400" spans="17:17" x14ac:dyDescent="0.3">
      <c r="Q400" s="12"/>
    </row>
    <row r="401" spans="17:17" x14ac:dyDescent="0.3">
      <c r="Q401" s="12"/>
    </row>
    <row r="402" spans="17:17" x14ac:dyDescent="0.3">
      <c r="Q402" s="12"/>
    </row>
    <row r="403" spans="17:17" x14ac:dyDescent="0.3">
      <c r="Q403" s="12"/>
    </row>
    <row r="404" spans="17:17" x14ac:dyDescent="0.3">
      <c r="Q404" s="12"/>
    </row>
    <row r="405" spans="17:17" x14ac:dyDescent="0.3">
      <c r="Q405" s="12"/>
    </row>
    <row r="406" spans="17:17" x14ac:dyDescent="0.3">
      <c r="Q406" s="12"/>
    </row>
    <row r="407" spans="17:17" x14ac:dyDescent="0.3">
      <c r="Q407" s="12"/>
    </row>
    <row r="408" spans="17:17" x14ac:dyDescent="0.3">
      <c r="Q408" s="12"/>
    </row>
    <row r="409" spans="17:17" x14ac:dyDescent="0.3">
      <c r="Q409" s="12"/>
    </row>
    <row r="410" spans="17:17" x14ac:dyDescent="0.3">
      <c r="Q410" s="12"/>
    </row>
    <row r="411" spans="17:17" x14ac:dyDescent="0.3">
      <c r="Q411" s="12"/>
    </row>
    <row r="412" spans="17:17" x14ac:dyDescent="0.3">
      <c r="Q412" s="12"/>
    </row>
    <row r="413" spans="17:17" x14ac:dyDescent="0.3">
      <c r="Q413" s="12"/>
    </row>
    <row r="414" spans="17:17" x14ac:dyDescent="0.3">
      <c r="Q414" s="12"/>
    </row>
    <row r="415" spans="17:17" x14ac:dyDescent="0.3">
      <c r="Q415" s="12"/>
    </row>
    <row r="416" spans="17:17" x14ac:dyDescent="0.3">
      <c r="Q416" s="12"/>
    </row>
    <row r="417" spans="17:17" x14ac:dyDescent="0.3">
      <c r="Q417" s="12"/>
    </row>
    <row r="418" spans="17:17" x14ac:dyDescent="0.3">
      <c r="Q418" s="12"/>
    </row>
    <row r="419" spans="17:17" x14ac:dyDescent="0.3">
      <c r="Q419" s="12"/>
    </row>
    <row r="420" spans="17:17" x14ac:dyDescent="0.3">
      <c r="Q420" s="12"/>
    </row>
    <row r="421" spans="17:17" x14ac:dyDescent="0.3">
      <c r="Q421" s="12"/>
    </row>
    <row r="422" spans="17:17" x14ac:dyDescent="0.3">
      <c r="Q422" s="12"/>
    </row>
    <row r="423" spans="17:17" x14ac:dyDescent="0.3">
      <c r="Q423" s="12"/>
    </row>
    <row r="424" spans="17:17" x14ac:dyDescent="0.3">
      <c r="Q424" s="12"/>
    </row>
    <row r="425" spans="17:17" x14ac:dyDescent="0.3">
      <c r="Q425" s="12"/>
    </row>
    <row r="426" spans="17:17" x14ac:dyDescent="0.3">
      <c r="Q426" s="12"/>
    </row>
    <row r="427" spans="17:17" x14ac:dyDescent="0.3">
      <c r="Q427" s="12"/>
    </row>
    <row r="428" spans="17:17" x14ac:dyDescent="0.3">
      <c r="Q428" s="12"/>
    </row>
    <row r="429" spans="17:17" x14ac:dyDescent="0.3">
      <c r="Q429" s="12"/>
    </row>
    <row r="430" spans="17:17" x14ac:dyDescent="0.3">
      <c r="Q430" s="12"/>
    </row>
    <row r="431" spans="17:17" x14ac:dyDescent="0.3">
      <c r="Q431" s="12"/>
    </row>
    <row r="432" spans="17:17" x14ac:dyDescent="0.3">
      <c r="Q432" s="12"/>
    </row>
    <row r="433" spans="17:17" x14ac:dyDescent="0.3">
      <c r="Q433" s="12"/>
    </row>
    <row r="434" spans="17:17" x14ac:dyDescent="0.3">
      <c r="Q434" s="12"/>
    </row>
    <row r="435" spans="17:17" x14ac:dyDescent="0.3">
      <c r="Q435" s="12"/>
    </row>
    <row r="436" spans="17:17" x14ac:dyDescent="0.3">
      <c r="Q436" s="12"/>
    </row>
    <row r="437" spans="17:17" x14ac:dyDescent="0.3">
      <c r="Q437" s="12"/>
    </row>
    <row r="438" spans="17:17" x14ac:dyDescent="0.3">
      <c r="Q438" s="12"/>
    </row>
    <row r="439" spans="17:17" x14ac:dyDescent="0.3">
      <c r="Q439" s="12"/>
    </row>
    <row r="440" spans="17:17" x14ac:dyDescent="0.3">
      <c r="Q440" s="12"/>
    </row>
    <row r="441" spans="17:17" x14ac:dyDescent="0.3">
      <c r="Q441" s="12"/>
    </row>
    <row r="442" spans="17:17" x14ac:dyDescent="0.3">
      <c r="Q442" s="12"/>
    </row>
    <row r="443" spans="17:17" x14ac:dyDescent="0.3">
      <c r="Q443" s="12"/>
    </row>
    <row r="444" spans="17:17" x14ac:dyDescent="0.3">
      <c r="Q444" s="12"/>
    </row>
    <row r="445" spans="17:17" x14ac:dyDescent="0.3">
      <c r="Q445" s="12"/>
    </row>
    <row r="446" spans="17:17" x14ac:dyDescent="0.3">
      <c r="Q446" s="12"/>
    </row>
    <row r="447" spans="17:17" x14ac:dyDescent="0.3">
      <c r="Q447" s="12"/>
    </row>
    <row r="448" spans="17:17" x14ac:dyDescent="0.3">
      <c r="Q448" s="12"/>
    </row>
    <row r="449" spans="17:17" x14ac:dyDescent="0.3">
      <c r="Q449" s="12"/>
    </row>
    <row r="450" spans="17:17" x14ac:dyDescent="0.3">
      <c r="Q450" s="12"/>
    </row>
    <row r="451" spans="17:17" x14ac:dyDescent="0.3">
      <c r="Q451" s="12"/>
    </row>
    <row r="452" spans="17:17" x14ac:dyDescent="0.3">
      <c r="Q452" s="12"/>
    </row>
    <row r="453" spans="17:17" x14ac:dyDescent="0.3">
      <c r="Q453" s="12"/>
    </row>
    <row r="454" spans="17:17" x14ac:dyDescent="0.3">
      <c r="Q454" s="12"/>
    </row>
    <row r="455" spans="17:17" x14ac:dyDescent="0.3">
      <c r="Q455" s="12"/>
    </row>
    <row r="456" spans="17:17" x14ac:dyDescent="0.3">
      <c r="Q456" s="12"/>
    </row>
    <row r="457" spans="17:17" x14ac:dyDescent="0.3">
      <c r="Q457" s="12"/>
    </row>
    <row r="458" spans="17:17" x14ac:dyDescent="0.3">
      <c r="Q458" s="12"/>
    </row>
    <row r="459" spans="17:17" x14ac:dyDescent="0.3">
      <c r="Q459" s="12"/>
    </row>
    <row r="460" spans="17:17" x14ac:dyDescent="0.3">
      <c r="Q460" s="12"/>
    </row>
    <row r="461" spans="17:17" x14ac:dyDescent="0.3">
      <c r="Q461" s="12"/>
    </row>
    <row r="462" spans="17:17" x14ac:dyDescent="0.3">
      <c r="Q462" s="12"/>
    </row>
    <row r="463" spans="17:17" x14ac:dyDescent="0.3">
      <c r="Q463" s="12"/>
    </row>
    <row r="464" spans="17:17" x14ac:dyDescent="0.3">
      <c r="Q464" s="12"/>
    </row>
    <row r="465" spans="17:17" x14ac:dyDescent="0.3">
      <c r="Q465" s="12"/>
    </row>
    <row r="466" spans="17:17" x14ac:dyDescent="0.3">
      <c r="Q466" s="12"/>
    </row>
    <row r="467" spans="17:17" x14ac:dyDescent="0.3">
      <c r="Q467" s="12"/>
    </row>
    <row r="468" spans="17:17" x14ac:dyDescent="0.3">
      <c r="Q468" s="12"/>
    </row>
    <row r="469" spans="17:17" x14ac:dyDescent="0.3">
      <c r="Q469" s="12"/>
    </row>
    <row r="470" spans="17:17" x14ac:dyDescent="0.3">
      <c r="Q470" s="12"/>
    </row>
    <row r="471" spans="17:17" x14ac:dyDescent="0.3">
      <c r="Q471" s="12"/>
    </row>
    <row r="472" spans="17:17" x14ac:dyDescent="0.3">
      <c r="Q472" s="12"/>
    </row>
    <row r="473" spans="17:17" x14ac:dyDescent="0.3">
      <c r="Q473" s="12"/>
    </row>
    <row r="474" spans="17:17" x14ac:dyDescent="0.3">
      <c r="Q474" s="12"/>
    </row>
    <row r="475" spans="17:17" x14ac:dyDescent="0.3">
      <c r="Q475" s="12"/>
    </row>
    <row r="476" spans="17:17" x14ac:dyDescent="0.3">
      <c r="Q476" s="12"/>
    </row>
    <row r="477" spans="17:17" x14ac:dyDescent="0.3">
      <c r="Q477" s="12"/>
    </row>
    <row r="478" spans="17:17" x14ac:dyDescent="0.3">
      <c r="Q478" s="12"/>
    </row>
    <row r="479" spans="17:17" x14ac:dyDescent="0.3">
      <c r="Q479" s="12"/>
    </row>
    <row r="480" spans="17:17" x14ac:dyDescent="0.3">
      <c r="Q480" s="12"/>
    </row>
    <row r="481" spans="17:17" x14ac:dyDescent="0.3">
      <c r="Q481" s="12"/>
    </row>
    <row r="482" spans="17:17" x14ac:dyDescent="0.3">
      <c r="Q482" s="12"/>
    </row>
    <row r="483" spans="17:17" x14ac:dyDescent="0.3">
      <c r="Q483" s="12"/>
    </row>
    <row r="484" spans="17:17" x14ac:dyDescent="0.3">
      <c r="Q484" s="12"/>
    </row>
    <row r="485" spans="17:17" x14ac:dyDescent="0.3">
      <c r="Q485" s="12"/>
    </row>
    <row r="486" spans="17:17" x14ac:dyDescent="0.3">
      <c r="Q486" s="12"/>
    </row>
    <row r="487" spans="17:17" x14ac:dyDescent="0.3">
      <c r="Q487" s="12"/>
    </row>
    <row r="488" spans="17:17" x14ac:dyDescent="0.3">
      <c r="Q488" s="12"/>
    </row>
    <row r="489" spans="17:17" x14ac:dyDescent="0.3">
      <c r="Q489" s="12"/>
    </row>
    <row r="490" spans="17:17" x14ac:dyDescent="0.3">
      <c r="Q490" s="12"/>
    </row>
    <row r="491" spans="17:17" x14ac:dyDescent="0.3">
      <c r="Q491" s="12"/>
    </row>
    <row r="492" spans="17:17" x14ac:dyDescent="0.3">
      <c r="Q492" s="12"/>
    </row>
    <row r="493" spans="17:17" x14ac:dyDescent="0.3">
      <c r="Q493" s="12"/>
    </row>
    <row r="494" spans="17:17" x14ac:dyDescent="0.3">
      <c r="Q494" s="12"/>
    </row>
    <row r="495" spans="17:17" x14ac:dyDescent="0.3">
      <c r="Q495" s="12"/>
    </row>
    <row r="496" spans="17:17" x14ac:dyDescent="0.3">
      <c r="Q496" s="12"/>
    </row>
    <row r="497" spans="17:17" x14ac:dyDescent="0.3">
      <c r="Q497" s="12"/>
    </row>
    <row r="498" spans="17:17" x14ac:dyDescent="0.3">
      <c r="Q498" s="12"/>
    </row>
    <row r="499" spans="17:17" x14ac:dyDescent="0.3">
      <c r="Q499" s="12"/>
    </row>
    <row r="500" spans="17:17" x14ac:dyDescent="0.3">
      <c r="Q500" s="12"/>
    </row>
    <row r="501" spans="17:17" x14ac:dyDescent="0.3">
      <c r="Q501" s="12"/>
    </row>
    <row r="502" spans="17:17" x14ac:dyDescent="0.3">
      <c r="Q502" s="12"/>
    </row>
    <row r="503" spans="17:17" x14ac:dyDescent="0.3">
      <c r="Q503" s="12"/>
    </row>
    <row r="504" spans="17:17" x14ac:dyDescent="0.3">
      <c r="Q504" s="12"/>
    </row>
    <row r="505" spans="17:17" x14ac:dyDescent="0.3">
      <c r="Q505" s="12"/>
    </row>
    <row r="506" spans="17:17" x14ac:dyDescent="0.3">
      <c r="Q506" s="12"/>
    </row>
    <row r="507" spans="17:17" x14ac:dyDescent="0.3">
      <c r="Q507" s="12"/>
    </row>
    <row r="508" spans="17:17" x14ac:dyDescent="0.3">
      <c r="Q508" s="12"/>
    </row>
    <row r="509" spans="17:17" x14ac:dyDescent="0.3">
      <c r="Q509" s="12"/>
    </row>
    <row r="510" spans="17:17" x14ac:dyDescent="0.3">
      <c r="Q510" s="12"/>
    </row>
    <row r="511" spans="17:17" x14ac:dyDescent="0.3">
      <c r="Q511" s="12"/>
    </row>
    <row r="512" spans="17:17" x14ac:dyDescent="0.3">
      <c r="Q512" s="12"/>
    </row>
    <row r="513" spans="17:17" x14ac:dyDescent="0.3">
      <c r="Q513" s="12"/>
    </row>
    <row r="514" spans="17:17" x14ac:dyDescent="0.3">
      <c r="Q514" s="12"/>
    </row>
    <row r="515" spans="17:17" x14ac:dyDescent="0.3">
      <c r="Q515" s="12"/>
    </row>
    <row r="516" spans="17:17" x14ac:dyDescent="0.3">
      <c r="Q516" s="12"/>
    </row>
    <row r="517" spans="17:17" x14ac:dyDescent="0.3">
      <c r="Q517" s="12"/>
    </row>
    <row r="518" spans="17:17" x14ac:dyDescent="0.3">
      <c r="Q518" s="12"/>
    </row>
    <row r="519" spans="17:17" x14ac:dyDescent="0.3">
      <c r="Q519" s="12"/>
    </row>
    <row r="520" spans="17:17" x14ac:dyDescent="0.3">
      <c r="Q520" s="12"/>
    </row>
    <row r="521" spans="17:17" x14ac:dyDescent="0.3">
      <c r="Q521" s="12"/>
    </row>
    <row r="522" spans="17:17" x14ac:dyDescent="0.3">
      <c r="Q522" s="12"/>
    </row>
    <row r="523" spans="17:17" x14ac:dyDescent="0.3">
      <c r="Q523" s="12"/>
    </row>
    <row r="524" spans="17:17" x14ac:dyDescent="0.3">
      <c r="Q524" s="12"/>
    </row>
    <row r="525" spans="17:17" x14ac:dyDescent="0.3">
      <c r="Q525" s="12"/>
    </row>
    <row r="526" spans="17:17" x14ac:dyDescent="0.3">
      <c r="Q526"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export_marlin_table_Steinhart">
                <anchor moveWithCells="1" sizeWithCells="1">
                  <from>
                    <xdr:col>0</xdr:col>
                    <xdr:colOff>502920</xdr:colOff>
                    <xdr:row>30</xdr:row>
                    <xdr:rowOff>83820</xdr:rowOff>
                  </from>
                  <to>
                    <xdr:col>2</xdr:col>
                    <xdr:colOff>220980</xdr:colOff>
                    <xdr:row>32</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2</vt:i4>
      </vt:variant>
      <vt:variant>
        <vt:lpstr>Named Ranges</vt:lpstr>
      </vt:variant>
      <vt:variant>
        <vt:i4>26</vt:i4>
      </vt:variant>
    </vt:vector>
  </HeadingPairs>
  <TitlesOfParts>
    <vt:vector size="32" baseType="lpstr">
      <vt:lpstr>Manual Calibration Readme</vt:lpstr>
      <vt:lpstr>Manual_Calibration</vt:lpstr>
      <vt:lpstr>Beta_Calibration</vt:lpstr>
      <vt:lpstr>SteinhartHart_Calibration</vt:lpstr>
      <vt:lpstr>Comparison Temperature Chart</vt:lpstr>
      <vt:lpstr>Comparison Voltage Chart</vt:lpstr>
      <vt:lpstr>BETA_ADC_MAX_VALUE</vt:lpstr>
      <vt:lpstr>BETA_ADC_RESOLUTION</vt:lpstr>
      <vt:lpstr>BETA_BETA_VAL</vt:lpstr>
      <vt:lpstr>BETA_OVERSAMPLENR</vt:lpstr>
      <vt:lpstr>BETA_PULL_UP</vt:lpstr>
      <vt:lpstr>BETA_R0</vt:lpstr>
      <vt:lpstr>BETA_R25</vt:lpstr>
      <vt:lpstr>BETA_T0</vt:lpstr>
      <vt:lpstr>BETA_T0_IN_K</vt:lpstr>
      <vt:lpstr>BETA_VIN</vt:lpstr>
      <vt:lpstr>SH_ADC_MAX_VALUE</vt:lpstr>
      <vt:lpstr>SH_ADC_RESOLUTION</vt:lpstr>
      <vt:lpstr>SH_OVERSAMPLENR</vt:lpstr>
      <vt:lpstr>SH_PULLUP</vt:lpstr>
      <vt:lpstr>SH_R25</vt:lpstr>
      <vt:lpstr>SH_VIN</vt:lpstr>
      <vt:lpstr>USER_ADC_MAX_VALUE</vt:lpstr>
      <vt:lpstr>USER_ADC_RESOLUTION</vt:lpstr>
      <vt:lpstr>USER_BETA_VAL</vt:lpstr>
      <vt:lpstr>USER_OVERSAMPLER</vt:lpstr>
      <vt:lpstr>USER_PULLUP</vt:lpstr>
      <vt:lpstr>USER_R0</vt:lpstr>
      <vt:lpstr>USER_R25</vt:lpstr>
      <vt:lpstr>USER_T0</vt:lpstr>
      <vt:lpstr>USER_T0_IN_K</vt:lpstr>
      <vt:lpstr>USER_VIN</vt:lpstr>
    </vt:vector>
  </TitlesOfParts>
  <Company>Ausenco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Shaun Saggers</dc:creator>
  <cp:lastModifiedBy>Kannan Krishnamoorthy</cp:lastModifiedBy>
  <dcterms:created xsi:type="dcterms:W3CDTF">2013-06-13T00:56:14Z</dcterms:created>
  <dcterms:modified xsi:type="dcterms:W3CDTF">2020-01-09T21:34:47Z</dcterms:modified>
</cp:coreProperties>
</file>